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9b21eb0120d247/Documents/"/>
    </mc:Choice>
  </mc:AlternateContent>
  <xr:revisionPtr revIDLastSave="26" documentId="13_ncr:1_{3E144B22-2669-4E2F-B2DB-83D87CC83EB9}" xr6:coauthVersionLast="47" xr6:coauthVersionMax="47" xr10:uidLastSave="{5FAC27A4-BE6B-4662-82CE-152B7B8C8D76}"/>
  <bookViews>
    <workbookView xWindow="-110" yWindow="-110" windowWidth="19420" windowHeight="10300" tabRatio="754" firstSheet="7" activeTab="15" xr2:uid="{00000000-000D-0000-FFFF-FFFF00000000}"/>
  </bookViews>
  <sheets>
    <sheet name="Budget" sheetId="2" r:id="rId1"/>
    <sheet name="STOCK TAKE" sheetId="21" r:id="rId2"/>
    <sheet name="cashflow" sheetId="5" r:id="rId3"/>
    <sheet name="cash budget" sheetId="17" r:id="rId4"/>
    <sheet name="cashbook" sheetId="4" r:id="rId5"/>
    <sheet name="daily sales" sheetId="3" r:id="rId6"/>
    <sheet name="dresses" sheetId="8" r:id="rId7"/>
    <sheet name="jkts &amp; jerserys" sheetId="23" r:id="rId8"/>
    <sheet name="suits" sheetId="24" r:id="rId9"/>
    <sheet name="hats shoes &amp; bags" sheetId="25" r:id="rId10"/>
    <sheet name="credit clients " sheetId="14" r:id="rId11"/>
    <sheet name="layby clients" sheetId="19" r:id="rId12"/>
    <sheet name="sales analysis" sheetId="18" r:id="rId13"/>
    <sheet name="stock purchase 2026" sheetId="16" r:id="rId14"/>
    <sheet name="sops" sheetId="13" r:id="rId15"/>
    <sheet name="salaries" sheetId="20" r:id="rId16"/>
    <sheet name="stock movement" sheetId="22" r:id="rId17"/>
  </sheets>
  <definedNames>
    <definedName name="_xlnm.Print_Area" localSheetId="0">Budget!$A$1:$V$91</definedName>
    <definedName name="_xlnm.Print_Area" localSheetId="6">dresses!$A$1:$U$1421</definedName>
    <definedName name="_xlnm.Print_Area" localSheetId="13">'stock purchase 2026'!$B$1:$U$3429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20" l="1"/>
  <c r="J49" i="20"/>
  <c r="F485" i="14"/>
  <c r="B849" i="3"/>
  <c r="L849" i="3"/>
  <c r="B829" i="3"/>
  <c r="B835" i="3"/>
  <c r="L835" i="3"/>
  <c r="F835" i="3"/>
  <c r="F491" i="14"/>
  <c r="L829" i="3"/>
  <c r="F829" i="3"/>
  <c r="B822" i="3"/>
  <c r="G822" i="3"/>
  <c r="H822" i="3"/>
  <c r="F822" i="3"/>
  <c r="E590" i="14"/>
  <c r="F590" i="14"/>
  <c r="K801" i="3"/>
  <c r="E586" i="14"/>
  <c r="I586" i="14" s="1"/>
  <c r="F586" i="14"/>
  <c r="L801" i="3"/>
  <c r="F801" i="3"/>
  <c r="F582" i="14"/>
  <c r="E579" i="14"/>
  <c r="E582" i="14" s="1"/>
  <c r="I582" i="14" s="1"/>
  <c r="K787" i="3"/>
  <c r="H26" i="19"/>
  <c r="H60" i="24"/>
  <c r="J60" i="24" s="1"/>
  <c r="K60" i="24" s="1"/>
  <c r="M60" i="24" s="1"/>
  <c r="H59" i="24"/>
  <c r="J59" i="24" s="1"/>
  <c r="K59" i="24" s="1"/>
  <c r="M59" i="24" s="1"/>
  <c r="H58" i="24"/>
  <c r="J58" i="24" s="1"/>
  <c r="K58" i="24" s="1"/>
  <c r="M58" i="24" s="1"/>
  <c r="I590" i="14" l="1"/>
  <c r="B801" i="3"/>
  <c r="K92" i="8"/>
  <c r="L92" i="8" s="1"/>
  <c r="N92" i="8" s="1"/>
  <c r="L787" i="3"/>
  <c r="F787" i="3"/>
  <c r="J118" i="19"/>
  <c r="F118" i="19"/>
  <c r="G118" i="19"/>
  <c r="H118" i="19"/>
  <c r="G778" i="3"/>
  <c r="C778" i="3" s="1"/>
  <c r="H778" i="3"/>
  <c r="I778" i="3"/>
  <c r="J778" i="3"/>
  <c r="K778" i="3"/>
  <c r="L778" i="3"/>
  <c r="M778" i="3"/>
  <c r="N778" i="3"/>
  <c r="F778" i="3"/>
  <c r="N542" i="8"/>
  <c r="E577" i="14"/>
  <c r="I577" i="14" s="1"/>
  <c r="F577" i="14"/>
  <c r="E567" i="14"/>
  <c r="E568" i="14" s="1"/>
  <c r="I568" i="14" s="1"/>
  <c r="K170" i="4"/>
  <c r="H113" i="19"/>
  <c r="F113" i="19"/>
  <c r="E573" i="14"/>
  <c r="F573" i="14"/>
  <c r="F568" i="14"/>
  <c r="L768" i="3"/>
  <c r="K768" i="3"/>
  <c r="F768" i="3"/>
  <c r="N756" i="3"/>
  <c r="K756" i="3"/>
  <c r="F756" i="3"/>
  <c r="B756" i="3" s="1"/>
  <c r="I745" i="3"/>
  <c r="B745" i="3" s="1"/>
  <c r="H745" i="3"/>
  <c r="F497" i="14"/>
  <c r="L739" i="3"/>
  <c r="I739" i="3"/>
  <c r="B739" i="3" s="1"/>
  <c r="I573" i="14" l="1"/>
  <c r="B787" i="3"/>
  <c r="B778" i="3"/>
  <c r="B768" i="3"/>
  <c r="K220" i="4"/>
  <c r="F735" i="3"/>
  <c r="B735" i="3" s="1"/>
  <c r="F721" i="3"/>
  <c r="B721" i="3" s="1"/>
  <c r="B723" i="3" s="1"/>
  <c r="Q337" i="25"/>
  <c r="E564" i="14"/>
  <c r="F564" i="14"/>
  <c r="F465" i="14"/>
  <c r="E465" i="14"/>
  <c r="E559" i="14"/>
  <c r="F559" i="14"/>
  <c r="E554" i="14"/>
  <c r="F554" i="14"/>
  <c r="E550" i="14"/>
  <c r="F550" i="14"/>
  <c r="F324" i="14"/>
  <c r="L717" i="3"/>
  <c r="K704" i="3"/>
  <c r="K697" i="3"/>
  <c r="L697" i="3"/>
  <c r="B697" i="3" s="1"/>
  <c r="L710" i="3"/>
  <c r="B710" i="3" s="1"/>
  <c r="K710" i="3"/>
  <c r="K264" i="23"/>
  <c r="L264" i="23" s="1"/>
  <c r="N264" i="23" s="1"/>
  <c r="K263" i="23"/>
  <c r="L263" i="23" s="1"/>
  <c r="N263" i="23" s="1"/>
  <c r="K262" i="23"/>
  <c r="L262" i="23" s="1"/>
  <c r="N262" i="23" s="1"/>
  <c r="K261" i="23"/>
  <c r="L261" i="23" s="1"/>
  <c r="N261" i="23" s="1"/>
  <c r="K260" i="23"/>
  <c r="L260" i="23" s="1"/>
  <c r="N260" i="23" s="1"/>
  <c r="K259" i="23"/>
  <c r="L259" i="23" s="1"/>
  <c r="N259" i="23" s="1"/>
  <c r="L258" i="23"/>
  <c r="N258" i="23" s="1"/>
  <c r="K258" i="23"/>
  <c r="K257" i="23"/>
  <c r="L257" i="23" s="1"/>
  <c r="N257" i="23" s="1"/>
  <c r="K256" i="23"/>
  <c r="L256" i="23" s="1"/>
  <c r="N256" i="23" s="1"/>
  <c r="K255" i="23"/>
  <c r="L255" i="23" s="1"/>
  <c r="N255" i="23" s="1"/>
  <c r="K254" i="23"/>
  <c r="L254" i="23" s="1"/>
  <c r="N254" i="23" s="1"/>
  <c r="K253" i="23"/>
  <c r="L253" i="23" s="1"/>
  <c r="N253" i="23" s="1"/>
  <c r="K252" i="23"/>
  <c r="L252" i="23" s="1"/>
  <c r="N252" i="23" s="1"/>
  <c r="K251" i="23"/>
  <c r="L251" i="23" s="1"/>
  <c r="N251" i="23" s="1"/>
  <c r="K250" i="23"/>
  <c r="L250" i="23" s="1"/>
  <c r="N250" i="23" s="1"/>
  <c r="K249" i="23"/>
  <c r="L249" i="23" s="1"/>
  <c r="N249" i="23" s="1"/>
  <c r="K248" i="23"/>
  <c r="L248" i="23" s="1"/>
  <c r="N248" i="23" s="1"/>
  <c r="K247" i="23"/>
  <c r="L247" i="23" s="1"/>
  <c r="N247" i="23" s="1"/>
  <c r="K246" i="23"/>
  <c r="L246" i="23" s="1"/>
  <c r="N246" i="23" s="1"/>
  <c r="K245" i="23"/>
  <c r="L245" i="23" s="1"/>
  <c r="N245" i="23" s="1"/>
  <c r="K244" i="23"/>
  <c r="L244" i="23" s="1"/>
  <c r="N244" i="23" s="1"/>
  <c r="L243" i="23"/>
  <c r="N243" i="23" s="1"/>
  <c r="K243" i="23"/>
  <c r="K242" i="23"/>
  <c r="L242" i="23" s="1"/>
  <c r="N242" i="23" s="1"/>
  <c r="K241" i="23"/>
  <c r="L241" i="23" s="1"/>
  <c r="N241" i="23" s="1"/>
  <c r="K240" i="23"/>
  <c r="L240" i="23" s="1"/>
  <c r="N240" i="23" s="1"/>
  <c r="K239" i="23"/>
  <c r="L239" i="23" s="1"/>
  <c r="N239" i="23" s="1"/>
  <c r="K238" i="23"/>
  <c r="L238" i="23" s="1"/>
  <c r="N238" i="23" s="1"/>
  <c r="K237" i="23"/>
  <c r="L237" i="23" s="1"/>
  <c r="N237" i="23" s="1"/>
  <c r="K236" i="23"/>
  <c r="L236" i="23" s="1"/>
  <c r="N236" i="23" s="1"/>
  <c r="L235" i="23"/>
  <c r="N235" i="23" s="1"/>
  <c r="K235" i="23"/>
  <c r="K234" i="23"/>
  <c r="L234" i="23" s="1"/>
  <c r="N234" i="23" s="1"/>
  <c r="K233" i="23"/>
  <c r="L233" i="23" s="1"/>
  <c r="N233" i="23" s="1"/>
  <c r="K232" i="23"/>
  <c r="L232" i="23" s="1"/>
  <c r="N232" i="23" s="1"/>
  <c r="K231" i="23"/>
  <c r="L231" i="23" s="1"/>
  <c r="N231" i="23" s="1"/>
  <c r="K230" i="23"/>
  <c r="L230" i="23" s="1"/>
  <c r="N230" i="23" s="1"/>
  <c r="K229" i="23"/>
  <c r="L229" i="23" s="1"/>
  <c r="N229" i="23" s="1"/>
  <c r="K228" i="23"/>
  <c r="L228" i="23" s="1"/>
  <c r="N228" i="23" s="1"/>
  <c r="K227" i="23"/>
  <c r="L227" i="23" s="1"/>
  <c r="N227" i="23" s="1"/>
  <c r="L226" i="23"/>
  <c r="N226" i="23" s="1"/>
  <c r="K226" i="23"/>
  <c r="K225" i="23"/>
  <c r="L225" i="23" s="1"/>
  <c r="N225" i="23" s="1"/>
  <c r="K224" i="23"/>
  <c r="L224" i="23" s="1"/>
  <c r="N224" i="23" s="1"/>
  <c r="K223" i="23"/>
  <c r="L223" i="23" s="1"/>
  <c r="N223" i="23" s="1"/>
  <c r="K222" i="23"/>
  <c r="L222" i="23" s="1"/>
  <c r="N222" i="23" s="1"/>
  <c r="K221" i="23"/>
  <c r="L221" i="23" s="1"/>
  <c r="N221" i="23" s="1"/>
  <c r="K220" i="23"/>
  <c r="L220" i="23" s="1"/>
  <c r="N220" i="23" s="1"/>
  <c r="K219" i="23"/>
  <c r="L219" i="23" s="1"/>
  <c r="N219" i="23" s="1"/>
  <c r="L218" i="23"/>
  <c r="N218" i="23" s="1"/>
  <c r="K218" i="23"/>
  <c r="L217" i="23"/>
  <c r="N217" i="23" s="1"/>
  <c r="K217" i="23"/>
  <c r="L216" i="23"/>
  <c r="N216" i="23" s="1"/>
  <c r="K216" i="23"/>
  <c r="K215" i="23"/>
  <c r="L215" i="23" s="1"/>
  <c r="N215" i="23" s="1"/>
  <c r="K214" i="23"/>
  <c r="L214" i="23" s="1"/>
  <c r="N214" i="23" s="1"/>
  <c r="K213" i="23"/>
  <c r="L213" i="23" s="1"/>
  <c r="N213" i="23" s="1"/>
  <c r="K212" i="23"/>
  <c r="L212" i="23" s="1"/>
  <c r="N212" i="23" s="1"/>
  <c r="K211" i="23"/>
  <c r="L211" i="23" s="1"/>
  <c r="N211" i="23" s="1"/>
  <c r="L210" i="23"/>
  <c r="N210" i="23" s="1"/>
  <c r="K210" i="23"/>
  <c r="K209" i="23"/>
  <c r="L209" i="23" s="1"/>
  <c r="N209" i="23" s="1"/>
  <c r="L208" i="23"/>
  <c r="N208" i="23" s="1"/>
  <c r="K208" i="23"/>
  <c r="K207" i="23"/>
  <c r="L207" i="23" s="1"/>
  <c r="N207" i="23" s="1"/>
  <c r="K206" i="23"/>
  <c r="L206" i="23" s="1"/>
  <c r="N206" i="23" s="1"/>
  <c r="K205" i="23"/>
  <c r="L205" i="23" s="1"/>
  <c r="N205" i="23" s="1"/>
  <c r="K204" i="23"/>
  <c r="L204" i="23" s="1"/>
  <c r="N204" i="23" s="1"/>
  <c r="L203" i="23"/>
  <c r="N203" i="23" s="1"/>
  <c r="K203" i="23"/>
  <c r="L202" i="23"/>
  <c r="N202" i="23" s="1"/>
  <c r="K202" i="23"/>
  <c r="K201" i="23"/>
  <c r="L201" i="23" s="1"/>
  <c r="N201" i="23" s="1"/>
  <c r="K200" i="23"/>
  <c r="L200" i="23" s="1"/>
  <c r="N200" i="23" s="1"/>
  <c r="K199" i="23"/>
  <c r="L199" i="23" s="1"/>
  <c r="N199" i="23" s="1"/>
  <c r="K198" i="23"/>
  <c r="L198" i="23" s="1"/>
  <c r="N198" i="23" s="1"/>
  <c r="K197" i="23"/>
  <c r="L197" i="23" s="1"/>
  <c r="N197" i="23" s="1"/>
  <c r="K196" i="23"/>
  <c r="L196" i="23" s="1"/>
  <c r="N196" i="23" s="1"/>
  <c r="L195" i="23"/>
  <c r="N195" i="23" s="1"/>
  <c r="K195" i="23"/>
  <c r="K194" i="23"/>
  <c r="L194" i="23" s="1"/>
  <c r="N194" i="23" s="1"/>
  <c r="K193" i="23"/>
  <c r="L193" i="23" s="1"/>
  <c r="N193" i="23" s="1"/>
  <c r="K192" i="23"/>
  <c r="L192" i="23" s="1"/>
  <c r="N192" i="23" s="1"/>
  <c r="K191" i="23"/>
  <c r="L191" i="23" s="1"/>
  <c r="N191" i="23" s="1"/>
  <c r="K190" i="23"/>
  <c r="L190" i="23" s="1"/>
  <c r="N190" i="23" s="1"/>
  <c r="K189" i="23"/>
  <c r="L189" i="23" s="1"/>
  <c r="N189" i="23" s="1"/>
  <c r="K188" i="23"/>
  <c r="L188" i="23" s="1"/>
  <c r="N188" i="23" s="1"/>
  <c r="L187" i="23"/>
  <c r="N187" i="23" s="1"/>
  <c r="K187" i="23"/>
  <c r="K186" i="23"/>
  <c r="L186" i="23" s="1"/>
  <c r="N186" i="23" s="1"/>
  <c r="K185" i="23"/>
  <c r="L185" i="23" s="1"/>
  <c r="N185" i="23" s="1"/>
  <c r="N184" i="23"/>
  <c r="L184" i="23"/>
  <c r="K184" i="23"/>
  <c r="K183" i="23"/>
  <c r="L183" i="23" s="1"/>
  <c r="N183" i="23" s="1"/>
  <c r="K182" i="23"/>
  <c r="L182" i="23" s="1"/>
  <c r="N182" i="23" s="1"/>
  <c r="K181" i="23"/>
  <c r="L181" i="23" s="1"/>
  <c r="N181" i="23" s="1"/>
  <c r="K180" i="23"/>
  <c r="L180" i="23" s="1"/>
  <c r="N180" i="23" s="1"/>
  <c r="K179" i="23"/>
  <c r="L179" i="23" s="1"/>
  <c r="N179" i="23" s="1"/>
  <c r="L178" i="23"/>
  <c r="N178" i="23" s="1"/>
  <c r="K178" i="23"/>
  <c r="K177" i="23"/>
  <c r="L177" i="23" s="1"/>
  <c r="N177" i="23" s="1"/>
  <c r="K176" i="23"/>
  <c r="L176" i="23" s="1"/>
  <c r="N176" i="23" s="1"/>
  <c r="K175" i="23"/>
  <c r="L175" i="23" s="1"/>
  <c r="N175" i="23" s="1"/>
  <c r="K174" i="23"/>
  <c r="L174" i="23" s="1"/>
  <c r="N174" i="23" s="1"/>
  <c r="O3263" i="16"/>
  <c r="O3264" i="16"/>
  <c r="O3265" i="16"/>
  <c r="O3266" i="16"/>
  <c r="O3267" i="16"/>
  <c r="O3268" i="16"/>
  <c r="O3269" i="16"/>
  <c r="O3270" i="16"/>
  <c r="O3271" i="16"/>
  <c r="O3272" i="16"/>
  <c r="O3273" i="16"/>
  <c r="O3274" i="16"/>
  <c r="O3275" i="16"/>
  <c r="O3276" i="16"/>
  <c r="O3277" i="16"/>
  <c r="O3278" i="16"/>
  <c r="O3279" i="16"/>
  <c r="O3280" i="16"/>
  <c r="O3281" i="16"/>
  <c r="O3282" i="16"/>
  <c r="O3283" i="16"/>
  <c r="O3284" i="16"/>
  <c r="O3285" i="16"/>
  <c r="O3286" i="16"/>
  <c r="O3287" i="16"/>
  <c r="O3288" i="16"/>
  <c r="O3289" i="16"/>
  <c r="O3290" i="16"/>
  <c r="O3291" i="16"/>
  <c r="O3292" i="16"/>
  <c r="O3293" i="16"/>
  <c r="O3294" i="16"/>
  <c r="O3295" i="16"/>
  <c r="O3296" i="16"/>
  <c r="O3297" i="16"/>
  <c r="O3298" i="16"/>
  <c r="O3299" i="16"/>
  <c r="O3300" i="16"/>
  <c r="O3301" i="16"/>
  <c r="O3302" i="16"/>
  <c r="O3303" i="16"/>
  <c r="O3304" i="16"/>
  <c r="O3305" i="16"/>
  <c r="O3306" i="16"/>
  <c r="O3307" i="16"/>
  <c r="O3308" i="16"/>
  <c r="O3309" i="16"/>
  <c r="O3310" i="16"/>
  <c r="O3311" i="16"/>
  <c r="O3312" i="16"/>
  <c r="O3313" i="16"/>
  <c r="O3314" i="16"/>
  <c r="O3315" i="16"/>
  <c r="O3316" i="16"/>
  <c r="O3317" i="16"/>
  <c r="O3318" i="16"/>
  <c r="O3319" i="16"/>
  <c r="O3320" i="16"/>
  <c r="O3321" i="16"/>
  <c r="O3322" i="16"/>
  <c r="O3323" i="16"/>
  <c r="O3324" i="16"/>
  <c r="O3325" i="16"/>
  <c r="O3326" i="16"/>
  <c r="O3327" i="16"/>
  <c r="O3328" i="16"/>
  <c r="O3329" i="16"/>
  <c r="O3330" i="16"/>
  <c r="O3331" i="16"/>
  <c r="O3332" i="16"/>
  <c r="O3333" i="16"/>
  <c r="O3334" i="16"/>
  <c r="O3335" i="16"/>
  <c r="O3336" i="16"/>
  <c r="O3337" i="16"/>
  <c r="O3338" i="16"/>
  <c r="O3339" i="16"/>
  <c r="O3340" i="16"/>
  <c r="O3341" i="16"/>
  <c r="O3342" i="16"/>
  <c r="O3343" i="16"/>
  <c r="O3344" i="16"/>
  <c r="O3345" i="16"/>
  <c r="O3346" i="16"/>
  <c r="O3347" i="16"/>
  <c r="O3348" i="16"/>
  <c r="O3349" i="16"/>
  <c r="O3350" i="16"/>
  <c r="O3351" i="16"/>
  <c r="O3352" i="16"/>
  <c r="O3262" i="16"/>
  <c r="M3352" i="16"/>
  <c r="L3352" i="16"/>
  <c r="L3351" i="16"/>
  <c r="M3351" i="16" s="1"/>
  <c r="M3350" i="16"/>
  <c r="L3350" i="16"/>
  <c r="L3349" i="16"/>
  <c r="M3349" i="16" s="1"/>
  <c r="L3348" i="16"/>
  <c r="M3348" i="16" s="1"/>
  <c r="L3347" i="16"/>
  <c r="M3347" i="16" s="1"/>
  <c r="M3346" i="16"/>
  <c r="L3346" i="16"/>
  <c r="L3345" i="16"/>
  <c r="M3345" i="16" s="1"/>
  <c r="M3344" i="16"/>
  <c r="L3344" i="16"/>
  <c r="L3343" i="16"/>
  <c r="M3343" i="16" s="1"/>
  <c r="M3342" i="16"/>
  <c r="L3342" i="16"/>
  <c r="L3341" i="16"/>
  <c r="M3341" i="16" s="1"/>
  <c r="L3340" i="16"/>
  <c r="M3340" i="16" s="1"/>
  <c r="L3339" i="16"/>
  <c r="M3339" i="16" s="1"/>
  <c r="M3338" i="16"/>
  <c r="L3338" i="16"/>
  <c r="L3337" i="16"/>
  <c r="M3337" i="16" s="1"/>
  <c r="M3336" i="16"/>
  <c r="L3336" i="16"/>
  <c r="L3335" i="16"/>
  <c r="M3335" i="16" s="1"/>
  <c r="M3334" i="16"/>
  <c r="L3334" i="16"/>
  <c r="L3333" i="16"/>
  <c r="M3333" i="16" s="1"/>
  <c r="L3332" i="16"/>
  <c r="M3332" i="16" s="1"/>
  <c r="L3331" i="16"/>
  <c r="M3331" i="16" s="1"/>
  <c r="M3330" i="16"/>
  <c r="L3330" i="16"/>
  <c r="L3329" i="16"/>
  <c r="M3329" i="16" s="1"/>
  <c r="M3328" i="16"/>
  <c r="L3328" i="16"/>
  <c r="L3327" i="16"/>
  <c r="M3327" i="16" s="1"/>
  <c r="M3326" i="16"/>
  <c r="L3326" i="16"/>
  <c r="L3325" i="16"/>
  <c r="M3325" i="16" s="1"/>
  <c r="L3324" i="16"/>
  <c r="M3324" i="16" s="1"/>
  <c r="L3323" i="16"/>
  <c r="M3323" i="16" s="1"/>
  <c r="M3322" i="16"/>
  <c r="L3322" i="16"/>
  <c r="L3321" i="16"/>
  <c r="M3321" i="16" s="1"/>
  <c r="M3320" i="16"/>
  <c r="L3320" i="16"/>
  <c r="L3319" i="16"/>
  <c r="M3319" i="16" s="1"/>
  <c r="M3318" i="16"/>
  <c r="L3318" i="16"/>
  <c r="L3317" i="16"/>
  <c r="M3317" i="16" s="1"/>
  <c r="L3316" i="16"/>
  <c r="M3316" i="16" s="1"/>
  <c r="L3315" i="16"/>
  <c r="M3315" i="16" s="1"/>
  <c r="M3314" i="16"/>
  <c r="L3314" i="16"/>
  <c r="L3313" i="16"/>
  <c r="M3313" i="16" s="1"/>
  <c r="M3312" i="16"/>
  <c r="L3312" i="16"/>
  <c r="L3311" i="16"/>
  <c r="M3311" i="16" s="1"/>
  <c r="M3310" i="16"/>
  <c r="L3310" i="16"/>
  <c r="L3309" i="16"/>
  <c r="M3309" i="16" s="1"/>
  <c r="L3308" i="16"/>
  <c r="M3308" i="16" s="1"/>
  <c r="L3307" i="16"/>
  <c r="M3307" i="16" s="1"/>
  <c r="M3306" i="16"/>
  <c r="L3306" i="16"/>
  <c r="L3305" i="16"/>
  <c r="M3305" i="16" s="1"/>
  <c r="M3304" i="16"/>
  <c r="L3304" i="16"/>
  <c r="L3303" i="16"/>
  <c r="M3303" i="16" s="1"/>
  <c r="M3302" i="16"/>
  <c r="L3302" i="16"/>
  <c r="L3301" i="16"/>
  <c r="M3301" i="16" s="1"/>
  <c r="L3300" i="16"/>
  <c r="M3300" i="16" s="1"/>
  <c r="L3299" i="16"/>
  <c r="M3299" i="16" s="1"/>
  <c r="M3298" i="16"/>
  <c r="L3298" i="16"/>
  <c r="L3297" i="16"/>
  <c r="M3297" i="16" s="1"/>
  <c r="M3296" i="16"/>
  <c r="L3296" i="16"/>
  <c r="L3295" i="16"/>
  <c r="M3295" i="16" s="1"/>
  <c r="M3294" i="16"/>
  <c r="L3294" i="16"/>
  <c r="L3293" i="16"/>
  <c r="M3293" i="16" s="1"/>
  <c r="M3292" i="16"/>
  <c r="L3292" i="16"/>
  <c r="L3291" i="16"/>
  <c r="M3291" i="16" s="1"/>
  <c r="M3290" i="16"/>
  <c r="L3290" i="16"/>
  <c r="L3289" i="16"/>
  <c r="M3289" i="16" s="1"/>
  <c r="M3288" i="16"/>
  <c r="L3288" i="16"/>
  <c r="L3287" i="16"/>
  <c r="M3287" i="16" s="1"/>
  <c r="M3286" i="16"/>
  <c r="L3286" i="16"/>
  <c r="L3285" i="16"/>
  <c r="M3285" i="16" s="1"/>
  <c r="M3284" i="16"/>
  <c r="L3284" i="16"/>
  <c r="L3283" i="16"/>
  <c r="M3283" i="16" s="1"/>
  <c r="M3282" i="16"/>
  <c r="L3282" i="16"/>
  <c r="L3281" i="16"/>
  <c r="M3281" i="16" s="1"/>
  <c r="M3280" i="16"/>
  <c r="L3280" i="16"/>
  <c r="L3279" i="16"/>
  <c r="M3279" i="16" s="1"/>
  <c r="M3278" i="16"/>
  <c r="L3278" i="16"/>
  <c r="L3277" i="16"/>
  <c r="M3277" i="16" s="1"/>
  <c r="M3276" i="16"/>
  <c r="L3276" i="16"/>
  <c r="L3275" i="16"/>
  <c r="M3275" i="16" s="1"/>
  <c r="M3274" i="16"/>
  <c r="L3274" i="16"/>
  <c r="L3273" i="16"/>
  <c r="M3273" i="16" s="1"/>
  <c r="M3272" i="16"/>
  <c r="L3272" i="16"/>
  <c r="L3271" i="16"/>
  <c r="M3271" i="16" s="1"/>
  <c r="M3270" i="16"/>
  <c r="L3270" i="16"/>
  <c r="L3269" i="16"/>
  <c r="M3269" i="16" s="1"/>
  <c r="M3268" i="16"/>
  <c r="L3268" i="16"/>
  <c r="L3267" i="16"/>
  <c r="M3267" i="16" s="1"/>
  <c r="M3266" i="16"/>
  <c r="L3266" i="16"/>
  <c r="L3265" i="16"/>
  <c r="M3265" i="16" s="1"/>
  <c r="M3264" i="16"/>
  <c r="L3264" i="16"/>
  <c r="L3263" i="16"/>
  <c r="M3263" i="16" s="1"/>
  <c r="M3262" i="16"/>
  <c r="L3262" i="16"/>
  <c r="I3353" i="16"/>
  <c r="K773" i="8"/>
  <c r="L773" i="8" s="1"/>
  <c r="N773" i="8" s="1"/>
  <c r="K772" i="8"/>
  <c r="L772" i="8" s="1"/>
  <c r="N772" i="8" s="1"/>
  <c r="K771" i="8"/>
  <c r="L771" i="8" s="1"/>
  <c r="N771" i="8" s="1"/>
  <c r="K770" i="8"/>
  <c r="L770" i="8" s="1"/>
  <c r="N770" i="8" s="1"/>
  <c r="K111" i="8"/>
  <c r="L111" i="8" s="1"/>
  <c r="N111" i="8" s="1"/>
  <c r="K110" i="8"/>
  <c r="L110" i="8" s="1"/>
  <c r="N110" i="8" s="1"/>
  <c r="K109" i="8"/>
  <c r="L109" i="8" s="1"/>
  <c r="N109" i="8" s="1"/>
  <c r="K108" i="8"/>
  <c r="L108" i="8" s="1"/>
  <c r="N108" i="8" s="1"/>
  <c r="P3383" i="16"/>
  <c r="L3382" i="16"/>
  <c r="M3382" i="16" s="1"/>
  <c r="O3382" i="16" s="1"/>
  <c r="L3381" i="16"/>
  <c r="M3381" i="16" s="1"/>
  <c r="O3381" i="16" s="1"/>
  <c r="L3380" i="16"/>
  <c r="M3380" i="16" s="1"/>
  <c r="O3380" i="16" s="1"/>
  <c r="L3379" i="16"/>
  <c r="M3379" i="16" s="1"/>
  <c r="O3379" i="16" s="1"/>
  <c r="L3378" i="16"/>
  <c r="M3378" i="16" s="1"/>
  <c r="O3378" i="16" s="1"/>
  <c r="L3377" i="16"/>
  <c r="M3377" i="16" s="1"/>
  <c r="O3377" i="16" s="1"/>
  <c r="L3376" i="16"/>
  <c r="M3376" i="16" s="1"/>
  <c r="O3376" i="16" s="1"/>
  <c r="L3375" i="16"/>
  <c r="M3375" i="16" s="1"/>
  <c r="O3375" i="16" s="1"/>
  <c r="I3383" i="16"/>
  <c r="I182" i="24"/>
  <c r="J182" i="24" s="1"/>
  <c r="K182" i="24" s="1"/>
  <c r="M182" i="24" s="1"/>
  <c r="I181" i="24"/>
  <c r="J181" i="24" s="1"/>
  <c r="K181" i="24" s="1"/>
  <c r="M181" i="24" s="1"/>
  <c r="I180" i="24"/>
  <c r="J180" i="24" s="1"/>
  <c r="K180" i="24" s="1"/>
  <c r="M180" i="24" s="1"/>
  <c r="I179" i="24"/>
  <c r="J179" i="24" s="1"/>
  <c r="K179" i="24" s="1"/>
  <c r="M179" i="24" s="1"/>
  <c r="J787" i="8"/>
  <c r="K787" i="8" s="1"/>
  <c r="L787" i="8" s="1"/>
  <c r="N787" i="8" s="1"/>
  <c r="J786" i="8"/>
  <c r="K786" i="8" s="1"/>
  <c r="L786" i="8" s="1"/>
  <c r="N786" i="8" s="1"/>
  <c r="J785" i="8"/>
  <c r="K785" i="8" s="1"/>
  <c r="L785" i="8" s="1"/>
  <c r="N785" i="8" s="1"/>
  <c r="J784" i="8"/>
  <c r="K784" i="8" s="1"/>
  <c r="L784" i="8" s="1"/>
  <c r="N784" i="8" s="1"/>
  <c r="J783" i="8"/>
  <c r="K783" i="8" s="1"/>
  <c r="L783" i="8" s="1"/>
  <c r="N783" i="8" s="1"/>
  <c r="J782" i="8"/>
  <c r="K782" i="8" s="1"/>
  <c r="L782" i="8" s="1"/>
  <c r="N782" i="8" s="1"/>
  <c r="J781" i="8"/>
  <c r="K781" i="8" s="1"/>
  <c r="L781" i="8" s="1"/>
  <c r="N781" i="8" s="1"/>
  <c r="J780" i="8"/>
  <c r="K780" i="8" s="1"/>
  <c r="L780" i="8" s="1"/>
  <c r="N780" i="8" s="1"/>
  <c r="J779" i="8"/>
  <c r="K779" i="8" s="1"/>
  <c r="L779" i="8" s="1"/>
  <c r="N779" i="8" s="1"/>
  <c r="J778" i="8"/>
  <c r="K778" i="8" s="1"/>
  <c r="L778" i="8" s="1"/>
  <c r="N778" i="8" s="1"/>
  <c r="J777" i="8"/>
  <c r="K777" i="8" s="1"/>
  <c r="L777" i="8" s="1"/>
  <c r="N777" i="8" s="1"/>
  <c r="J776" i="8"/>
  <c r="K776" i="8" s="1"/>
  <c r="L776" i="8" s="1"/>
  <c r="N776" i="8" s="1"/>
  <c r="K122" i="8"/>
  <c r="L122" i="8" s="1"/>
  <c r="N122" i="8" s="1"/>
  <c r="K121" i="8"/>
  <c r="L121" i="8" s="1"/>
  <c r="N121" i="8" s="1"/>
  <c r="K120" i="8"/>
  <c r="L120" i="8" s="1"/>
  <c r="N120" i="8" s="1"/>
  <c r="K119" i="8"/>
  <c r="L119" i="8" s="1"/>
  <c r="N119" i="8" s="1"/>
  <c r="K118" i="8"/>
  <c r="L118" i="8" s="1"/>
  <c r="N118" i="8" s="1"/>
  <c r="K117" i="8"/>
  <c r="L117" i="8" s="1"/>
  <c r="N117" i="8" s="1"/>
  <c r="K116" i="8"/>
  <c r="L116" i="8" s="1"/>
  <c r="N116" i="8" s="1"/>
  <c r="K115" i="8"/>
  <c r="L115" i="8" s="1"/>
  <c r="N115" i="8" s="1"/>
  <c r="K114" i="8"/>
  <c r="L114" i="8" s="1"/>
  <c r="N114" i="8" s="1"/>
  <c r="K113" i="8"/>
  <c r="L113" i="8" s="1"/>
  <c r="N113" i="8" s="1"/>
  <c r="K112" i="8"/>
  <c r="L112" i="8" s="1"/>
  <c r="N112" i="8" s="1"/>
  <c r="P3421" i="16"/>
  <c r="K3420" i="16"/>
  <c r="L3420" i="16" s="1"/>
  <c r="M3420" i="16" s="1"/>
  <c r="O3420" i="16" s="1"/>
  <c r="K3419" i="16"/>
  <c r="L3419" i="16" s="1"/>
  <c r="M3419" i="16" s="1"/>
  <c r="O3419" i="16" s="1"/>
  <c r="K3418" i="16"/>
  <c r="K3417" i="16"/>
  <c r="L3417" i="16" s="1"/>
  <c r="M3417" i="16" s="1"/>
  <c r="O3417" i="16" s="1"/>
  <c r="K3416" i="16"/>
  <c r="L3416" i="16" s="1"/>
  <c r="M3416" i="16" s="1"/>
  <c r="O3416" i="16" s="1"/>
  <c r="K3415" i="16"/>
  <c r="K3414" i="16"/>
  <c r="L3418" i="16"/>
  <c r="M3418" i="16" s="1"/>
  <c r="O3418" i="16" s="1"/>
  <c r="L3415" i="16"/>
  <c r="M3415" i="16" s="1"/>
  <c r="O3415" i="16" s="1"/>
  <c r="L3414" i="16"/>
  <c r="M3414" i="16" s="1"/>
  <c r="O3414" i="16" s="1"/>
  <c r="K3413" i="16"/>
  <c r="L3413" i="16" s="1"/>
  <c r="M3413" i="16" s="1"/>
  <c r="O3413" i="16" s="1"/>
  <c r="I3421" i="16"/>
  <c r="P3410" i="16"/>
  <c r="K3409" i="16"/>
  <c r="L3409" i="16" s="1"/>
  <c r="M3409" i="16" s="1"/>
  <c r="O3409" i="16" s="1"/>
  <c r="K3408" i="16"/>
  <c r="L3408" i="16" s="1"/>
  <c r="M3408" i="16" s="1"/>
  <c r="O3408" i="16" s="1"/>
  <c r="K3407" i="16"/>
  <c r="L3407" i="16" s="1"/>
  <c r="M3407" i="16" s="1"/>
  <c r="O3407" i="16" s="1"/>
  <c r="K3406" i="16"/>
  <c r="L3406" i="16" s="1"/>
  <c r="M3406" i="16" s="1"/>
  <c r="O3406" i="16" s="1"/>
  <c r="K3405" i="16"/>
  <c r="L3405" i="16" s="1"/>
  <c r="M3405" i="16" s="1"/>
  <c r="O3405" i="16" s="1"/>
  <c r="K3404" i="16"/>
  <c r="L3404" i="16" s="1"/>
  <c r="M3404" i="16" s="1"/>
  <c r="O3404" i="16" s="1"/>
  <c r="K3403" i="16"/>
  <c r="L3403" i="16" s="1"/>
  <c r="M3403" i="16" s="1"/>
  <c r="O3403" i="16" s="1"/>
  <c r="K3402" i="16"/>
  <c r="L3402" i="16" s="1"/>
  <c r="M3402" i="16" s="1"/>
  <c r="O3402" i="16" s="1"/>
  <c r="I3410" i="16"/>
  <c r="P3400" i="16"/>
  <c r="L3399" i="16"/>
  <c r="M3399" i="16" s="1"/>
  <c r="O3399" i="16" s="1"/>
  <c r="L3398" i="16"/>
  <c r="M3398" i="16" s="1"/>
  <c r="O3398" i="16" s="1"/>
  <c r="L3397" i="16"/>
  <c r="M3397" i="16" s="1"/>
  <c r="O3397" i="16" s="1"/>
  <c r="L3396" i="16"/>
  <c r="M3396" i="16" s="1"/>
  <c r="O3396" i="16" s="1"/>
  <c r="L3395" i="16"/>
  <c r="M3395" i="16" s="1"/>
  <c r="O3395" i="16" s="1"/>
  <c r="L3394" i="16"/>
  <c r="M3394" i="16" s="1"/>
  <c r="O3394" i="16" s="1"/>
  <c r="L3393" i="16"/>
  <c r="M3393" i="16" s="1"/>
  <c r="O3393" i="16" s="1"/>
  <c r="L3392" i="16"/>
  <c r="M3392" i="16" s="1"/>
  <c r="O3392" i="16" s="1"/>
  <c r="L3391" i="16"/>
  <c r="M3391" i="16" s="1"/>
  <c r="O3391" i="16" s="1"/>
  <c r="L3390" i="16"/>
  <c r="M3390" i="16" s="1"/>
  <c r="O3390" i="16" s="1"/>
  <c r="L3389" i="16"/>
  <c r="M3389" i="16" s="1"/>
  <c r="O3389" i="16" s="1"/>
  <c r="L3388" i="16"/>
  <c r="M3388" i="16" s="1"/>
  <c r="O3388" i="16" s="1"/>
  <c r="L3387" i="16"/>
  <c r="M3387" i="16" s="1"/>
  <c r="O3387" i="16" s="1"/>
  <c r="L3386" i="16"/>
  <c r="M3386" i="16" s="1"/>
  <c r="O3386" i="16" s="1"/>
  <c r="I3400" i="16"/>
  <c r="P3374" i="16"/>
  <c r="I3374" i="16"/>
  <c r="K3373" i="16"/>
  <c r="L3373" i="16" s="1"/>
  <c r="M3373" i="16" s="1"/>
  <c r="O3373" i="16" s="1"/>
  <c r="K3372" i="16"/>
  <c r="L3372" i="16" s="1"/>
  <c r="M3372" i="16" s="1"/>
  <c r="O3372" i="16" s="1"/>
  <c r="K3371" i="16"/>
  <c r="L3371" i="16" s="1"/>
  <c r="M3371" i="16" s="1"/>
  <c r="O3371" i="16" s="1"/>
  <c r="K3370" i="16"/>
  <c r="L3370" i="16" s="1"/>
  <c r="M3370" i="16" s="1"/>
  <c r="O3370" i="16" s="1"/>
  <c r="K3369" i="16"/>
  <c r="L3369" i="16" s="1"/>
  <c r="M3369" i="16" s="1"/>
  <c r="O3369" i="16" s="1"/>
  <c r="K3368" i="16"/>
  <c r="L3368" i="16" s="1"/>
  <c r="M3368" i="16" s="1"/>
  <c r="O3368" i="16" s="1"/>
  <c r="K3367" i="16"/>
  <c r="L3367" i="16" s="1"/>
  <c r="M3367" i="16" s="1"/>
  <c r="O3367" i="16" s="1"/>
  <c r="K3366" i="16"/>
  <c r="L3366" i="16" s="1"/>
  <c r="M3366" i="16" s="1"/>
  <c r="O3366" i="16" s="1"/>
  <c r="K3365" i="16"/>
  <c r="L3365" i="16" s="1"/>
  <c r="M3365" i="16" s="1"/>
  <c r="O3365" i="16" s="1"/>
  <c r="K3364" i="16"/>
  <c r="L3364" i="16" s="1"/>
  <c r="M3364" i="16" s="1"/>
  <c r="O3364" i="16" s="1"/>
  <c r="K3363" i="16"/>
  <c r="L3363" i="16" s="1"/>
  <c r="M3363" i="16" s="1"/>
  <c r="O3363" i="16" s="1"/>
  <c r="K3362" i="16"/>
  <c r="L3362" i="16" s="1"/>
  <c r="M3362" i="16" s="1"/>
  <c r="O3362" i="16" s="1"/>
  <c r="K3361" i="16"/>
  <c r="L3361" i="16" s="1"/>
  <c r="M3361" i="16" s="1"/>
  <c r="O3361" i="16" s="1"/>
  <c r="K3360" i="16"/>
  <c r="L3360" i="16" s="1"/>
  <c r="M3360" i="16" s="1"/>
  <c r="O3360" i="16" s="1"/>
  <c r="K3359" i="16"/>
  <c r="K3358" i="16"/>
  <c r="L3358" i="16" s="1"/>
  <c r="M3358" i="16" s="1"/>
  <c r="O3358" i="16" s="1"/>
  <c r="K3357" i="16"/>
  <c r="L3357" i="16" s="1"/>
  <c r="M3357" i="16" s="1"/>
  <c r="O3357" i="16" s="1"/>
  <c r="M704" i="3"/>
  <c r="C704" i="3" s="1"/>
  <c r="L704" i="3"/>
  <c r="G704" i="3"/>
  <c r="H704" i="3"/>
  <c r="I704" i="3"/>
  <c r="J704" i="3"/>
  <c r="N704" i="3"/>
  <c r="F690" i="3"/>
  <c r="B690" i="3" s="1"/>
  <c r="L684" i="3"/>
  <c r="B684" i="3" s="1"/>
  <c r="K684" i="3"/>
  <c r="F625" i="3"/>
  <c r="G608" i="3"/>
  <c r="C608" i="3" s="1"/>
  <c r="F608" i="3"/>
  <c r="B608" i="3" s="1"/>
  <c r="B674" i="3"/>
  <c r="E546" i="14"/>
  <c r="F546" i="14"/>
  <c r="E542" i="14"/>
  <c r="F542" i="14"/>
  <c r="F300" i="14"/>
  <c r="F437" i="14"/>
  <c r="E437" i="14"/>
  <c r="E240" i="14"/>
  <c r="F240" i="14"/>
  <c r="E485" i="14"/>
  <c r="G113" i="19"/>
  <c r="J113" i="19"/>
  <c r="E537" i="14"/>
  <c r="F537" i="14"/>
  <c r="E532" i="14"/>
  <c r="F532" i="14"/>
  <c r="G342" i="25"/>
  <c r="J341" i="25"/>
  <c r="K341" i="25" s="1"/>
  <c r="M341" i="25" s="1"/>
  <c r="K340" i="25"/>
  <c r="M340" i="25" s="1"/>
  <c r="J340" i="25"/>
  <c r="K339" i="25"/>
  <c r="M339" i="25" s="1"/>
  <c r="J339" i="25"/>
  <c r="J338" i="25"/>
  <c r="K338" i="25" s="1"/>
  <c r="M338" i="25" s="1"/>
  <c r="J337" i="25"/>
  <c r="K337" i="25" s="1"/>
  <c r="M337" i="25" s="1"/>
  <c r="M336" i="25"/>
  <c r="K336" i="25"/>
  <c r="J336" i="25"/>
  <c r="J335" i="25"/>
  <c r="K335" i="25" s="1"/>
  <c r="M335" i="25" s="1"/>
  <c r="J334" i="25"/>
  <c r="K334" i="25" s="1"/>
  <c r="M334" i="25" s="1"/>
  <c r="J333" i="25"/>
  <c r="K333" i="25" s="1"/>
  <c r="M333" i="25" s="1"/>
  <c r="K332" i="25"/>
  <c r="M332" i="25" s="1"/>
  <c r="J332" i="25"/>
  <c r="K331" i="25"/>
  <c r="M331" i="25" s="1"/>
  <c r="J331" i="25"/>
  <c r="J330" i="25"/>
  <c r="K330" i="25" s="1"/>
  <c r="M330" i="25" s="1"/>
  <c r="J329" i="25"/>
  <c r="K329" i="25" s="1"/>
  <c r="M329" i="25" s="1"/>
  <c r="M328" i="25"/>
  <c r="K328" i="25"/>
  <c r="J328" i="25"/>
  <c r="J327" i="25"/>
  <c r="K327" i="25" s="1"/>
  <c r="M327" i="25" s="1"/>
  <c r="J326" i="25"/>
  <c r="K326" i="25" s="1"/>
  <c r="M326" i="25" s="1"/>
  <c r="J325" i="25"/>
  <c r="K325" i="25" s="1"/>
  <c r="M325" i="25" s="1"/>
  <c r="K324" i="25"/>
  <c r="M324" i="25" s="1"/>
  <c r="J324" i="25"/>
  <c r="G672" i="3"/>
  <c r="C672" i="3" s="1"/>
  <c r="H672" i="3"/>
  <c r="I672" i="3"/>
  <c r="J672" i="3"/>
  <c r="K672" i="3"/>
  <c r="L672" i="3"/>
  <c r="F672" i="3"/>
  <c r="K3356" i="16"/>
  <c r="L3356" i="16" s="1"/>
  <c r="M3356" i="16" s="1"/>
  <c r="O3356" i="16" s="1"/>
  <c r="J3192" i="16"/>
  <c r="K3192" i="16" s="1"/>
  <c r="L3192" i="16" s="1"/>
  <c r="N3192" i="16" s="1"/>
  <c r="J3191" i="16"/>
  <c r="K3191" i="16" s="1"/>
  <c r="L3191" i="16" s="1"/>
  <c r="N3191" i="16" s="1"/>
  <c r="J3190" i="16"/>
  <c r="K3190" i="16" s="1"/>
  <c r="L3190" i="16" s="1"/>
  <c r="N3190" i="16" s="1"/>
  <c r="J3189" i="16"/>
  <c r="K3189" i="16" s="1"/>
  <c r="L3189" i="16" s="1"/>
  <c r="N3189" i="16" s="1"/>
  <c r="J3188" i="16"/>
  <c r="K3188" i="16" s="1"/>
  <c r="L3188" i="16" s="1"/>
  <c r="N3188" i="16" s="1"/>
  <c r="J3187" i="16"/>
  <c r="K3187" i="16" s="1"/>
  <c r="L3187" i="16" s="1"/>
  <c r="N3187" i="16" s="1"/>
  <c r="J3186" i="16"/>
  <c r="K3186" i="16" s="1"/>
  <c r="L3186" i="16" s="1"/>
  <c r="N3186" i="16" s="1"/>
  <c r="J3185" i="16"/>
  <c r="K3185" i="16" s="1"/>
  <c r="L3185" i="16" s="1"/>
  <c r="N3185" i="16" s="1"/>
  <c r="J3184" i="16"/>
  <c r="K3184" i="16" s="1"/>
  <c r="L3184" i="16" s="1"/>
  <c r="N3184" i="16" s="1"/>
  <c r="J3183" i="16"/>
  <c r="K3183" i="16" s="1"/>
  <c r="L3183" i="16" s="1"/>
  <c r="N3183" i="16" s="1"/>
  <c r="J3182" i="16"/>
  <c r="K3182" i="16" s="1"/>
  <c r="L3182" i="16" s="1"/>
  <c r="N3182" i="16" s="1"/>
  <c r="J3181" i="16"/>
  <c r="K3181" i="16" s="1"/>
  <c r="L3181" i="16" s="1"/>
  <c r="N3181" i="16" s="1"/>
  <c r="J3180" i="16"/>
  <c r="K3180" i="16" s="1"/>
  <c r="L3180" i="16" s="1"/>
  <c r="N3180" i="16" s="1"/>
  <c r="J3179" i="16"/>
  <c r="K3179" i="16" s="1"/>
  <c r="L3179" i="16" s="1"/>
  <c r="N3179" i="16" s="1"/>
  <c r="J3178" i="16"/>
  <c r="K3178" i="16" s="1"/>
  <c r="L3178" i="16" s="1"/>
  <c r="N3178" i="16" s="1"/>
  <c r="J3177" i="16"/>
  <c r="K3177" i="16" s="1"/>
  <c r="L3177" i="16" s="1"/>
  <c r="N3177" i="16" s="1"/>
  <c r="J3176" i="16"/>
  <c r="K3176" i="16" s="1"/>
  <c r="L3176" i="16" s="1"/>
  <c r="N3176" i="16" s="1"/>
  <c r="J3175" i="16"/>
  <c r="K3175" i="16" s="1"/>
  <c r="L3175" i="16" s="1"/>
  <c r="N3175" i="16" s="1"/>
  <c r="J3174" i="16"/>
  <c r="K3174" i="16" s="1"/>
  <c r="L3174" i="16" s="1"/>
  <c r="N3174" i="16" s="1"/>
  <c r="J3173" i="16"/>
  <c r="K3173" i="16" s="1"/>
  <c r="L3173" i="16" s="1"/>
  <c r="N3173" i="16" s="1"/>
  <c r="J3172" i="16"/>
  <c r="K3172" i="16" s="1"/>
  <c r="L3172" i="16" s="1"/>
  <c r="N3172" i="16" s="1"/>
  <c r="J3171" i="16"/>
  <c r="K3171" i="16" s="1"/>
  <c r="L3171" i="16" s="1"/>
  <c r="N3171" i="16" s="1"/>
  <c r="J3170" i="16"/>
  <c r="K3170" i="16" s="1"/>
  <c r="L3170" i="16" s="1"/>
  <c r="N3170" i="16" s="1"/>
  <c r="J3169" i="16"/>
  <c r="K3169" i="16" s="1"/>
  <c r="L3169" i="16" s="1"/>
  <c r="N3169" i="16" s="1"/>
  <c r="J3168" i="16"/>
  <c r="K3168" i="16" s="1"/>
  <c r="L3168" i="16" s="1"/>
  <c r="N3168" i="16" s="1"/>
  <c r="J3167" i="16"/>
  <c r="K3167" i="16" s="1"/>
  <c r="L3167" i="16" s="1"/>
  <c r="N3167" i="16" s="1"/>
  <c r="J3166" i="16"/>
  <c r="K3166" i="16" s="1"/>
  <c r="L3166" i="16" s="1"/>
  <c r="N3166" i="16" s="1"/>
  <c r="J3165" i="16"/>
  <c r="K3165" i="16" s="1"/>
  <c r="L3165" i="16" s="1"/>
  <c r="N3165" i="16" s="1"/>
  <c r="J3164" i="16"/>
  <c r="K3164" i="16" s="1"/>
  <c r="L3164" i="16" s="1"/>
  <c r="N3164" i="16" s="1"/>
  <c r="J3163" i="16"/>
  <c r="K3163" i="16" s="1"/>
  <c r="L3163" i="16" s="1"/>
  <c r="N3163" i="16" s="1"/>
  <c r="J3162" i="16"/>
  <c r="K3162" i="16" s="1"/>
  <c r="L3162" i="16" s="1"/>
  <c r="N3162" i="16" s="1"/>
  <c r="J3161" i="16"/>
  <c r="K3161" i="16" s="1"/>
  <c r="L3161" i="16" s="1"/>
  <c r="N3161" i="16" s="1"/>
  <c r="J3160" i="16"/>
  <c r="K3160" i="16" s="1"/>
  <c r="L3160" i="16" s="1"/>
  <c r="N3160" i="16" s="1"/>
  <c r="J3159" i="16"/>
  <c r="K3159" i="16" s="1"/>
  <c r="L3159" i="16" s="1"/>
  <c r="N3159" i="16" s="1"/>
  <c r="J3158" i="16"/>
  <c r="K3158" i="16" s="1"/>
  <c r="L3158" i="16" s="1"/>
  <c r="N3158" i="16" s="1"/>
  <c r="J3157" i="16"/>
  <c r="K3157" i="16" s="1"/>
  <c r="L3157" i="16" s="1"/>
  <c r="N3157" i="16" s="1"/>
  <c r="J3156" i="16"/>
  <c r="K3156" i="16" s="1"/>
  <c r="L3156" i="16" s="1"/>
  <c r="N3156" i="16" s="1"/>
  <c r="J3155" i="16"/>
  <c r="K3155" i="16" s="1"/>
  <c r="L3155" i="16" s="1"/>
  <c r="N3155" i="16" s="1"/>
  <c r="J3154" i="16"/>
  <c r="K3154" i="16" s="1"/>
  <c r="L3154" i="16" s="1"/>
  <c r="N3154" i="16" s="1"/>
  <c r="J3153" i="16"/>
  <c r="K3153" i="16" s="1"/>
  <c r="L3153" i="16" s="1"/>
  <c r="N3153" i="16" s="1"/>
  <c r="J3152" i="16"/>
  <c r="K3152" i="16" s="1"/>
  <c r="L3152" i="16" s="1"/>
  <c r="N3152" i="16" s="1"/>
  <c r="J3151" i="16"/>
  <c r="K3151" i="16" s="1"/>
  <c r="L3151" i="16" s="1"/>
  <c r="N3151" i="16" s="1"/>
  <c r="J3150" i="16"/>
  <c r="K3150" i="16" s="1"/>
  <c r="L3150" i="16" s="1"/>
  <c r="N3150" i="16" s="1"/>
  <c r="J3149" i="16"/>
  <c r="K3149" i="16" s="1"/>
  <c r="L3149" i="16" s="1"/>
  <c r="N3149" i="16" s="1"/>
  <c r="J3148" i="16"/>
  <c r="K3148" i="16" s="1"/>
  <c r="L3148" i="16" s="1"/>
  <c r="N3148" i="16" s="1"/>
  <c r="L3259" i="16"/>
  <c r="M3259" i="16" s="1"/>
  <c r="O3259" i="16" s="1"/>
  <c r="L3250" i="16"/>
  <c r="M3250" i="16" s="1"/>
  <c r="O3250" i="16" s="1"/>
  <c r="L3244" i="16"/>
  <c r="M3244" i="16" s="1"/>
  <c r="O3244" i="16" s="1"/>
  <c r="K172" i="23"/>
  <c r="L172" i="23" s="1"/>
  <c r="N172" i="23" s="1"/>
  <c r="K162" i="23"/>
  <c r="L162" i="23" s="1"/>
  <c r="N162" i="23" s="1"/>
  <c r="K155" i="23"/>
  <c r="L155" i="23" s="1"/>
  <c r="N155" i="23" s="1"/>
  <c r="G644" i="3"/>
  <c r="H644" i="3"/>
  <c r="I644" i="3"/>
  <c r="J644" i="3"/>
  <c r="K644" i="3"/>
  <c r="F644" i="3"/>
  <c r="F630" i="3"/>
  <c r="B630" i="3" s="1"/>
  <c r="G625" i="3"/>
  <c r="C625" i="3" s="1"/>
  <c r="H625" i="3"/>
  <c r="I625" i="3"/>
  <c r="J625" i="3"/>
  <c r="K625" i="3"/>
  <c r="L625" i="3"/>
  <c r="G590" i="3"/>
  <c r="H590" i="3"/>
  <c r="I590" i="3"/>
  <c r="J590" i="3"/>
  <c r="K590" i="3"/>
  <c r="L590" i="3"/>
  <c r="M590" i="3"/>
  <c r="N590" i="3"/>
  <c r="F590" i="3"/>
  <c r="F569" i="3"/>
  <c r="F557" i="3"/>
  <c r="F552" i="3"/>
  <c r="F544" i="3"/>
  <c r="F525" i="3"/>
  <c r="F516" i="3"/>
  <c r="B516" i="3" s="1"/>
  <c r="F500" i="3"/>
  <c r="B500" i="3" s="1"/>
  <c r="F463" i="3"/>
  <c r="G458" i="3"/>
  <c r="H458" i="3"/>
  <c r="I458" i="3"/>
  <c r="F458" i="3"/>
  <c r="G451" i="3"/>
  <c r="C451" i="3" s="1"/>
  <c r="H451" i="3"/>
  <c r="I451" i="3"/>
  <c r="J451" i="3"/>
  <c r="K451" i="3"/>
  <c r="L451" i="3"/>
  <c r="F451" i="3"/>
  <c r="G397" i="3"/>
  <c r="H397" i="3"/>
  <c r="I397" i="3"/>
  <c r="J397" i="3"/>
  <c r="K397" i="3"/>
  <c r="L397" i="3"/>
  <c r="M397" i="3"/>
  <c r="N397" i="3"/>
  <c r="F397" i="3"/>
  <c r="J390" i="3"/>
  <c r="K390" i="3"/>
  <c r="L390" i="3"/>
  <c r="M390" i="3"/>
  <c r="N390" i="3"/>
  <c r="I390" i="3"/>
  <c r="L209" i="4"/>
  <c r="L223" i="4" s="1"/>
  <c r="K184" i="4"/>
  <c r="K223" i="4"/>
  <c r="L444" i="3"/>
  <c r="L569" i="3"/>
  <c r="K569" i="3"/>
  <c r="K167" i="23"/>
  <c r="L167" i="23" s="1"/>
  <c r="N167" i="23" s="1"/>
  <c r="K161" i="23"/>
  <c r="L161" i="23" s="1"/>
  <c r="N161" i="23" s="1"/>
  <c r="K154" i="23"/>
  <c r="L154" i="23" s="1"/>
  <c r="N154" i="23" s="1"/>
  <c r="K171" i="23"/>
  <c r="L171" i="23" s="1"/>
  <c r="N171" i="23" s="1"/>
  <c r="K170" i="23"/>
  <c r="L170" i="23" s="1"/>
  <c r="N170" i="23" s="1"/>
  <c r="K169" i="23"/>
  <c r="L169" i="23" s="1"/>
  <c r="N169" i="23" s="1"/>
  <c r="K168" i="23"/>
  <c r="L168" i="23" s="1"/>
  <c r="N168" i="23" s="1"/>
  <c r="K166" i="23"/>
  <c r="L166" i="23" s="1"/>
  <c r="N166" i="23" s="1"/>
  <c r="K165" i="23"/>
  <c r="L165" i="23" s="1"/>
  <c r="N165" i="23" s="1"/>
  <c r="K164" i="23"/>
  <c r="L164" i="23" s="1"/>
  <c r="N164" i="23" s="1"/>
  <c r="K163" i="23"/>
  <c r="L163" i="23" s="1"/>
  <c r="N163" i="23" s="1"/>
  <c r="K160" i="23"/>
  <c r="L160" i="23" s="1"/>
  <c r="N160" i="23" s="1"/>
  <c r="K159" i="23"/>
  <c r="L159" i="23" s="1"/>
  <c r="N159" i="23" s="1"/>
  <c r="K158" i="23"/>
  <c r="L158" i="23" s="1"/>
  <c r="N158" i="23" s="1"/>
  <c r="K157" i="23"/>
  <c r="L157" i="23" s="1"/>
  <c r="N157" i="23" s="1"/>
  <c r="K156" i="23"/>
  <c r="L156" i="23" s="1"/>
  <c r="N156" i="23" s="1"/>
  <c r="K153" i="23"/>
  <c r="L153" i="23" s="1"/>
  <c r="N153" i="23" s="1"/>
  <c r="K152" i="23"/>
  <c r="L152" i="23" s="1"/>
  <c r="N152" i="23" s="1"/>
  <c r="K151" i="23"/>
  <c r="L151" i="23" s="1"/>
  <c r="N151" i="23" s="1"/>
  <c r="K150" i="23"/>
  <c r="L150" i="23" s="1"/>
  <c r="N150" i="23" s="1"/>
  <c r="K149" i="23"/>
  <c r="L149" i="23" s="1"/>
  <c r="N149" i="23" s="1"/>
  <c r="K101" i="23"/>
  <c r="L101" i="23" s="1"/>
  <c r="O101" i="23" s="1"/>
  <c r="K100" i="23"/>
  <c r="L100" i="23" s="1"/>
  <c r="O100" i="23" s="1"/>
  <c r="K99" i="23"/>
  <c r="L99" i="23" s="1"/>
  <c r="O99" i="23" s="1"/>
  <c r="K98" i="23"/>
  <c r="L98" i="23" s="1"/>
  <c r="O98" i="23" s="1"/>
  <c r="K97" i="23"/>
  <c r="L97" i="23" s="1"/>
  <c r="O97" i="23" s="1"/>
  <c r="K96" i="23"/>
  <c r="L96" i="23" s="1"/>
  <c r="O96" i="23" s="1"/>
  <c r="K95" i="23"/>
  <c r="L95" i="23" s="1"/>
  <c r="O95" i="23" s="1"/>
  <c r="K94" i="23"/>
  <c r="L94" i="23" s="1"/>
  <c r="O94" i="23" s="1"/>
  <c r="K93" i="23"/>
  <c r="L93" i="23" s="1"/>
  <c r="O93" i="23" s="1"/>
  <c r="K92" i="23"/>
  <c r="L92" i="23" s="1"/>
  <c r="O92" i="23" s="1"/>
  <c r="K91" i="23"/>
  <c r="L91" i="23" s="1"/>
  <c r="O91" i="23" s="1"/>
  <c r="K90" i="23"/>
  <c r="L90" i="23" s="1"/>
  <c r="O90" i="23" s="1"/>
  <c r="K89" i="23"/>
  <c r="L89" i="23" s="1"/>
  <c r="O89" i="23" s="1"/>
  <c r="K88" i="23"/>
  <c r="L88" i="23" s="1"/>
  <c r="O88" i="23" s="1"/>
  <c r="K87" i="23"/>
  <c r="L87" i="23" s="1"/>
  <c r="O87" i="23" s="1"/>
  <c r="K86" i="23"/>
  <c r="L86" i="23" s="1"/>
  <c r="O86" i="23" s="1"/>
  <c r="K85" i="23"/>
  <c r="L85" i="23" s="1"/>
  <c r="O85" i="23" s="1"/>
  <c r="K84" i="23"/>
  <c r="L84" i="23" s="1"/>
  <c r="O84" i="23" s="1"/>
  <c r="K83" i="23"/>
  <c r="L83" i="23" s="1"/>
  <c r="O83" i="23" s="1"/>
  <c r="K82" i="23"/>
  <c r="L82" i="23" s="1"/>
  <c r="O82" i="23" s="1"/>
  <c r="K81" i="23"/>
  <c r="L81" i="23" s="1"/>
  <c r="O81" i="23" s="1"/>
  <c r="K80" i="23"/>
  <c r="L80" i="23" s="1"/>
  <c r="O80" i="23" s="1"/>
  <c r="K79" i="23"/>
  <c r="L79" i="23" s="1"/>
  <c r="O79" i="23" s="1"/>
  <c r="K78" i="23"/>
  <c r="L78" i="23" s="1"/>
  <c r="O78" i="23" s="1"/>
  <c r="K77" i="23"/>
  <c r="L77" i="23" s="1"/>
  <c r="O77" i="23" s="1"/>
  <c r="K76" i="23"/>
  <c r="L76" i="23" s="1"/>
  <c r="O76" i="23" s="1"/>
  <c r="K75" i="23"/>
  <c r="L75" i="23" s="1"/>
  <c r="O75" i="23" s="1"/>
  <c r="K74" i="23"/>
  <c r="L74" i="23" s="1"/>
  <c r="O74" i="23" s="1"/>
  <c r="K73" i="23"/>
  <c r="L73" i="23" s="1"/>
  <c r="O73" i="23" s="1"/>
  <c r="K72" i="23"/>
  <c r="L72" i="23" s="1"/>
  <c r="O72" i="23" s="1"/>
  <c r="K71" i="23"/>
  <c r="L71" i="23" s="1"/>
  <c r="O71" i="23" s="1"/>
  <c r="K70" i="23"/>
  <c r="L70" i="23" s="1"/>
  <c r="O70" i="23" s="1"/>
  <c r="K69" i="23"/>
  <c r="L69" i="23" s="1"/>
  <c r="O69" i="23" s="1"/>
  <c r="K68" i="23"/>
  <c r="L68" i="23" s="1"/>
  <c r="O68" i="23" s="1"/>
  <c r="K67" i="23"/>
  <c r="L67" i="23" s="1"/>
  <c r="O67" i="23" s="1"/>
  <c r="K66" i="23"/>
  <c r="L66" i="23" s="1"/>
  <c r="O66" i="23" s="1"/>
  <c r="K65" i="23"/>
  <c r="L65" i="23" s="1"/>
  <c r="O65" i="23" s="1"/>
  <c r="K64" i="23"/>
  <c r="L64" i="23" s="1"/>
  <c r="O64" i="23" s="1"/>
  <c r="K63" i="23"/>
  <c r="L63" i="23" s="1"/>
  <c r="O63" i="23" s="1"/>
  <c r="K62" i="23"/>
  <c r="L62" i="23" s="1"/>
  <c r="O62" i="23" s="1"/>
  <c r="K61" i="23"/>
  <c r="L61" i="23" s="1"/>
  <c r="O61" i="23" s="1"/>
  <c r="K60" i="23"/>
  <c r="L60" i="23" s="1"/>
  <c r="O60" i="23" s="1"/>
  <c r="K59" i="23"/>
  <c r="L59" i="23" s="1"/>
  <c r="O59" i="23" s="1"/>
  <c r="K58" i="23"/>
  <c r="L58" i="23" s="1"/>
  <c r="O58" i="23" s="1"/>
  <c r="K57" i="23"/>
  <c r="L57" i="23" s="1"/>
  <c r="O57" i="23" s="1"/>
  <c r="L3258" i="16"/>
  <c r="M3258" i="16" s="1"/>
  <c r="O3258" i="16" s="1"/>
  <c r="L3257" i="16"/>
  <c r="M3257" i="16" s="1"/>
  <c r="O3257" i="16" s="1"/>
  <c r="L3256" i="16"/>
  <c r="M3256" i="16" s="1"/>
  <c r="O3256" i="16" s="1"/>
  <c r="L3255" i="16"/>
  <c r="M3255" i="16" s="1"/>
  <c r="O3255" i="16" s="1"/>
  <c r="L3254" i="16"/>
  <c r="M3254" i="16" s="1"/>
  <c r="O3254" i="16" s="1"/>
  <c r="L3253" i="16"/>
  <c r="M3253" i="16" s="1"/>
  <c r="O3253" i="16" s="1"/>
  <c r="L3252" i="16"/>
  <c r="M3252" i="16" s="1"/>
  <c r="O3252" i="16" s="1"/>
  <c r="L3251" i="16"/>
  <c r="M3251" i="16" s="1"/>
  <c r="O3251" i="16" s="1"/>
  <c r="L3249" i="16"/>
  <c r="M3249" i="16" s="1"/>
  <c r="O3249" i="16" s="1"/>
  <c r="L3248" i="16"/>
  <c r="M3248" i="16" s="1"/>
  <c r="O3248" i="16" s="1"/>
  <c r="L3247" i="16"/>
  <c r="M3247" i="16" s="1"/>
  <c r="O3247" i="16" s="1"/>
  <c r="L3246" i="16"/>
  <c r="M3246" i="16" s="1"/>
  <c r="O3246" i="16" s="1"/>
  <c r="L3245" i="16"/>
  <c r="M3245" i="16" s="1"/>
  <c r="O3245" i="16" s="1"/>
  <c r="L3243" i="16"/>
  <c r="M3243" i="16" s="1"/>
  <c r="O3243" i="16" s="1"/>
  <c r="L3242" i="16"/>
  <c r="M3242" i="16" s="1"/>
  <c r="O3242" i="16" s="1"/>
  <c r="L3241" i="16"/>
  <c r="M3241" i="16" s="1"/>
  <c r="O3241" i="16" s="1"/>
  <c r="L3240" i="16"/>
  <c r="M3240" i="16" s="1"/>
  <c r="O3240" i="16" s="1"/>
  <c r="L3239" i="16"/>
  <c r="M3239" i="16" s="1"/>
  <c r="O3239" i="16" s="1"/>
  <c r="L3238" i="16"/>
  <c r="M3238" i="16" s="1"/>
  <c r="O3238" i="16" s="1"/>
  <c r="L3237" i="16"/>
  <c r="M3237" i="16" s="1"/>
  <c r="O3237" i="16" s="1"/>
  <c r="L3236" i="16"/>
  <c r="M3236" i="16" s="1"/>
  <c r="O3236" i="16" s="1"/>
  <c r="L3235" i="16"/>
  <c r="M3235" i="16" s="1"/>
  <c r="O3235" i="16" s="1"/>
  <c r="L3234" i="16"/>
  <c r="M3234" i="16" s="1"/>
  <c r="O3234" i="16" s="1"/>
  <c r="L3233" i="16"/>
  <c r="M3233" i="16" s="1"/>
  <c r="O3233" i="16" s="1"/>
  <c r="L3232" i="16"/>
  <c r="M3232" i="16" s="1"/>
  <c r="O3232" i="16" s="1"/>
  <c r="L3231" i="16"/>
  <c r="M3231" i="16" s="1"/>
  <c r="O3231" i="16" s="1"/>
  <c r="L3230" i="16"/>
  <c r="M3230" i="16" s="1"/>
  <c r="O3230" i="16" s="1"/>
  <c r="L3229" i="16"/>
  <c r="M3229" i="16" s="1"/>
  <c r="O3229" i="16" s="1"/>
  <c r="L3228" i="16"/>
  <c r="M3228" i="16" s="1"/>
  <c r="O3228" i="16" s="1"/>
  <c r="L3227" i="16"/>
  <c r="M3227" i="16" s="1"/>
  <c r="O3227" i="16" s="1"/>
  <c r="L3226" i="16"/>
  <c r="M3226" i="16" s="1"/>
  <c r="O3226" i="16" s="1"/>
  <c r="L3225" i="16"/>
  <c r="M3225" i="16" s="1"/>
  <c r="O3225" i="16" s="1"/>
  <c r="L3224" i="16"/>
  <c r="M3224" i="16" s="1"/>
  <c r="O3224" i="16" s="1"/>
  <c r="L3223" i="16"/>
  <c r="M3223" i="16" s="1"/>
  <c r="O3223" i="16" s="1"/>
  <c r="L3222" i="16"/>
  <c r="M3222" i="16" s="1"/>
  <c r="O3222" i="16" s="1"/>
  <c r="L3221" i="16"/>
  <c r="M3221" i="16" s="1"/>
  <c r="O3221" i="16" s="1"/>
  <c r="L3220" i="16"/>
  <c r="M3220" i="16" s="1"/>
  <c r="O3220" i="16" s="1"/>
  <c r="L3219" i="16"/>
  <c r="M3219" i="16" s="1"/>
  <c r="O3219" i="16" s="1"/>
  <c r="L3218" i="16"/>
  <c r="M3218" i="16" s="1"/>
  <c r="O3218" i="16" s="1"/>
  <c r="L3217" i="16"/>
  <c r="M3217" i="16" s="1"/>
  <c r="O3217" i="16" s="1"/>
  <c r="L3216" i="16"/>
  <c r="M3216" i="16" s="1"/>
  <c r="O3216" i="16" s="1"/>
  <c r="L3215" i="16"/>
  <c r="M3215" i="16" s="1"/>
  <c r="O3215" i="16" s="1"/>
  <c r="L3214" i="16"/>
  <c r="M3214" i="16" s="1"/>
  <c r="O3214" i="16" s="1"/>
  <c r="L3213" i="16"/>
  <c r="M3213" i="16" s="1"/>
  <c r="O3213" i="16" s="1"/>
  <c r="L3212" i="16"/>
  <c r="M3212" i="16" s="1"/>
  <c r="O3212" i="16" s="1"/>
  <c r="L3211" i="16"/>
  <c r="M3211" i="16" s="1"/>
  <c r="O3211" i="16" s="1"/>
  <c r="L3210" i="16"/>
  <c r="M3210" i="16" s="1"/>
  <c r="O3210" i="16" s="1"/>
  <c r="L3209" i="16"/>
  <c r="M3209" i="16" s="1"/>
  <c r="O3209" i="16" s="1"/>
  <c r="L3208" i="16"/>
  <c r="M3208" i="16" s="1"/>
  <c r="O3208" i="16" s="1"/>
  <c r="L3207" i="16"/>
  <c r="M3207" i="16" s="1"/>
  <c r="O3207" i="16" s="1"/>
  <c r="L3206" i="16"/>
  <c r="M3206" i="16" s="1"/>
  <c r="O3206" i="16" s="1"/>
  <c r="L3205" i="16"/>
  <c r="M3205" i="16" s="1"/>
  <c r="O3205" i="16" s="1"/>
  <c r="L3204" i="16"/>
  <c r="M3204" i="16" s="1"/>
  <c r="O3204" i="16" s="1"/>
  <c r="L3203" i="16"/>
  <c r="M3203" i="16" s="1"/>
  <c r="O3203" i="16" s="1"/>
  <c r="L3202" i="16"/>
  <c r="M3202" i="16" s="1"/>
  <c r="O3202" i="16" s="1"/>
  <c r="L3201" i="16"/>
  <c r="M3201" i="16" s="1"/>
  <c r="O3201" i="16" s="1"/>
  <c r="L3200" i="16"/>
  <c r="M3200" i="16" s="1"/>
  <c r="O3200" i="16" s="1"/>
  <c r="L3199" i="16"/>
  <c r="M3199" i="16" s="1"/>
  <c r="O3199" i="16" s="1"/>
  <c r="L3198" i="16"/>
  <c r="M3198" i="16" s="1"/>
  <c r="O3198" i="16" s="1"/>
  <c r="L3197" i="16"/>
  <c r="M3197" i="16" s="1"/>
  <c r="O3197" i="16" s="1"/>
  <c r="L3196" i="16"/>
  <c r="M3196" i="16" s="1"/>
  <c r="O3196" i="16" s="1"/>
  <c r="L3195" i="16"/>
  <c r="M3195" i="16" s="1"/>
  <c r="O3195" i="16" s="1"/>
  <c r="L3194" i="16"/>
  <c r="M3194" i="16" s="1"/>
  <c r="O3194" i="16" s="1"/>
  <c r="F560" i="3"/>
  <c r="B560" i="3" s="1"/>
  <c r="L3146" i="16"/>
  <c r="M3146" i="16" s="1"/>
  <c r="O3146" i="16" s="1"/>
  <c r="L3145" i="16"/>
  <c r="M3145" i="16" s="1"/>
  <c r="O3145" i="16" s="1"/>
  <c r="L3144" i="16"/>
  <c r="M3144" i="16" s="1"/>
  <c r="O3144" i="16" s="1"/>
  <c r="L3142" i="16"/>
  <c r="M3142" i="16" s="1"/>
  <c r="O3142" i="16" s="1"/>
  <c r="L3141" i="16"/>
  <c r="M3141" i="16" s="1"/>
  <c r="O3141" i="16" s="1"/>
  <c r="L3140" i="16"/>
  <c r="M3140" i="16" s="1"/>
  <c r="O3140" i="16" s="1"/>
  <c r="L3139" i="16"/>
  <c r="M3139" i="16" s="1"/>
  <c r="O3139" i="16" s="1"/>
  <c r="L3143" i="16"/>
  <c r="M3143" i="16" s="1"/>
  <c r="O3143" i="16" s="1"/>
  <c r="L557" i="3"/>
  <c r="L165" i="4"/>
  <c r="E526" i="14"/>
  <c r="F526" i="14"/>
  <c r="E522" i="14"/>
  <c r="F522" i="14"/>
  <c r="K140" i="4"/>
  <c r="G544" i="3"/>
  <c r="H544" i="3"/>
  <c r="I544" i="3"/>
  <c r="J544" i="3"/>
  <c r="K544" i="3"/>
  <c r="L544" i="3"/>
  <c r="K107" i="8"/>
  <c r="L107" i="8" s="1"/>
  <c r="M107" i="8" s="1"/>
  <c r="K106" i="8"/>
  <c r="L106" i="8" s="1"/>
  <c r="M106" i="8" s="1"/>
  <c r="K105" i="8"/>
  <c r="L105" i="8" s="1"/>
  <c r="M105" i="8" s="1"/>
  <c r="K104" i="8"/>
  <c r="L104" i="8" s="1"/>
  <c r="M104" i="8" s="1"/>
  <c r="K769" i="8"/>
  <c r="L769" i="8" s="1"/>
  <c r="N769" i="8" s="1"/>
  <c r="K768" i="8"/>
  <c r="L768" i="8" s="1"/>
  <c r="N768" i="8" s="1"/>
  <c r="K767" i="8"/>
  <c r="L767" i="8" s="1"/>
  <c r="N767" i="8" s="1"/>
  <c r="K766" i="8"/>
  <c r="L766" i="8" s="1"/>
  <c r="N766" i="8" s="1"/>
  <c r="F448" i="14"/>
  <c r="F535" i="3"/>
  <c r="B535" i="3" s="1"/>
  <c r="M190" i="25"/>
  <c r="J190" i="25"/>
  <c r="K190" i="25" s="1"/>
  <c r="M189" i="25"/>
  <c r="J189" i="25"/>
  <c r="K189" i="25" s="1"/>
  <c r="M188" i="25"/>
  <c r="J188" i="25"/>
  <c r="K188" i="25" s="1"/>
  <c r="M187" i="25"/>
  <c r="J187" i="25"/>
  <c r="K187" i="25" s="1"/>
  <c r="M186" i="25"/>
  <c r="J186" i="25"/>
  <c r="K186" i="25" s="1"/>
  <c r="M185" i="25"/>
  <c r="J185" i="25"/>
  <c r="K185" i="25" s="1"/>
  <c r="M184" i="25"/>
  <c r="J184" i="25"/>
  <c r="K184" i="25" s="1"/>
  <c r="M183" i="25"/>
  <c r="J183" i="25"/>
  <c r="K183" i="25" s="1"/>
  <c r="M182" i="25"/>
  <c r="J182" i="25"/>
  <c r="K182" i="25" s="1"/>
  <c r="M181" i="25"/>
  <c r="J181" i="25"/>
  <c r="K181" i="25" s="1"/>
  <c r="M180" i="25"/>
  <c r="J180" i="25"/>
  <c r="K180" i="25" s="1"/>
  <c r="M179" i="25"/>
  <c r="J179" i="25"/>
  <c r="K179" i="25" s="1"/>
  <c r="M178" i="25"/>
  <c r="J178" i="25"/>
  <c r="K178" i="25" s="1"/>
  <c r="M177" i="25"/>
  <c r="J177" i="25"/>
  <c r="K177" i="25" s="1"/>
  <c r="M176" i="25"/>
  <c r="J176" i="25"/>
  <c r="K176" i="25" s="1"/>
  <c r="M175" i="25"/>
  <c r="J175" i="25"/>
  <c r="K175" i="25" s="1"/>
  <c r="M174" i="25"/>
  <c r="J174" i="25"/>
  <c r="K174" i="25" s="1"/>
  <c r="M173" i="25"/>
  <c r="J173" i="25"/>
  <c r="K173" i="25" s="1"/>
  <c r="M172" i="25"/>
  <c r="J172" i="25"/>
  <c r="K172" i="25" s="1"/>
  <c r="M171" i="25"/>
  <c r="J171" i="25"/>
  <c r="K171" i="25" s="1"/>
  <c r="M170" i="25"/>
  <c r="J170" i="25"/>
  <c r="K170" i="25" s="1"/>
  <c r="M169" i="25"/>
  <c r="J169" i="25"/>
  <c r="K169" i="25" s="1"/>
  <c r="M168" i="25"/>
  <c r="J168" i="25"/>
  <c r="K168" i="25" s="1"/>
  <c r="M167" i="25"/>
  <c r="J167" i="25"/>
  <c r="K167" i="25" s="1"/>
  <c r="M166" i="25"/>
  <c r="J166" i="25"/>
  <c r="K166" i="25" s="1"/>
  <c r="M165" i="25"/>
  <c r="J165" i="25"/>
  <c r="K165" i="25" s="1"/>
  <c r="M164" i="25"/>
  <c r="J164" i="25"/>
  <c r="K164" i="25" s="1"/>
  <c r="M163" i="25"/>
  <c r="J163" i="25"/>
  <c r="K163" i="25" s="1"/>
  <c r="M162" i="25"/>
  <c r="J162" i="25"/>
  <c r="K162" i="25" s="1"/>
  <c r="M161" i="25"/>
  <c r="J161" i="25"/>
  <c r="K161" i="25" s="1"/>
  <c r="F108" i="19"/>
  <c r="G108" i="19"/>
  <c r="H108" i="19"/>
  <c r="F351" i="14"/>
  <c r="F104" i="19"/>
  <c r="G104" i="19"/>
  <c r="H104" i="19"/>
  <c r="N24" i="18"/>
  <c r="N25" i="18"/>
  <c r="G530" i="3"/>
  <c r="H530" i="3"/>
  <c r="I530" i="3"/>
  <c r="F530" i="3"/>
  <c r="L525" i="3"/>
  <c r="F489" i="3"/>
  <c r="B489" i="3" s="1"/>
  <c r="F359" i="14"/>
  <c r="E359" i="14"/>
  <c r="F493" i="3"/>
  <c r="B493" i="3" s="1"/>
  <c r="K138" i="4"/>
  <c r="I322" i="25"/>
  <c r="J322" i="25" s="1"/>
  <c r="K322" i="25" s="1"/>
  <c r="M322" i="25" s="1"/>
  <c r="I321" i="25"/>
  <c r="J321" i="25" s="1"/>
  <c r="K321" i="25" s="1"/>
  <c r="M321" i="25" s="1"/>
  <c r="I320" i="25"/>
  <c r="J320" i="25" s="1"/>
  <c r="K320" i="25" s="1"/>
  <c r="M320" i="25" s="1"/>
  <c r="I319" i="25"/>
  <c r="J319" i="25" s="1"/>
  <c r="K319" i="25" s="1"/>
  <c r="M319" i="25" s="1"/>
  <c r="I318" i="25"/>
  <c r="J318" i="25" s="1"/>
  <c r="K318" i="25" s="1"/>
  <c r="M318" i="25" s="1"/>
  <c r="I317" i="25"/>
  <c r="J317" i="25" s="1"/>
  <c r="K317" i="25" s="1"/>
  <c r="M317" i="25" s="1"/>
  <c r="I316" i="25"/>
  <c r="J316" i="25" s="1"/>
  <c r="K316" i="25" s="1"/>
  <c r="M316" i="25" s="1"/>
  <c r="I315" i="25"/>
  <c r="J315" i="25" s="1"/>
  <c r="K315" i="25" s="1"/>
  <c r="M315" i="25" s="1"/>
  <c r="I314" i="25"/>
  <c r="J314" i="25" s="1"/>
  <c r="K314" i="25" s="1"/>
  <c r="M314" i="25" s="1"/>
  <c r="I313" i="25"/>
  <c r="J313" i="25" s="1"/>
  <c r="K313" i="25" s="1"/>
  <c r="M313" i="25" s="1"/>
  <c r="I312" i="25"/>
  <c r="J312" i="25" s="1"/>
  <c r="K312" i="25" s="1"/>
  <c r="M312" i="25" s="1"/>
  <c r="I311" i="25"/>
  <c r="J311" i="25" s="1"/>
  <c r="K311" i="25" s="1"/>
  <c r="M311" i="25" s="1"/>
  <c r="I310" i="25"/>
  <c r="J310" i="25" s="1"/>
  <c r="K310" i="25" s="1"/>
  <c r="M310" i="25" s="1"/>
  <c r="I309" i="25"/>
  <c r="J309" i="25" s="1"/>
  <c r="K309" i="25" s="1"/>
  <c r="M309" i="25" s="1"/>
  <c r="I308" i="25"/>
  <c r="J308" i="25" s="1"/>
  <c r="K308" i="25" s="1"/>
  <c r="M308" i="25" s="1"/>
  <c r="I307" i="25"/>
  <c r="J307" i="25" s="1"/>
  <c r="K307" i="25" s="1"/>
  <c r="M307" i="25" s="1"/>
  <c r="I306" i="25"/>
  <c r="J306" i="25" s="1"/>
  <c r="K306" i="25" s="1"/>
  <c r="M306" i="25" s="1"/>
  <c r="I305" i="25"/>
  <c r="J305" i="25" s="1"/>
  <c r="K305" i="25" s="1"/>
  <c r="M305" i="25" s="1"/>
  <c r="I304" i="25"/>
  <c r="J304" i="25" s="1"/>
  <c r="K304" i="25" s="1"/>
  <c r="M304" i="25" s="1"/>
  <c r="I303" i="25"/>
  <c r="J303" i="25" s="1"/>
  <c r="K303" i="25" s="1"/>
  <c r="M303" i="25" s="1"/>
  <c r="I302" i="25"/>
  <c r="J302" i="25" s="1"/>
  <c r="K302" i="25" s="1"/>
  <c r="M302" i="25" s="1"/>
  <c r="I301" i="25"/>
  <c r="J301" i="25" s="1"/>
  <c r="K301" i="25" s="1"/>
  <c r="M301" i="25" s="1"/>
  <c r="I300" i="25"/>
  <c r="J300" i="25" s="1"/>
  <c r="K300" i="25" s="1"/>
  <c r="M300" i="25" s="1"/>
  <c r="I299" i="25"/>
  <c r="J299" i="25" s="1"/>
  <c r="K299" i="25" s="1"/>
  <c r="M299" i="25" s="1"/>
  <c r="I298" i="25"/>
  <c r="J298" i="25" s="1"/>
  <c r="K298" i="25" s="1"/>
  <c r="M298" i="25" s="1"/>
  <c r="I297" i="25"/>
  <c r="J297" i="25" s="1"/>
  <c r="K297" i="25" s="1"/>
  <c r="M297" i="25" s="1"/>
  <c r="I296" i="25"/>
  <c r="J296" i="25" s="1"/>
  <c r="K296" i="25" s="1"/>
  <c r="M296" i="25" s="1"/>
  <c r="I295" i="25"/>
  <c r="J295" i="25" s="1"/>
  <c r="K295" i="25" s="1"/>
  <c r="M295" i="25" s="1"/>
  <c r="I294" i="25"/>
  <c r="J294" i="25" s="1"/>
  <c r="K294" i="25" s="1"/>
  <c r="M294" i="25" s="1"/>
  <c r="I293" i="25"/>
  <c r="J293" i="25" s="1"/>
  <c r="K293" i="25" s="1"/>
  <c r="M293" i="25" s="1"/>
  <c r="I292" i="25"/>
  <c r="J292" i="25" s="1"/>
  <c r="K292" i="25" s="1"/>
  <c r="M292" i="25" s="1"/>
  <c r="I291" i="25"/>
  <c r="J291" i="25" s="1"/>
  <c r="K291" i="25" s="1"/>
  <c r="M291" i="25" s="1"/>
  <c r="I290" i="25"/>
  <c r="J290" i="25" s="1"/>
  <c r="K290" i="25" s="1"/>
  <c r="M290" i="25" s="1"/>
  <c r="I289" i="25"/>
  <c r="J289" i="25" s="1"/>
  <c r="K289" i="25" s="1"/>
  <c r="M289" i="25" s="1"/>
  <c r="I288" i="25"/>
  <c r="J288" i="25" s="1"/>
  <c r="K288" i="25" s="1"/>
  <c r="M288" i="25" s="1"/>
  <c r="I287" i="25"/>
  <c r="J287" i="25" s="1"/>
  <c r="K287" i="25" s="1"/>
  <c r="M287" i="25" s="1"/>
  <c r="I286" i="25"/>
  <c r="J286" i="25" s="1"/>
  <c r="K286" i="25" s="1"/>
  <c r="M286" i="25" s="1"/>
  <c r="I285" i="25"/>
  <c r="J285" i="25" s="1"/>
  <c r="K285" i="25" s="1"/>
  <c r="M285" i="25" s="1"/>
  <c r="I284" i="25"/>
  <c r="J284" i="25" s="1"/>
  <c r="K284" i="25" s="1"/>
  <c r="M284" i="25" s="1"/>
  <c r="I283" i="25"/>
  <c r="J283" i="25" s="1"/>
  <c r="K283" i="25" s="1"/>
  <c r="M283" i="25" s="1"/>
  <c r="I282" i="25"/>
  <c r="J282" i="25" s="1"/>
  <c r="K282" i="25" s="1"/>
  <c r="M282" i="25" s="1"/>
  <c r="I281" i="25"/>
  <c r="J281" i="25" s="1"/>
  <c r="K281" i="25" s="1"/>
  <c r="M281" i="25" s="1"/>
  <c r="I280" i="25"/>
  <c r="J280" i="25" s="1"/>
  <c r="K280" i="25" s="1"/>
  <c r="M280" i="25" s="1"/>
  <c r="I279" i="25"/>
  <c r="J279" i="25" s="1"/>
  <c r="K279" i="25" s="1"/>
  <c r="M279" i="25" s="1"/>
  <c r="I278" i="25"/>
  <c r="J278" i="25" s="1"/>
  <c r="K278" i="25" s="1"/>
  <c r="M278" i="25" s="1"/>
  <c r="K390" i="8"/>
  <c r="L390" i="8" s="1"/>
  <c r="N390" i="8" s="1"/>
  <c r="K345" i="8"/>
  <c r="L345" i="8" s="1"/>
  <c r="N345" i="8" s="1"/>
  <c r="C806" i="3" l="1"/>
  <c r="B808" i="3" s="1"/>
  <c r="I564" i="14"/>
  <c r="I559" i="14"/>
  <c r="J104" i="19"/>
  <c r="I554" i="14"/>
  <c r="I546" i="14"/>
  <c r="I550" i="14"/>
  <c r="I542" i="14"/>
  <c r="B717" i="3"/>
  <c r="B704" i="3"/>
  <c r="O3383" i="16"/>
  <c r="B644" i="3"/>
  <c r="I537" i="14"/>
  <c r="I532" i="14"/>
  <c r="J108" i="19"/>
  <c r="I522" i="14"/>
  <c r="I526" i="14"/>
  <c r="B672" i="3"/>
  <c r="B451" i="3"/>
  <c r="B625" i="3"/>
  <c r="B806" i="3" s="1"/>
  <c r="C390" i="3"/>
  <c r="D390" i="3"/>
  <c r="B458" i="3"/>
  <c r="B590" i="3"/>
  <c r="B569" i="3"/>
  <c r="B557" i="3"/>
  <c r="B544" i="3"/>
  <c r="B525" i="3"/>
  <c r="B530" i="3"/>
  <c r="E448" i="14"/>
  <c r="B810" i="3" l="1"/>
  <c r="K554" i="8"/>
  <c r="L554" i="8" s="1"/>
  <c r="N554" i="8" s="1"/>
  <c r="B811" i="3" l="1"/>
  <c r="B812" i="3" s="1"/>
  <c r="N8" i="18"/>
  <c r="N23" i="18" s="1"/>
  <c r="L483" i="3"/>
  <c r="K483" i="3"/>
  <c r="E518" i="14"/>
  <c r="F518" i="14"/>
  <c r="F483" i="3"/>
  <c r="K472" i="3"/>
  <c r="F472" i="3"/>
  <c r="B472" i="3" s="1"/>
  <c r="K765" i="8"/>
  <c r="L765" i="8" s="1"/>
  <c r="N765" i="8" s="1"/>
  <c r="K764" i="8"/>
  <c r="L764" i="8" s="1"/>
  <c r="N764" i="8" s="1"/>
  <c r="K763" i="8"/>
  <c r="L763" i="8" s="1"/>
  <c r="N763" i="8" s="1"/>
  <c r="K762" i="8"/>
  <c r="L762" i="8" s="1"/>
  <c r="N762" i="8" s="1"/>
  <c r="K761" i="8"/>
  <c r="L761" i="8" s="1"/>
  <c r="N761" i="8" s="1"/>
  <c r="K760" i="8"/>
  <c r="L760" i="8" s="1"/>
  <c r="N760" i="8" s="1"/>
  <c r="L3138" i="16"/>
  <c r="M3138" i="16" s="1"/>
  <c r="O3138" i="16" s="1"/>
  <c r="L3137" i="16"/>
  <c r="M3137" i="16" s="1"/>
  <c r="O3137" i="16" s="1"/>
  <c r="L3136" i="16"/>
  <c r="M3136" i="16" s="1"/>
  <c r="O3136" i="16" s="1"/>
  <c r="L3135" i="16"/>
  <c r="M3135" i="16" s="1"/>
  <c r="O3135" i="16" s="1"/>
  <c r="L3134" i="16"/>
  <c r="M3134" i="16" s="1"/>
  <c r="O3134" i="16" s="1"/>
  <c r="L3133" i="16"/>
  <c r="M3133" i="16" s="1"/>
  <c r="O3133" i="16" s="1"/>
  <c r="G463" i="3"/>
  <c r="H463" i="3"/>
  <c r="I463" i="3"/>
  <c r="E513" i="14"/>
  <c r="F513" i="14"/>
  <c r="F281" i="14"/>
  <c r="E281" i="14"/>
  <c r="G49" i="20"/>
  <c r="H49" i="20"/>
  <c r="F49" i="20"/>
  <c r="E497" i="14"/>
  <c r="F100" i="19"/>
  <c r="G100" i="19"/>
  <c r="H100" i="19"/>
  <c r="E507" i="14"/>
  <c r="F507" i="14"/>
  <c r="J758" i="8"/>
  <c r="K758" i="8" s="1"/>
  <c r="L758" i="8" s="1"/>
  <c r="J757" i="8"/>
  <c r="K757" i="8" s="1"/>
  <c r="L757" i="8" s="1"/>
  <c r="J756" i="8"/>
  <c r="K756" i="8" s="1"/>
  <c r="L756" i="8" s="1"/>
  <c r="J755" i="8"/>
  <c r="K755" i="8" s="1"/>
  <c r="L755" i="8" s="1"/>
  <c r="J754" i="8"/>
  <c r="K754" i="8" s="1"/>
  <c r="L754" i="8" s="1"/>
  <c r="J753" i="8"/>
  <c r="K753" i="8" s="1"/>
  <c r="L753" i="8" s="1"/>
  <c r="J752" i="8"/>
  <c r="K752" i="8" s="1"/>
  <c r="L752" i="8" s="1"/>
  <c r="J751" i="8"/>
  <c r="K751" i="8" s="1"/>
  <c r="L751" i="8" s="1"/>
  <c r="J750" i="8"/>
  <c r="K750" i="8" s="1"/>
  <c r="L750" i="8" s="1"/>
  <c r="J749" i="8"/>
  <c r="K749" i="8" s="1"/>
  <c r="L749" i="8" s="1"/>
  <c r="J748" i="8"/>
  <c r="K748" i="8" s="1"/>
  <c r="L748" i="8" s="1"/>
  <c r="J747" i="8"/>
  <c r="K747" i="8" s="1"/>
  <c r="L747" i="8" s="1"/>
  <c r="F96" i="19"/>
  <c r="G96" i="19"/>
  <c r="H96" i="19"/>
  <c r="J96" i="19" s="1"/>
  <c r="C444" i="3"/>
  <c r="J100" i="19" l="1"/>
  <c r="I518" i="14"/>
  <c r="I513" i="14"/>
  <c r="B463" i="3"/>
  <c r="B483" i="3"/>
  <c r="I497" i="14"/>
  <c r="I507" i="14"/>
  <c r="K135" i="4"/>
  <c r="L439" i="3"/>
  <c r="B439" i="3" s="1"/>
  <c r="G433" i="3"/>
  <c r="C433" i="3" s="1"/>
  <c r="F433" i="3"/>
  <c r="B433" i="3" s="1"/>
  <c r="G420" i="3"/>
  <c r="H420" i="3"/>
  <c r="I420" i="3"/>
  <c r="J420" i="3"/>
  <c r="K420" i="3"/>
  <c r="L420" i="3"/>
  <c r="M420" i="3"/>
  <c r="N420" i="3"/>
  <c r="F420" i="3"/>
  <c r="B420" i="3" s="1"/>
  <c r="I177" i="24"/>
  <c r="J177" i="24" s="1"/>
  <c r="K177" i="24" s="1"/>
  <c r="I176" i="24"/>
  <c r="J176" i="24" s="1"/>
  <c r="K176" i="24" s="1"/>
  <c r="I175" i="24"/>
  <c r="J175" i="24" s="1"/>
  <c r="K175" i="24" s="1"/>
  <c r="I174" i="24"/>
  <c r="J174" i="24" s="1"/>
  <c r="K174" i="24" s="1"/>
  <c r="I173" i="24"/>
  <c r="J173" i="24" s="1"/>
  <c r="K173" i="24" s="1"/>
  <c r="I172" i="24"/>
  <c r="J172" i="24" s="1"/>
  <c r="K172" i="24" s="1"/>
  <c r="I171" i="24"/>
  <c r="J171" i="24" s="1"/>
  <c r="K171" i="24" s="1"/>
  <c r="I170" i="24"/>
  <c r="J170" i="24" s="1"/>
  <c r="K170" i="24" s="1"/>
  <c r="I169" i="24"/>
  <c r="J169" i="24" s="1"/>
  <c r="K169" i="24" s="1"/>
  <c r="I168" i="24"/>
  <c r="J168" i="24" s="1"/>
  <c r="K168" i="24" s="1"/>
  <c r="K3130" i="16"/>
  <c r="L3130" i="16" s="1"/>
  <c r="M3130" i="16" s="1"/>
  <c r="K3129" i="16"/>
  <c r="L3129" i="16" s="1"/>
  <c r="M3129" i="16" s="1"/>
  <c r="K3128" i="16"/>
  <c r="L3128" i="16" s="1"/>
  <c r="M3128" i="16" s="1"/>
  <c r="K3127" i="16"/>
  <c r="L3127" i="16" s="1"/>
  <c r="M3127" i="16" s="1"/>
  <c r="K3126" i="16"/>
  <c r="L3126" i="16" s="1"/>
  <c r="M3126" i="16" s="1"/>
  <c r="K3125" i="16"/>
  <c r="L3125" i="16" s="1"/>
  <c r="M3125" i="16" s="1"/>
  <c r="K3124" i="16"/>
  <c r="L3124" i="16" s="1"/>
  <c r="M3124" i="16" s="1"/>
  <c r="K3123" i="16"/>
  <c r="L3123" i="16" s="1"/>
  <c r="M3123" i="16" s="1"/>
  <c r="K3122" i="16"/>
  <c r="L3122" i="16" s="1"/>
  <c r="M3122" i="16" s="1"/>
  <c r="K3121" i="16"/>
  <c r="L3121" i="16" s="1"/>
  <c r="M3121" i="16" s="1"/>
  <c r="K3119" i="16"/>
  <c r="L3119" i="16" s="1"/>
  <c r="M3119" i="16" s="1"/>
  <c r="K3118" i="16"/>
  <c r="L3118" i="16" s="1"/>
  <c r="M3118" i="16" s="1"/>
  <c r="K3117" i="16"/>
  <c r="L3117" i="16" s="1"/>
  <c r="M3117" i="16" s="1"/>
  <c r="K3116" i="16"/>
  <c r="L3116" i="16" s="1"/>
  <c r="M3116" i="16" s="1"/>
  <c r="K3115" i="16"/>
  <c r="L3115" i="16" s="1"/>
  <c r="M3115" i="16" s="1"/>
  <c r="K3114" i="16"/>
  <c r="L3114" i="16" s="1"/>
  <c r="M3114" i="16" s="1"/>
  <c r="K3113" i="16"/>
  <c r="L3113" i="16" s="1"/>
  <c r="M3113" i="16" s="1"/>
  <c r="K3112" i="16"/>
  <c r="L3112" i="16" s="1"/>
  <c r="M3112" i="16" s="1"/>
  <c r="K3111" i="16"/>
  <c r="L3111" i="16" s="1"/>
  <c r="M3111" i="16" s="1"/>
  <c r="K3110" i="16"/>
  <c r="L3110" i="16" s="1"/>
  <c r="M3110" i="16" s="1"/>
  <c r="K3109" i="16"/>
  <c r="L3109" i="16" s="1"/>
  <c r="M3109" i="16" s="1"/>
  <c r="K3108" i="16"/>
  <c r="L3108" i="16" s="1"/>
  <c r="M3108" i="16" s="1"/>
  <c r="G407" i="3"/>
  <c r="H407" i="3"/>
  <c r="I407" i="3"/>
  <c r="J407" i="3"/>
  <c r="K407" i="3"/>
  <c r="L407" i="3"/>
  <c r="M407" i="3"/>
  <c r="N407" i="3"/>
  <c r="F407" i="3"/>
  <c r="F285" i="3"/>
  <c r="K134" i="4"/>
  <c r="C397" i="3"/>
  <c r="I371" i="3"/>
  <c r="H371" i="3"/>
  <c r="F371" i="3"/>
  <c r="G365" i="3"/>
  <c r="H365" i="3"/>
  <c r="I365" i="3"/>
  <c r="J365" i="3"/>
  <c r="K365" i="3"/>
  <c r="L365" i="3"/>
  <c r="M365" i="3"/>
  <c r="N365" i="3"/>
  <c r="F365" i="3"/>
  <c r="F92" i="19"/>
  <c r="G92" i="19"/>
  <c r="H92" i="19"/>
  <c r="J56" i="24"/>
  <c r="K56" i="24" s="1"/>
  <c r="M56" i="24" s="1"/>
  <c r="G357" i="3"/>
  <c r="C357" i="3" s="1"/>
  <c r="H357" i="3"/>
  <c r="I357" i="3"/>
  <c r="J357" i="3"/>
  <c r="K357" i="3"/>
  <c r="L357" i="3"/>
  <c r="M357" i="3"/>
  <c r="N357" i="3"/>
  <c r="F357" i="3"/>
  <c r="F88" i="19"/>
  <c r="G88" i="19"/>
  <c r="H88" i="19"/>
  <c r="F84" i="19"/>
  <c r="G84" i="19"/>
  <c r="H84" i="19"/>
  <c r="F345" i="3"/>
  <c r="G345" i="3"/>
  <c r="H345" i="3"/>
  <c r="I345" i="3"/>
  <c r="K990" i="8"/>
  <c r="L990" i="8" s="1"/>
  <c r="N990" i="8" s="1"/>
  <c r="K989" i="8"/>
  <c r="L989" i="8" s="1"/>
  <c r="N989" i="8" s="1"/>
  <c r="K988" i="8"/>
  <c r="L988" i="8" s="1"/>
  <c r="N988" i="8" s="1"/>
  <c r="K987" i="8"/>
  <c r="L987" i="8" s="1"/>
  <c r="N987" i="8" s="1"/>
  <c r="K986" i="8"/>
  <c r="L986" i="8" s="1"/>
  <c r="N986" i="8" s="1"/>
  <c r="K985" i="8"/>
  <c r="L985" i="8" s="1"/>
  <c r="N985" i="8" s="1"/>
  <c r="K984" i="8"/>
  <c r="L984" i="8" s="1"/>
  <c r="N984" i="8" s="1"/>
  <c r="K983" i="8"/>
  <c r="L983" i="8" s="1"/>
  <c r="N983" i="8" s="1"/>
  <c r="K982" i="8"/>
  <c r="L982" i="8" s="1"/>
  <c r="N982" i="8" s="1"/>
  <c r="K981" i="8"/>
  <c r="L981" i="8" s="1"/>
  <c r="N981" i="8" s="1"/>
  <c r="K980" i="8"/>
  <c r="L980" i="8" s="1"/>
  <c r="N980" i="8" s="1"/>
  <c r="K979" i="8"/>
  <c r="L979" i="8" s="1"/>
  <c r="N979" i="8" s="1"/>
  <c r="L3106" i="16"/>
  <c r="M3106" i="16" s="1"/>
  <c r="O3106" i="16" s="1"/>
  <c r="L3105" i="16"/>
  <c r="M3105" i="16" s="1"/>
  <c r="O3105" i="16" s="1"/>
  <c r="L3104" i="16"/>
  <c r="M3104" i="16" s="1"/>
  <c r="O3104" i="16" s="1"/>
  <c r="L3103" i="16"/>
  <c r="M3103" i="16" s="1"/>
  <c r="O3103" i="16" s="1"/>
  <c r="L3102" i="16"/>
  <c r="M3102" i="16" s="1"/>
  <c r="O3102" i="16" s="1"/>
  <c r="L3101" i="16"/>
  <c r="M3101" i="16" s="1"/>
  <c r="O3101" i="16" s="1"/>
  <c r="L3100" i="16"/>
  <c r="M3100" i="16" s="1"/>
  <c r="O3100" i="16" s="1"/>
  <c r="L3099" i="16"/>
  <c r="M3099" i="16" s="1"/>
  <c r="O3099" i="16" s="1"/>
  <c r="L3098" i="16"/>
  <c r="M3098" i="16" s="1"/>
  <c r="O3098" i="16" s="1"/>
  <c r="L3097" i="16"/>
  <c r="M3097" i="16" s="1"/>
  <c r="O3097" i="16" s="1"/>
  <c r="L3096" i="16"/>
  <c r="M3096" i="16" s="1"/>
  <c r="O3096" i="16" s="1"/>
  <c r="L3095" i="16"/>
  <c r="M3095" i="16" s="1"/>
  <c r="O3095" i="16" s="1"/>
  <c r="K165" i="4" l="1"/>
  <c r="J84" i="19"/>
  <c r="J88" i="19"/>
  <c r="J92" i="19"/>
  <c r="B595" i="3"/>
  <c r="B371" i="3"/>
  <c r="B407" i="3"/>
  <c r="B390" i="3"/>
  <c r="B397" i="3"/>
  <c r="B365" i="3"/>
  <c r="B357" i="3"/>
  <c r="F80" i="19"/>
  <c r="G80" i="19"/>
  <c r="H80" i="19"/>
  <c r="E502" i="14"/>
  <c r="F502" i="14"/>
  <c r="E491" i="14"/>
  <c r="B331" i="3"/>
  <c r="F337" i="3"/>
  <c r="B337" i="3" s="1"/>
  <c r="B345" i="3"/>
  <c r="L82" i="4"/>
  <c r="K73" i="4"/>
  <c r="J80" i="19" l="1"/>
  <c r="I502" i="14"/>
  <c r="I491" i="14"/>
  <c r="I625" i="8"/>
  <c r="I644" i="8"/>
  <c r="L644" i="8" s="1"/>
  <c r="L625" i="8" l="1"/>
  <c r="M625" i="8" s="1"/>
  <c r="O625" i="8" s="1"/>
  <c r="M644" i="8"/>
  <c r="O644" i="8" s="1"/>
  <c r="B329" i="3" l="1"/>
  <c r="K389" i="8"/>
  <c r="L389" i="8" s="1"/>
  <c r="N389" i="8" s="1"/>
  <c r="K406" i="8" l="1"/>
  <c r="L406" i="8" s="1"/>
  <c r="N406" i="8" s="1"/>
  <c r="F327" i="3"/>
  <c r="L327" i="3"/>
  <c r="H322" i="3"/>
  <c r="I322" i="3"/>
  <c r="F322" i="3"/>
  <c r="K317" i="3"/>
  <c r="L317" i="3"/>
  <c r="F317" i="3"/>
  <c r="B312" i="3"/>
  <c r="K310" i="3"/>
  <c r="F310" i="3"/>
  <c r="B310" i="3" s="1"/>
  <c r="M11" i="19"/>
  <c r="E477" i="14"/>
  <c r="F477" i="14"/>
  <c r="E473" i="14"/>
  <c r="F473" i="14"/>
  <c r="F303" i="3"/>
  <c r="L303" i="3"/>
  <c r="K303" i="3"/>
  <c r="N282" i="3"/>
  <c r="L291" i="3"/>
  <c r="B291" i="3" s="1"/>
  <c r="K291" i="3"/>
  <c r="B285" i="3"/>
  <c r="K67" i="4"/>
  <c r="I473" i="14" l="1"/>
  <c r="B322" i="3"/>
  <c r="I477" i="14"/>
  <c r="I485" i="14"/>
  <c r="B327" i="3"/>
  <c r="B317" i="3"/>
  <c r="B303" i="3"/>
  <c r="F424" i="14"/>
  <c r="E469" i="14"/>
  <c r="F469" i="14"/>
  <c r="G279" i="3"/>
  <c r="H279" i="3"/>
  <c r="I279" i="3"/>
  <c r="J279" i="3"/>
  <c r="K279" i="3"/>
  <c r="L279" i="3"/>
  <c r="M279" i="3"/>
  <c r="N279" i="3"/>
  <c r="F279" i="3"/>
  <c r="L266" i="3"/>
  <c r="F266" i="3"/>
  <c r="M259" i="3"/>
  <c r="C259" i="3" s="1"/>
  <c r="K259" i="3"/>
  <c r="F259" i="3"/>
  <c r="B259" i="3" s="1"/>
  <c r="E458" i="14"/>
  <c r="F458" i="14"/>
  <c r="F76" i="19"/>
  <c r="G76" i="19"/>
  <c r="H76" i="19"/>
  <c r="E453" i="14"/>
  <c r="F453" i="14"/>
  <c r="G247" i="3"/>
  <c r="H247" i="3"/>
  <c r="I247" i="3"/>
  <c r="J247" i="3"/>
  <c r="K247" i="3"/>
  <c r="L247" i="3"/>
  <c r="M247" i="3"/>
  <c r="N247" i="3"/>
  <c r="F247" i="3"/>
  <c r="K63" i="4"/>
  <c r="K40" i="4"/>
  <c r="G237" i="3"/>
  <c r="C237" i="3" s="1"/>
  <c r="H237" i="3"/>
  <c r="I237" i="3"/>
  <c r="J237" i="3"/>
  <c r="K237" i="3"/>
  <c r="L237" i="3"/>
  <c r="M237" i="3"/>
  <c r="N237" i="3"/>
  <c r="F237" i="3"/>
  <c r="L218" i="3"/>
  <c r="B218" i="3" s="1"/>
  <c r="K218" i="3"/>
  <c r="G209" i="3"/>
  <c r="C209" i="3" s="1"/>
  <c r="H209" i="3"/>
  <c r="I209" i="3"/>
  <c r="J209" i="3"/>
  <c r="K209" i="3"/>
  <c r="L209" i="3"/>
  <c r="M209" i="3"/>
  <c r="N209" i="3"/>
  <c r="F209" i="3"/>
  <c r="F232" i="14"/>
  <c r="E232" i="14"/>
  <c r="F72" i="19"/>
  <c r="G72" i="19"/>
  <c r="H72" i="19"/>
  <c r="C374" i="3" l="1"/>
  <c r="B376" i="3" s="1"/>
  <c r="B279" i="3"/>
  <c r="J76" i="19"/>
  <c r="J72" i="19"/>
  <c r="I465" i="14"/>
  <c r="B266" i="3"/>
  <c r="I240" i="14"/>
  <c r="I469" i="14"/>
  <c r="B247" i="3"/>
  <c r="I453" i="14"/>
  <c r="I458" i="14"/>
  <c r="I448" i="14"/>
  <c r="B237" i="3"/>
  <c r="B209" i="3"/>
  <c r="K1042" i="8"/>
  <c r="L1042" i="8" s="1"/>
  <c r="N1042" i="8" s="1"/>
  <c r="K1041" i="8"/>
  <c r="L1041" i="8" s="1"/>
  <c r="N1041" i="8" s="1"/>
  <c r="K1040" i="8"/>
  <c r="L1040" i="8" s="1"/>
  <c r="N1040" i="8" s="1"/>
  <c r="K1050" i="8"/>
  <c r="L1050" i="8" s="1"/>
  <c r="N1050" i="8" s="1"/>
  <c r="K1019" i="8"/>
  <c r="L1019" i="8" s="1"/>
  <c r="N1019" i="8" s="1"/>
  <c r="B374" i="3" l="1"/>
  <c r="B378" i="3" s="1"/>
  <c r="K1009" i="8"/>
  <c r="L1009" i="8" s="1"/>
  <c r="N1009" i="8" s="1"/>
  <c r="F147" i="3"/>
  <c r="L229" i="14"/>
  <c r="B379" i="3" l="1"/>
  <c r="B380" i="3" s="1"/>
  <c r="N6" i="18"/>
  <c r="F180" i="3"/>
  <c r="H180" i="3"/>
  <c r="E442" i="14"/>
  <c r="F442" i="14"/>
  <c r="F365" i="14"/>
  <c r="E428" i="14"/>
  <c r="F428" i="14"/>
  <c r="G187" i="3"/>
  <c r="H187" i="3"/>
  <c r="I187" i="3"/>
  <c r="J187" i="3"/>
  <c r="K187" i="3"/>
  <c r="L187" i="3"/>
  <c r="M187" i="3"/>
  <c r="N187" i="3"/>
  <c r="F187" i="3"/>
  <c r="B187" i="3" s="1"/>
  <c r="L180" i="3"/>
  <c r="K180" i="3"/>
  <c r="G161" i="3"/>
  <c r="H161" i="3"/>
  <c r="I161" i="3"/>
  <c r="J161" i="3"/>
  <c r="K161" i="3"/>
  <c r="L161" i="3"/>
  <c r="B161" i="3" s="1"/>
  <c r="M161" i="3"/>
  <c r="N161" i="3"/>
  <c r="F161" i="3"/>
  <c r="F151" i="3"/>
  <c r="J81" i="25"/>
  <c r="K81" i="25" s="1"/>
  <c r="M81" i="25" s="1"/>
  <c r="J113" i="25"/>
  <c r="K113" i="25" s="1"/>
  <c r="M113" i="25" s="1"/>
  <c r="J118" i="25"/>
  <c r="K118" i="25" s="1"/>
  <c r="M118" i="25" s="1"/>
  <c r="J93" i="25"/>
  <c r="K93" i="25" s="1"/>
  <c r="M93" i="25" s="1"/>
  <c r="J45" i="25"/>
  <c r="K45" i="25" s="1"/>
  <c r="M45" i="25" s="1"/>
  <c r="K1152" i="8"/>
  <c r="L1152" i="8" s="1"/>
  <c r="N1152" i="8" s="1"/>
  <c r="K1151" i="8"/>
  <c r="L1151" i="8" s="1"/>
  <c r="N1151" i="8" s="1"/>
  <c r="K1150" i="8"/>
  <c r="L1150" i="8" s="1"/>
  <c r="N1150" i="8" s="1"/>
  <c r="K1149" i="8"/>
  <c r="L1149" i="8" s="1"/>
  <c r="N1149" i="8" s="1"/>
  <c r="K1148" i="8"/>
  <c r="L1148" i="8" s="1"/>
  <c r="N1148" i="8" s="1"/>
  <c r="K1147" i="8"/>
  <c r="L1147" i="8" s="1"/>
  <c r="N1147" i="8" s="1"/>
  <c r="K1146" i="8"/>
  <c r="L1146" i="8" s="1"/>
  <c r="N1146" i="8" s="1"/>
  <c r="K1145" i="8"/>
  <c r="L1145" i="8" s="1"/>
  <c r="N1145" i="8" s="1"/>
  <c r="K1144" i="8"/>
  <c r="L1144" i="8" s="1"/>
  <c r="N1144" i="8" s="1"/>
  <c r="K1143" i="8"/>
  <c r="L1143" i="8" s="1"/>
  <c r="N1143" i="8" s="1"/>
  <c r="K1142" i="8"/>
  <c r="L1142" i="8" s="1"/>
  <c r="N1142" i="8" s="1"/>
  <c r="K1141" i="8"/>
  <c r="L1141" i="8" s="1"/>
  <c r="N1141" i="8" s="1"/>
  <c r="K1140" i="8"/>
  <c r="L1140" i="8" s="1"/>
  <c r="N1140" i="8" s="1"/>
  <c r="K1139" i="8"/>
  <c r="L1139" i="8" s="1"/>
  <c r="N1139" i="8" s="1"/>
  <c r="K1138" i="8"/>
  <c r="L1138" i="8" s="1"/>
  <c r="N1138" i="8" s="1"/>
  <c r="K1137" i="8"/>
  <c r="L1137" i="8" s="1"/>
  <c r="N1137" i="8" s="1"/>
  <c r="K1136" i="8"/>
  <c r="L1136" i="8" s="1"/>
  <c r="N1136" i="8" s="1"/>
  <c r="K1135" i="8"/>
  <c r="L1135" i="8" s="1"/>
  <c r="N1135" i="8" s="1"/>
  <c r="K1134" i="8"/>
  <c r="L1134" i="8" s="1"/>
  <c r="N1134" i="8" s="1"/>
  <c r="K1133" i="8"/>
  <c r="L1133" i="8" s="1"/>
  <c r="N1133" i="8" s="1"/>
  <c r="K1132" i="8"/>
  <c r="L1132" i="8" s="1"/>
  <c r="N1132" i="8" s="1"/>
  <c r="K1131" i="8"/>
  <c r="L1131" i="8" s="1"/>
  <c r="N1131" i="8" s="1"/>
  <c r="K1130" i="8"/>
  <c r="L1130" i="8" s="1"/>
  <c r="N1130" i="8" s="1"/>
  <c r="K1129" i="8"/>
  <c r="L1129" i="8" s="1"/>
  <c r="N1129" i="8" s="1"/>
  <c r="K1128" i="8"/>
  <c r="L1128" i="8" s="1"/>
  <c r="N1128" i="8" s="1"/>
  <c r="K1127" i="8"/>
  <c r="L1127" i="8" s="1"/>
  <c r="N1127" i="8" s="1"/>
  <c r="K1126" i="8"/>
  <c r="L1126" i="8" s="1"/>
  <c r="N1126" i="8" s="1"/>
  <c r="K1125" i="8"/>
  <c r="L1125" i="8" s="1"/>
  <c r="N1125" i="8" s="1"/>
  <c r="K1124" i="8"/>
  <c r="L1124" i="8" s="1"/>
  <c r="N1124" i="8" s="1"/>
  <c r="K1123" i="8"/>
  <c r="L1123" i="8" s="1"/>
  <c r="N1123" i="8" s="1"/>
  <c r="K1122" i="8"/>
  <c r="L1122" i="8" s="1"/>
  <c r="N1122" i="8" s="1"/>
  <c r="K1121" i="8"/>
  <c r="L1121" i="8" s="1"/>
  <c r="N1121" i="8" s="1"/>
  <c r="K1120" i="8"/>
  <c r="L1120" i="8" s="1"/>
  <c r="N1120" i="8" s="1"/>
  <c r="K1119" i="8"/>
  <c r="L1119" i="8" s="1"/>
  <c r="N1119" i="8" s="1"/>
  <c r="K1118" i="8"/>
  <c r="L1118" i="8" s="1"/>
  <c r="N1118" i="8" s="1"/>
  <c r="K1117" i="8"/>
  <c r="L1117" i="8" s="1"/>
  <c r="N1117" i="8" s="1"/>
  <c r="K1116" i="8"/>
  <c r="L1116" i="8" s="1"/>
  <c r="N1116" i="8" s="1"/>
  <c r="K1115" i="8"/>
  <c r="L1115" i="8" s="1"/>
  <c r="N1115" i="8" s="1"/>
  <c r="K1114" i="8"/>
  <c r="L1114" i="8" s="1"/>
  <c r="N1114" i="8" s="1"/>
  <c r="K1113" i="8"/>
  <c r="L1113" i="8" s="1"/>
  <c r="N1113" i="8" s="1"/>
  <c r="K1112" i="8"/>
  <c r="L1112" i="8" s="1"/>
  <c r="N1112" i="8" s="1"/>
  <c r="K1111" i="8"/>
  <c r="L1111" i="8" s="1"/>
  <c r="N1111" i="8" s="1"/>
  <c r="K1110" i="8"/>
  <c r="L1110" i="8" s="1"/>
  <c r="N1110" i="8" s="1"/>
  <c r="K1109" i="8"/>
  <c r="L1109" i="8" s="1"/>
  <c r="N1109" i="8" s="1"/>
  <c r="K1108" i="8"/>
  <c r="L1108" i="8" s="1"/>
  <c r="N1108" i="8" s="1"/>
  <c r="K1107" i="8"/>
  <c r="L1107" i="8" s="1"/>
  <c r="N1107" i="8" s="1"/>
  <c r="K1106" i="8"/>
  <c r="L1106" i="8" s="1"/>
  <c r="N1106" i="8" s="1"/>
  <c r="K1105" i="8"/>
  <c r="L1105" i="8" s="1"/>
  <c r="N1105" i="8" s="1"/>
  <c r="K1104" i="8"/>
  <c r="L1104" i="8" s="1"/>
  <c r="N1104" i="8" s="1"/>
  <c r="K1103" i="8"/>
  <c r="L1103" i="8" s="1"/>
  <c r="N1103" i="8" s="1"/>
  <c r="K1102" i="8"/>
  <c r="L1102" i="8" s="1"/>
  <c r="N1102" i="8" s="1"/>
  <c r="K1101" i="8"/>
  <c r="L1101" i="8" s="1"/>
  <c r="N1101" i="8" s="1"/>
  <c r="K1100" i="8"/>
  <c r="L1100" i="8" s="1"/>
  <c r="N1100" i="8" s="1"/>
  <c r="K1099" i="8"/>
  <c r="L1099" i="8" s="1"/>
  <c r="N1099" i="8" s="1"/>
  <c r="K1098" i="8"/>
  <c r="L1098" i="8" s="1"/>
  <c r="N1098" i="8" s="1"/>
  <c r="K1097" i="8"/>
  <c r="L1097" i="8" s="1"/>
  <c r="N1097" i="8" s="1"/>
  <c r="K1096" i="8"/>
  <c r="L1096" i="8" s="1"/>
  <c r="N1096" i="8" s="1"/>
  <c r="K1095" i="8"/>
  <c r="L1095" i="8" s="1"/>
  <c r="N1095" i="8" s="1"/>
  <c r="K1094" i="8"/>
  <c r="L1094" i="8" s="1"/>
  <c r="N1094" i="8" s="1"/>
  <c r="K1093" i="8"/>
  <c r="L1093" i="8" s="1"/>
  <c r="N1093" i="8" s="1"/>
  <c r="K1092" i="8"/>
  <c r="L1092" i="8" s="1"/>
  <c r="N1092" i="8" s="1"/>
  <c r="K1091" i="8"/>
  <c r="L1091" i="8" s="1"/>
  <c r="N1091" i="8" s="1"/>
  <c r="K1090" i="8"/>
  <c r="L1090" i="8" s="1"/>
  <c r="N1090" i="8" s="1"/>
  <c r="K1089" i="8"/>
  <c r="L1089" i="8" s="1"/>
  <c r="N1089" i="8" s="1"/>
  <c r="K977" i="8"/>
  <c r="L977" i="8" s="1"/>
  <c r="N977" i="8" s="1"/>
  <c r="K976" i="8"/>
  <c r="L976" i="8" s="1"/>
  <c r="N976" i="8" s="1"/>
  <c r="K975" i="8"/>
  <c r="L975" i="8" s="1"/>
  <c r="N975" i="8" s="1"/>
  <c r="K974" i="8"/>
  <c r="L974" i="8" s="1"/>
  <c r="N974" i="8" s="1"/>
  <c r="K887" i="8"/>
  <c r="L887" i="8" s="1"/>
  <c r="N887" i="8" s="1"/>
  <c r="K886" i="8"/>
  <c r="L886" i="8" s="1"/>
  <c r="N886" i="8" s="1"/>
  <c r="K885" i="8"/>
  <c r="L885" i="8" s="1"/>
  <c r="N885" i="8" s="1"/>
  <c r="K884" i="8"/>
  <c r="L884" i="8" s="1"/>
  <c r="N884" i="8" s="1"/>
  <c r="K883" i="8"/>
  <c r="L883" i="8" s="1"/>
  <c r="N883" i="8" s="1"/>
  <c r="K882" i="8"/>
  <c r="L882" i="8" s="1"/>
  <c r="N882" i="8" s="1"/>
  <c r="K881" i="8"/>
  <c r="L881" i="8" s="1"/>
  <c r="N881" i="8" s="1"/>
  <c r="K880" i="8"/>
  <c r="L880" i="8" s="1"/>
  <c r="N880" i="8" s="1"/>
  <c r="K879" i="8"/>
  <c r="L879" i="8" s="1"/>
  <c r="N879" i="8" s="1"/>
  <c r="K878" i="8"/>
  <c r="L878" i="8" s="1"/>
  <c r="N878" i="8" s="1"/>
  <c r="K877" i="8"/>
  <c r="L877" i="8" s="1"/>
  <c r="N877" i="8" s="1"/>
  <c r="K876" i="8"/>
  <c r="L876" i="8" s="1"/>
  <c r="N876" i="8" s="1"/>
  <c r="K875" i="8"/>
  <c r="L875" i="8" s="1"/>
  <c r="N875" i="8" s="1"/>
  <c r="K874" i="8"/>
  <c r="L874" i="8" s="1"/>
  <c r="N874" i="8" s="1"/>
  <c r="K873" i="8"/>
  <c r="L873" i="8" s="1"/>
  <c r="N873" i="8" s="1"/>
  <c r="K872" i="8"/>
  <c r="L872" i="8" s="1"/>
  <c r="N872" i="8" s="1"/>
  <c r="K871" i="8"/>
  <c r="L871" i="8" s="1"/>
  <c r="N871" i="8" s="1"/>
  <c r="K740" i="8"/>
  <c r="L740" i="8" s="1"/>
  <c r="N740" i="8" s="1"/>
  <c r="K739" i="8"/>
  <c r="L739" i="8" s="1"/>
  <c r="N739" i="8" s="1"/>
  <c r="K738" i="8"/>
  <c r="L738" i="8" s="1"/>
  <c r="N738" i="8" s="1"/>
  <c r="K737" i="8"/>
  <c r="L737" i="8" s="1"/>
  <c r="N737" i="8" s="1"/>
  <c r="K736" i="8"/>
  <c r="L736" i="8" s="1"/>
  <c r="N736" i="8" s="1"/>
  <c r="K735" i="8"/>
  <c r="L735" i="8" s="1"/>
  <c r="N735" i="8" s="1"/>
  <c r="K734" i="8"/>
  <c r="L734" i="8" s="1"/>
  <c r="N734" i="8" s="1"/>
  <c r="K733" i="8"/>
  <c r="L733" i="8" s="1"/>
  <c r="N733" i="8" s="1"/>
  <c r="K732" i="8"/>
  <c r="L732" i="8" s="1"/>
  <c r="N732" i="8" s="1"/>
  <c r="K731" i="8"/>
  <c r="L731" i="8" s="1"/>
  <c r="N731" i="8" s="1"/>
  <c r="K730" i="8"/>
  <c r="L730" i="8" s="1"/>
  <c r="N730" i="8" s="1"/>
  <c r="K729" i="8"/>
  <c r="L729" i="8" s="1"/>
  <c r="N729" i="8" s="1"/>
  <c r="K728" i="8"/>
  <c r="L728" i="8" s="1"/>
  <c r="N728" i="8" s="1"/>
  <c r="K727" i="8"/>
  <c r="L727" i="8" s="1"/>
  <c r="N727" i="8" s="1"/>
  <c r="K726" i="8"/>
  <c r="L726" i="8" s="1"/>
  <c r="N726" i="8" s="1"/>
  <c r="K725" i="8"/>
  <c r="L725" i="8" s="1"/>
  <c r="N725" i="8" s="1"/>
  <c r="K724" i="8"/>
  <c r="L724" i="8" s="1"/>
  <c r="N724" i="8" s="1"/>
  <c r="K723" i="8"/>
  <c r="L723" i="8" s="1"/>
  <c r="N723" i="8" s="1"/>
  <c r="K722" i="8"/>
  <c r="L722" i="8" s="1"/>
  <c r="N722" i="8" s="1"/>
  <c r="K721" i="8"/>
  <c r="L721" i="8" s="1"/>
  <c r="N721" i="8" s="1"/>
  <c r="K720" i="8"/>
  <c r="L720" i="8" s="1"/>
  <c r="N720" i="8" s="1"/>
  <c r="K719" i="8"/>
  <c r="L719" i="8" s="1"/>
  <c r="N719" i="8" s="1"/>
  <c r="K718" i="8"/>
  <c r="L718" i="8" s="1"/>
  <c r="N718" i="8" s="1"/>
  <c r="K717" i="8"/>
  <c r="L717" i="8" s="1"/>
  <c r="N717" i="8" s="1"/>
  <c r="K716" i="8"/>
  <c r="L716" i="8" s="1"/>
  <c r="N716" i="8" s="1"/>
  <c r="K715" i="8"/>
  <c r="L715" i="8" s="1"/>
  <c r="N715" i="8" s="1"/>
  <c r="K714" i="8"/>
  <c r="L714" i="8" s="1"/>
  <c r="N714" i="8" s="1"/>
  <c r="K713" i="8"/>
  <c r="L713" i="8" s="1"/>
  <c r="N713" i="8" s="1"/>
  <c r="K712" i="8"/>
  <c r="L712" i="8" s="1"/>
  <c r="N712" i="8" s="1"/>
  <c r="K711" i="8"/>
  <c r="L711" i="8" s="1"/>
  <c r="N711" i="8" s="1"/>
  <c r="K710" i="8"/>
  <c r="L710" i="8" s="1"/>
  <c r="N710" i="8" s="1"/>
  <c r="K709" i="8"/>
  <c r="L709" i="8" s="1"/>
  <c r="N709" i="8" s="1"/>
  <c r="K708" i="8"/>
  <c r="L708" i="8" s="1"/>
  <c r="N708" i="8" s="1"/>
  <c r="K707" i="8"/>
  <c r="L707" i="8" s="1"/>
  <c r="N707" i="8" s="1"/>
  <c r="K706" i="8"/>
  <c r="L706" i="8" s="1"/>
  <c r="N706" i="8" s="1"/>
  <c r="K705" i="8"/>
  <c r="L705" i="8" s="1"/>
  <c r="N705" i="8" s="1"/>
  <c r="K704" i="8"/>
  <c r="L704" i="8" s="1"/>
  <c r="N704" i="8" s="1"/>
  <c r="K703" i="8"/>
  <c r="L703" i="8" s="1"/>
  <c r="N703" i="8" s="1"/>
  <c r="K702" i="8"/>
  <c r="L702" i="8" s="1"/>
  <c r="N702" i="8" s="1"/>
  <c r="K701" i="8"/>
  <c r="L701" i="8" s="1"/>
  <c r="N701" i="8" s="1"/>
  <c r="K165" i="24"/>
  <c r="L165" i="24" s="1"/>
  <c r="N165" i="24" s="1"/>
  <c r="K164" i="24"/>
  <c r="L164" i="24" s="1"/>
  <c r="N164" i="24" s="1"/>
  <c r="K163" i="24"/>
  <c r="L163" i="24" s="1"/>
  <c r="N163" i="24" s="1"/>
  <c r="K162" i="24"/>
  <c r="L162" i="24" s="1"/>
  <c r="N162" i="24" s="1"/>
  <c r="K161" i="24"/>
  <c r="L161" i="24" s="1"/>
  <c r="N161" i="24" s="1"/>
  <c r="K160" i="24"/>
  <c r="L160" i="24" s="1"/>
  <c r="N160" i="24" s="1"/>
  <c r="K159" i="24"/>
  <c r="L159" i="24" s="1"/>
  <c r="N159" i="24" s="1"/>
  <c r="K158" i="24"/>
  <c r="L158" i="24" s="1"/>
  <c r="N158" i="24" s="1"/>
  <c r="K157" i="24"/>
  <c r="L157" i="24" s="1"/>
  <c r="N157" i="24" s="1"/>
  <c r="K156" i="24"/>
  <c r="L156" i="24" s="1"/>
  <c r="N156" i="24" s="1"/>
  <c r="K155" i="24"/>
  <c r="L155" i="24" s="1"/>
  <c r="N155" i="24" s="1"/>
  <c r="K154" i="24"/>
  <c r="L154" i="24" s="1"/>
  <c r="N154" i="24" s="1"/>
  <c r="K153" i="24"/>
  <c r="L153" i="24" s="1"/>
  <c r="N153" i="24" s="1"/>
  <c r="K152" i="24"/>
  <c r="L152" i="24" s="1"/>
  <c r="N152" i="24" s="1"/>
  <c r="K151" i="24"/>
  <c r="L151" i="24" s="1"/>
  <c r="N151" i="24" s="1"/>
  <c r="K150" i="24"/>
  <c r="L150" i="24" s="1"/>
  <c r="N150" i="24" s="1"/>
  <c r="K149" i="24"/>
  <c r="L149" i="24" s="1"/>
  <c r="N149" i="24" s="1"/>
  <c r="K148" i="24"/>
  <c r="L148" i="24" s="1"/>
  <c r="N148" i="24" s="1"/>
  <c r="K147" i="24"/>
  <c r="L147" i="24" s="1"/>
  <c r="N147" i="24" s="1"/>
  <c r="K146" i="24"/>
  <c r="L146" i="24" s="1"/>
  <c r="N146" i="24" s="1"/>
  <c r="K145" i="24"/>
  <c r="L145" i="24" s="1"/>
  <c r="N145" i="24" s="1"/>
  <c r="K144" i="24"/>
  <c r="L144" i="24" s="1"/>
  <c r="N144" i="24" s="1"/>
  <c r="K143" i="24"/>
  <c r="L143" i="24" s="1"/>
  <c r="N143" i="24" s="1"/>
  <c r="K142" i="24"/>
  <c r="L142" i="24" s="1"/>
  <c r="N142" i="24" s="1"/>
  <c r="K141" i="24"/>
  <c r="L141" i="24" s="1"/>
  <c r="N141" i="24" s="1"/>
  <c r="K140" i="24"/>
  <c r="L140" i="24" s="1"/>
  <c r="N140" i="24" s="1"/>
  <c r="K139" i="24"/>
  <c r="L139" i="24" s="1"/>
  <c r="N139" i="24" s="1"/>
  <c r="K138" i="24"/>
  <c r="L138" i="24" s="1"/>
  <c r="N138" i="24" s="1"/>
  <c r="K137" i="24"/>
  <c r="L137" i="24" s="1"/>
  <c r="N137" i="24" s="1"/>
  <c r="K136" i="24"/>
  <c r="L136" i="24" s="1"/>
  <c r="N136" i="24" s="1"/>
  <c r="K135" i="24"/>
  <c r="L135" i="24" s="1"/>
  <c r="N135" i="24" s="1"/>
  <c r="K134" i="24"/>
  <c r="L134" i="24" s="1"/>
  <c r="N134" i="24" s="1"/>
  <c r="K133" i="24"/>
  <c r="L133" i="24" s="1"/>
  <c r="N133" i="24" s="1"/>
  <c r="K132" i="24"/>
  <c r="L132" i="24" s="1"/>
  <c r="N132" i="24" s="1"/>
  <c r="K131" i="24"/>
  <c r="L131" i="24" s="1"/>
  <c r="N131" i="24" s="1"/>
  <c r="K130" i="24"/>
  <c r="L130" i="24" s="1"/>
  <c r="N130" i="24" s="1"/>
  <c r="K129" i="24"/>
  <c r="L129" i="24" s="1"/>
  <c r="N129" i="24" s="1"/>
  <c r="K128" i="24"/>
  <c r="L128" i="24" s="1"/>
  <c r="N128" i="24" s="1"/>
  <c r="F336" i="14"/>
  <c r="F399" i="14"/>
  <c r="L151" i="3"/>
  <c r="L3009" i="16"/>
  <c r="M3009" i="16" s="1"/>
  <c r="O3009" i="16" s="1"/>
  <c r="L34" i="4"/>
  <c r="L35" i="4" s="1"/>
  <c r="M17" i="4"/>
  <c r="K23" i="4"/>
  <c r="K22" i="4"/>
  <c r="G147" i="3"/>
  <c r="H147" i="3"/>
  <c r="I147" i="3"/>
  <c r="J147" i="3"/>
  <c r="K147" i="3"/>
  <c r="L147" i="3"/>
  <c r="M147" i="3"/>
  <c r="N147" i="3"/>
  <c r="I437" i="14" l="1"/>
  <c r="I442" i="14"/>
  <c r="B151" i="3"/>
  <c r="B180" i="3"/>
  <c r="I428" i="14"/>
  <c r="B147" i="3"/>
  <c r="F138" i="3"/>
  <c r="B138" i="3" s="1"/>
  <c r="F68" i="19" l="1"/>
  <c r="G68" i="19"/>
  <c r="H68" i="19"/>
  <c r="I663" i="8"/>
  <c r="L663" i="8" s="1"/>
  <c r="M663" i="8" s="1"/>
  <c r="O663" i="8" s="1"/>
  <c r="G130" i="3"/>
  <c r="H130" i="3"/>
  <c r="I130" i="3"/>
  <c r="J130" i="3"/>
  <c r="K130" i="3"/>
  <c r="L130" i="3"/>
  <c r="M130" i="3"/>
  <c r="F130" i="3"/>
  <c r="C123" i="3"/>
  <c r="D123" i="3"/>
  <c r="F123" i="3"/>
  <c r="B123" i="3" s="1"/>
  <c r="B116" i="3"/>
  <c r="F114" i="3"/>
  <c r="J68" i="19" l="1"/>
  <c r="B130" i="3"/>
  <c r="K1312" i="8"/>
  <c r="L1312" i="8" s="1"/>
  <c r="N1312" i="8" s="1"/>
  <c r="E424" i="14" l="1"/>
  <c r="F65" i="19"/>
  <c r="G65" i="19"/>
  <c r="H65" i="19"/>
  <c r="H36" i="19"/>
  <c r="F60" i="19"/>
  <c r="G60" i="19"/>
  <c r="H60" i="19"/>
  <c r="F344" i="14"/>
  <c r="E419" i="14"/>
  <c r="F419" i="14"/>
  <c r="J65" i="19" l="1"/>
  <c r="I424" i="14"/>
  <c r="J60" i="19"/>
  <c r="I419" i="14"/>
  <c r="K4" i="4"/>
  <c r="K35" i="4" s="1"/>
  <c r="H114" i="3"/>
  <c r="I114" i="3"/>
  <c r="J114" i="3"/>
  <c r="K114" i="3"/>
  <c r="L114" i="3"/>
  <c r="M114" i="3"/>
  <c r="N114" i="3"/>
  <c r="G114" i="3"/>
  <c r="C114" i="3" s="1"/>
  <c r="I102" i="3"/>
  <c r="B102" i="3" s="1"/>
  <c r="H102" i="3"/>
  <c r="F96" i="3"/>
  <c r="B96" i="3" s="1"/>
  <c r="H90" i="3"/>
  <c r="I90" i="3"/>
  <c r="F90" i="3"/>
  <c r="M86" i="3"/>
  <c r="C86" i="3" s="1"/>
  <c r="F86" i="3"/>
  <c r="B86" i="3" s="1"/>
  <c r="F80" i="3"/>
  <c r="B80" i="3" s="1"/>
  <c r="K74" i="3"/>
  <c r="F74" i="3"/>
  <c r="B74" i="3" s="1"/>
  <c r="P2950" i="16"/>
  <c r="P3018" i="16"/>
  <c r="J3087" i="16"/>
  <c r="K3087" i="16"/>
  <c r="N3087" i="16"/>
  <c r="P3085" i="16"/>
  <c r="L3083" i="16"/>
  <c r="M3083" i="16" s="1"/>
  <c r="O3083" i="16" s="1"/>
  <c r="L3082" i="16"/>
  <c r="M3082" i="16" s="1"/>
  <c r="O3082" i="16" s="1"/>
  <c r="L3081" i="16"/>
  <c r="M3081" i="16" s="1"/>
  <c r="O3081" i="16" s="1"/>
  <c r="L3080" i="16"/>
  <c r="M3080" i="16" s="1"/>
  <c r="O3080" i="16" s="1"/>
  <c r="L3079" i="16"/>
  <c r="M3079" i="16" s="1"/>
  <c r="O3079" i="16" s="1"/>
  <c r="L3078" i="16"/>
  <c r="M3078" i="16" s="1"/>
  <c r="O3078" i="16" s="1"/>
  <c r="L3077" i="16"/>
  <c r="M3077" i="16" s="1"/>
  <c r="O3077" i="16" s="1"/>
  <c r="L3076" i="16"/>
  <c r="M3076" i="16" s="1"/>
  <c r="O3076" i="16" s="1"/>
  <c r="L3075" i="16"/>
  <c r="M3075" i="16" s="1"/>
  <c r="O3075" i="16" s="1"/>
  <c r="L3074" i="16"/>
  <c r="M3074" i="16" s="1"/>
  <c r="O3074" i="16" s="1"/>
  <c r="L3073" i="16"/>
  <c r="M3073" i="16" s="1"/>
  <c r="O3073" i="16" s="1"/>
  <c r="L3072" i="16"/>
  <c r="M3072" i="16" s="1"/>
  <c r="O3072" i="16" s="1"/>
  <c r="L3071" i="16"/>
  <c r="M3071" i="16" s="1"/>
  <c r="O3071" i="16" s="1"/>
  <c r="L3070" i="16"/>
  <c r="M3070" i="16" s="1"/>
  <c r="O3070" i="16" s="1"/>
  <c r="L3069" i="16"/>
  <c r="M3069" i="16" s="1"/>
  <c r="O3069" i="16" s="1"/>
  <c r="L3068" i="16"/>
  <c r="M3068" i="16" s="1"/>
  <c r="O3068" i="16" s="1"/>
  <c r="L3067" i="16"/>
  <c r="M3067" i="16" s="1"/>
  <c r="O3067" i="16" s="1"/>
  <c r="L3066" i="16"/>
  <c r="M3066" i="16" s="1"/>
  <c r="O3066" i="16" s="1"/>
  <c r="L3065" i="16"/>
  <c r="M3065" i="16" s="1"/>
  <c r="O3065" i="16" s="1"/>
  <c r="L3064" i="16"/>
  <c r="M3064" i="16" s="1"/>
  <c r="O3064" i="16" s="1"/>
  <c r="L3063" i="16"/>
  <c r="M3063" i="16" s="1"/>
  <c r="O3063" i="16" s="1"/>
  <c r="L3062" i="16"/>
  <c r="M3062" i="16" s="1"/>
  <c r="O3062" i="16" s="1"/>
  <c r="L3061" i="16"/>
  <c r="M3061" i="16" s="1"/>
  <c r="O3061" i="16" s="1"/>
  <c r="L3060" i="16"/>
  <c r="M3060" i="16" s="1"/>
  <c r="O3060" i="16" s="1"/>
  <c r="L3059" i="16"/>
  <c r="M3059" i="16" s="1"/>
  <c r="O3059" i="16" s="1"/>
  <c r="L3058" i="16"/>
  <c r="M3058" i="16" s="1"/>
  <c r="O3058" i="16" s="1"/>
  <c r="L3057" i="16"/>
  <c r="M3057" i="16" s="1"/>
  <c r="O3057" i="16" s="1"/>
  <c r="L3056" i="16"/>
  <c r="M3056" i="16" s="1"/>
  <c r="O3056" i="16" s="1"/>
  <c r="L3055" i="16"/>
  <c r="M3055" i="16" s="1"/>
  <c r="O3055" i="16" s="1"/>
  <c r="L3054" i="16"/>
  <c r="M3054" i="16" s="1"/>
  <c r="O3054" i="16" s="1"/>
  <c r="L3053" i="16"/>
  <c r="M3053" i="16" s="1"/>
  <c r="O3053" i="16" s="1"/>
  <c r="L3052" i="16"/>
  <c r="M3052" i="16" s="1"/>
  <c r="O3052" i="16" s="1"/>
  <c r="L3051" i="16"/>
  <c r="M3051" i="16" s="1"/>
  <c r="O3051" i="16" s="1"/>
  <c r="L3050" i="16"/>
  <c r="M3050" i="16" s="1"/>
  <c r="O3050" i="16" s="1"/>
  <c r="L3049" i="16"/>
  <c r="M3049" i="16" s="1"/>
  <c r="O3049" i="16" s="1"/>
  <c r="L3048" i="16"/>
  <c r="M3048" i="16" s="1"/>
  <c r="O3048" i="16" s="1"/>
  <c r="L3047" i="16"/>
  <c r="M3047" i="16" s="1"/>
  <c r="O3047" i="16" s="1"/>
  <c r="L3046" i="16"/>
  <c r="M3046" i="16" s="1"/>
  <c r="O3046" i="16" s="1"/>
  <c r="L3045" i="16"/>
  <c r="M3045" i="16" s="1"/>
  <c r="O3045" i="16" s="1"/>
  <c r="L3044" i="16"/>
  <c r="M3044" i="16" s="1"/>
  <c r="O3044" i="16" s="1"/>
  <c r="L3043" i="16"/>
  <c r="M3043" i="16" s="1"/>
  <c r="O3043" i="16" s="1"/>
  <c r="L3042" i="16"/>
  <c r="M3042" i="16" s="1"/>
  <c r="O3042" i="16" s="1"/>
  <c r="L3041" i="16"/>
  <c r="M3041" i="16" s="1"/>
  <c r="O3041" i="16" s="1"/>
  <c r="L3040" i="16"/>
  <c r="M3040" i="16" s="1"/>
  <c r="O3040" i="16" s="1"/>
  <c r="L3039" i="16"/>
  <c r="M3039" i="16" s="1"/>
  <c r="O3039" i="16" s="1"/>
  <c r="L3038" i="16"/>
  <c r="M3038" i="16" s="1"/>
  <c r="O3038" i="16" s="1"/>
  <c r="L3037" i="16"/>
  <c r="M3037" i="16" s="1"/>
  <c r="O3037" i="16" s="1"/>
  <c r="L3036" i="16"/>
  <c r="M3036" i="16" s="1"/>
  <c r="O3036" i="16" s="1"/>
  <c r="L3035" i="16"/>
  <c r="M3035" i="16" s="1"/>
  <c r="O3035" i="16" s="1"/>
  <c r="L3034" i="16"/>
  <c r="M3034" i="16" s="1"/>
  <c r="O3034" i="16" s="1"/>
  <c r="L3033" i="16"/>
  <c r="M3033" i="16" s="1"/>
  <c r="O3033" i="16" s="1"/>
  <c r="L3032" i="16"/>
  <c r="M3032" i="16" s="1"/>
  <c r="O3032" i="16" s="1"/>
  <c r="L3031" i="16"/>
  <c r="M3031" i="16" s="1"/>
  <c r="O3031" i="16" s="1"/>
  <c r="L3030" i="16"/>
  <c r="M3030" i="16" s="1"/>
  <c r="O3030" i="16" s="1"/>
  <c r="L3029" i="16"/>
  <c r="M3029" i="16" s="1"/>
  <c r="O3029" i="16" s="1"/>
  <c r="L3028" i="16"/>
  <c r="M3028" i="16" s="1"/>
  <c r="O3028" i="16" s="1"/>
  <c r="L3027" i="16"/>
  <c r="M3027" i="16" s="1"/>
  <c r="O3027" i="16" s="1"/>
  <c r="L3026" i="16"/>
  <c r="M3026" i="16" s="1"/>
  <c r="O3026" i="16" s="1"/>
  <c r="L3025" i="16"/>
  <c r="M3025" i="16" s="1"/>
  <c r="O3025" i="16" s="1"/>
  <c r="L3024" i="16"/>
  <c r="M3024" i="16" s="1"/>
  <c r="O3024" i="16" s="1"/>
  <c r="L3023" i="16"/>
  <c r="M3023" i="16" s="1"/>
  <c r="O3023" i="16" s="1"/>
  <c r="L3022" i="16"/>
  <c r="M3022" i="16" s="1"/>
  <c r="O3022" i="16" s="1"/>
  <c r="L3021" i="16"/>
  <c r="M3021" i="16" s="1"/>
  <c r="O3021" i="16" s="1"/>
  <c r="L3020" i="16"/>
  <c r="M3020" i="16" s="1"/>
  <c r="O3020" i="16" s="1"/>
  <c r="L3017" i="16"/>
  <c r="M3017" i="16" s="1"/>
  <c r="O3017" i="16" s="1"/>
  <c r="L3016" i="16"/>
  <c r="M3016" i="16" s="1"/>
  <c r="O3016" i="16" s="1"/>
  <c r="L3015" i="16"/>
  <c r="M3015" i="16" s="1"/>
  <c r="O3015" i="16" s="1"/>
  <c r="L3014" i="16"/>
  <c r="M3014" i="16" s="1"/>
  <c r="O3014" i="16" s="1"/>
  <c r="P3012" i="16"/>
  <c r="L3010" i="16"/>
  <c r="M3010" i="16" s="1"/>
  <c r="O3010" i="16" s="1"/>
  <c r="L3008" i="16"/>
  <c r="M3008" i="16" s="1"/>
  <c r="O3008" i="16" s="1"/>
  <c r="L3007" i="16"/>
  <c r="M3007" i="16" s="1"/>
  <c r="O3007" i="16" s="1"/>
  <c r="L3006" i="16"/>
  <c r="M3006" i="16" s="1"/>
  <c r="O3006" i="16" s="1"/>
  <c r="L3005" i="16"/>
  <c r="M3005" i="16" s="1"/>
  <c r="O3005" i="16" s="1"/>
  <c r="L3004" i="16"/>
  <c r="M3004" i="16" s="1"/>
  <c r="O3004" i="16" s="1"/>
  <c r="L3003" i="16"/>
  <c r="M3003" i="16" s="1"/>
  <c r="O3003" i="16" s="1"/>
  <c r="L3002" i="16"/>
  <c r="M3002" i="16" s="1"/>
  <c r="O3002" i="16" s="1"/>
  <c r="L3001" i="16"/>
  <c r="M3001" i="16" s="1"/>
  <c r="O3001" i="16" s="1"/>
  <c r="L3000" i="16"/>
  <c r="M3000" i="16" s="1"/>
  <c r="O3000" i="16" s="1"/>
  <c r="L2999" i="16"/>
  <c r="M2999" i="16" s="1"/>
  <c r="O2999" i="16" s="1"/>
  <c r="L2998" i="16"/>
  <c r="M2998" i="16" s="1"/>
  <c r="O2998" i="16" s="1"/>
  <c r="L2997" i="16"/>
  <c r="M2997" i="16" s="1"/>
  <c r="O2997" i="16" s="1"/>
  <c r="L2996" i="16"/>
  <c r="M2996" i="16" s="1"/>
  <c r="O2996" i="16" s="1"/>
  <c r="L2995" i="16"/>
  <c r="M2995" i="16" s="1"/>
  <c r="O2995" i="16" s="1"/>
  <c r="L2994" i="16"/>
  <c r="M2994" i="16" s="1"/>
  <c r="O2994" i="16" s="1"/>
  <c r="P2992" i="16"/>
  <c r="L2991" i="16"/>
  <c r="M2991" i="16" s="1"/>
  <c r="O2991" i="16" s="1"/>
  <c r="L2990" i="16"/>
  <c r="M2990" i="16" s="1"/>
  <c r="O2990" i="16" s="1"/>
  <c r="L2989" i="16"/>
  <c r="M2989" i="16" s="1"/>
  <c r="O2989" i="16" s="1"/>
  <c r="L2988" i="16"/>
  <c r="M2988" i="16" s="1"/>
  <c r="O2988" i="16" s="1"/>
  <c r="L2987" i="16"/>
  <c r="M2987" i="16" s="1"/>
  <c r="O2987" i="16" s="1"/>
  <c r="L2986" i="16"/>
  <c r="M2986" i="16" s="1"/>
  <c r="O2986" i="16" s="1"/>
  <c r="L2985" i="16"/>
  <c r="M2985" i="16" s="1"/>
  <c r="O2985" i="16" s="1"/>
  <c r="L2984" i="16"/>
  <c r="M2984" i="16" s="1"/>
  <c r="O2984" i="16" s="1"/>
  <c r="L2983" i="16"/>
  <c r="M2983" i="16" s="1"/>
  <c r="O2983" i="16" s="1"/>
  <c r="L2982" i="16"/>
  <c r="M2982" i="16" s="1"/>
  <c r="O2982" i="16" s="1"/>
  <c r="L2981" i="16"/>
  <c r="M2981" i="16" s="1"/>
  <c r="O2981" i="16" s="1"/>
  <c r="L2980" i="16"/>
  <c r="M2980" i="16" s="1"/>
  <c r="O2980" i="16" s="1"/>
  <c r="L2979" i="16"/>
  <c r="M2979" i="16" s="1"/>
  <c r="O2979" i="16" s="1"/>
  <c r="L2978" i="16"/>
  <c r="M2978" i="16" s="1"/>
  <c r="O2978" i="16" s="1"/>
  <c r="L2977" i="16"/>
  <c r="M2977" i="16" s="1"/>
  <c r="O2977" i="16" s="1"/>
  <c r="L2976" i="16"/>
  <c r="M2976" i="16" s="1"/>
  <c r="O2976" i="16" s="1"/>
  <c r="L2975" i="16"/>
  <c r="M2975" i="16" s="1"/>
  <c r="O2975" i="16" s="1"/>
  <c r="L2974" i="16"/>
  <c r="M2974" i="16" s="1"/>
  <c r="O2974" i="16" s="1"/>
  <c r="L2973" i="16"/>
  <c r="M2973" i="16" s="1"/>
  <c r="O2973" i="16" s="1"/>
  <c r="L2972" i="16"/>
  <c r="M2972" i="16" s="1"/>
  <c r="O2972" i="16" s="1"/>
  <c r="L2971" i="16"/>
  <c r="M2971" i="16" s="1"/>
  <c r="O2971" i="16" s="1"/>
  <c r="L2970" i="16"/>
  <c r="M2970" i="16" s="1"/>
  <c r="O2970" i="16" s="1"/>
  <c r="L2969" i="16"/>
  <c r="M2969" i="16" s="1"/>
  <c r="O2969" i="16" s="1"/>
  <c r="L2968" i="16"/>
  <c r="M2968" i="16" s="1"/>
  <c r="O2968" i="16" s="1"/>
  <c r="L2967" i="16"/>
  <c r="M2967" i="16" s="1"/>
  <c r="O2967" i="16" s="1"/>
  <c r="L2966" i="16"/>
  <c r="M2966" i="16" s="1"/>
  <c r="O2966" i="16" s="1"/>
  <c r="L2965" i="16"/>
  <c r="M2965" i="16" s="1"/>
  <c r="O2965" i="16" s="1"/>
  <c r="L2964" i="16"/>
  <c r="M2964" i="16" s="1"/>
  <c r="O2964" i="16" s="1"/>
  <c r="L2963" i="16"/>
  <c r="M2963" i="16" s="1"/>
  <c r="O2963" i="16" s="1"/>
  <c r="L2962" i="16"/>
  <c r="M2962" i="16" s="1"/>
  <c r="O2962" i="16" s="1"/>
  <c r="L2961" i="16"/>
  <c r="M2961" i="16" s="1"/>
  <c r="O2961" i="16" s="1"/>
  <c r="L2960" i="16"/>
  <c r="M2960" i="16" s="1"/>
  <c r="O2960" i="16" s="1"/>
  <c r="L2959" i="16"/>
  <c r="M2959" i="16" s="1"/>
  <c r="O2959" i="16" s="1"/>
  <c r="L2958" i="16"/>
  <c r="M2958" i="16" s="1"/>
  <c r="O2958" i="16" s="1"/>
  <c r="L2957" i="16"/>
  <c r="M2957" i="16" s="1"/>
  <c r="O2957" i="16" s="1"/>
  <c r="L2956" i="16"/>
  <c r="M2956" i="16" s="1"/>
  <c r="O2956" i="16" s="1"/>
  <c r="L2955" i="16"/>
  <c r="M2955" i="16" s="1"/>
  <c r="O2955" i="16" s="1"/>
  <c r="L2954" i="16"/>
  <c r="M2954" i="16" s="1"/>
  <c r="O2954" i="16" s="1"/>
  <c r="L2953" i="16"/>
  <c r="M2953" i="16" s="1"/>
  <c r="O2953" i="16" s="1"/>
  <c r="L2952" i="16"/>
  <c r="M2952" i="16" s="1"/>
  <c r="O2952" i="16" s="1"/>
  <c r="L2949" i="16"/>
  <c r="M2949" i="16" s="1"/>
  <c r="O2949" i="16" s="1"/>
  <c r="L2948" i="16"/>
  <c r="M2948" i="16" s="1"/>
  <c r="O2948" i="16" s="1"/>
  <c r="L2947" i="16"/>
  <c r="M2947" i="16" s="1"/>
  <c r="O2947" i="16" s="1"/>
  <c r="L2946" i="16"/>
  <c r="M2946" i="16" s="1"/>
  <c r="O2946" i="16" s="1"/>
  <c r="L2945" i="16"/>
  <c r="M2945" i="16" s="1"/>
  <c r="O2945" i="16" s="1"/>
  <c r="L2944" i="16"/>
  <c r="M2944" i="16" s="1"/>
  <c r="O2944" i="16" s="1"/>
  <c r="L2943" i="16"/>
  <c r="M2943" i="16" s="1"/>
  <c r="O2943" i="16" s="1"/>
  <c r="L2942" i="16"/>
  <c r="M2942" i="16" s="1"/>
  <c r="O2942" i="16" s="1"/>
  <c r="L2941" i="16"/>
  <c r="M2941" i="16" s="1"/>
  <c r="O2941" i="16" s="1"/>
  <c r="L2940" i="16"/>
  <c r="M2940" i="16" s="1"/>
  <c r="O2940" i="16" s="1"/>
  <c r="L2939" i="16"/>
  <c r="M2939" i="16" s="1"/>
  <c r="O2939" i="16" s="1"/>
  <c r="L2938" i="16"/>
  <c r="M2938" i="16" s="1"/>
  <c r="O2938" i="16" s="1"/>
  <c r="L2937" i="16"/>
  <c r="M2937" i="16" s="1"/>
  <c r="O2937" i="16" s="1"/>
  <c r="L2936" i="16"/>
  <c r="M2936" i="16" s="1"/>
  <c r="O2936" i="16" s="1"/>
  <c r="L2935" i="16"/>
  <c r="M2935" i="16" s="1"/>
  <c r="O2935" i="16" s="1"/>
  <c r="L2934" i="16"/>
  <c r="M2934" i="16" s="1"/>
  <c r="O2934" i="16" s="1"/>
  <c r="L2933" i="16"/>
  <c r="M2933" i="16" s="1"/>
  <c r="O2933" i="16" s="1"/>
  <c r="L2932" i="16"/>
  <c r="M2932" i="16" s="1"/>
  <c r="O2932" i="16" s="1"/>
  <c r="L2931" i="16"/>
  <c r="M2931" i="16" s="1"/>
  <c r="O2931" i="16" s="1"/>
  <c r="L2930" i="16"/>
  <c r="M2930" i="16" s="1"/>
  <c r="O2930" i="16" s="1"/>
  <c r="L2929" i="16"/>
  <c r="M2929" i="16" s="1"/>
  <c r="O2929" i="16" s="1"/>
  <c r="L2928" i="16"/>
  <c r="M2928" i="16" s="1"/>
  <c r="O2928" i="16" s="1"/>
  <c r="L2927" i="16"/>
  <c r="M2927" i="16" s="1"/>
  <c r="O2927" i="16" s="1"/>
  <c r="L2926" i="16"/>
  <c r="M2926" i="16" s="1"/>
  <c r="O2926" i="16" s="1"/>
  <c r="L2925" i="16"/>
  <c r="M2925" i="16" s="1"/>
  <c r="O2925" i="16" s="1"/>
  <c r="L2924" i="16"/>
  <c r="M2924" i="16" s="1"/>
  <c r="O2924" i="16" s="1"/>
  <c r="L2923" i="16"/>
  <c r="M2923" i="16" s="1"/>
  <c r="O2923" i="16" s="1"/>
  <c r="L2922" i="16"/>
  <c r="M2922" i="16" s="1"/>
  <c r="O2922" i="16" s="1"/>
  <c r="L2921" i="16"/>
  <c r="M2921" i="16" s="1"/>
  <c r="O2921" i="16" s="1"/>
  <c r="L2920" i="16"/>
  <c r="M2920" i="16" s="1"/>
  <c r="O2920" i="16" s="1"/>
  <c r="L2919" i="16"/>
  <c r="M2919" i="16" s="1"/>
  <c r="O2919" i="16" s="1"/>
  <c r="L2918" i="16"/>
  <c r="M2918" i="16" s="1"/>
  <c r="O2918" i="16" s="1"/>
  <c r="L2917" i="16"/>
  <c r="M2917" i="16" s="1"/>
  <c r="O2917" i="16" s="1"/>
  <c r="L2916" i="16"/>
  <c r="M2916" i="16" s="1"/>
  <c r="O2916" i="16" s="1"/>
  <c r="L2915" i="16"/>
  <c r="M2915" i="16" s="1"/>
  <c r="O2915" i="16" s="1"/>
  <c r="L2914" i="16"/>
  <c r="M2914" i="16" s="1"/>
  <c r="O2914" i="16" s="1"/>
  <c r="L2913" i="16"/>
  <c r="M2913" i="16" s="1"/>
  <c r="O2913" i="16" s="1"/>
  <c r="L2912" i="16"/>
  <c r="M2912" i="16" s="1"/>
  <c r="O2912" i="16" s="1"/>
  <c r="T67" i="2"/>
  <c r="S63" i="2"/>
  <c r="S67" i="2"/>
  <c r="M67" i="2"/>
  <c r="I2950" i="16"/>
  <c r="I2992" i="16"/>
  <c r="I3012" i="16"/>
  <c r="I3018" i="16"/>
  <c r="I3085" i="16"/>
  <c r="G67" i="3"/>
  <c r="H67" i="3"/>
  <c r="I67" i="3"/>
  <c r="J67" i="3"/>
  <c r="K67" i="3"/>
  <c r="L67" i="3"/>
  <c r="M67" i="3"/>
  <c r="N67" i="3"/>
  <c r="F67" i="3"/>
  <c r="G60" i="3"/>
  <c r="B60" i="3" s="1"/>
  <c r="H1353" i="8"/>
  <c r="K1306" i="8"/>
  <c r="L1306" i="8" s="1"/>
  <c r="N1306" i="8" s="1"/>
  <c r="K1305" i="8"/>
  <c r="L1305" i="8" s="1"/>
  <c r="N1305" i="8" s="1"/>
  <c r="G49" i="3"/>
  <c r="B49" i="3" s="1"/>
  <c r="G45" i="3"/>
  <c r="C45" i="3" s="1"/>
  <c r="H45" i="3"/>
  <c r="I45" i="3"/>
  <c r="J45" i="3"/>
  <c r="K45" i="3"/>
  <c r="L45" i="3"/>
  <c r="F45" i="3"/>
  <c r="B45" i="3" s="1"/>
  <c r="K31" i="3"/>
  <c r="F18" i="3"/>
  <c r="E415" i="14"/>
  <c r="F415" i="14"/>
  <c r="I3087" i="16" l="1"/>
  <c r="O2950" i="16"/>
  <c r="O3012" i="16"/>
  <c r="O3085" i="16"/>
  <c r="O3018" i="16"/>
  <c r="B90" i="3"/>
  <c r="B114" i="3"/>
  <c r="B67" i="3"/>
  <c r="K1353" i="8"/>
  <c r="L1353" i="8" s="1"/>
  <c r="N1353" i="8" s="1"/>
  <c r="P3087" i="16"/>
  <c r="I415" i="14"/>
  <c r="O2992" i="16"/>
  <c r="M3087" i="16"/>
  <c r="L3087" i="16"/>
  <c r="G25" i="3"/>
  <c r="C25" i="3" s="1"/>
  <c r="H25" i="3"/>
  <c r="I25" i="3"/>
  <c r="J25" i="3"/>
  <c r="K25" i="3"/>
  <c r="F25" i="3"/>
  <c r="B25" i="3" s="1"/>
  <c r="B18" i="3"/>
  <c r="F14" i="3"/>
  <c r="M159" i="25"/>
  <c r="J159" i="25"/>
  <c r="K159" i="25" s="1"/>
  <c r="M158" i="25"/>
  <c r="J158" i="25"/>
  <c r="K158" i="25" s="1"/>
  <c r="M157" i="25"/>
  <c r="J157" i="25"/>
  <c r="K157" i="25" s="1"/>
  <c r="M156" i="25"/>
  <c r="J156" i="25"/>
  <c r="K156" i="25" s="1"/>
  <c r="M155" i="25"/>
  <c r="J155" i="25"/>
  <c r="K155" i="25" s="1"/>
  <c r="M154" i="25"/>
  <c r="J154" i="25"/>
  <c r="K154" i="25" s="1"/>
  <c r="M153" i="25"/>
  <c r="J153" i="25"/>
  <c r="K153" i="25" s="1"/>
  <c r="M152" i="25"/>
  <c r="J152" i="25"/>
  <c r="K152" i="25" s="1"/>
  <c r="M151" i="25"/>
  <c r="J151" i="25"/>
  <c r="K151" i="25" s="1"/>
  <c r="M150" i="25"/>
  <c r="J150" i="25"/>
  <c r="K150" i="25" s="1"/>
  <c r="M149" i="25"/>
  <c r="J149" i="25"/>
  <c r="K149" i="25" s="1"/>
  <c r="M148" i="25"/>
  <c r="J148" i="25"/>
  <c r="K148" i="25" s="1"/>
  <c r="M147" i="25"/>
  <c r="J147" i="25"/>
  <c r="K147" i="25" s="1"/>
  <c r="M146" i="25"/>
  <c r="J146" i="25"/>
  <c r="K146" i="25" s="1"/>
  <c r="M145" i="25"/>
  <c r="J145" i="25"/>
  <c r="K145" i="25" s="1"/>
  <c r="M144" i="25"/>
  <c r="J144" i="25"/>
  <c r="K144" i="25" s="1"/>
  <c r="M143" i="25"/>
  <c r="J143" i="25"/>
  <c r="K143" i="25" s="1"/>
  <c r="M142" i="25"/>
  <c r="J142" i="25"/>
  <c r="K142" i="25" s="1"/>
  <c r="M141" i="25"/>
  <c r="J141" i="25"/>
  <c r="K141" i="25" s="1"/>
  <c r="M140" i="25"/>
  <c r="J140" i="25"/>
  <c r="K140" i="25" s="1"/>
  <c r="M139" i="25"/>
  <c r="J139" i="25"/>
  <c r="K139" i="25" s="1"/>
  <c r="M138" i="25"/>
  <c r="J138" i="25"/>
  <c r="K138" i="25" s="1"/>
  <c r="M137" i="25"/>
  <c r="J137" i="25"/>
  <c r="K137" i="25" s="1"/>
  <c r="M136" i="25"/>
  <c r="J136" i="25"/>
  <c r="K136" i="25" s="1"/>
  <c r="M135" i="25"/>
  <c r="J135" i="25"/>
  <c r="K135" i="25" s="1"/>
  <c r="M134" i="25"/>
  <c r="J134" i="25"/>
  <c r="K134" i="25" s="1"/>
  <c r="M133" i="25"/>
  <c r="J133" i="25"/>
  <c r="K133" i="25" s="1"/>
  <c r="M132" i="25"/>
  <c r="J132" i="25"/>
  <c r="K132" i="25" s="1"/>
  <c r="M131" i="25"/>
  <c r="J131" i="25"/>
  <c r="K131" i="25" s="1"/>
  <c r="M130" i="25"/>
  <c r="J130" i="25"/>
  <c r="K130" i="25" s="1"/>
  <c r="O2908" i="16"/>
  <c r="L2908" i="16"/>
  <c r="M2908" i="16" s="1"/>
  <c r="O2907" i="16"/>
  <c r="L2907" i="16"/>
  <c r="M2907" i="16" s="1"/>
  <c r="O2906" i="16"/>
  <c r="L2906" i="16"/>
  <c r="M2906" i="16" s="1"/>
  <c r="O2905" i="16"/>
  <c r="L2905" i="16"/>
  <c r="M2905" i="16" s="1"/>
  <c r="O2904" i="16"/>
  <c r="L2904" i="16"/>
  <c r="M2904" i="16" s="1"/>
  <c r="O2903" i="16"/>
  <c r="L2903" i="16"/>
  <c r="M2903" i="16" s="1"/>
  <c r="O2902" i="16"/>
  <c r="L2902" i="16"/>
  <c r="M2902" i="16" s="1"/>
  <c r="O2901" i="16"/>
  <c r="L2901" i="16"/>
  <c r="M2901" i="16" s="1"/>
  <c r="O2900" i="16"/>
  <c r="L2900" i="16"/>
  <c r="M2900" i="16" s="1"/>
  <c r="O2899" i="16"/>
  <c r="L2899" i="16"/>
  <c r="M2899" i="16" s="1"/>
  <c r="O2898" i="16"/>
  <c r="L2898" i="16"/>
  <c r="M2898" i="16" s="1"/>
  <c r="O2897" i="16"/>
  <c r="L2897" i="16"/>
  <c r="M2897" i="16" s="1"/>
  <c r="O2896" i="16"/>
  <c r="L2896" i="16"/>
  <c r="M2896" i="16" s="1"/>
  <c r="O2895" i="16"/>
  <c r="L2895" i="16"/>
  <c r="M2895" i="16" s="1"/>
  <c r="O2894" i="16"/>
  <c r="L2894" i="16"/>
  <c r="M2894" i="16" s="1"/>
  <c r="O2893" i="16"/>
  <c r="L2893" i="16"/>
  <c r="M2893" i="16" s="1"/>
  <c r="O2892" i="16"/>
  <c r="L2892" i="16"/>
  <c r="M2892" i="16" s="1"/>
  <c r="O2891" i="16"/>
  <c r="L2891" i="16"/>
  <c r="M2891" i="16" s="1"/>
  <c r="O2890" i="16"/>
  <c r="L2890" i="16"/>
  <c r="M2890" i="16" s="1"/>
  <c r="O2889" i="16"/>
  <c r="L2889" i="16"/>
  <c r="M2889" i="16" s="1"/>
  <c r="O2888" i="16"/>
  <c r="L2888" i="16"/>
  <c r="M2888" i="16" s="1"/>
  <c r="O2887" i="16"/>
  <c r="L2887" i="16"/>
  <c r="M2887" i="16" s="1"/>
  <c r="O2886" i="16"/>
  <c r="L2886" i="16"/>
  <c r="M2886" i="16" s="1"/>
  <c r="O2885" i="16"/>
  <c r="L2885" i="16"/>
  <c r="M2885" i="16" s="1"/>
  <c r="O2884" i="16"/>
  <c r="L2884" i="16"/>
  <c r="M2884" i="16" s="1"/>
  <c r="O2883" i="16"/>
  <c r="L2883" i="16"/>
  <c r="M2883" i="16" s="1"/>
  <c r="O2882" i="16"/>
  <c r="L2882" i="16"/>
  <c r="M2882" i="16" s="1"/>
  <c r="O2881" i="16"/>
  <c r="L2881" i="16"/>
  <c r="M2881" i="16" s="1"/>
  <c r="O2880" i="16"/>
  <c r="L2880" i="16"/>
  <c r="M2880" i="16" s="1"/>
  <c r="O2879" i="16"/>
  <c r="L2879" i="16"/>
  <c r="M2879" i="16" s="1"/>
  <c r="P3088" i="16" l="1"/>
  <c r="B14" i="3"/>
  <c r="F191" i="3"/>
  <c r="O3087" i="16"/>
  <c r="O3088" i="16" s="1"/>
  <c r="F57" i="19"/>
  <c r="G57" i="19"/>
  <c r="H57" i="19"/>
  <c r="E347" i="14"/>
  <c r="E351" i="14" s="1"/>
  <c r="H9" i="3"/>
  <c r="H191" i="3" s="1"/>
  <c r="I9" i="3"/>
  <c r="I191" i="3" s="1"/>
  <c r="J9" i="3"/>
  <c r="K9" i="3"/>
  <c r="K191" i="3" s="1"/>
  <c r="L9" i="3"/>
  <c r="L191" i="3" s="1"/>
  <c r="M9" i="3"/>
  <c r="M191" i="3" s="1"/>
  <c r="N9" i="3"/>
  <c r="N191" i="3" s="1"/>
  <c r="G9" i="3"/>
  <c r="G191" i="3" s="1"/>
  <c r="B9" i="3" l="1"/>
  <c r="B191" i="3" s="1"/>
  <c r="J191" i="3"/>
  <c r="C9" i="3"/>
  <c r="C191" i="3" s="1"/>
  <c r="J57" i="19"/>
  <c r="H68" i="20"/>
  <c r="I68" i="20"/>
  <c r="J68" i="20"/>
  <c r="K68" i="20"/>
  <c r="L68" i="20"/>
  <c r="H63" i="20"/>
  <c r="I63" i="20"/>
  <c r="J63" i="20"/>
  <c r="K63" i="20"/>
  <c r="L63" i="20"/>
  <c r="H56" i="20"/>
  <c r="I56" i="20"/>
  <c r="J56" i="20"/>
  <c r="K56" i="20"/>
  <c r="L56" i="20"/>
  <c r="B193" i="3" l="1"/>
  <c r="B195" i="3" s="1"/>
  <c r="I281" i="14"/>
  <c r="G47" i="18"/>
  <c r="H699" i="8"/>
  <c r="H698" i="8"/>
  <c r="H697" i="8"/>
  <c r="H696" i="8"/>
  <c r="H695" i="8"/>
  <c r="H694" i="8"/>
  <c r="H693" i="8"/>
  <c r="H692" i="8"/>
  <c r="H691" i="8"/>
  <c r="P2873" i="16"/>
  <c r="I2864" i="16"/>
  <c r="I2865" i="16"/>
  <c r="I2866" i="16"/>
  <c r="I2867" i="16"/>
  <c r="I2868" i="16"/>
  <c r="I2869" i="16"/>
  <c r="I2870" i="16"/>
  <c r="I2871" i="16"/>
  <c r="I2872" i="16"/>
  <c r="I2863" i="16"/>
  <c r="E411" i="14"/>
  <c r="F411" i="14"/>
  <c r="F309" i="14"/>
  <c r="E309" i="14"/>
  <c r="H484" i="25"/>
  <c r="H483" i="25"/>
  <c r="K483" i="25" s="1"/>
  <c r="L483" i="25" s="1"/>
  <c r="N483" i="25" s="1"/>
  <c r="H482" i="25"/>
  <c r="H481" i="25"/>
  <c r="K481" i="25" s="1"/>
  <c r="L481" i="25" s="1"/>
  <c r="N481" i="25" s="1"/>
  <c r="H480" i="25"/>
  <c r="H479" i="25"/>
  <c r="K479" i="25" s="1"/>
  <c r="L479" i="25" s="1"/>
  <c r="N479" i="25" s="1"/>
  <c r="H478" i="25"/>
  <c r="H477" i="25"/>
  <c r="K477" i="25" s="1"/>
  <c r="L477" i="25" s="1"/>
  <c r="N477" i="25" s="1"/>
  <c r="H474" i="25"/>
  <c r="H473" i="25"/>
  <c r="K473" i="25" s="1"/>
  <c r="L473" i="25" s="1"/>
  <c r="N473" i="25" s="1"/>
  <c r="H472" i="25"/>
  <c r="H471" i="25"/>
  <c r="K471" i="25" s="1"/>
  <c r="L471" i="25" s="1"/>
  <c r="N471" i="25" s="1"/>
  <c r="H470" i="25"/>
  <c r="H469" i="25"/>
  <c r="K469" i="25" s="1"/>
  <c r="L469" i="25" s="1"/>
  <c r="N469" i="25" s="1"/>
  <c r="H468" i="25"/>
  <c r="H467" i="25"/>
  <c r="H466" i="25"/>
  <c r="K466" i="25" s="1"/>
  <c r="L466" i="25" s="1"/>
  <c r="N466" i="25" s="1"/>
  <c r="H465" i="25"/>
  <c r="H464" i="25"/>
  <c r="K464" i="25" s="1"/>
  <c r="L464" i="25" s="1"/>
  <c r="N464" i="25" s="1"/>
  <c r="H463" i="25"/>
  <c r="H462" i="25"/>
  <c r="K462" i="25" s="1"/>
  <c r="L462" i="25" s="1"/>
  <c r="N462" i="25" s="1"/>
  <c r="H461" i="25"/>
  <c r="H460" i="25"/>
  <c r="K460" i="25" s="1"/>
  <c r="L460" i="25" s="1"/>
  <c r="N460" i="25" s="1"/>
  <c r="H459" i="25"/>
  <c r="H457" i="25"/>
  <c r="H456" i="25"/>
  <c r="K456" i="25" s="1"/>
  <c r="L456" i="25" s="1"/>
  <c r="N456" i="25" s="1"/>
  <c r="H455" i="25"/>
  <c r="H454" i="25"/>
  <c r="K454" i="25" s="1"/>
  <c r="L454" i="25" s="1"/>
  <c r="N454" i="25" s="1"/>
  <c r="H453" i="25"/>
  <c r="H452" i="25"/>
  <c r="K452" i="25" s="1"/>
  <c r="L452" i="25" s="1"/>
  <c r="N452" i="25" s="1"/>
  <c r="H451" i="25"/>
  <c r="H450" i="25"/>
  <c r="K450" i="25" s="1"/>
  <c r="L450" i="25" s="1"/>
  <c r="N450" i="25" s="1"/>
  <c r="H449" i="25"/>
  <c r="H448" i="25"/>
  <c r="K448" i="25" s="1"/>
  <c r="L448" i="25" s="1"/>
  <c r="N448" i="25" s="1"/>
  <c r="H447" i="25"/>
  <c r="H446" i="25"/>
  <c r="K446" i="25" s="1"/>
  <c r="L446" i="25" s="1"/>
  <c r="N446" i="25" s="1"/>
  <c r="H445" i="25"/>
  <c r="H444" i="25"/>
  <c r="K444" i="25" s="1"/>
  <c r="L444" i="25" s="1"/>
  <c r="N444" i="25" s="1"/>
  <c r="H443" i="25"/>
  <c r="H442" i="25"/>
  <c r="K442" i="25" s="1"/>
  <c r="L442" i="25" s="1"/>
  <c r="N442" i="25" s="1"/>
  <c r="H441" i="25"/>
  <c r="H440" i="25"/>
  <c r="K440" i="25" s="1"/>
  <c r="L440" i="25" s="1"/>
  <c r="N440" i="25" s="1"/>
  <c r="H439" i="25"/>
  <c r="H438" i="25"/>
  <c r="K438" i="25" s="1"/>
  <c r="L438" i="25" s="1"/>
  <c r="N438" i="25" s="1"/>
  <c r="H437" i="25"/>
  <c r="H436" i="25"/>
  <c r="K436" i="25" s="1"/>
  <c r="L436" i="25" s="1"/>
  <c r="N436" i="25" s="1"/>
  <c r="H435" i="25"/>
  <c r="H434" i="25"/>
  <c r="K434" i="25" s="1"/>
  <c r="L434" i="25" s="1"/>
  <c r="N434" i="25" s="1"/>
  <c r="H433" i="25"/>
  <c r="H432" i="25"/>
  <c r="K432" i="25" s="1"/>
  <c r="L432" i="25" s="1"/>
  <c r="N432" i="25" s="1"/>
  <c r="H431" i="25"/>
  <c r="H430" i="25"/>
  <c r="K430" i="25" s="1"/>
  <c r="L430" i="25" s="1"/>
  <c r="N430" i="25" s="1"/>
  <c r="H429" i="25"/>
  <c r="H428" i="25"/>
  <c r="K428" i="25" s="1"/>
  <c r="L428" i="25" s="1"/>
  <c r="N428" i="25" s="1"/>
  <c r="E407" i="14"/>
  <c r="F407" i="14"/>
  <c r="E403" i="14"/>
  <c r="F403" i="14"/>
  <c r="H271" i="25"/>
  <c r="K271" i="25" s="1"/>
  <c r="L271" i="25" s="1"/>
  <c r="N271" i="25" s="1"/>
  <c r="H275" i="25"/>
  <c r="H274" i="25"/>
  <c r="H273" i="25"/>
  <c r="H272" i="25"/>
  <c r="K272" i="25" s="1"/>
  <c r="H413" i="25"/>
  <c r="K413" i="25" s="1"/>
  <c r="L413" i="25" s="1"/>
  <c r="N413" i="25" s="1"/>
  <c r="H412" i="25"/>
  <c r="H411" i="25"/>
  <c r="K411" i="25" s="1"/>
  <c r="L411" i="25" s="1"/>
  <c r="N411" i="25" s="1"/>
  <c r="H410" i="25"/>
  <c r="H409" i="25"/>
  <c r="H408" i="25"/>
  <c r="K408" i="25" s="1"/>
  <c r="H407" i="25"/>
  <c r="H415" i="25"/>
  <c r="H414" i="25"/>
  <c r="H406" i="25"/>
  <c r="K406" i="25" s="1"/>
  <c r="H405" i="25"/>
  <c r="H404" i="25"/>
  <c r="K404" i="25" s="1"/>
  <c r="H403" i="25"/>
  <c r="H402" i="25"/>
  <c r="K402" i="25" s="1"/>
  <c r="H401" i="25"/>
  <c r="H400" i="25"/>
  <c r="H399" i="25"/>
  <c r="H398" i="25"/>
  <c r="K398" i="25" s="1"/>
  <c r="H397" i="25"/>
  <c r="H396" i="25"/>
  <c r="K396" i="25" s="1"/>
  <c r="H395" i="25"/>
  <c r="H394" i="25"/>
  <c r="K394" i="25" s="1"/>
  <c r="H393" i="25"/>
  <c r="H392" i="25"/>
  <c r="K392" i="25" s="1"/>
  <c r="H391" i="25"/>
  <c r="H390" i="25"/>
  <c r="K390" i="25" s="1"/>
  <c r="H389" i="25"/>
  <c r="H388" i="25"/>
  <c r="K388" i="25" s="1"/>
  <c r="H387" i="25"/>
  <c r="H386" i="25"/>
  <c r="H385" i="25"/>
  <c r="H384" i="25"/>
  <c r="K384" i="25" s="1"/>
  <c r="H383" i="25"/>
  <c r="H382" i="25"/>
  <c r="K382" i="25" s="1"/>
  <c r="H381" i="25"/>
  <c r="H380" i="25"/>
  <c r="K380" i="25" s="1"/>
  <c r="H379" i="25"/>
  <c r="H378" i="25"/>
  <c r="K378" i="25" s="1"/>
  <c r="H377" i="25"/>
  <c r="H376" i="25"/>
  <c r="K376" i="25" s="1"/>
  <c r="H375" i="25"/>
  <c r="H374" i="25"/>
  <c r="H373" i="25"/>
  <c r="H372" i="25"/>
  <c r="K372" i="25" s="1"/>
  <c r="H371" i="25"/>
  <c r="H370" i="25"/>
  <c r="K370" i="25" s="1"/>
  <c r="H369" i="25"/>
  <c r="H368" i="25"/>
  <c r="K368" i="25" s="1"/>
  <c r="H367" i="25"/>
  <c r="K365" i="25"/>
  <c r="L365" i="25" s="1"/>
  <c r="N365" i="25" s="1"/>
  <c r="K364" i="25"/>
  <c r="L364" i="25" s="1"/>
  <c r="N364" i="25" s="1"/>
  <c r="K363" i="25"/>
  <c r="L363" i="25" s="1"/>
  <c r="N363" i="25" s="1"/>
  <c r="K362" i="25"/>
  <c r="L362" i="25" s="1"/>
  <c r="N362" i="25" s="1"/>
  <c r="K361" i="25"/>
  <c r="L361" i="25" s="1"/>
  <c r="N361" i="25" s="1"/>
  <c r="K360" i="25"/>
  <c r="L360" i="25" s="1"/>
  <c r="N360" i="25" s="1"/>
  <c r="K359" i="25"/>
  <c r="L359" i="25" s="1"/>
  <c r="N359" i="25" s="1"/>
  <c r="K354" i="25"/>
  <c r="L354" i="25" s="1"/>
  <c r="N354" i="25" s="1"/>
  <c r="N353" i="25"/>
  <c r="N352" i="25"/>
  <c r="K351" i="25"/>
  <c r="L351" i="25" s="1"/>
  <c r="N351" i="25" s="1"/>
  <c r="E399" i="14"/>
  <c r="E394" i="14"/>
  <c r="F394" i="14"/>
  <c r="E390" i="14"/>
  <c r="F390" i="14"/>
  <c r="B196" i="3" l="1"/>
  <c r="B197" i="3" s="1"/>
  <c r="N5" i="18"/>
  <c r="I411" i="14"/>
  <c r="I403" i="14"/>
  <c r="I407" i="14"/>
  <c r="I2873" i="16"/>
  <c r="I399" i="14"/>
  <c r="I394" i="14"/>
  <c r="K429" i="25"/>
  <c r="L429" i="25" s="1"/>
  <c r="N429" i="25" s="1"/>
  <c r="K431" i="25"/>
  <c r="L431" i="25" s="1"/>
  <c r="N431" i="25" s="1"/>
  <c r="K433" i="25"/>
  <c r="L433" i="25" s="1"/>
  <c r="N433" i="25" s="1"/>
  <c r="K435" i="25"/>
  <c r="L435" i="25" s="1"/>
  <c r="N435" i="25" s="1"/>
  <c r="K437" i="25"/>
  <c r="L437" i="25" s="1"/>
  <c r="N437" i="25" s="1"/>
  <c r="K439" i="25"/>
  <c r="L439" i="25" s="1"/>
  <c r="N439" i="25" s="1"/>
  <c r="K441" i="25"/>
  <c r="L441" i="25" s="1"/>
  <c r="N441" i="25" s="1"/>
  <c r="K443" i="25"/>
  <c r="L443" i="25" s="1"/>
  <c r="N443" i="25" s="1"/>
  <c r="K445" i="25"/>
  <c r="L445" i="25" s="1"/>
  <c r="N445" i="25" s="1"/>
  <c r="K447" i="25"/>
  <c r="L447" i="25" s="1"/>
  <c r="N447" i="25" s="1"/>
  <c r="K449" i="25"/>
  <c r="L449" i="25" s="1"/>
  <c r="N449" i="25" s="1"/>
  <c r="K451" i="25"/>
  <c r="L451" i="25" s="1"/>
  <c r="N451" i="25" s="1"/>
  <c r="K453" i="25"/>
  <c r="L453" i="25" s="1"/>
  <c r="N453" i="25" s="1"/>
  <c r="K455" i="25"/>
  <c r="L455" i="25" s="1"/>
  <c r="N455" i="25" s="1"/>
  <c r="K457" i="25"/>
  <c r="L457" i="25" s="1"/>
  <c r="N457" i="25" s="1"/>
  <c r="K459" i="25"/>
  <c r="L459" i="25" s="1"/>
  <c r="N459" i="25" s="1"/>
  <c r="K461" i="25"/>
  <c r="L461" i="25" s="1"/>
  <c r="N461" i="25" s="1"/>
  <c r="K463" i="25"/>
  <c r="L463" i="25" s="1"/>
  <c r="N463" i="25" s="1"/>
  <c r="K465" i="25"/>
  <c r="L465" i="25" s="1"/>
  <c r="N465" i="25" s="1"/>
  <c r="K467" i="25"/>
  <c r="L467" i="25" s="1"/>
  <c r="N467" i="25" s="1"/>
  <c r="K468" i="25"/>
  <c r="L468" i="25" s="1"/>
  <c r="N468" i="25" s="1"/>
  <c r="K470" i="25"/>
  <c r="L470" i="25" s="1"/>
  <c r="N470" i="25" s="1"/>
  <c r="K472" i="25"/>
  <c r="L472" i="25" s="1"/>
  <c r="N472" i="25" s="1"/>
  <c r="K474" i="25"/>
  <c r="L474" i="25" s="1"/>
  <c r="N474" i="25" s="1"/>
  <c r="K478" i="25"/>
  <c r="L478" i="25" s="1"/>
  <c r="N478" i="25" s="1"/>
  <c r="K480" i="25"/>
  <c r="L480" i="25" s="1"/>
  <c r="N480" i="25" s="1"/>
  <c r="K482" i="25"/>
  <c r="L482" i="25" s="1"/>
  <c r="N482" i="25" s="1"/>
  <c r="K484" i="25"/>
  <c r="L484" i="25" s="1"/>
  <c r="N484" i="25" s="1"/>
  <c r="K274" i="25"/>
  <c r="L274" i="25" s="1"/>
  <c r="N274" i="25" s="1"/>
  <c r="L272" i="25"/>
  <c r="N272" i="25" s="1"/>
  <c r="K273" i="25"/>
  <c r="L273" i="25" s="1"/>
  <c r="N273" i="25" s="1"/>
  <c r="K275" i="25"/>
  <c r="L275" i="25" s="1"/>
  <c r="N275" i="25" s="1"/>
  <c r="K410" i="25"/>
  <c r="L410" i="25" s="1"/>
  <c r="N410" i="25" s="1"/>
  <c r="K412" i="25"/>
  <c r="L412" i="25" s="1"/>
  <c r="N412" i="25" s="1"/>
  <c r="K407" i="25"/>
  <c r="L407" i="25" s="1"/>
  <c r="N407" i="25" s="1"/>
  <c r="L408" i="25"/>
  <c r="N408" i="25" s="1"/>
  <c r="K409" i="25"/>
  <c r="L409" i="25" s="1"/>
  <c r="N409" i="25" s="1"/>
  <c r="I390" i="14"/>
  <c r="L372" i="25"/>
  <c r="N372" i="25" s="1"/>
  <c r="L380" i="25"/>
  <c r="N380" i="25" s="1"/>
  <c r="L384" i="25"/>
  <c r="N384" i="25" s="1"/>
  <c r="L390" i="25"/>
  <c r="N390" i="25" s="1"/>
  <c r="L394" i="25"/>
  <c r="N394" i="25" s="1"/>
  <c r="L404" i="25"/>
  <c r="N404" i="25" s="1"/>
  <c r="K367" i="25"/>
  <c r="L367" i="25" s="1"/>
  <c r="N367" i="25" s="1"/>
  <c r="K369" i="25"/>
  <c r="L369" i="25" s="1"/>
  <c r="N369" i="25" s="1"/>
  <c r="K371" i="25"/>
  <c r="L371" i="25" s="1"/>
  <c r="N371" i="25" s="1"/>
  <c r="K373" i="25"/>
  <c r="L373" i="25" s="1"/>
  <c r="N373" i="25" s="1"/>
  <c r="K375" i="25"/>
  <c r="L375" i="25" s="1"/>
  <c r="N375" i="25" s="1"/>
  <c r="K377" i="25"/>
  <c r="L377" i="25" s="1"/>
  <c r="N377" i="25" s="1"/>
  <c r="K379" i="25"/>
  <c r="L379" i="25" s="1"/>
  <c r="N379" i="25" s="1"/>
  <c r="K381" i="25"/>
  <c r="L381" i="25" s="1"/>
  <c r="N381" i="25" s="1"/>
  <c r="K383" i="25"/>
  <c r="L383" i="25" s="1"/>
  <c r="N383" i="25" s="1"/>
  <c r="K385" i="25"/>
  <c r="L385" i="25" s="1"/>
  <c r="N385" i="25" s="1"/>
  <c r="K387" i="25"/>
  <c r="L387" i="25" s="1"/>
  <c r="N387" i="25" s="1"/>
  <c r="K389" i="25"/>
  <c r="L389" i="25" s="1"/>
  <c r="N389" i="25" s="1"/>
  <c r="K391" i="25"/>
  <c r="L391" i="25" s="1"/>
  <c r="N391" i="25" s="1"/>
  <c r="K393" i="25"/>
  <c r="L393" i="25" s="1"/>
  <c r="N393" i="25" s="1"/>
  <c r="K395" i="25"/>
  <c r="L395" i="25" s="1"/>
  <c r="N395" i="25" s="1"/>
  <c r="K397" i="25"/>
  <c r="L397" i="25" s="1"/>
  <c r="N397" i="25" s="1"/>
  <c r="K399" i="25"/>
  <c r="L399" i="25" s="1"/>
  <c r="N399" i="25" s="1"/>
  <c r="K401" i="25"/>
  <c r="L401" i="25" s="1"/>
  <c r="N401" i="25" s="1"/>
  <c r="K403" i="25"/>
  <c r="L403" i="25" s="1"/>
  <c r="N403" i="25" s="1"/>
  <c r="K405" i="25"/>
  <c r="L405" i="25" s="1"/>
  <c r="N405" i="25" s="1"/>
  <c r="K414" i="25"/>
  <c r="L414" i="25" s="1"/>
  <c r="N414" i="25" s="1"/>
  <c r="L370" i="25"/>
  <c r="N370" i="25" s="1"/>
  <c r="L376" i="25"/>
  <c r="N376" i="25" s="1"/>
  <c r="L382" i="25"/>
  <c r="N382" i="25" s="1"/>
  <c r="L392" i="25"/>
  <c r="N392" i="25" s="1"/>
  <c r="L396" i="25"/>
  <c r="N396" i="25" s="1"/>
  <c r="L402" i="25"/>
  <c r="N402" i="25" s="1"/>
  <c r="L368" i="25"/>
  <c r="N368" i="25" s="1"/>
  <c r="L378" i="25"/>
  <c r="N378" i="25" s="1"/>
  <c r="L388" i="25"/>
  <c r="N388" i="25" s="1"/>
  <c r="L398" i="25"/>
  <c r="N398" i="25" s="1"/>
  <c r="L406" i="25"/>
  <c r="N406" i="25" s="1"/>
  <c r="K374" i="25"/>
  <c r="L374" i="25" s="1"/>
  <c r="N374" i="25" s="1"/>
  <c r="K386" i="25"/>
  <c r="L386" i="25" s="1"/>
  <c r="N386" i="25" s="1"/>
  <c r="K400" i="25"/>
  <c r="L400" i="25" s="1"/>
  <c r="N400" i="25" s="1"/>
  <c r="K415" i="25"/>
  <c r="L415" i="25" s="1"/>
  <c r="N415" i="25" s="1"/>
  <c r="F273" i="14" l="1"/>
  <c r="E384" i="14"/>
  <c r="F384" i="14"/>
  <c r="F51" i="19"/>
  <c r="G51" i="19"/>
  <c r="H51" i="19"/>
  <c r="F47" i="19"/>
  <c r="G47" i="19"/>
  <c r="H47" i="19"/>
  <c r="F41" i="19"/>
  <c r="G41" i="19"/>
  <c r="H41" i="19"/>
  <c r="E380" i="14"/>
  <c r="F380" i="14"/>
  <c r="F36" i="19"/>
  <c r="G36" i="19"/>
  <c r="F31" i="19"/>
  <c r="G31" i="19"/>
  <c r="H31" i="19"/>
  <c r="E344" i="14"/>
  <c r="F26" i="19"/>
  <c r="E374" i="14"/>
  <c r="F374" i="14"/>
  <c r="H267" i="25"/>
  <c r="H265" i="25"/>
  <c r="K265" i="25" s="1"/>
  <c r="L265" i="25" s="1"/>
  <c r="N265" i="25" s="1"/>
  <c r="H263" i="25"/>
  <c r="H260" i="25"/>
  <c r="H259" i="25"/>
  <c r="H258" i="25"/>
  <c r="H255" i="25"/>
  <c r="H254" i="25"/>
  <c r="H253" i="25"/>
  <c r="H250" i="25"/>
  <c r="K250" i="25" s="1"/>
  <c r="H249" i="25"/>
  <c r="H246" i="25"/>
  <c r="I688" i="8"/>
  <c r="K688" i="8" s="1"/>
  <c r="L688" i="8" s="1"/>
  <c r="N688" i="8" s="1"/>
  <c r="I687" i="8"/>
  <c r="K687" i="8" s="1"/>
  <c r="L687" i="8" s="1"/>
  <c r="N687" i="8" s="1"/>
  <c r="I686" i="8"/>
  <c r="K686" i="8" s="1"/>
  <c r="L686" i="8" s="1"/>
  <c r="N686" i="8" s="1"/>
  <c r="I685" i="8"/>
  <c r="K685" i="8" s="1"/>
  <c r="L685" i="8" s="1"/>
  <c r="N685" i="8" s="1"/>
  <c r="H1419" i="8"/>
  <c r="H1418" i="8"/>
  <c r="H1373" i="8"/>
  <c r="K1373" i="8" s="1"/>
  <c r="H1372" i="8"/>
  <c r="K1372" i="8" s="1"/>
  <c r="L1372" i="8" s="1"/>
  <c r="N1372" i="8" s="1"/>
  <c r="H1371" i="8"/>
  <c r="H1370" i="8"/>
  <c r="K1370" i="8" s="1"/>
  <c r="L1370" i="8" s="1"/>
  <c r="N1370" i="8" s="1"/>
  <c r="H1369" i="8"/>
  <c r="K1369" i="8" s="1"/>
  <c r="H1368" i="8"/>
  <c r="K1368" i="8" s="1"/>
  <c r="L1368" i="8" s="1"/>
  <c r="N1368" i="8" s="1"/>
  <c r="H1367" i="8"/>
  <c r="H1366" i="8"/>
  <c r="K1366" i="8" s="1"/>
  <c r="L1366" i="8" s="1"/>
  <c r="N1366" i="8" s="1"/>
  <c r="H1365" i="8"/>
  <c r="H1364" i="8"/>
  <c r="K1364" i="8" s="1"/>
  <c r="L1364" i="8" s="1"/>
  <c r="N1364" i="8" s="1"/>
  <c r="H1363" i="8"/>
  <c r="H1362" i="8"/>
  <c r="K1362" i="8" s="1"/>
  <c r="L1362" i="8" s="1"/>
  <c r="N1362" i="8" s="1"/>
  <c r="H1361" i="8"/>
  <c r="H1360" i="8"/>
  <c r="K1360" i="8" s="1"/>
  <c r="L1360" i="8" s="1"/>
  <c r="N1360" i="8" s="1"/>
  <c r="H1359" i="8"/>
  <c r="K1359" i="8" s="1"/>
  <c r="L1359" i="8" s="1"/>
  <c r="N1359" i="8" s="1"/>
  <c r="H1358" i="8"/>
  <c r="K1358" i="8" s="1"/>
  <c r="H1357" i="8"/>
  <c r="K1357" i="8" s="1"/>
  <c r="L1357" i="8" s="1"/>
  <c r="N1357" i="8" s="1"/>
  <c r="H1356" i="8"/>
  <c r="H1355" i="8"/>
  <c r="K1355" i="8" s="1"/>
  <c r="L1355" i="8" s="1"/>
  <c r="N1355" i="8" s="1"/>
  <c r="H1354" i="8"/>
  <c r="K1354" i="8" s="1"/>
  <c r="H1352" i="8"/>
  <c r="K1352" i="8" s="1"/>
  <c r="L1352" i="8" s="1"/>
  <c r="N1352" i="8" s="1"/>
  <c r="H1351" i="8"/>
  <c r="H1350" i="8"/>
  <c r="K1350" i="8" s="1"/>
  <c r="L1350" i="8" s="1"/>
  <c r="N1350" i="8" s="1"/>
  <c r="H1349" i="8"/>
  <c r="K1349" i="8" s="1"/>
  <c r="H1348" i="8"/>
  <c r="K1348" i="8" s="1"/>
  <c r="L1348" i="8" s="1"/>
  <c r="N1348" i="8" s="1"/>
  <c r="H1347" i="8"/>
  <c r="H1346" i="8"/>
  <c r="K1346" i="8" s="1"/>
  <c r="L1346" i="8" s="1"/>
  <c r="N1346" i="8" s="1"/>
  <c r="H1345" i="8"/>
  <c r="H1344" i="8"/>
  <c r="K1344" i="8" s="1"/>
  <c r="L1344" i="8" s="1"/>
  <c r="N1344" i="8" s="1"/>
  <c r="H1343" i="8"/>
  <c r="H1342" i="8"/>
  <c r="K1342" i="8" s="1"/>
  <c r="L1342" i="8" s="1"/>
  <c r="N1342" i="8" s="1"/>
  <c r="H1341" i="8"/>
  <c r="H1340" i="8"/>
  <c r="K1340" i="8" s="1"/>
  <c r="L1340" i="8" s="1"/>
  <c r="N1340" i="8" s="1"/>
  <c r="H1339" i="8"/>
  <c r="H1338" i="8"/>
  <c r="K1338" i="8" s="1"/>
  <c r="L1338" i="8" s="1"/>
  <c r="N1338" i="8" s="1"/>
  <c r="H1337" i="8"/>
  <c r="F347" i="25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49" i="8"/>
  <c r="I648" i="8"/>
  <c r="I647" i="8"/>
  <c r="I646" i="8"/>
  <c r="I645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99" i="8"/>
  <c r="I102" i="8"/>
  <c r="I101" i="8"/>
  <c r="I100" i="8"/>
  <c r="I593" i="8"/>
  <c r="I592" i="8"/>
  <c r="I591" i="8"/>
  <c r="I590" i="8"/>
  <c r="L588" i="8"/>
  <c r="M588" i="8" s="1"/>
  <c r="O588" i="8" s="1"/>
  <c r="L587" i="8"/>
  <c r="M587" i="8" s="1"/>
  <c r="O587" i="8" s="1"/>
  <c r="L586" i="8"/>
  <c r="M586" i="8" s="1"/>
  <c r="O586" i="8" s="1"/>
  <c r="L585" i="8"/>
  <c r="M585" i="8" s="1"/>
  <c r="O585" i="8" s="1"/>
  <c r="L584" i="8"/>
  <c r="M584" i="8" s="1"/>
  <c r="O584" i="8" s="1"/>
  <c r="J2850" i="16"/>
  <c r="L2850" i="16" s="1"/>
  <c r="M2850" i="16" s="1"/>
  <c r="O2850" i="16" s="1"/>
  <c r="J2851" i="16"/>
  <c r="L2851" i="16" s="1"/>
  <c r="M2851" i="16" s="1"/>
  <c r="O2851" i="16" s="1"/>
  <c r="J2852" i="16"/>
  <c r="L2852" i="16" s="1"/>
  <c r="M2852" i="16" s="1"/>
  <c r="O2852" i="16" s="1"/>
  <c r="J2853" i="16"/>
  <c r="L2853" i="16" s="1"/>
  <c r="M2853" i="16" s="1"/>
  <c r="O2853" i="16" s="1"/>
  <c r="J2854" i="16"/>
  <c r="L2854" i="16" s="1"/>
  <c r="M2854" i="16" s="1"/>
  <c r="O2854" i="16" s="1"/>
  <c r="J2855" i="16"/>
  <c r="L2855" i="16" s="1"/>
  <c r="M2855" i="16" s="1"/>
  <c r="O2855" i="16" s="1"/>
  <c r="J2856" i="16"/>
  <c r="L2856" i="16" s="1"/>
  <c r="M2856" i="16" s="1"/>
  <c r="O2856" i="16" s="1"/>
  <c r="J2857" i="16"/>
  <c r="L2857" i="16" s="1"/>
  <c r="M2857" i="16" s="1"/>
  <c r="O2857" i="16" s="1"/>
  <c r="J2858" i="16"/>
  <c r="L2858" i="16" s="1"/>
  <c r="M2858" i="16" s="1"/>
  <c r="O2858" i="16" s="1"/>
  <c r="J2859" i="16"/>
  <c r="L2859" i="16" s="1"/>
  <c r="M2859" i="16" s="1"/>
  <c r="O2859" i="16" s="1"/>
  <c r="J2860" i="16"/>
  <c r="L2860" i="16" s="1"/>
  <c r="M2860" i="16" s="1"/>
  <c r="O2860" i="16" s="1"/>
  <c r="J2849" i="16"/>
  <c r="L2849" i="16" s="1"/>
  <c r="M2849" i="16" s="1"/>
  <c r="O2849" i="16" s="1"/>
  <c r="I2861" i="16"/>
  <c r="I2875" i="16" s="1"/>
  <c r="G45" i="18" s="1"/>
  <c r="G26" i="19"/>
  <c r="F20" i="19"/>
  <c r="G20" i="19"/>
  <c r="H20" i="19"/>
  <c r="F295" i="14"/>
  <c r="E295" i="14"/>
  <c r="F16" i="19"/>
  <c r="G16" i="19"/>
  <c r="H16" i="19"/>
  <c r="F330" i="14"/>
  <c r="E330" i="14"/>
  <c r="E370" i="14"/>
  <c r="F370" i="14"/>
  <c r="P2844" i="16"/>
  <c r="T62" i="2"/>
  <c r="H63" i="2"/>
  <c r="T63" i="2" s="1"/>
  <c r="I2553" i="16"/>
  <c r="I2630" i="16"/>
  <c r="L2630" i="16" s="1"/>
  <c r="M2630" i="16" s="1"/>
  <c r="O2630" i="16" s="1"/>
  <c r="I2631" i="16"/>
  <c r="I2676" i="16"/>
  <c r="L2676" i="16" s="1"/>
  <c r="M2676" i="16" s="1"/>
  <c r="O2676" i="16" s="1"/>
  <c r="I2677" i="16"/>
  <c r="I2678" i="16"/>
  <c r="I2679" i="16"/>
  <c r="L2679" i="16" s="1"/>
  <c r="M2679" i="16" s="1"/>
  <c r="O2679" i="16" s="1"/>
  <c r="I2680" i="16"/>
  <c r="L2680" i="16" s="1"/>
  <c r="M2680" i="16" s="1"/>
  <c r="O2680" i="16" s="1"/>
  <c r="I2681" i="16"/>
  <c r="L2681" i="16" s="1"/>
  <c r="M2681" i="16" s="1"/>
  <c r="O2681" i="16" s="1"/>
  <c r="I2682" i="16"/>
  <c r="L2682" i="16" s="1"/>
  <c r="M2682" i="16" s="1"/>
  <c r="O2682" i="16" s="1"/>
  <c r="I2683" i="16"/>
  <c r="L2683" i="16" s="1"/>
  <c r="M2683" i="16" s="1"/>
  <c r="O2683" i="16" s="1"/>
  <c r="I2684" i="16"/>
  <c r="L2684" i="16" s="1"/>
  <c r="M2684" i="16" s="1"/>
  <c r="O2684" i="16" s="1"/>
  <c r="I2685" i="16"/>
  <c r="I2686" i="16"/>
  <c r="L2686" i="16" s="1"/>
  <c r="M2686" i="16" s="1"/>
  <c r="O2686" i="16" s="1"/>
  <c r="I2687" i="16"/>
  <c r="L2687" i="16" s="1"/>
  <c r="M2687" i="16" s="1"/>
  <c r="O2687" i="16" s="1"/>
  <c r="I2688" i="16"/>
  <c r="L2688" i="16" s="1"/>
  <c r="M2688" i="16" s="1"/>
  <c r="O2688" i="16" s="1"/>
  <c r="I2689" i="16"/>
  <c r="L2689" i="16" s="1"/>
  <c r="M2689" i="16" s="1"/>
  <c r="O2689" i="16" s="1"/>
  <c r="I2690" i="16"/>
  <c r="L2690" i="16" s="1"/>
  <c r="M2690" i="16" s="1"/>
  <c r="O2690" i="16" s="1"/>
  <c r="I2691" i="16"/>
  <c r="L2691" i="16" s="1"/>
  <c r="M2691" i="16" s="1"/>
  <c r="O2691" i="16" s="1"/>
  <c r="I2692" i="16"/>
  <c r="L2692" i="16" s="1"/>
  <c r="M2692" i="16" s="1"/>
  <c r="O2692" i="16" s="1"/>
  <c r="I2693" i="16"/>
  <c r="I2694" i="16"/>
  <c r="L2694" i="16" s="1"/>
  <c r="M2694" i="16" s="1"/>
  <c r="O2694" i="16" s="1"/>
  <c r="I2743" i="16"/>
  <c r="L2743" i="16" s="1"/>
  <c r="M2743" i="16" s="1"/>
  <c r="O2743" i="16" s="1"/>
  <c r="I2746" i="16"/>
  <c r="L2746" i="16" s="1"/>
  <c r="M2746" i="16" s="1"/>
  <c r="O2746" i="16" s="1"/>
  <c r="I2747" i="16"/>
  <c r="L2747" i="16" s="1"/>
  <c r="M2747" i="16" s="1"/>
  <c r="O2747" i="16" s="1"/>
  <c r="I2748" i="16"/>
  <c r="L2748" i="16" s="1"/>
  <c r="M2748" i="16" s="1"/>
  <c r="O2748" i="16" s="1"/>
  <c r="I2751" i="16"/>
  <c r="L2751" i="16" s="1"/>
  <c r="M2751" i="16" s="1"/>
  <c r="O2751" i="16" s="1"/>
  <c r="I2752" i="16"/>
  <c r="L2752" i="16" s="1"/>
  <c r="M2752" i="16" s="1"/>
  <c r="O2752" i="16" s="1"/>
  <c r="I2753" i="16"/>
  <c r="L2753" i="16" s="1"/>
  <c r="M2753" i="16" s="1"/>
  <c r="I2754" i="16"/>
  <c r="I2755" i="16"/>
  <c r="L2755" i="16" s="1"/>
  <c r="M2755" i="16" s="1"/>
  <c r="O2755" i="16" s="1"/>
  <c r="I2758" i="16"/>
  <c r="L2758" i="16" s="1"/>
  <c r="M2758" i="16" s="1"/>
  <c r="O2758" i="16" s="1"/>
  <c r="I2759" i="16"/>
  <c r="L2759" i="16" s="1"/>
  <c r="M2759" i="16" s="1"/>
  <c r="O2759" i="16" s="1"/>
  <c r="I2760" i="16"/>
  <c r="L2760" i="16" s="1"/>
  <c r="M2760" i="16" s="1"/>
  <c r="O2760" i="16" s="1"/>
  <c r="I2761" i="16"/>
  <c r="L2761" i="16" s="1"/>
  <c r="M2761" i="16" s="1"/>
  <c r="O2761" i="16" s="1"/>
  <c r="I2765" i="16"/>
  <c r="L2765" i="16" s="1"/>
  <c r="M2765" i="16" s="1"/>
  <c r="O2765" i="16" s="1"/>
  <c r="I2766" i="16"/>
  <c r="L2766" i="16" s="1"/>
  <c r="M2766" i="16" s="1"/>
  <c r="O2766" i="16" s="1"/>
  <c r="I2768" i="16"/>
  <c r="I2769" i="16"/>
  <c r="L2769" i="16" s="1"/>
  <c r="M2769" i="16" s="1"/>
  <c r="O2769" i="16" s="1"/>
  <c r="I2771" i="16"/>
  <c r="L2771" i="16" s="1"/>
  <c r="M2771" i="16" s="1"/>
  <c r="O2771" i="16" s="1"/>
  <c r="I2775" i="16"/>
  <c r="L2775" i="16" s="1"/>
  <c r="M2775" i="16" s="1"/>
  <c r="O2775" i="16" s="1"/>
  <c r="I2776" i="16"/>
  <c r="L2776" i="16" s="1"/>
  <c r="M2776" i="16" s="1"/>
  <c r="O2776" i="16" s="1"/>
  <c r="I2777" i="16"/>
  <c r="L2777" i="16" s="1"/>
  <c r="M2777" i="16" s="1"/>
  <c r="O2777" i="16" s="1"/>
  <c r="I2782" i="16"/>
  <c r="L2782" i="16" s="1"/>
  <c r="M2782" i="16" s="1"/>
  <c r="O2782" i="16" s="1"/>
  <c r="I2799" i="16"/>
  <c r="L2799" i="16" s="1"/>
  <c r="M2799" i="16" s="1"/>
  <c r="O2799" i="16" s="1"/>
  <c r="I2800" i="16"/>
  <c r="I2801" i="16"/>
  <c r="L2801" i="16" s="1"/>
  <c r="M2801" i="16" s="1"/>
  <c r="O2801" i="16" s="1"/>
  <c r="I2802" i="16"/>
  <c r="L2802" i="16" s="1"/>
  <c r="I2803" i="16"/>
  <c r="L2803" i="16" s="1"/>
  <c r="M2803" i="16" s="1"/>
  <c r="O2803" i="16" s="1"/>
  <c r="I2804" i="16"/>
  <c r="L2804" i="16" s="1"/>
  <c r="M2804" i="16" s="1"/>
  <c r="O2804" i="16" s="1"/>
  <c r="I2805" i="16"/>
  <c r="L2805" i="16" s="1"/>
  <c r="M2805" i="16" s="1"/>
  <c r="O2805" i="16" s="1"/>
  <c r="I2806" i="16"/>
  <c r="L2806" i="16" s="1"/>
  <c r="M2806" i="16" s="1"/>
  <c r="O2806" i="16" s="1"/>
  <c r="I2807" i="16"/>
  <c r="L2807" i="16" s="1"/>
  <c r="M2807" i="16" s="1"/>
  <c r="O2807" i="16" s="1"/>
  <c r="I2808" i="16"/>
  <c r="L2808" i="16" s="1"/>
  <c r="M2808" i="16" s="1"/>
  <c r="O2808" i="16" s="1"/>
  <c r="I2809" i="16"/>
  <c r="L2809" i="16" s="1"/>
  <c r="I2810" i="16"/>
  <c r="I2811" i="16"/>
  <c r="L2811" i="16" s="1"/>
  <c r="M2811" i="16" s="1"/>
  <c r="O2811" i="16" s="1"/>
  <c r="I2812" i="16"/>
  <c r="L2812" i="16" s="1"/>
  <c r="M2812" i="16" s="1"/>
  <c r="O2812" i="16" s="1"/>
  <c r="I2813" i="16"/>
  <c r="L2813" i="16" s="1"/>
  <c r="M2813" i="16" s="1"/>
  <c r="O2813" i="16" s="1"/>
  <c r="I2814" i="16"/>
  <c r="I2815" i="16"/>
  <c r="L2815" i="16" s="1"/>
  <c r="M2815" i="16" s="1"/>
  <c r="O2815" i="16" s="1"/>
  <c r="I2816" i="16"/>
  <c r="L2816" i="16" s="1"/>
  <c r="M2816" i="16" s="1"/>
  <c r="O2816" i="16" s="1"/>
  <c r="I2817" i="16"/>
  <c r="I2818" i="16"/>
  <c r="L2818" i="16" s="1"/>
  <c r="M2818" i="16" s="1"/>
  <c r="O2818" i="16" s="1"/>
  <c r="I2819" i="16"/>
  <c r="L2819" i="16" s="1"/>
  <c r="M2819" i="16" s="1"/>
  <c r="O2819" i="16" s="1"/>
  <c r="I2820" i="16"/>
  <c r="L2820" i="16" s="1"/>
  <c r="M2820" i="16" s="1"/>
  <c r="O2820" i="16" s="1"/>
  <c r="I2821" i="16"/>
  <c r="L2821" i="16" s="1"/>
  <c r="M2821" i="16" s="1"/>
  <c r="O2821" i="16" s="1"/>
  <c r="I2822" i="16"/>
  <c r="L2822" i="16" s="1"/>
  <c r="M2822" i="16" s="1"/>
  <c r="O2822" i="16" s="1"/>
  <c r="I2823" i="16"/>
  <c r="L2823" i="16" s="1"/>
  <c r="M2823" i="16" s="1"/>
  <c r="O2823" i="16" s="1"/>
  <c r="I2824" i="16"/>
  <c r="L2824" i="16" s="1"/>
  <c r="M2824" i="16" s="1"/>
  <c r="O2824" i="16" s="1"/>
  <c r="I2825" i="16"/>
  <c r="L2825" i="16" s="1"/>
  <c r="M2825" i="16" s="1"/>
  <c r="O2825" i="16" s="1"/>
  <c r="I2826" i="16"/>
  <c r="L2826" i="16" s="1"/>
  <c r="M2826" i="16" s="1"/>
  <c r="O2826" i="16" s="1"/>
  <c r="I2840" i="16"/>
  <c r="L2840" i="16" s="1"/>
  <c r="M2840" i="16" s="1"/>
  <c r="O2840" i="16" s="1"/>
  <c r="I2841" i="16"/>
  <c r="L2841" i="16" s="1"/>
  <c r="M2841" i="16" s="1"/>
  <c r="O2841" i="16" s="1"/>
  <c r="I2798" i="16"/>
  <c r="L2798" i="16" s="1"/>
  <c r="M2798" i="16" s="1"/>
  <c r="O2798" i="16" s="1"/>
  <c r="I2640" i="16"/>
  <c r="I2641" i="16"/>
  <c r="I2642" i="16"/>
  <c r="L2642" i="16" s="1"/>
  <c r="M2642" i="16" s="1"/>
  <c r="O2642" i="16" s="1"/>
  <c r="I2643" i="16"/>
  <c r="L2643" i="16" s="1"/>
  <c r="M2643" i="16" s="1"/>
  <c r="O2643" i="16" s="1"/>
  <c r="I2644" i="16"/>
  <c r="L2644" i="16" s="1"/>
  <c r="M2644" i="16" s="1"/>
  <c r="O2644" i="16" s="1"/>
  <c r="I2645" i="16"/>
  <c r="L2645" i="16" s="1"/>
  <c r="M2645" i="16" s="1"/>
  <c r="O2645" i="16" s="1"/>
  <c r="I2646" i="16"/>
  <c r="I2647" i="16"/>
  <c r="L2647" i="16" s="1"/>
  <c r="M2647" i="16" s="1"/>
  <c r="O2647" i="16" s="1"/>
  <c r="I2648" i="16"/>
  <c r="L2648" i="16" s="1"/>
  <c r="M2648" i="16" s="1"/>
  <c r="O2648" i="16" s="1"/>
  <c r="I2649" i="16"/>
  <c r="I2650" i="16"/>
  <c r="L2650" i="16" s="1"/>
  <c r="M2650" i="16" s="1"/>
  <c r="O2650" i="16" s="1"/>
  <c r="I2651" i="16"/>
  <c r="L2651" i="16" s="1"/>
  <c r="M2651" i="16" s="1"/>
  <c r="O2651" i="16" s="1"/>
  <c r="I2652" i="16"/>
  <c r="L2652" i="16" s="1"/>
  <c r="M2652" i="16" s="1"/>
  <c r="O2652" i="16" s="1"/>
  <c r="I2653" i="16"/>
  <c r="L2653" i="16" s="1"/>
  <c r="M2653" i="16" s="1"/>
  <c r="O2653" i="16" s="1"/>
  <c r="I2654" i="16"/>
  <c r="L2654" i="16" s="1"/>
  <c r="M2654" i="16" s="1"/>
  <c r="O2654" i="16" s="1"/>
  <c r="I2655" i="16"/>
  <c r="L2655" i="16" s="1"/>
  <c r="M2655" i="16" s="1"/>
  <c r="O2655" i="16" s="1"/>
  <c r="I2656" i="16"/>
  <c r="I2657" i="16"/>
  <c r="I2658" i="16"/>
  <c r="L2658" i="16" s="1"/>
  <c r="M2658" i="16" s="1"/>
  <c r="O2658" i="16" s="1"/>
  <c r="I2659" i="16"/>
  <c r="L2659" i="16" s="1"/>
  <c r="M2659" i="16" s="1"/>
  <c r="O2659" i="16" s="1"/>
  <c r="I2660" i="16"/>
  <c r="L2660" i="16" s="1"/>
  <c r="M2660" i="16" s="1"/>
  <c r="O2660" i="16" s="1"/>
  <c r="I2661" i="16"/>
  <c r="L2661" i="16" s="1"/>
  <c r="M2661" i="16" s="1"/>
  <c r="O2661" i="16" s="1"/>
  <c r="I2662" i="16"/>
  <c r="I2663" i="16"/>
  <c r="L2663" i="16" s="1"/>
  <c r="M2663" i="16" s="1"/>
  <c r="O2663" i="16" s="1"/>
  <c r="I2664" i="16"/>
  <c r="L2664" i="16" s="1"/>
  <c r="M2664" i="16" s="1"/>
  <c r="O2664" i="16" s="1"/>
  <c r="I2665" i="16"/>
  <c r="L2665" i="16" s="1"/>
  <c r="I2666" i="16"/>
  <c r="L2666" i="16" s="1"/>
  <c r="M2666" i="16" s="1"/>
  <c r="O2666" i="16" s="1"/>
  <c r="I2667" i="16"/>
  <c r="L2667" i="16" s="1"/>
  <c r="M2667" i="16" s="1"/>
  <c r="O2667" i="16" s="1"/>
  <c r="I2668" i="16"/>
  <c r="L2668" i="16" s="1"/>
  <c r="M2668" i="16" s="1"/>
  <c r="O2668" i="16" s="1"/>
  <c r="I2669" i="16"/>
  <c r="L2669" i="16" s="1"/>
  <c r="M2669" i="16" s="1"/>
  <c r="O2669" i="16" s="1"/>
  <c r="I2670" i="16"/>
  <c r="L2670" i="16" s="1"/>
  <c r="M2670" i="16" s="1"/>
  <c r="O2670" i="16" s="1"/>
  <c r="I2671" i="16"/>
  <c r="L2671" i="16" s="1"/>
  <c r="M2671" i="16" s="1"/>
  <c r="O2671" i="16" s="1"/>
  <c r="I2672" i="16"/>
  <c r="I2673" i="16"/>
  <c r="I2674" i="16"/>
  <c r="L2674" i="16" s="1"/>
  <c r="M2674" i="16" s="1"/>
  <c r="O2674" i="16" s="1"/>
  <c r="I2606" i="16"/>
  <c r="L2606" i="16" s="1"/>
  <c r="M2606" i="16" s="1"/>
  <c r="O2606" i="16" s="1"/>
  <c r="I2592" i="16"/>
  <c r="L2592" i="16" s="1"/>
  <c r="M2592" i="16" s="1"/>
  <c r="O2592" i="16" s="1"/>
  <c r="I2583" i="16"/>
  <c r="L2583" i="16" s="1"/>
  <c r="M2583" i="16" s="1"/>
  <c r="O2583" i="16" s="1"/>
  <c r="I2584" i="16"/>
  <c r="L2584" i="16" s="1"/>
  <c r="M2584" i="16" s="1"/>
  <c r="O2584" i="16" s="1"/>
  <c r="I2585" i="16"/>
  <c r="L2585" i="16" s="1"/>
  <c r="M2585" i="16" s="1"/>
  <c r="O2585" i="16" s="1"/>
  <c r="I2586" i="16"/>
  <c r="L2586" i="16" s="1"/>
  <c r="I2573" i="16"/>
  <c r="L2573" i="16" s="1"/>
  <c r="M2573" i="16" s="1"/>
  <c r="O2573" i="16" s="1"/>
  <c r="I2574" i="16"/>
  <c r="L2574" i="16" s="1"/>
  <c r="M2574" i="16" s="1"/>
  <c r="O2574" i="16" s="1"/>
  <c r="I2575" i="16"/>
  <c r="L2575" i="16" s="1"/>
  <c r="M2575" i="16" s="1"/>
  <c r="O2575" i="16" s="1"/>
  <c r="I2576" i="16"/>
  <c r="L2576" i="16" s="1"/>
  <c r="M2576" i="16" s="1"/>
  <c r="O2576" i="16" s="1"/>
  <c r="I2577" i="16"/>
  <c r="L2577" i="16" s="1"/>
  <c r="M2577" i="16" s="1"/>
  <c r="O2577" i="16" s="1"/>
  <c r="I2578" i="16"/>
  <c r="L2578" i="16" s="1"/>
  <c r="M2578" i="16" s="1"/>
  <c r="O2578" i="16" s="1"/>
  <c r="I2579" i="16"/>
  <c r="L2579" i="16" s="1"/>
  <c r="M2579" i="16" s="1"/>
  <c r="O2579" i="16" s="1"/>
  <c r="I2580" i="16"/>
  <c r="L2580" i="16" s="1"/>
  <c r="M2580" i="16" s="1"/>
  <c r="O2580" i="16" s="1"/>
  <c r="I2581" i="16"/>
  <c r="L2581" i="16" s="1"/>
  <c r="M2581" i="16" s="1"/>
  <c r="O2581" i="16" s="1"/>
  <c r="I2572" i="16"/>
  <c r="L2572" i="16" s="1"/>
  <c r="M2572" i="16" s="1"/>
  <c r="O2572" i="16" s="1"/>
  <c r="I2504" i="16"/>
  <c r="I2510" i="16"/>
  <c r="L2510" i="16" s="1"/>
  <c r="M2510" i="16" s="1"/>
  <c r="O2510" i="16" s="1"/>
  <c r="I2521" i="16"/>
  <c r="L2521" i="16" s="1"/>
  <c r="M2521" i="16" s="1"/>
  <c r="O2521" i="16" s="1"/>
  <c r="I2595" i="16"/>
  <c r="L2595" i="16" s="1"/>
  <c r="M2595" i="16" s="1"/>
  <c r="O2595" i="16" s="1"/>
  <c r="I2555" i="16"/>
  <c r="L2555" i="16" s="1"/>
  <c r="M2555" i="16" s="1"/>
  <c r="O2555" i="16" s="1"/>
  <c r="I2600" i="16"/>
  <c r="L2600" i="16" s="1"/>
  <c r="M2600" i="16" s="1"/>
  <c r="O2600" i="16" s="1"/>
  <c r="I2599" i="16"/>
  <c r="L2599" i="16" s="1"/>
  <c r="M2599" i="16" s="1"/>
  <c r="O2599" i="16" s="1"/>
  <c r="I2513" i="16"/>
  <c r="L2513" i="16" s="1"/>
  <c r="M2513" i="16" s="1"/>
  <c r="O2513" i="16" s="1"/>
  <c r="I2502" i="16"/>
  <c r="L2502" i="16" s="1"/>
  <c r="M2502" i="16" s="1"/>
  <c r="O2502" i="16" s="1"/>
  <c r="I2554" i="16"/>
  <c r="L2554" i="16" s="1"/>
  <c r="M2554" i="16" s="1"/>
  <c r="O2554" i="16" s="1"/>
  <c r="I2495" i="16"/>
  <c r="L2495" i="16" s="1"/>
  <c r="M2495" i="16" s="1"/>
  <c r="O2495" i="16" s="1"/>
  <c r="I2492" i="16"/>
  <c r="L2492" i="16" s="1"/>
  <c r="M2492" i="16" s="1"/>
  <c r="O2492" i="16" s="1"/>
  <c r="H2844" i="16"/>
  <c r="I2489" i="16"/>
  <c r="L2489" i="16" s="1"/>
  <c r="M2489" i="16" s="1"/>
  <c r="O2489" i="16" s="1"/>
  <c r="I2490" i="16"/>
  <c r="I2491" i="16"/>
  <c r="L2491" i="16" s="1"/>
  <c r="M2491" i="16" s="1"/>
  <c r="O2491" i="16" s="1"/>
  <c r="I2493" i="16"/>
  <c r="L2493" i="16" s="1"/>
  <c r="M2493" i="16" s="1"/>
  <c r="O2493" i="16" s="1"/>
  <c r="I2494" i="16"/>
  <c r="L2494" i="16" s="1"/>
  <c r="M2494" i="16" s="1"/>
  <c r="O2494" i="16" s="1"/>
  <c r="I2496" i="16"/>
  <c r="I2497" i="16"/>
  <c r="L2497" i="16" s="1"/>
  <c r="M2497" i="16" s="1"/>
  <c r="O2497" i="16" s="1"/>
  <c r="I2498" i="16"/>
  <c r="L2498" i="16" s="1"/>
  <c r="M2498" i="16" s="1"/>
  <c r="O2498" i="16" s="1"/>
  <c r="I2499" i="16"/>
  <c r="L2499" i="16" s="1"/>
  <c r="M2499" i="16" s="1"/>
  <c r="O2499" i="16" s="1"/>
  <c r="I2500" i="16"/>
  <c r="L2500" i="16" s="1"/>
  <c r="M2500" i="16" s="1"/>
  <c r="O2500" i="16" s="1"/>
  <c r="I2501" i="16"/>
  <c r="L2501" i="16" s="1"/>
  <c r="M2501" i="16" s="1"/>
  <c r="O2501" i="16" s="1"/>
  <c r="I2503" i="16"/>
  <c r="L2503" i="16" s="1"/>
  <c r="M2503" i="16" s="1"/>
  <c r="O2503" i="16" s="1"/>
  <c r="I2505" i="16"/>
  <c r="L2505" i="16" s="1"/>
  <c r="M2505" i="16" s="1"/>
  <c r="O2505" i="16" s="1"/>
  <c r="I2506" i="16"/>
  <c r="L2506" i="16" s="1"/>
  <c r="M2506" i="16" s="1"/>
  <c r="O2506" i="16" s="1"/>
  <c r="I2507" i="16"/>
  <c r="L2507" i="16" s="1"/>
  <c r="M2507" i="16" s="1"/>
  <c r="O2507" i="16" s="1"/>
  <c r="I2508" i="16"/>
  <c r="L2508" i="16" s="1"/>
  <c r="M2508" i="16" s="1"/>
  <c r="O2508" i="16" s="1"/>
  <c r="I2509" i="16"/>
  <c r="L2509" i="16" s="1"/>
  <c r="M2509" i="16" s="1"/>
  <c r="O2509" i="16" s="1"/>
  <c r="I2511" i="16"/>
  <c r="L2511" i="16" s="1"/>
  <c r="M2511" i="16" s="1"/>
  <c r="O2511" i="16" s="1"/>
  <c r="I2512" i="16"/>
  <c r="I2514" i="16"/>
  <c r="L2514" i="16" s="1"/>
  <c r="M2514" i="16" s="1"/>
  <c r="O2514" i="16" s="1"/>
  <c r="I2515" i="16"/>
  <c r="L2515" i="16" s="1"/>
  <c r="M2515" i="16" s="1"/>
  <c r="O2515" i="16" s="1"/>
  <c r="I2516" i="16"/>
  <c r="L2516" i="16" s="1"/>
  <c r="M2516" i="16" s="1"/>
  <c r="O2516" i="16" s="1"/>
  <c r="I2517" i="16"/>
  <c r="L2517" i="16" s="1"/>
  <c r="M2517" i="16" s="1"/>
  <c r="O2517" i="16" s="1"/>
  <c r="I2518" i="16"/>
  <c r="L2518" i="16" s="1"/>
  <c r="M2518" i="16" s="1"/>
  <c r="O2518" i="16" s="1"/>
  <c r="I2519" i="16"/>
  <c r="L2519" i="16" s="1"/>
  <c r="M2519" i="16" s="1"/>
  <c r="O2519" i="16" s="1"/>
  <c r="I2520" i="16"/>
  <c r="I2522" i="16"/>
  <c r="L2522" i="16" s="1"/>
  <c r="M2522" i="16" s="1"/>
  <c r="O2522" i="16" s="1"/>
  <c r="I2523" i="16"/>
  <c r="L2523" i="16" s="1"/>
  <c r="M2523" i="16" s="1"/>
  <c r="O2523" i="16" s="1"/>
  <c r="I2524" i="16"/>
  <c r="L2524" i="16" s="1"/>
  <c r="M2524" i="16" s="1"/>
  <c r="O2524" i="16" s="1"/>
  <c r="I2525" i="16"/>
  <c r="L2525" i="16" s="1"/>
  <c r="M2525" i="16" s="1"/>
  <c r="O2525" i="16" s="1"/>
  <c r="I2526" i="16"/>
  <c r="L2526" i="16" s="1"/>
  <c r="M2526" i="16" s="1"/>
  <c r="O2526" i="16" s="1"/>
  <c r="I2527" i="16"/>
  <c r="L2527" i="16" s="1"/>
  <c r="M2527" i="16" s="1"/>
  <c r="O2527" i="16" s="1"/>
  <c r="I2528" i="16"/>
  <c r="L2528" i="16" s="1"/>
  <c r="M2528" i="16" s="1"/>
  <c r="O2528" i="16" s="1"/>
  <c r="I2529" i="16"/>
  <c r="L2529" i="16" s="1"/>
  <c r="M2529" i="16" s="1"/>
  <c r="O2529" i="16" s="1"/>
  <c r="I2530" i="16"/>
  <c r="L2530" i="16" s="1"/>
  <c r="M2530" i="16" s="1"/>
  <c r="O2530" i="16" s="1"/>
  <c r="I2531" i="16"/>
  <c r="L2531" i="16" s="1"/>
  <c r="M2531" i="16" s="1"/>
  <c r="O2531" i="16" s="1"/>
  <c r="I2532" i="16"/>
  <c r="L2532" i="16" s="1"/>
  <c r="M2532" i="16" s="1"/>
  <c r="O2532" i="16" s="1"/>
  <c r="I2533" i="16"/>
  <c r="L2533" i="16" s="1"/>
  <c r="M2533" i="16" s="1"/>
  <c r="O2533" i="16" s="1"/>
  <c r="I2534" i="16"/>
  <c r="L2534" i="16" s="1"/>
  <c r="M2534" i="16" s="1"/>
  <c r="O2534" i="16" s="1"/>
  <c r="I2535" i="16"/>
  <c r="L2535" i="16" s="1"/>
  <c r="M2535" i="16" s="1"/>
  <c r="O2535" i="16" s="1"/>
  <c r="I2536" i="16"/>
  <c r="L2536" i="16" s="1"/>
  <c r="I2537" i="16"/>
  <c r="L2537" i="16" s="1"/>
  <c r="M2537" i="16" s="1"/>
  <c r="O2537" i="16" s="1"/>
  <c r="I2538" i="16"/>
  <c r="L2538" i="16" s="1"/>
  <c r="M2538" i="16" s="1"/>
  <c r="O2538" i="16" s="1"/>
  <c r="I2539" i="16"/>
  <c r="L2539" i="16" s="1"/>
  <c r="M2539" i="16" s="1"/>
  <c r="O2539" i="16" s="1"/>
  <c r="I2540" i="16"/>
  <c r="L2540" i="16" s="1"/>
  <c r="M2540" i="16" s="1"/>
  <c r="O2540" i="16" s="1"/>
  <c r="I2541" i="16"/>
  <c r="L2541" i="16" s="1"/>
  <c r="M2541" i="16" s="1"/>
  <c r="O2541" i="16" s="1"/>
  <c r="I2542" i="16"/>
  <c r="L2542" i="16" s="1"/>
  <c r="M2542" i="16" s="1"/>
  <c r="O2542" i="16" s="1"/>
  <c r="I2543" i="16"/>
  <c r="L2543" i="16" s="1"/>
  <c r="M2543" i="16" s="1"/>
  <c r="O2543" i="16" s="1"/>
  <c r="I2544" i="16"/>
  <c r="I2545" i="16"/>
  <c r="L2545" i="16" s="1"/>
  <c r="M2545" i="16" s="1"/>
  <c r="O2545" i="16" s="1"/>
  <c r="I2546" i="16"/>
  <c r="L2546" i="16" s="1"/>
  <c r="M2546" i="16" s="1"/>
  <c r="O2546" i="16" s="1"/>
  <c r="I2547" i="16"/>
  <c r="L2547" i="16" s="1"/>
  <c r="M2547" i="16" s="1"/>
  <c r="O2547" i="16" s="1"/>
  <c r="I2548" i="16"/>
  <c r="L2548" i="16" s="1"/>
  <c r="M2548" i="16" s="1"/>
  <c r="O2548" i="16" s="1"/>
  <c r="I2549" i="16"/>
  <c r="L2549" i="16" s="1"/>
  <c r="M2549" i="16" s="1"/>
  <c r="O2549" i="16" s="1"/>
  <c r="I2550" i="16"/>
  <c r="L2550" i="16" s="1"/>
  <c r="M2550" i="16" s="1"/>
  <c r="O2550" i="16" s="1"/>
  <c r="I2551" i="16"/>
  <c r="I2552" i="16"/>
  <c r="L2552" i="16" s="1"/>
  <c r="M2552" i="16" s="1"/>
  <c r="O2552" i="16" s="1"/>
  <c r="I2556" i="16"/>
  <c r="L2556" i="16" s="1"/>
  <c r="M2556" i="16" s="1"/>
  <c r="O2556" i="16" s="1"/>
  <c r="I2557" i="16"/>
  <c r="L2557" i="16" s="1"/>
  <c r="M2557" i="16" s="1"/>
  <c r="O2557" i="16" s="1"/>
  <c r="I2558" i="16"/>
  <c r="L2558" i="16" s="1"/>
  <c r="M2558" i="16" s="1"/>
  <c r="O2558" i="16" s="1"/>
  <c r="I2559" i="16"/>
  <c r="I2560" i="16"/>
  <c r="L2560" i="16" s="1"/>
  <c r="M2560" i="16" s="1"/>
  <c r="O2560" i="16" s="1"/>
  <c r="I2561" i="16"/>
  <c r="L2561" i="16" s="1"/>
  <c r="M2561" i="16" s="1"/>
  <c r="O2561" i="16" s="1"/>
  <c r="I2562" i="16"/>
  <c r="L2562" i="16" s="1"/>
  <c r="M2562" i="16" s="1"/>
  <c r="O2562" i="16" s="1"/>
  <c r="I2563" i="16"/>
  <c r="L2563" i="16" s="1"/>
  <c r="M2563" i="16" s="1"/>
  <c r="O2563" i="16" s="1"/>
  <c r="I2564" i="16"/>
  <c r="L2564" i="16" s="1"/>
  <c r="M2564" i="16" s="1"/>
  <c r="O2564" i="16" s="1"/>
  <c r="I2565" i="16"/>
  <c r="L2565" i="16" s="1"/>
  <c r="M2565" i="16" s="1"/>
  <c r="O2565" i="16" s="1"/>
  <c r="I2566" i="16"/>
  <c r="L2566" i="16" s="1"/>
  <c r="M2566" i="16" s="1"/>
  <c r="O2566" i="16" s="1"/>
  <c r="I2567" i="16"/>
  <c r="L2567" i="16" s="1"/>
  <c r="M2567" i="16" s="1"/>
  <c r="O2567" i="16" s="1"/>
  <c r="I2568" i="16"/>
  <c r="L2568" i="16" s="1"/>
  <c r="M2568" i="16" s="1"/>
  <c r="O2568" i="16" s="1"/>
  <c r="I2569" i="16"/>
  <c r="L2569" i="16" s="1"/>
  <c r="M2569" i="16" s="1"/>
  <c r="O2569" i="16" s="1"/>
  <c r="I2570" i="16"/>
  <c r="I2571" i="16"/>
  <c r="L2571" i="16" s="1"/>
  <c r="M2571" i="16" s="1"/>
  <c r="O2571" i="16" s="1"/>
  <c r="I2587" i="16"/>
  <c r="L2587" i="16" s="1"/>
  <c r="M2587" i="16" s="1"/>
  <c r="O2587" i="16" s="1"/>
  <c r="I2588" i="16"/>
  <c r="L2588" i="16" s="1"/>
  <c r="M2588" i="16" s="1"/>
  <c r="O2588" i="16" s="1"/>
  <c r="I2589" i="16"/>
  <c r="L2589" i="16" s="1"/>
  <c r="M2589" i="16" s="1"/>
  <c r="O2589" i="16" s="1"/>
  <c r="I2590" i="16"/>
  <c r="L2590" i="16" s="1"/>
  <c r="M2590" i="16" s="1"/>
  <c r="O2590" i="16" s="1"/>
  <c r="I2591" i="16"/>
  <c r="L2591" i="16" s="1"/>
  <c r="M2591" i="16" s="1"/>
  <c r="O2591" i="16" s="1"/>
  <c r="I2593" i="16"/>
  <c r="L2593" i="16" s="1"/>
  <c r="M2593" i="16" s="1"/>
  <c r="O2593" i="16" s="1"/>
  <c r="I2594" i="16"/>
  <c r="L2594" i="16" s="1"/>
  <c r="I2596" i="16"/>
  <c r="L2596" i="16" s="1"/>
  <c r="M2596" i="16" s="1"/>
  <c r="O2596" i="16" s="1"/>
  <c r="I2597" i="16"/>
  <c r="L2597" i="16" s="1"/>
  <c r="M2597" i="16" s="1"/>
  <c r="O2597" i="16" s="1"/>
  <c r="I2598" i="16"/>
  <c r="L2598" i="16" s="1"/>
  <c r="M2598" i="16" s="1"/>
  <c r="O2598" i="16" s="1"/>
  <c r="I2601" i="16"/>
  <c r="L2601" i="16" s="1"/>
  <c r="M2601" i="16" s="1"/>
  <c r="O2601" i="16" s="1"/>
  <c r="I2602" i="16"/>
  <c r="L2602" i="16" s="1"/>
  <c r="I2603" i="16"/>
  <c r="L2603" i="16" s="1"/>
  <c r="M2603" i="16" s="1"/>
  <c r="O2603" i="16" s="1"/>
  <c r="I2604" i="16"/>
  <c r="L2604" i="16" s="1"/>
  <c r="M2604" i="16" s="1"/>
  <c r="O2604" i="16" s="1"/>
  <c r="I2605" i="16"/>
  <c r="L2605" i="16" s="1"/>
  <c r="M2605" i="16" s="1"/>
  <c r="O2605" i="16" s="1"/>
  <c r="I2607" i="16"/>
  <c r="L2607" i="16" s="1"/>
  <c r="M2607" i="16" s="1"/>
  <c r="O2607" i="16" s="1"/>
  <c r="I2608" i="16"/>
  <c r="L2608" i="16" s="1"/>
  <c r="M2608" i="16" s="1"/>
  <c r="O2608" i="16" s="1"/>
  <c r="I2609" i="16"/>
  <c r="L2609" i="16" s="1"/>
  <c r="M2609" i="16" s="1"/>
  <c r="O2609" i="16" s="1"/>
  <c r="I2610" i="16"/>
  <c r="I2611" i="16"/>
  <c r="L2611" i="16" s="1"/>
  <c r="M2611" i="16" s="1"/>
  <c r="O2611" i="16" s="1"/>
  <c r="I2612" i="16"/>
  <c r="L2612" i="16" s="1"/>
  <c r="M2612" i="16" s="1"/>
  <c r="O2612" i="16" s="1"/>
  <c r="I2613" i="16"/>
  <c r="L2613" i="16" s="1"/>
  <c r="M2613" i="16" s="1"/>
  <c r="O2613" i="16" s="1"/>
  <c r="I2614" i="16"/>
  <c r="L2614" i="16" s="1"/>
  <c r="M2614" i="16" s="1"/>
  <c r="O2614" i="16" s="1"/>
  <c r="I2615" i="16"/>
  <c r="L2615" i="16" s="1"/>
  <c r="M2615" i="16" s="1"/>
  <c r="O2615" i="16" s="1"/>
  <c r="I2616" i="16"/>
  <c r="L2616" i="16" s="1"/>
  <c r="M2616" i="16" s="1"/>
  <c r="O2616" i="16" s="1"/>
  <c r="I2617" i="16"/>
  <c r="L2617" i="16" s="1"/>
  <c r="M2617" i="16" s="1"/>
  <c r="O2617" i="16" s="1"/>
  <c r="I2618" i="16"/>
  <c r="I2619" i="16"/>
  <c r="L2619" i="16" s="1"/>
  <c r="M2619" i="16" s="1"/>
  <c r="O2619" i="16" s="1"/>
  <c r="I2620" i="16"/>
  <c r="L2620" i="16" s="1"/>
  <c r="M2620" i="16" s="1"/>
  <c r="O2620" i="16" s="1"/>
  <c r="I2621" i="16"/>
  <c r="L2621" i="16" s="1"/>
  <c r="M2621" i="16" s="1"/>
  <c r="O2621" i="16" s="1"/>
  <c r="I2622" i="16"/>
  <c r="L2622" i="16" s="1"/>
  <c r="M2622" i="16" s="1"/>
  <c r="O2622" i="16" s="1"/>
  <c r="I2623" i="16"/>
  <c r="L2623" i="16" s="1"/>
  <c r="M2623" i="16" s="1"/>
  <c r="O2623" i="16" s="1"/>
  <c r="I2624" i="16"/>
  <c r="L2624" i="16" s="1"/>
  <c r="M2624" i="16" s="1"/>
  <c r="O2624" i="16" s="1"/>
  <c r="I2625" i="16"/>
  <c r="L2625" i="16" s="1"/>
  <c r="M2625" i="16" s="1"/>
  <c r="O2625" i="16" s="1"/>
  <c r="I2626" i="16"/>
  <c r="I2627" i="16"/>
  <c r="L2627" i="16" s="1"/>
  <c r="M2627" i="16" s="1"/>
  <c r="O2627" i="16" s="1"/>
  <c r="I2628" i="16"/>
  <c r="L2628" i="16" s="1"/>
  <c r="M2628" i="16" s="1"/>
  <c r="O2628" i="16" s="1"/>
  <c r="I2629" i="16"/>
  <c r="L2629" i="16" s="1"/>
  <c r="M2629" i="16" s="1"/>
  <c r="O2629" i="16" s="1"/>
  <c r="I2632" i="16"/>
  <c r="L2632" i="16" s="1"/>
  <c r="M2632" i="16" s="1"/>
  <c r="O2632" i="16" s="1"/>
  <c r="I2633" i="16"/>
  <c r="L2633" i="16" s="1"/>
  <c r="M2633" i="16" s="1"/>
  <c r="O2633" i="16" s="1"/>
  <c r="I2634" i="16"/>
  <c r="L2634" i="16" s="1"/>
  <c r="M2634" i="16" s="1"/>
  <c r="O2634" i="16" s="1"/>
  <c r="I2635" i="16"/>
  <c r="L2635" i="16" s="1"/>
  <c r="M2635" i="16" s="1"/>
  <c r="O2635" i="16" s="1"/>
  <c r="I2636" i="16"/>
  <c r="L2636" i="16" s="1"/>
  <c r="M2636" i="16" s="1"/>
  <c r="O2636" i="16" s="1"/>
  <c r="I2637" i="16"/>
  <c r="L2637" i="16" s="1"/>
  <c r="M2637" i="16" s="1"/>
  <c r="O2637" i="16" s="1"/>
  <c r="I2695" i="16"/>
  <c r="L2695" i="16" s="1"/>
  <c r="M2695" i="16" s="1"/>
  <c r="O2695" i="16" s="1"/>
  <c r="I2698" i="16"/>
  <c r="L2698" i="16" s="1"/>
  <c r="M2698" i="16" s="1"/>
  <c r="O2698" i="16" s="1"/>
  <c r="I2699" i="16"/>
  <c r="L2699" i="16" s="1"/>
  <c r="M2699" i="16" s="1"/>
  <c r="O2699" i="16" s="1"/>
  <c r="I2700" i="16"/>
  <c r="L2700" i="16" s="1"/>
  <c r="M2700" i="16" s="1"/>
  <c r="O2700" i="16" s="1"/>
  <c r="I2701" i="16"/>
  <c r="L2701" i="16" s="1"/>
  <c r="M2701" i="16" s="1"/>
  <c r="O2701" i="16" s="1"/>
  <c r="I2702" i="16"/>
  <c r="L2702" i="16" s="1"/>
  <c r="I2703" i="16"/>
  <c r="L2703" i="16" s="1"/>
  <c r="M2703" i="16" s="1"/>
  <c r="O2703" i="16" s="1"/>
  <c r="I2704" i="16"/>
  <c r="I2705" i="16"/>
  <c r="L2705" i="16" s="1"/>
  <c r="M2705" i="16" s="1"/>
  <c r="O2705" i="16" s="1"/>
  <c r="I2706" i="16"/>
  <c r="L2706" i="16" s="1"/>
  <c r="M2706" i="16" s="1"/>
  <c r="O2706" i="16" s="1"/>
  <c r="I2707" i="16"/>
  <c r="L2707" i="16" s="1"/>
  <c r="M2707" i="16" s="1"/>
  <c r="O2707" i="16" s="1"/>
  <c r="I2708" i="16"/>
  <c r="L2708" i="16" s="1"/>
  <c r="M2708" i="16" s="1"/>
  <c r="O2708" i="16" s="1"/>
  <c r="I2709" i="16"/>
  <c r="L2709" i="16" s="1"/>
  <c r="M2709" i="16" s="1"/>
  <c r="O2709" i="16" s="1"/>
  <c r="I2710" i="16"/>
  <c r="I2711" i="16"/>
  <c r="L2711" i="16" s="1"/>
  <c r="M2711" i="16" s="1"/>
  <c r="O2711" i="16" s="1"/>
  <c r="I2712" i="16"/>
  <c r="L2712" i="16" s="1"/>
  <c r="I2713" i="16"/>
  <c r="L2713" i="16" s="1"/>
  <c r="M2713" i="16" s="1"/>
  <c r="O2713" i="16" s="1"/>
  <c r="I2714" i="16"/>
  <c r="I2715" i="16"/>
  <c r="L2715" i="16" s="1"/>
  <c r="M2715" i="16" s="1"/>
  <c r="O2715" i="16" s="1"/>
  <c r="I2716" i="16"/>
  <c r="L2716" i="16" s="1"/>
  <c r="M2716" i="16" s="1"/>
  <c r="O2716" i="16" s="1"/>
  <c r="I2717" i="16"/>
  <c r="L2717" i="16" s="1"/>
  <c r="M2717" i="16" s="1"/>
  <c r="O2717" i="16" s="1"/>
  <c r="I2718" i="16"/>
  <c r="L2718" i="16" s="1"/>
  <c r="M2718" i="16" s="1"/>
  <c r="O2718" i="16" s="1"/>
  <c r="I2719" i="16"/>
  <c r="L2719" i="16" s="1"/>
  <c r="M2719" i="16" s="1"/>
  <c r="O2719" i="16" s="1"/>
  <c r="I2720" i="16"/>
  <c r="I2721" i="16"/>
  <c r="L2721" i="16" s="1"/>
  <c r="M2721" i="16" s="1"/>
  <c r="O2721" i="16" s="1"/>
  <c r="I2722" i="16"/>
  <c r="I2723" i="16"/>
  <c r="L2723" i="16" s="1"/>
  <c r="M2723" i="16" s="1"/>
  <c r="O2723" i="16" s="1"/>
  <c r="I2724" i="16"/>
  <c r="L2724" i="16" s="1"/>
  <c r="M2724" i="16" s="1"/>
  <c r="O2724" i="16" s="1"/>
  <c r="I2725" i="16"/>
  <c r="L2725" i="16" s="1"/>
  <c r="M2725" i="16" s="1"/>
  <c r="O2725" i="16" s="1"/>
  <c r="I2726" i="16"/>
  <c r="I2727" i="16"/>
  <c r="L2727" i="16" s="1"/>
  <c r="M2727" i="16" s="1"/>
  <c r="O2727" i="16" s="1"/>
  <c r="I2728" i="16"/>
  <c r="I2729" i="16"/>
  <c r="L2729" i="16" s="1"/>
  <c r="M2729" i="16" s="1"/>
  <c r="O2729" i="16" s="1"/>
  <c r="I2730" i="16"/>
  <c r="I2731" i="16"/>
  <c r="L2731" i="16" s="1"/>
  <c r="M2731" i="16" s="1"/>
  <c r="O2731" i="16" s="1"/>
  <c r="I2732" i="16"/>
  <c r="I2733" i="16"/>
  <c r="L2733" i="16" s="1"/>
  <c r="M2733" i="16" s="1"/>
  <c r="O2733" i="16" s="1"/>
  <c r="I2734" i="16"/>
  <c r="L2734" i="16" s="1"/>
  <c r="M2734" i="16" s="1"/>
  <c r="O2734" i="16" s="1"/>
  <c r="I2735" i="16"/>
  <c r="L2735" i="16" s="1"/>
  <c r="M2735" i="16" s="1"/>
  <c r="O2735" i="16" s="1"/>
  <c r="I2736" i="16"/>
  <c r="I2737" i="16"/>
  <c r="L2737" i="16" s="1"/>
  <c r="M2737" i="16" s="1"/>
  <c r="O2737" i="16" s="1"/>
  <c r="I2738" i="16"/>
  <c r="L2738" i="16" s="1"/>
  <c r="M2738" i="16" s="1"/>
  <c r="O2738" i="16" s="1"/>
  <c r="I2739" i="16"/>
  <c r="L2739" i="16" s="1"/>
  <c r="M2739" i="16" s="1"/>
  <c r="O2739" i="16" s="1"/>
  <c r="I2740" i="16"/>
  <c r="L2740" i="16" s="1"/>
  <c r="M2740" i="16" s="1"/>
  <c r="O2740" i="16" s="1"/>
  <c r="I2741" i="16"/>
  <c r="L2741" i="16" s="1"/>
  <c r="M2741" i="16" s="1"/>
  <c r="O2741" i="16" s="1"/>
  <c r="I2784" i="16"/>
  <c r="I2785" i="16"/>
  <c r="I2786" i="16"/>
  <c r="L2786" i="16" s="1"/>
  <c r="M2786" i="16" s="1"/>
  <c r="O2786" i="16" s="1"/>
  <c r="I2787" i="16"/>
  <c r="L2787" i="16" s="1"/>
  <c r="M2787" i="16" s="1"/>
  <c r="O2787" i="16" s="1"/>
  <c r="I2788" i="16"/>
  <c r="L2788" i="16" s="1"/>
  <c r="M2788" i="16" s="1"/>
  <c r="O2788" i="16" s="1"/>
  <c r="I2789" i="16"/>
  <c r="L2789" i="16" s="1"/>
  <c r="M2789" i="16" s="1"/>
  <c r="O2789" i="16" s="1"/>
  <c r="I2790" i="16"/>
  <c r="L2790" i="16" s="1"/>
  <c r="M2790" i="16" s="1"/>
  <c r="O2790" i="16" s="1"/>
  <c r="I2791" i="16"/>
  <c r="L2791" i="16" s="1"/>
  <c r="M2791" i="16" s="1"/>
  <c r="O2791" i="16" s="1"/>
  <c r="I2792" i="16"/>
  <c r="L2792" i="16" s="1"/>
  <c r="M2792" i="16" s="1"/>
  <c r="O2792" i="16" s="1"/>
  <c r="I2793" i="16"/>
  <c r="I2794" i="16"/>
  <c r="L2794" i="16" s="1"/>
  <c r="M2794" i="16" s="1"/>
  <c r="O2794" i="16" s="1"/>
  <c r="I2795" i="16"/>
  <c r="L2795" i="16" s="1"/>
  <c r="M2795" i="16" s="1"/>
  <c r="O2795" i="16" s="1"/>
  <c r="I2796" i="16"/>
  <c r="L2796" i="16" s="1"/>
  <c r="M2796" i="16" s="1"/>
  <c r="O2796" i="16" s="1"/>
  <c r="I2797" i="16"/>
  <c r="L2797" i="16" s="1"/>
  <c r="M2797" i="16" s="1"/>
  <c r="O2797" i="16" s="1"/>
  <c r="I2827" i="16"/>
  <c r="L2827" i="16" s="1"/>
  <c r="M2827" i="16" s="1"/>
  <c r="O2827" i="16" s="1"/>
  <c r="I2829" i="16"/>
  <c r="L2829" i="16" s="1"/>
  <c r="I2830" i="16"/>
  <c r="I2831" i="16"/>
  <c r="I2832" i="16"/>
  <c r="L2832" i="16" s="1"/>
  <c r="M2832" i="16" s="1"/>
  <c r="O2832" i="16" s="1"/>
  <c r="I2833" i="16"/>
  <c r="L2833" i="16" s="1"/>
  <c r="M2833" i="16" s="1"/>
  <c r="O2833" i="16" s="1"/>
  <c r="I2834" i="16"/>
  <c r="L2834" i="16" s="1"/>
  <c r="M2834" i="16" s="1"/>
  <c r="O2834" i="16" s="1"/>
  <c r="I2835" i="16"/>
  <c r="I2836" i="16"/>
  <c r="I2837" i="16"/>
  <c r="L2837" i="16" s="1"/>
  <c r="I2838" i="16"/>
  <c r="I2839" i="16"/>
  <c r="I2842" i="16"/>
  <c r="I2843" i="16"/>
  <c r="I2488" i="16"/>
  <c r="L2488" i="16" s="1"/>
  <c r="M2488" i="16" s="1"/>
  <c r="O2488" i="16" s="1"/>
  <c r="L2485" i="16"/>
  <c r="M2485" i="16" s="1"/>
  <c r="O2485" i="16" s="1"/>
  <c r="L2484" i="16"/>
  <c r="M2484" i="16" s="1"/>
  <c r="O2484" i="16" s="1"/>
  <c r="L2483" i="16"/>
  <c r="M2483" i="16" s="1"/>
  <c r="O2483" i="16" s="1"/>
  <c r="L2482" i="16"/>
  <c r="M2482" i="16" s="1"/>
  <c r="O2482" i="16" s="1"/>
  <c r="L2481" i="16"/>
  <c r="M2481" i="16" s="1"/>
  <c r="O2481" i="16" s="1"/>
  <c r="L2480" i="16"/>
  <c r="M2480" i="16" s="1"/>
  <c r="O2480" i="16" s="1"/>
  <c r="L2479" i="16"/>
  <c r="M2479" i="16" s="1"/>
  <c r="O2479" i="16" s="1"/>
  <c r="L2478" i="16"/>
  <c r="M2478" i="16" s="1"/>
  <c r="O2478" i="16" s="1"/>
  <c r="I2486" i="16"/>
  <c r="K582" i="8"/>
  <c r="L582" i="8" s="1"/>
  <c r="N582" i="8" s="1"/>
  <c r="K581" i="8"/>
  <c r="L581" i="8" s="1"/>
  <c r="N581" i="8" s="1"/>
  <c r="K580" i="8"/>
  <c r="L580" i="8" s="1"/>
  <c r="N580" i="8" s="1"/>
  <c r="K579" i="8"/>
  <c r="L579" i="8" s="1"/>
  <c r="N579" i="8" s="1"/>
  <c r="K578" i="8"/>
  <c r="L578" i="8" s="1"/>
  <c r="N578" i="8" s="1"/>
  <c r="J577" i="8"/>
  <c r="K577" i="8" s="1"/>
  <c r="L577" i="8" s="1"/>
  <c r="N577" i="8" s="1"/>
  <c r="L2470" i="16"/>
  <c r="M2470" i="16" s="1"/>
  <c r="O2470" i="16" s="1"/>
  <c r="L2471" i="16"/>
  <c r="M2471" i="16" s="1"/>
  <c r="O2471" i="16" s="1"/>
  <c r="L2472" i="16"/>
  <c r="M2472" i="16" s="1"/>
  <c r="O2472" i="16" s="1"/>
  <c r="L2473" i="16"/>
  <c r="M2473" i="16" s="1"/>
  <c r="O2473" i="16" s="1"/>
  <c r="L2474" i="16"/>
  <c r="M2474" i="16" s="1"/>
  <c r="O2474" i="16" s="1"/>
  <c r="L2475" i="16"/>
  <c r="M2475" i="16" s="1"/>
  <c r="O2475" i="16" s="1"/>
  <c r="K2469" i="16"/>
  <c r="I2476" i="16"/>
  <c r="J2469" i="16" s="1"/>
  <c r="E296" i="14" l="1"/>
  <c r="J51" i="19"/>
  <c r="J41" i="19"/>
  <c r="J47" i="19"/>
  <c r="J31" i="19"/>
  <c r="I384" i="14"/>
  <c r="J36" i="19"/>
  <c r="I380" i="14"/>
  <c r="I374" i="14"/>
  <c r="K259" i="25"/>
  <c r="L259" i="25" s="1"/>
  <c r="N259" i="25" s="1"/>
  <c r="L250" i="25"/>
  <c r="N250" i="25" s="1"/>
  <c r="K267" i="25"/>
  <c r="L267" i="25" s="1"/>
  <c r="N267" i="25" s="1"/>
  <c r="K254" i="25"/>
  <c r="L254" i="25" s="1"/>
  <c r="N254" i="25" s="1"/>
  <c r="K255" i="25"/>
  <c r="L255" i="25" s="1"/>
  <c r="N255" i="25" s="1"/>
  <c r="K258" i="25"/>
  <c r="L258" i="25" s="1"/>
  <c r="N258" i="25" s="1"/>
  <c r="K260" i="25"/>
  <c r="L260" i="25" s="1"/>
  <c r="N260" i="25" s="1"/>
  <c r="K263" i="25"/>
  <c r="L263" i="25" s="1"/>
  <c r="N263" i="25" s="1"/>
  <c r="K246" i="25"/>
  <c r="L246" i="25" s="1"/>
  <c r="N246" i="25" s="1"/>
  <c r="K249" i="25"/>
  <c r="L249" i="25" s="1"/>
  <c r="N249" i="25" s="1"/>
  <c r="K253" i="25"/>
  <c r="L253" i="25" s="1"/>
  <c r="N253" i="25" s="1"/>
  <c r="K1418" i="8"/>
  <c r="L1418" i="8" s="1"/>
  <c r="N1418" i="8" s="1"/>
  <c r="K1419" i="8"/>
  <c r="L1419" i="8" s="1"/>
  <c r="N1419" i="8" s="1"/>
  <c r="K1337" i="8"/>
  <c r="L1337" i="8" s="1"/>
  <c r="N1337" i="8" s="1"/>
  <c r="K1341" i="8"/>
  <c r="L1341" i="8" s="1"/>
  <c r="N1341" i="8" s="1"/>
  <c r="K1345" i="8"/>
  <c r="L1345" i="8" s="1"/>
  <c r="N1345" i="8" s="1"/>
  <c r="K1351" i="8"/>
  <c r="L1351" i="8" s="1"/>
  <c r="N1351" i="8" s="1"/>
  <c r="K1356" i="8"/>
  <c r="L1356" i="8" s="1"/>
  <c r="N1356" i="8" s="1"/>
  <c r="K1361" i="8"/>
  <c r="L1361" i="8" s="1"/>
  <c r="N1361" i="8" s="1"/>
  <c r="K1365" i="8"/>
  <c r="L1365" i="8" s="1"/>
  <c r="N1365" i="8" s="1"/>
  <c r="K1371" i="8"/>
  <c r="L1371" i="8" s="1"/>
  <c r="N1371" i="8" s="1"/>
  <c r="L1349" i="8"/>
  <c r="N1349" i="8" s="1"/>
  <c r="L1354" i="8"/>
  <c r="N1354" i="8" s="1"/>
  <c r="L1358" i="8"/>
  <c r="N1358" i="8" s="1"/>
  <c r="L1373" i="8"/>
  <c r="N1373" i="8" s="1"/>
  <c r="K1339" i="8"/>
  <c r="L1339" i="8" s="1"/>
  <c r="N1339" i="8" s="1"/>
  <c r="K1343" i="8"/>
  <c r="L1343" i="8" s="1"/>
  <c r="N1343" i="8" s="1"/>
  <c r="K1347" i="8"/>
  <c r="L1347" i="8" s="1"/>
  <c r="N1347" i="8" s="1"/>
  <c r="K1363" i="8"/>
  <c r="L1363" i="8" s="1"/>
  <c r="N1363" i="8" s="1"/>
  <c r="L1369" i="8"/>
  <c r="N1369" i="8" s="1"/>
  <c r="K1367" i="8"/>
  <c r="L1367" i="8" s="1"/>
  <c r="N1367" i="8" s="1"/>
  <c r="L591" i="8"/>
  <c r="M591" i="8" s="1"/>
  <c r="O591" i="8" s="1"/>
  <c r="L593" i="8"/>
  <c r="M593" i="8" s="1"/>
  <c r="O593" i="8" s="1"/>
  <c r="L102" i="8"/>
  <c r="M102" i="8" s="1"/>
  <c r="O102" i="8" s="1"/>
  <c r="L595" i="8"/>
  <c r="M595" i="8" s="1"/>
  <c r="O595" i="8" s="1"/>
  <c r="L599" i="8"/>
  <c r="M599" i="8" s="1"/>
  <c r="O599" i="8" s="1"/>
  <c r="L601" i="8"/>
  <c r="M601" i="8" s="1"/>
  <c r="O601" i="8" s="1"/>
  <c r="L603" i="8"/>
  <c r="M603" i="8" s="1"/>
  <c r="O603" i="8" s="1"/>
  <c r="L604" i="8"/>
  <c r="M604" i="8" s="1"/>
  <c r="O604" i="8" s="1"/>
  <c r="L606" i="8"/>
  <c r="M606" i="8" s="1"/>
  <c r="O606" i="8" s="1"/>
  <c r="L608" i="8"/>
  <c r="M608" i="8" s="1"/>
  <c r="O608" i="8" s="1"/>
  <c r="L611" i="8"/>
  <c r="M611" i="8" s="1"/>
  <c r="O611" i="8" s="1"/>
  <c r="L613" i="8"/>
  <c r="M613" i="8" s="1"/>
  <c r="O613" i="8" s="1"/>
  <c r="L616" i="8"/>
  <c r="M616" i="8" s="1"/>
  <c r="O616" i="8" s="1"/>
  <c r="L618" i="8"/>
  <c r="M618" i="8" s="1"/>
  <c r="O618" i="8" s="1"/>
  <c r="L620" i="8"/>
  <c r="M620" i="8" s="1"/>
  <c r="O620" i="8" s="1"/>
  <c r="L622" i="8"/>
  <c r="M622" i="8" s="1"/>
  <c r="O622" i="8" s="1"/>
  <c r="L624" i="8"/>
  <c r="M624" i="8" s="1"/>
  <c r="O624" i="8" s="1"/>
  <c r="L626" i="8"/>
  <c r="M626" i="8" s="1"/>
  <c r="O626" i="8" s="1"/>
  <c r="L628" i="8"/>
  <c r="M628" i="8" s="1"/>
  <c r="O628" i="8" s="1"/>
  <c r="L630" i="8"/>
  <c r="M630" i="8" s="1"/>
  <c r="O630" i="8" s="1"/>
  <c r="L632" i="8"/>
  <c r="M632" i="8" s="1"/>
  <c r="O632" i="8" s="1"/>
  <c r="L634" i="8"/>
  <c r="M634" i="8" s="1"/>
  <c r="O634" i="8" s="1"/>
  <c r="L637" i="8"/>
  <c r="M637" i="8" s="1"/>
  <c r="O637" i="8" s="1"/>
  <c r="L639" i="8"/>
  <c r="M639" i="8" s="1"/>
  <c r="O639" i="8" s="1"/>
  <c r="L640" i="8"/>
  <c r="M640" i="8" s="1"/>
  <c r="O640" i="8" s="1"/>
  <c r="L641" i="8"/>
  <c r="M641" i="8" s="1"/>
  <c r="O641" i="8" s="1"/>
  <c r="L643" i="8"/>
  <c r="M643" i="8" s="1"/>
  <c r="O643" i="8" s="1"/>
  <c r="L646" i="8"/>
  <c r="M646" i="8" s="1"/>
  <c r="O646" i="8" s="1"/>
  <c r="L648" i="8"/>
  <c r="M648" i="8" s="1"/>
  <c r="O648" i="8" s="1"/>
  <c r="L649" i="8"/>
  <c r="M649" i="8" s="1"/>
  <c r="O649" i="8" s="1"/>
  <c r="L652" i="8"/>
  <c r="M652" i="8" s="1"/>
  <c r="O652" i="8" s="1"/>
  <c r="L654" i="8"/>
  <c r="M654" i="8" s="1"/>
  <c r="O654" i="8" s="1"/>
  <c r="L655" i="8"/>
  <c r="M655" i="8" s="1"/>
  <c r="O655" i="8" s="1"/>
  <c r="L658" i="8"/>
  <c r="M658" i="8" s="1"/>
  <c r="O658" i="8" s="1"/>
  <c r="L660" i="8"/>
  <c r="M660" i="8" s="1"/>
  <c r="O660" i="8" s="1"/>
  <c r="L662" i="8"/>
  <c r="M662" i="8" s="1"/>
  <c r="O662" i="8" s="1"/>
  <c r="L666" i="8"/>
  <c r="M666" i="8" s="1"/>
  <c r="O666" i="8" s="1"/>
  <c r="L668" i="8"/>
  <c r="M668" i="8" s="1"/>
  <c r="O668" i="8" s="1"/>
  <c r="L671" i="8"/>
  <c r="M671" i="8" s="1"/>
  <c r="O671" i="8" s="1"/>
  <c r="L672" i="8"/>
  <c r="M672" i="8" s="1"/>
  <c r="O672" i="8" s="1"/>
  <c r="L674" i="8"/>
  <c r="M674" i="8" s="1"/>
  <c r="O674" i="8" s="1"/>
  <c r="L676" i="8"/>
  <c r="M676" i="8" s="1"/>
  <c r="O676" i="8" s="1"/>
  <c r="L678" i="8"/>
  <c r="M678" i="8" s="1"/>
  <c r="O678" i="8" s="1"/>
  <c r="L680" i="8"/>
  <c r="M680" i="8" s="1"/>
  <c r="O680" i="8" s="1"/>
  <c r="L590" i="8"/>
  <c r="M590" i="8" s="1"/>
  <c r="O590" i="8" s="1"/>
  <c r="L592" i="8"/>
  <c r="M592" i="8" s="1"/>
  <c r="O592" i="8" s="1"/>
  <c r="L100" i="8"/>
  <c r="M100" i="8" s="1"/>
  <c r="O100" i="8" s="1"/>
  <c r="L101" i="8"/>
  <c r="M101" i="8" s="1"/>
  <c r="O101" i="8" s="1"/>
  <c r="L99" i="8"/>
  <c r="M99" i="8" s="1"/>
  <c r="O99" i="8" s="1"/>
  <c r="L596" i="8"/>
  <c r="M596" i="8" s="1"/>
  <c r="O596" i="8" s="1"/>
  <c r="L597" i="8"/>
  <c r="M597" i="8" s="1"/>
  <c r="O597" i="8" s="1"/>
  <c r="L598" i="8"/>
  <c r="M598" i="8" s="1"/>
  <c r="O598" i="8" s="1"/>
  <c r="L600" i="8"/>
  <c r="M600" i="8" s="1"/>
  <c r="O600" i="8" s="1"/>
  <c r="L602" i="8"/>
  <c r="M602" i="8" s="1"/>
  <c r="O602" i="8" s="1"/>
  <c r="L605" i="8"/>
  <c r="M605" i="8" s="1"/>
  <c r="O605" i="8" s="1"/>
  <c r="L607" i="8"/>
  <c r="M607" i="8" s="1"/>
  <c r="O607" i="8" s="1"/>
  <c r="L609" i="8"/>
  <c r="M609" i="8" s="1"/>
  <c r="O609" i="8" s="1"/>
  <c r="L610" i="8"/>
  <c r="M610" i="8" s="1"/>
  <c r="O610" i="8" s="1"/>
  <c r="L612" i="8"/>
  <c r="M612" i="8" s="1"/>
  <c r="O612" i="8" s="1"/>
  <c r="L614" i="8"/>
  <c r="M614" i="8" s="1"/>
  <c r="O614" i="8" s="1"/>
  <c r="L615" i="8"/>
  <c r="M615" i="8" s="1"/>
  <c r="O615" i="8" s="1"/>
  <c r="L617" i="8"/>
  <c r="M617" i="8" s="1"/>
  <c r="O617" i="8" s="1"/>
  <c r="L619" i="8"/>
  <c r="M619" i="8" s="1"/>
  <c r="O619" i="8" s="1"/>
  <c r="L621" i="8"/>
  <c r="M621" i="8" s="1"/>
  <c r="O621" i="8" s="1"/>
  <c r="L623" i="8"/>
  <c r="M623" i="8" s="1"/>
  <c r="O623" i="8" s="1"/>
  <c r="L627" i="8"/>
  <c r="M627" i="8" s="1"/>
  <c r="O627" i="8" s="1"/>
  <c r="L629" i="8"/>
  <c r="M629" i="8" s="1"/>
  <c r="O629" i="8" s="1"/>
  <c r="L631" i="8"/>
  <c r="M631" i="8" s="1"/>
  <c r="O631" i="8" s="1"/>
  <c r="L633" i="8"/>
  <c r="M633" i="8" s="1"/>
  <c r="O633" i="8" s="1"/>
  <c r="L635" i="8"/>
  <c r="M635" i="8" s="1"/>
  <c r="O635" i="8" s="1"/>
  <c r="L636" i="8"/>
  <c r="M636" i="8" s="1"/>
  <c r="O636" i="8" s="1"/>
  <c r="L638" i="8"/>
  <c r="M638" i="8" s="1"/>
  <c r="O638" i="8" s="1"/>
  <c r="L642" i="8"/>
  <c r="M642" i="8" s="1"/>
  <c r="O642" i="8" s="1"/>
  <c r="L645" i="8"/>
  <c r="M645" i="8" s="1"/>
  <c r="O645" i="8" s="1"/>
  <c r="L647" i="8"/>
  <c r="M647" i="8" s="1"/>
  <c r="O647" i="8" s="1"/>
  <c r="L651" i="8"/>
  <c r="M651" i="8" s="1"/>
  <c r="O651" i="8" s="1"/>
  <c r="L653" i="8"/>
  <c r="M653" i="8" s="1"/>
  <c r="O653" i="8" s="1"/>
  <c r="L656" i="8"/>
  <c r="M656" i="8" s="1"/>
  <c r="O656" i="8" s="1"/>
  <c r="L657" i="8"/>
  <c r="M657" i="8" s="1"/>
  <c r="O657" i="8" s="1"/>
  <c r="L659" i="8"/>
  <c r="M659" i="8" s="1"/>
  <c r="O659" i="8" s="1"/>
  <c r="L661" i="8"/>
  <c r="M661" i="8" s="1"/>
  <c r="O661" i="8" s="1"/>
  <c r="L664" i="8"/>
  <c r="M664" i="8" s="1"/>
  <c r="O664" i="8" s="1"/>
  <c r="L665" i="8"/>
  <c r="M665" i="8" s="1"/>
  <c r="O665" i="8" s="1"/>
  <c r="L667" i="8"/>
  <c r="M667" i="8" s="1"/>
  <c r="O667" i="8" s="1"/>
  <c r="L669" i="8"/>
  <c r="M669" i="8" s="1"/>
  <c r="O669" i="8" s="1"/>
  <c r="L670" i="8"/>
  <c r="M670" i="8" s="1"/>
  <c r="O670" i="8" s="1"/>
  <c r="L673" i="8"/>
  <c r="M673" i="8" s="1"/>
  <c r="O673" i="8" s="1"/>
  <c r="L675" i="8"/>
  <c r="M675" i="8" s="1"/>
  <c r="O675" i="8" s="1"/>
  <c r="L677" i="8"/>
  <c r="M677" i="8" s="1"/>
  <c r="O677" i="8" s="1"/>
  <c r="L679" i="8"/>
  <c r="M679" i="8" s="1"/>
  <c r="O679" i="8" s="1"/>
  <c r="L681" i="8"/>
  <c r="M681" i="8" s="1"/>
  <c r="O681" i="8" s="1"/>
  <c r="J26" i="19"/>
  <c r="J20" i="19"/>
  <c r="J16" i="19"/>
  <c r="I370" i="14"/>
  <c r="M2536" i="16"/>
  <c r="O2536" i="16" s="1"/>
  <c r="L2730" i="16"/>
  <c r="M2730" i="16" s="1"/>
  <c r="O2730" i="16" s="1"/>
  <c r="M2586" i="16"/>
  <c r="O2586" i="16" s="1"/>
  <c r="M2702" i="16"/>
  <c r="O2702" i="16" s="1"/>
  <c r="M2602" i="16"/>
  <c r="O2602" i="16" s="1"/>
  <c r="L2496" i="16"/>
  <c r="M2496" i="16" s="1"/>
  <c r="O2496" i="16" s="1"/>
  <c r="M2802" i="16"/>
  <c r="O2802" i="16" s="1"/>
  <c r="L2559" i="16"/>
  <c r="M2559" i="16" s="1"/>
  <c r="O2559" i="16" s="1"/>
  <c r="M2809" i="16"/>
  <c r="O2809" i="16" s="1"/>
  <c r="M2665" i="16"/>
  <c r="O2665" i="16" s="1"/>
  <c r="M2837" i="16"/>
  <c r="O2837" i="16" s="1"/>
  <c r="L2490" i="16"/>
  <c r="M2490" i="16" s="1"/>
  <c r="O2490" i="16" s="1"/>
  <c r="L2504" i="16"/>
  <c r="M2504" i="16" s="1"/>
  <c r="O2504" i="16" s="1"/>
  <c r="L2610" i="16"/>
  <c r="M2610" i="16" s="1"/>
  <c r="O2610" i="16" s="1"/>
  <c r="L2631" i="16"/>
  <c r="M2631" i="16" s="1"/>
  <c r="O2631" i="16" s="1"/>
  <c r="L2640" i="16"/>
  <c r="M2640" i="16" s="1"/>
  <c r="O2640" i="16" s="1"/>
  <c r="L2646" i="16"/>
  <c r="M2646" i="16" s="1"/>
  <c r="O2646" i="16" s="1"/>
  <c r="L2656" i="16"/>
  <c r="M2656" i="16" s="1"/>
  <c r="O2656" i="16" s="1"/>
  <c r="L2662" i="16"/>
  <c r="M2662" i="16" s="1"/>
  <c r="O2662" i="16" s="1"/>
  <c r="L2673" i="16"/>
  <c r="M2673" i="16" s="1"/>
  <c r="O2673" i="16" s="1"/>
  <c r="L2677" i="16"/>
  <c r="M2677" i="16" s="1"/>
  <c r="O2677" i="16" s="1"/>
  <c r="L2714" i="16"/>
  <c r="M2714" i="16" s="1"/>
  <c r="O2714" i="16" s="1"/>
  <c r="L2720" i="16"/>
  <c r="M2720" i="16" s="1"/>
  <c r="O2720" i="16" s="1"/>
  <c r="L2736" i="16"/>
  <c r="M2736" i="16" s="1"/>
  <c r="O2736" i="16" s="1"/>
  <c r="L2754" i="16"/>
  <c r="M2754" i="16" s="1"/>
  <c r="O2754" i="16" s="1"/>
  <c r="M2829" i="16"/>
  <c r="O2829" i="16" s="1"/>
  <c r="L2835" i="16"/>
  <c r="M2835" i="16" s="1"/>
  <c r="O2835" i="16" s="1"/>
  <c r="L2838" i="16"/>
  <c r="M2838" i="16" s="1"/>
  <c r="O2838" i="16" s="1"/>
  <c r="L2544" i="16"/>
  <c r="M2544" i="16" s="1"/>
  <c r="O2544" i="16" s="1"/>
  <c r="L2512" i="16"/>
  <c r="M2512" i="16" s="1"/>
  <c r="O2512" i="16" s="1"/>
  <c r="L2553" i="16"/>
  <c r="M2553" i="16" s="1"/>
  <c r="O2553" i="16" s="1"/>
  <c r="L2618" i="16"/>
  <c r="M2618" i="16" s="1"/>
  <c r="O2618" i="16" s="1"/>
  <c r="L2726" i="16"/>
  <c r="M2726" i="16" s="1"/>
  <c r="O2726" i="16" s="1"/>
  <c r="L2768" i="16"/>
  <c r="M2768" i="16" s="1"/>
  <c r="O2768" i="16" s="1"/>
  <c r="L2810" i="16"/>
  <c r="M2810" i="16" s="1"/>
  <c r="O2810" i="16" s="1"/>
  <c r="L2830" i="16"/>
  <c r="M2830" i="16" s="1"/>
  <c r="O2830" i="16" s="1"/>
  <c r="L2649" i="16"/>
  <c r="M2649" i="16" s="1"/>
  <c r="O2649" i="16" s="1"/>
  <c r="L2672" i="16"/>
  <c r="M2672" i="16" s="1"/>
  <c r="O2672" i="16" s="1"/>
  <c r="L2814" i="16"/>
  <c r="M2814" i="16" s="1"/>
  <c r="O2814" i="16" s="1"/>
  <c r="M2594" i="16"/>
  <c r="O2594" i="16" s="1"/>
  <c r="L2520" i="16"/>
  <c r="M2520" i="16" s="1"/>
  <c r="O2520" i="16" s="1"/>
  <c r="L2626" i="16"/>
  <c r="M2626" i="16" s="1"/>
  <c r="O2626" i="16" s="1"/>
  <c r="L2641" i="16"/>
  <c r="M2641" i="16" s="1"/>
  <c r="O2641" i="16" s="1"/>
  <c r="L2657" i="16"/>
  <c r="M2657" i="16" s="1"/>
  <c r="O2657" i="16" s="1"/>
  <c r="L2678" i="16"/>
  <c r="M2678" i="16" s="1"/>
  <c r="O2678" i="16" s="1"/>
  <c r="L2685" i="16"/>
  <c r="M2685" i="16" s="1"/>
  <c r="O2685" i="16" s="1"/>
  <c r="L2704" i="16"/>
  <c r="M2704" i="16" s="1"/>
  <c r="O2704" i="16" s="1"/>
  <c r="L2710" i="16"/>
  <c r="M2710" i="16" s="1"/>
  <c r="O2710" i="16" s="1"/>
  <c r="L2732" i="16"/>
  <c r="M2732" i="16" s="1"/>
  <c r="O2732" i="16" s="1"/>
  <c r="L2839" i="16"/>
  <c r="M2839" i="16" s="1"/>
  <c r="O2839" i="16" s="1"/>
  <c r="L2551" i="16"/>
  <c r="M2551" i="16" s="1"/>
  <c r="O2551" i="16" s="1"/>
  <c r="L2570" i="16"/>
  <c r="M2570" i="16" s="1"/>
  <c r="O2570" i="16" s="1"/>
  <c r="L2722" i="16"/>
  <c r="M2722" i="16" s="1"/>
  <c r="O2722" i="16" s="1"/>
  <c r="L2793" i="16"/>
  <c r="M2793" i="16" s="1"/>
  <c r="O2793" i="16" s="1"/>
  <c r="L2800" i="16"/>
  <c r="M2800" i="16" s="1"/>
  <c r="O2800" i="16" s="1"/>
  <c r="L2817" i="16"/>
  <c r="M2817" i="16" s="1"/>
  <c r="O2817" i="16" s="1"/>
  <c r="L2831" i="16"/>
  <c r="M2831" i="16" s="1"/>
  <c r="O2831" i="16" s="1"/>
  <c r="L2836" i="16"/>
  <c r="M2836" i="16" s="1"/>
  <c r="O2836" i="16" s="1"/>
  <c r="M2712" i="16"/>
  <c r="O2712" i="16" s="1"/>
  <c r="L2693" i="16"/>
  <c r="M2693" i="16" s="1"/>
  <c r="O2693" i="16" s="1"/>
  <c r="L2728" i="16"/>
  <c r="M2728" i="16" s="1"/>
  <c r="O2728" i="16" s="1"/>
  <c r="I2844" i="16"/>
  <c r="L2469" i="16"/>
  <c r="M2469" i="16" s="1"/>
  <c r="O2469" i="16" s="1"/>
  <c r="E300" i="14" l="1"/>
  <c r="I300" i="14" s="1"/>
  <c r="P2847" i="16"/>
  <c r="I2846" i="16"/>
  <c r="G44" i="18" s="1"/>
  <c r="H44" i="18"/>
  <c r="I351" i="14"/>
  <c r="I575" i="8" l="1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K2462" i="16"/>
  <c r="J2462" i="16"/>
  <c r="K2461" i="16"/>
  <c r="J2461" i="16"/>
  <c r="K2460" i="16"/>
  <c r="J2460" i="16"/>
  <c r="K2459" i="16"/>
  <c r="J2459" i="16"/>
  <c r="K2458" i="16"/>
  <c r="J2458" i="16"/>
  <c r="K2457" i="16"/>
  <c r="J2457" i="16"/>
  <c r="K2456" i="16"/>
  <c r="J2456" i="16"/>
  <c r="K2455" i="16"/>
  <c r="J2455" i="16"/>
  <c r="K2454" i="16"/>
  <c r="J2454" i="16"/>
  <c r="I2463" i="16"/>
  <c r="L2457" i="16" l="1"/>
  <c r="M2457" i="16" s="1"/>
  <c r="O2457" i="16" s="1"/>
  <c r="K569" i="8"/>
  <c r="L569" i="8" s="1"/>
  <c r="N569" i="8" s="1"/>
  <c r="K572" i="8"/>
  <c r="L572" i="8" s="1"/>
  <c r="N572" i="8" s="1"/>
  <c r="K570" i="8"/>
  <c r="L570" i="8" s="1"/>
  <c r="N570" i="8" s="1"/>
  <c r="K567" i="8"/>
  <c r="L567" i="8" s="1"/>
  <c r="N567" i="8" s="1"/>
  <c r="K571" i="8"/>
  <c r="L571" i="8" s="1"/>
  <c r="N571" i="8" s="1"/>
  <c r="K574" i="8"/>
  <c r="L574" i="8" s="1"/>
  <c r="N574" i="8" s="1"/>
  <c r="K568" i="8"/>
  <c r="L568" i="8" s="1"/>
  <c r="N568" i="8" s="1"/>
  <c r="L2454" i="16"/>
  <c r="M2454" i="16" s="1"/>
  <c r="O2454" i="16" s="1"/>
  <c r="L2461" i="16"/>
  <c r="M2461" i="16" s="1"/>
  <c r="O2461" i="16" s="1"/>
  <c r="K573" i="8"/>
  <c r="L573" i="8" s="1"/>
  <c r="N573" i="8" s="1"/>
  <c r="L2458" i="16"/>
  <c r="M2458" i="16" s="1"/>
  <c r="O2458" i="16" s="1"/>
  <c r="L2462" i="16"/>
  <c r="M2462" i="16" s="1"/>
  <c r="O2462" i="16" s="1"/>
  <c r="L2455" i="16"/>
  <c r="M2455" i="16" s="1"/>
  <c r="O2455" i="16" s="1"/>
  <c r="L2459" i="16"/>
  <c r="M2459" i="16" s="1"/>
  <c r="O2459" i="16" s="1"/>
  <c r="L2456" i="16"/>
  <c r="M2456" i="16" s="1"/>
  <c r="O2456" i="16" s="1"/>
  <c r="L2460" i="16"/>
  <c r="M2460" i="16" s="1"/>
  <c r="O2460" i="16" s="1"/>
  <c r="J461" i="8" l="1"/>
  <c r="K461" i="8" s="1"/>
  <c r="L461" i="8" s="1"/>
  <c r="N461" i="8" s="1"/>
  <c r="J460" i="8"/>
  <c r="K460" i="8" s="1"/>
  <c r="L460" i="8" s="1"/>
  <c r="N460" i="8" s="1"/>
  <c r="K1412" i="16"/>
  <c r="L1412" i="16" s="1"/>
  <c r="M1412" i="16" s="1"/>
  <c r="O1412" i="16" s="1"/>
  <c r="K1411" i="16"/>
  <c r="L1411" i="16" s="1"/>
  <c r="M1411" i="16" s="1"/>
  <c r="O1411" i="16" s="1"/>
  <c r="K1410" i="16"/>
  <c r="L1410" i="16" s="1"/>
  <c r="M1410" i="16" s="1"/>
  <c r="O1410" i="16" s="1"/>
  <c r="K1409" i="16"/>
  <c r="L1409" i="16" s="1"/>
  <c r="M1409" i="16" s="1"/>
  <c r="O1409" i="16" s="1"/>
  <c r="J126" i="24"/>
  <c r="K126" i="24" s="1"/>
  <c r="M126" i="24" s="1"/>
  <c r="J125" i="24"/>
  <c r="K125" i="24" s="1"/>
  <c r="M125" i="24" s="1"/>
  <c r="J124" i="24"/>
  <c r="K124" i="24" s="1"/>
  <c r="M124" i="24" s="1"/>
  <c r="J123" i="24"/>
  <c r="K123" i="24" s="1"/>
  <c r="M123" i="24" s="1"/>
  <c r="J122" i="24"/>
  <c r="K122" i="24" s="1"/>
  <c r="M122" i="24" s="1"/>
  <c r="J121" i="24"/>
  <c r="K121" i="24" s="1"/>
  <c r="M121" i="24" s="1"/>
  <c r="J120" i="24"/>
  <c r="K120" i="24" s="1"/>
  <c r="M120" i="24" s="1"/>
  <c r="J119" i="24"/>
  <c r="K119" i="24" s="1"/>
  <c r="M119" i="24" s="1"/>
  <c r="J118" i="24"/>
  <c r="K118" i="24" s="1"/>
  <c r="M118" i="24" s="1"/>
  <c r="J117" i="24"/>
  <c r="K117" i="24" s="1"/>
  <c r="M117" i="24" s="1"/>
  <c r="J116" i="24"/>
  <c r="K116" i="24" s="1"/>
  <c r="M116" i="24" s="1"/>
  <c r="J115" i="24"/>
  <c r="K115" i="24" s="1"/>
  <c r="M115" i="24" s="1"/>
  <c r="I565" i="8" l="1"/>
  <c r="K565" i="8" s="1"/>
  <c r="L565" i="8" s="1"/>
  <c r="N565" i="8" s="1"/>
  <c r="I564" i="8"/>
  <c r="K564" i="8" s="1"/>
  <c r="L564" i="8" s="1"/>
  <c r="N564" i="8" s="1"/>
  <c r="I563" i="8"/>
  <c r="K563" i="8" s="1"/>
  <c r="L563" i="8" s="1"/>
  <c r="N563" i="8" s="1"/>
  <c r="I562" i="8"/>
  <c r="K562" i="8" s="1"/>
  <c r="L562" i="8" s="1"/>
  <c r="N562" i="8" s="1"/>
  <c r="I561" i="8"/>
  <c r="K561" i="8" s="1"/>
  <c r="L561" i="8" s="1"/>
  <c r="N561" i="8" s="1"/>
  <c r="P2452" i="16"/>
  <c r="J2451" i="16"/>
  <c r="L2451" i="16" s="1"/>
  <c r="M2451" i="16" s="1"/>
  <c r="O2451" i="16" s="1"/>
  <c r="J2450" i="16"/>
  <c r="L2450" i="16" s="1"/>
  <c r="M2450" i="16" s="1"/>
  <c r="O2450" i="16" s="1"/>
  <c r="J2449" i="16"/>
  <c r="L2449" i="16" s="1"/>
  <c r="M2449" i="16" s="1"/>
  <c r="O2449" i="16" s="1"/>
  <c r="J2448" i="16"/>
  <c r="L2448" i="16" s="1"/>
  <c r="M2448" i="16" s="1"/>
  <c r="O2448" i="16" s="1"/>
  <c r="J2447" i="16"/>
  <c r="L2447" i="16" s="1"/>
  <c r="M2447" i="16" s="1"/>
  <c r="O2447" i="16" s="1"/>
  <c r="J2446" i="16"/>
  <c r="L2446" i="16" s="1"/>
  <c r="M2446" i="16" s="1"/>
  <c r="O2446" i="16" s="1"/>
  <c r="J2445" i="16"/>
  <c r="L2445" i="16" s="1"/>
  <c r="M2445" i="16" s="1"/>
  <c r="O2445" i="16" s="1"/>
  <c r="J2444" i="16"/>
  <c r="L2444" i="16" s="1"/>
  <c r="M2444" i="16" s="1"/>
  <c r="O2444" i="16" s="1"/>
  <c r="J2443" i="16"/>
  <c r="L2443" i="16" s="1"/>
  <c r="M2443" i="16" s="1"/>
  <c r="O2443" i="16" s="1"/>
  <c r="J2442" i="16"/>
  <c r="L2442" i="16" s="1"/>
  <c r="M2442" i="16" s="1"/>
  <c r="O2442" i="16" s="1"/>
  <c r="J2441" i="16"/>
  <c r="L2441" i="16" s="1"/>
  <c r="M2441" i="16" s="1"/>
  <c r="O2441" i="16" s="1"/>
  <c r="J2440" i="16"/>
  <c r="L2440" i="16" s="1"/>
  <c r="M2440" i="16" s="1"/>
  <c r="O2440" i="16" s="1"/>
  <c r="I2452" i="16"/>
  <c r="I2438" i="16" l="1"/>
  <c r="K560" i="8" l="1"/>
  <c r="L560" i="8" s="1"/>
  <c r="N560" i="8" s="1"/>
  <c r="K559" i="8"/>
  <c r="L559" i="8" s="1"/>
  <c r="N559" i="8" s="1"/>
  <c r="K558" i="8"/>
  <c r="L558" i="8" s="1"/>
  <c r="N558" i="8" s="1"/>
  <c r="K557" i="8"/>
  <c r="L557" i="8" s="1"/>
  <c r="N557" i="8" s="1"/>
  <c r="K556" i="8"/>
  <c r="L556" i="8" s="1"/>
  <c r="N556" i="8" s="1"/>
  <c r="L2431" i="16"/>
  <c r="M2431" i="16" s="1"/>
  <c r="O2431" i="16" s="1"/>
  <c r="L2432" i="16"/>
  <c r="M2432" i="16" s="1"/>
  <c r="O2432" i="16" s="1"/>
  <c r="L2433" i="16"/>
  <c r="M2433" i="16" s="1"/>
  <c r="O2433" i="16" s="1"/>
  <c r="L2434" i="16"/>
  <c r="M2434" i="16" s="1"/>
  <c r="O2434" i="16" s="1"/>
  <c r="L2435" i="16"/>
  <c r="M2435" i="16" s="1"/>
  <c r="O2435" i="16" s="1"/>
  <c r="L2436" i="16"/>
  <c r="M2436" i="16" s="1"/>
  <c r="O2436" i="16" s="1"/>
  <c r="L2437" i="16"/>
  <c r="M2437" i="16" s="1"/>
  <c r="O2437" i="16" s="1"/>
  <c r="J2430" i="16"/>
  <c r="L2430" i="16" s="1"/>
  <c r="M2430" i="16" s="1"/>
  <c r="O2430" i="16" s="1"/>
  <c r="E365" i="14" l="1"/>
  <c r="I365" i="14" l="1"/>
  <c r="J552" i="8"/>
  <c r="K552" i="8" s="1"/>
  <c r="L552" i="8" s="1"/>
  <c r="N552" i="8" s="1"/>
  <c r="J551" i="8"/>
  <c r="K551" i="8" s="1"/>
  <c r="L551" i="8" s="1"/>
  <c r="N551" i="8" s="1"/>
  <c r="J550" i="8"/>
  <c r="K550" i="8" s="1"/>
  <c r="L550" i="8" s="1"/>
  <c r="N550" i="8" s="1"/>
  <c r="J549" i="8"/>
  <c r="K549" i="8" s="1"/>
  <c r="L549" i="8" s="1"/>
  <c r="N549" i="8" s="1"/>
  <c r="J548" i="8"/>
  <c r="K548" i="8" s="1"/>
  <c r="L548" i="8" s="1"/>
  <c r="N548" i="8" s="1"/>
  <c r="J547" i="8"/>
  <c r="K547" i="8" s="1"/>
  <c r="L547" i="8" s="1"/>
  <c r="N547" i="8" s="1"/>
  <c r="J546" i="8"/>
  <c r="K546" i="8" s="1"/>
  <c r="L546" i="8" s="1"/>
  <c r="N546" i="8" s="1"/>
  <c r="J545" i="8"/>
  <c r="K545" i="8" s="1"/>
  <c r="L545" i="8" s="1"/>
  <c r="N545" i="8" s="1"/>
  <c r="J544" i="8"/>
  <c r="K544" i="8" s="1"/>
  <c r="L544" i="8" s="1"/>
  <c r="N544" i="8" s="1"/>
  <c r="J537" i="8"/>
  <c r="K537" i="8" s="1"/>
  <c r="L537" i="8" s="1"/>
  <c r="N537" i="8" s="1"/>
  <c r="J538" i="8"/>
  <c r="K538" i="8" s="1"/>
  <c r="L538" i="8" s="1"/>
  <c r="N538" i="8" s="1"/>
  <c r="J539" i="8"/>
  <c r="K539" i="8" s="1"/>
  <c r="L539" i="8" s="1"/>
  <c r="N539" i="8" s="1"/>
  <c r="J540" i="8"/>
  <c r="K540" i="8" s="1"/>
  <c r="L540" i="8" s="1"/>
  <c r="N540" i="8" s="1"/>
  <c r="J541" i="8"/>
  <c r="K541" i="8" s="1"/>
  <c r="L541" i="8" s="1"/>
  <c r="N541" i="8" s="1"/>
  <c r="J536" i="8"/>
  <c r="I536" i="8"/>
  <c r="K2427" i="16"/>
  <c r="L2427" i="16" s="1"/>
  <c r="M2427" i="16" s="1"/>
  <c r="O2427" i="16" s="1"/>
  <c r="K2426" i="16"/>
  <c r="L2426" i="16" s="1"/>
  <c r="M2426" i="16" s="1"/>
  <c r="O2426" i="16" s="1"/>
  <c r="K2425" i="16"/>
  <c r="L2425" i="16" s="1"/>
  <c r="M2425" i="16" s="1"/>
  <c r="O2425" i="16" s="1"/>
  <c r="K2424" i="16"/>
  <c r="L2424" i="16" s="1"/>
  <c r="M2424" i="16" s="1"/>
  <c r="O2424" i="16" s="1"/>
  <c r="K2423" i="16"/>
  <c r="L2423" i="16" s="1"/>
  <c r="M2423" i="16" s="1"/>
  <c r="O2423" i="16" s="1"/>
  <c r="K2422" i="16"/>
  <c r="L2422" i="16" s="1"/>
  <c r="M2422" i="16" s="1"/>
  <c r="O2422" i="16" s="1"/>
  <c r="K2421" i="16"/>
  <c r="L2421" i="16" s="1"/>
  <c r="M2421" i="16" s="1"/>
  <c r="O2421" i="16" s="1"/>
  <c r="K2420" i="16"/>
  <c r="L2420" i="16" s="1"/>
  <c r="M2420" i="16" s="1"/>
  <c r="O2420" i="16" s="1"/>
  <c r="K2419" i="16"/>
  <c r="L2419" i="16" s="1"/>
  <c r="M2419" i="16" s="1"/>
  <c r="O2419" i="16" s="1"/>
  <c r="K2418" i="16"/>
  <c r="L2418" i="16" s="1"/>
  <c r="M2418" i="16" s="1"/>
  <c r="O2418" i="16" s="1"/>
  <c r="K2417" i="16"/>
  <c r="L2417" i="16" s="1"/>
  <c r="M2417" i="16" s="1"/>
  <c r="O2417" i="16" s="1"/>
  <c r="K536" i="8" l="1"/>
  <c r="L536" i="8" s="1"/>
  <c r="N536" i="8" s="1"/>
  <c r="I2428" i="16"/>
  <c r="J2416" i="16" s="1"/>
  <c r="K2416" i="16"/>
  <c r="L2416" i="16" l="1"/>
  <c r="M2416" i="16" s="1"/>
  <c r="O2416" i="16" s="1"/>
  <c r="K1335" i="8" l="1"/>
  <c r="L1335" i="8" s="1"/>
  <c r="N1335" i="8" s="1"/>
  <c r="K1334" i="8"/>
  <c r="L1334" i="8" s="1"/>
  <c r="N1334" i="8" s="1"/>
  <c r="K1333" i="8"/>
  <c r="L1333" i="8" s="1"/>
  <c r="N1333" i="8" s="1"/>
  <c r="I359" i="14" l="1"/>
  <c r="I344" i="14" l="1"/>
  <c r="E336" i="14"/>
  <c r="I336" i="14" l="1"/>
  <c r="K1264" i="8" l="1"/>
  <c r="L1264" i="8" s="1"/>
  <c r="N1264" i="8" s="1"/>
  <c r="K1263" i="8"/>
  <c r="L1263" i="8" s="1"/>
  <c r="N1263" i="8" s="1"/>
  <c r="K1262" i="8"/>
  <c r="L1262" i="8" s="1"/>
  <c r="N1262" i="8" s="1"/>
  <c r="K1261" i="8"/>
  <c r="L1261" i="8" s="1"/>
  <c r="N1261" i="8" s="1"/>
  <c r="K1260" i="8"/>
  <c r="L1260" i="8" s="1"/>
  <c r="N1260" i="8" s="1"/>
  <c r="K1259" i="8"/>
  <c r="L1259" i="8" s="1"/>
  <c r="N1259" i="8" s="1"/>
  <c r="K1258" i="8"/>
  <c r="L1258" i="8" s="1"/>
  <c r="N1258" i="8" s="1"/>
  <c r="K1257" i="8"/>
  <c r="L1257" i="8" s="1"/>
  <c r="N1257" i="8" s="1"/>
  <c r="K1256" i="8"/>
  <c r="L1256" i="8" s="1"/>
  <c r="N1256" i="8" s="1"/>
  <c r="K1255" i="8"/>
  <c r="L1255" i="8" s="1"/>
  <c r="N1255" i="8" s="1"/>
  <c r="K1254" i="8"/>
  <c r="L1254" i="8" s="1"/>
  <c r="N1254" i="8" s="1"/>
  <c r="K1253" i="8"/>
  <c r="L1253" i="8" s="1"/>
  <c r="N1253" i="8" s="1"/>
  <c r="K1252" i="8"/>
  <c r="L1252" i="8" s="1"/>
  <c r="N1252" i="8" s="1"/>
  <c r="K1251" i="8"/>
  <c r="L1251" i="8" s="1"/>
  <c r="N1251" i="8" s="1"/>
  <c r="K1250" i="8"/>
  <c r="L1250" i="8" s="1"/>
  <c r="N1250" i="8" s="1"/>
  <c r="K1249" i="8"/>
  <c r="L1249" i="8" s="1"/>
  <c r="N1249" i="8" s="1"/>
  <c r="K1248" i="8"/>
  <c r="L1248" i="8" s="1"/>
  <c r="N1248" i="8" s="1"/>
  <c r="K1247" i="8"/>
  <c r="L1247" i="8" s="1"/>
  <c r="N1247" i="8" s="1"/>
  <c r="K1246" i="8"/>
  <c r="L1246" i="8" s="1"/>
  <c r="N1246" i="8" s="1"/>
  <c r="K1245" i="8"/>
  <c r="L1245" i="8" s="1"/>
  <c r="N1245" i="8" s="1"/>
  <c r="K1299" i="8"/>
  <c r="L1299" i="8" s="1"/>
  <c r="N1299" i="8" s="1"/>
  <c r="K1298" i="8"/>
  <c r="L1298" i="8" s="1"/>
  <c r="N1298" i="8" s="1"/>
  <c r="K1297" i="8"/>
  <c r="L1297" i="8" s="1"/>
  <c r="N1297" i="8" s="1"/>
  <c r="K1296" i="8"/>
  <c r="L1296" i="8" s="1"/>
  <c r="N1296" i="8" s="1"/>
  <c r="K1295" i="8"/>
  <c r="L1295" i="8" s="1"/>
  <c r="N1295" i="8" s="1"/>
  <c r="K1294" i="8"/>
  <c r="L1294" i="8" s="1"/>
  <c r="N1294" i="8" s="1"/>
  <c r="K1293" i="8"/>
  <c r="L1293" i="8" s="1"/>
  <c r="N1293" i="8" s="1"/>
  <c r="K1292" i="8"/>
  <c r="L1292" i="8" s="1"/>
  <c r="N1292" i="8" s="1"/>
  <c r="K1291" i="8"/>
  <c r="L1291" i="8" s="1"/>
  <c r="N1291" i="8" s="1"/>
  <c r="K1290" i="8"/>
  <c r="L1290" i="8" s="1"/>
  <c r="N1290" i="8" s="1"/>
  <c r="K1289" i="8"/>
  <c r="L1289" i="8" s="1"/>
  <c r="N1289" i="8" s="1"/>
  <c r="K1288" i="8"/>
  <c r="L1288" i="8" s="1"/>
  <c r="N1288" i="8" s="1"/>
  <c r="K1287" i="8"/>
  <c r="L1287" i="8" s="1"/>
  <c r="N1287" i="8" s="1"/>
  <c r="K1332" i="8"/>
  <c r="L1332" i="8" s="1"/>
  <c r="N1332" i="8" s="1"/>
  <c r="K1331" i="8"/>
  <c r="L1331" i="8" s="1"/>
  <c r="N1331" i="8" s="1"/>
  <c r="K1330" i="8"/>
  <c r="L1330" i="8" s="1"/>
  <c r="N1330" i="8" s="1"/>
  <c r="K1329" i="8"/>
  <c r="L1329" i="8" s="1"/>
  <c r="N1329" i="8" s="1"/>
  <c r="K1328" i="8"/>
  <c r="L1328" i="8" s="1"/>
  <c r="N1328" i="8" s="1"/>
  <c r="K1327" i="8"/>
  <c r="L1327" i="8" s="1"/>
  <c r="N1327" i="8" s="1"/>
  <c r="K1326" i="8"/>
  <c r="L1326" i="8" s="1"/>
  <c r="N1326" i="8" s="1"/>
  <c r="K1325" i="8"/>
  <c r="L1325" i="8" s="1"/>
  <c r="N1325" i="8" s="1"/>
  <c r="K1324" i="8"/>
  <c r="L1324" i="8" s="1"/>
  <c r="N1324" i="8" s="1"/>
  <c r="K1323" i="8"/>
  <c r="L1323" i="8" s="1"/>
  <c r="N1323" i="8" s="1"/>
  <c r="K1322" i="8"/>
  <c r="L1322" i="8" s="1"/>
  <c r="N1322" i="8" s="1"/>
  <c r="K1321" i="8"/>
  <c r="L1321" i="8" s="1"/>
  <c r="N1321" i="8" s="1"/>
  <c r="K1320" i="8"/>
  <c r="L1320" i="8" s="1"/>
  <c r="N1320" i="8" s="1"/>
  <c r="K1319" i="8"/>
  <c r="L1319" i="8" s="1"/>
  <c r="N1319" i="8" s="1"/>
  <c r="K1318" i="8"/>
  <c r="L1318" i="8" s="1"/>
  <c r="N1318" i="8" s="1"/>
  <c r="K1317" i="8"/>
  <c r="L1317" i="8" s="1"/>
  <c r="N1317" i="8" s="1"/>
  <c r="K1316" i="8"/>
  <c r="L1316" i="8" s="1"/>
  <c r="N1316" i="8" s="1"/>
  <c r="K1315" i="8"/>
  <c r="L1315" i="8" s="1"/>
  <c r="N1315" i="8" s="1"/>
  <c r="K1314" i="8"/>
  <c r="L1314" i="8" s="1"/>
  <c r="N1314" i="8" s="1"/>
  <c r="K1313" i="8"/>
  <c r="L1313" i="8" s="1"/>
  <c r="N1313" i="8" s="1"/>
  <c r="K1311" i="8"/>
  <c r="L1311" i="8" s="1"/>
  <c r="N1311" i="8" s="1"/>
  <c r="K1310" i="8"/>
  <c r="L1310" i="8" s="1"/>
  <c r="N1310" i="8" s="1"/>
  <c r="K1309" i="8"/>
  <c r="L1309" i="8" s="1"/>
  <c r="N1309" i="8" s="1"/>
  <c r="K1308" i="8"/>
  <c r="L1308" i="8" s="1"/>
  <c r="N1308" i="8" s="1"/>
  <c r="K1307" i="8"/>
  <c r="L1307" i="8" s="1"/>
  <c r="N1307" i="8" s="1"/>
  <c r="K1304" i="8"/>
  <c r="L1304" i="8" s="1"/>
  <c r="N1304" i="8" s="1"/>
  <c r="K1303" i="8"/>
  <c r="L1303" i="8" s="1"/>
  <c r="N1303" i="8" s="1"/>
  <c r="K1302" i="8"/>
  <c r="L1302" i="8" s="1"/>
  <c r="N1302" i="8" s="1"/>
  <c r="K1301" i="8"/>
  <c r="L1301" i="8" s="1"/>
  <c r="N1301" i="8" s="1"/>
  <c r="K1087" i="8"/>
  <c r="L1087" i="8" s="1"/>
  <c r="N1087" i="8" s="1"/>
  <c r="K1082" i="8"/>
  <c r="L1082" i="8" s="1"/>
  <c r="N1082" i="8" s="1"/>
  <c r="K1085" i="8"/>
  <c r="L1085" i="8" s="1"/>
  <c r="N1085" i="8" s="1"/>
  <c r="K1084" i="8"/>
  <c r="L1084" i="8" s="1"/>
  <c r="N1084" i="8" s="1"/>
  <c r="K1083" i="8"/>
  <c r="L1083" i="8" s="1"/>
  <c r="N1083" i="8" s="1"/>
  <c r="K1081" i="8"/>
  <c r="L1081" i="8" s="1"/>
  <c r="N1081" i="8" s="1"/>
  <c r="K1080" i="8"/>
  <c r="L1080" i="8" s="1"/>
  <c r="N1080" i="8" s="1"/>
  <c r="K1079" i="8"/>
  <c r="L1079" i="8" s="1"/>
  <c r="N1079" i="8" s="1"/>
  <c r="K1078" i="8"/>
  <c r="L1078" i="8" s="1"/>
  <c r="N1078" i="8" s="1"/>
  <c r="K1077" i="8"/>
  <c r="L1077" i="8" s="1"/>
  <c r="N1077" i="8" s="1"/>
  <c r="K869" i="8"/>
  <c r="L869" i="8" s="1"/>
  <c r="N869" i="8" s="1"/>
  <c r="K868" i="8"/>
  <c r="L868" i="8" s="1"/>
  <c r="N868" i="8" s="1"/>
  <c r="K867" i="8"/>
  <c r="L867" i="8" s="1"/>
  <c r="N867" i="8" s="1"/>
  <c r="K866" i="8"/>
  <c r="L866" i="8" s="1"/>
  <c r="N866" i="8" s="1"/>
  <c r="K865" i="8"/>
  <c r="L865" i="8" s="1"/>
  <c r="N865" i="8" s="1"/>
  <c r="K864" i="8"/>
  <c r="L864" i="8" s="1"/>
  <c r="N864" i="8" s="1"/>
  <c r="K863" i="8"/>
  <c r="L863" i="8" s="1"/>
  <c r="N863" i="8" s="1"/>
  <c r="K862" i="8"/>
  <c r="L862" i="8" s="1"/>
  <c r="N862" i="8" s="1"/>
  <c r="K861" i="8"/>
  <c r="L861" i="8" s="1"/>
  <c r="N861" i="8" s="1"/>
  <c r="K860" i="8"/>
  <c r="L860" i="8" s="1"/>
  <c r="N860" i="8" s="1"/>
  <c r="K859" i="8"/>
  <c r="L859" i="8" s="1"/>
  <c r="N859" i="8" s="1"/>
  <c r="K858" i="8"/>
  <c r="L858" i="8" s="1"/>
  <c r="N858" i="8" s="1"/>
  <c r="K857" i="8"/>
  <c r="L857" i="8" s="1"/>
  <c r="N857" i="8" s="1"/>
  <c r="K856" i="8"/>
  <c r="L856" i="8" s="1"/>
  <c r="N856" i="8" s="1"/>
  <c r="K855" i="8"/>
  <c r="L855" i="8" s="1"/>
  <c r="N855" i="8" s="1"/>
  <c r="K854" i="8"/>
  <c r="L854" i="8" s="1"/>
  <c r="N854" i="8" s="1"/>
  <c r="K853" i="8"/>
  <c r="L853" i="8" s="1"/>
  <c r="N853" i="8" s="1"/>
  <c r="K852" i="8"/>
  <c r="L852" i="8" s="1"/>
  <c r="N852" i="8" s="1"/>
  <c r="K851" i="8"/>
  <c r="L851" i="8" s="1"/>
  <c r="N851" i="8" s="1"/>
  <c r="K850" i="8"/>
  <c r="L850" i="8" s="1"/>
  <c r="N850" i="8" s="1"/>
  <c r="K849" i="8"/>
  <c r="L849" i="8" s="1"/>
  <c r="N849" i="8" s="1"/>
  <c r="K848" i="8"/>
  <c r="L848" i="8" s="1"/>
  <c r="N848" i="8" s="1"/>
  <c r="K847" i="8"/>
  <c r="L847" i="8" s="1"/>
  <c r="N847" i="8" s="1"/>
  <c r="K846" i="8"/>
  <c r="L846" i="8" s="1"/>
  <c r="N846" i="8" s="1"/>
  <c r="K845" i="8"/>
  <c r="L845" i="8" s="1"/>
  <c r="N845" i="8" s="1"/>
  <c r="K844" i="8"/>
  <c r="L844" i="8" s="1"/>
  <c r="N844" i="8" s="1"/>
  <c r="K843" i="8"/>
  <c r="L843" i="8" s="1"/>
  <c r="N843" i="8" s="1"/>
  <c r="K842" i="8"/>
  <c r="L842" i="8" s="1"/>
  <c r="N842" i="8" s="1"/>
  <c r="K841" i="8"/>
  <c r="L841" i="8" s="1"/>
  <c r="N841" i="8" s="1"/>
  <c r="K840" i="8"/>
  <c r="L840" i="8" s="1"/>
  <c r="N840" i="8" s="1"/>
  <c r="K534" i="8"/>
  <c r="L534" i="8" s="1"/>
  <c r="N534" i="8" s="1"/>
  <c r="K533" i="8"/>
  <c r="L533" i="8" s="1"/>
  <c r="N533" i="8" s="1"/>
  <c r="K532" i="8"/>
  <c r="L532" i="8" s="1"/>
  <c r="N532" i="8" s="1"/>
  <c r="K531" i="8"/>
  <c r="L531" i="8" s="1"/>
  <c r="N531" i="8" s="1"/>
  <c r="K530" i="8"/>
  <c r="L530" i="8" s="1"/>
  <c r="N530" i="8" s="1"/>
  <c r="K529" i="8"/>
  <c r="L529" i="8" s="1"/>
  <c r="N529" i="8" s="1"/>
  <c r="K528" i="8"/>
  <c r="L528" i="8" s="1"/>
  <c r="N528" i="8" s="1"/>
  <c r="K527" i="8"/>
  <c r="L527" i="8" s="1"/>
  <c r="N527" i="8" s="1"/>
  <c r="K526" i="8"/>
  <c r="L526" i="8" s="1"/>
  <c r="N526" i="8" s="1"/>
  <c r="K525" i="8"/>
  <c r="L525" i="8" s="1"/>
  <c r="N525" i="8" s="1"/>
  <c r="K524" i="8"/>
  <c r="L524" i="8" s="1"/>
  <c r="N524" i="8" s="1"/>
  <c r="K523" i="8"/>
  <c r="L523" i="8" s="1"/>
  <c r="N523" i="8" s="1"/>
  <c r="K522" i="8"/>
  <c r="L522" i="8" s="1"/>
  <c r="N522" i="8" s="1"/>
  <c r="K521" i="8"/>
  <c r="L521" i="8" s="1"/>
  <c r="N521" i="8" s="1"/>
  <c r="K520" i="8"/>
  <c r="L520" i="8" s="1"/>
  <c r="N520" i="8" s="1"/>
  <c r="K519" i="8"/>
  <c r="L519" i="8" s="1"/>
  <c r="N519" i="8" s="1"/>
  <c r="K518" i="8"/>
  <c r="L518" i="8" s="1"/>
  <c r="N518" i="8" s="1"/>
  <c r="K517" i="8"/>
  <c r="L517" i="8" s="1"/>
  <c r="N517" i="8" s="1"/>
  <c r="K516" i="8"/>
  <c r="L516" i="8" s="1"/>
  <c r="N516" i="8" s="1"/>
  <c r="K515" i="8"/>
  <c r="L515" i="8" s="1"/>
  <c r="N515" i="8" s="1"/>
  <c r="K514" i="8"/>
  <c r="L514" i="8" s="1"/>
  <c r="N514" i="8" s="1"/>
  <c r="K513" i="8"/>
  <c r="L513" i="8" s="1"/>
  <c r="N513" i="8" s="1"/>
  <c r="K512" i="8"/>
  <c r="L512" i="8" s="1"/>
  <c r="N512" i="8" s="1"/>
  <c r="K511" i="8"/>
  <c r="L511" i="8" s="1"/>
  <c r="N511" i="8" s="1"/>
  <c r="K510" i="8"/>
  <c r="L510" i="8" s="1"/>
  <c r="N510" i="8" s="1"/>
  <c r="K509" i="8"/>
  <c r="L509" i="8" s="1"/>
  <c r="N509" i="8" s="1"/>
  <c r="K508" i="8"/>
  <c r="L508" i="8" s="1"/>
  <c r="N508" i="8" s="1"/>
  <c r="K507" i="8"/>
  <c r="L507" i="8" s="1"/>
  <c r="N507" i="8" s="1"/>
  <c r="K506" i="8"/>
  <c r="L506" i="8" s="1"/>
  <c r="N506" i="8" s="1"/>
  <c r="K505" i="8"/>
  <c r="L505" i="8" s="1"/>
  <c r="N505" i="8" s="1"/>
  <c r="K504" i="8"/>
  <c r="L504" i="8" s="1"/>
  <c r="N504" i="8" s="1"/>
  <c r="K503" i="8"/>
  <c r="L503" i="8" s="1"/>
  <c r="N503" i="8" s="1"/>
  <c r="K502" i="8"/>
  <c r="L502" i="8" s="1"/>
  <c r="N502" i="8" s="1"/>
  <c r="K501" i="8"/>
  <c r="L501" i="8" s="1"/>
  <c r="N501" i="8" s="1"/>
  <c r="K500" i="8"/>
  <c r="L500" i="8" s="1"/>
  <c r="N500" i="8" s="1"/>
  <c r="K499" i="8"/>
  <c r="L499" i="8" s="1"/>
  <c r="N499" i="8" s="1"/>
  <c r="L79" i="8"/>
  <c r="N79" i="8" s="1"/>
  <c r="K97" i="8"/>
  <c r="L97" i="8" s="1"/>
  <c r="N97" i="8" s="1"/>
  <c r="K96" i="8"/>
  <c r="L96" i="8" s="1"/>
  <c r="N96" i="8" s="1"/>
  <c r="K95" i="8"/>
  <c r="L95" i="8" s="1"/>
  <c r="N95" i="8" s="1"/>
  <c r="K94" i="8"/>
  <c r="L94" i="8" s="1"/>
  <c r="N94" i="8" s="1"/>
  <c r="K93" i="8"/>
  <c r="L93" i="8" s="1"/>
  <c r="N93" i="8" s="1"/>
  <c r="K91" i="8"/>
  <c r="L91" i="8" s="1"/>
  <c r="N91" i="8" s="1"/>
  <c r="K90" i="8"/>
  <c r="L90" i="8" s="1"/>
  <c r="N90" i="8" s="1"/>
  <c r="K89" i="8"/>
  <c r="L89" i="8" s="1"/>
  <c r="N89" i="8" s="1"/>
  <c r="K88" i="8"/>
  <c r="L88" i="8" s="1"/>
  <c r="N88" i="8" s="1"/>
  <c r="K87" i="8"/>
  <c r="L87" i="8" s="1"/>
  <c r="N87" i="8" s="1"/>
  <c r="K86" i="8"/>
  <c r="L86" i="8" s="1"/>
  <c r="N86" i="8" s="1"/>
  <c r="K85" i="8"/>
  <c r="L85" i="8" s="1"/>
  <c r="N85" i="8" s="1"/>
  <c r="K84" i="8"/>
  <c r="L84" i="8" s="1"/>
  <c r="N84" i="8" s="1"/>
  <c r="K83" i="8"/>
  <c r="L83" i="8" s="1"/>
  <c r="N83" i="8" s="1"/>
  <c r="K82" i="8"/>
  <c r="L82" i="8" s="1"/>
  <c r="N82" i="8" s="1"/>
  <c r="K81" i="8"/>
  <c r="L81" i="8" s="1"/>
  <c r="N81" i="8" s="1"/>
  <c r="K80" i="8"/>
  <c r="L80" i="8" s="1"/>
  <c r="N80" i="8" s="1"/>
  <c r="J2089" i="16"/>
  <c r="K2089" i="16"/>
  <c r="N2089" i="16"/>
  <c r="P2089" i="16"/>
  <c r="J94" i="24"/>
  <c r="K94" i="24" s="1"/>
  <c r="N94" i="24" s="1"/>
  <c r="J93" i="24"/>
  <c r="K93" i="24" s="1"/>
  <c r="J92" i="24"/>
  <c r="K92" i="24" s="1"/>
  <c r="N92" i="24" s="1"/>
  <c r="J91" i="24"/>
  <c r="K91" i="24" s="1"/>
  <c r="N91" i="24" s="1"/>
  <c r="J90" i="24"/>
  <c r="K90" i="24" s="1"/>
  <c r="M90" i="24" s="1"/>
  <c r="J89" i="24"/>
  <c r="K89" i="24" s="1"/>
  <c r="M89" i="24" s="1"/>
  <c r="J88" i="24"/>
  <c r="K88" i="24" s="1"/>
  <c r="M88" i="24" s="1"/>
  <c r="J87" i="24"/>
  <c r="K87" i="24" s="1"/>
  <c r="M87" i="24" s="1"/>
  <c r="J86" i="24"/>
  <c r="K86" i="24" s="1"/>
  <c r="M86" i="24" s="1"/>
  <c r="J85" i="24"/>
  <c r="K85" i="24" s="1"/>
  <c r="M85" i="24" s="1"/>
  <c r="J84" i="24"/>
  <c r="K84" i="24" s="1"/>
  <c r="M84" i="24" s="1"/>
  <c r="J83" i="24"/>
  <c r="K83" i="24" s="1"/>
  <c r="M83" i="24" s="1"/>
  <c r="J82" i="24"/>
  <c r="K82" i="24" s="1"/>
  <c r="M82" i="24" s="1"/>
  <c r="N93" i="24" l="1"/>
  <c r="M93" i="24"/>
  <c r="M91" i="24"/>
  <c r="M92" i="24"/>
  <c r="M94" i="24"/>
  <c r="L2386" i="16" l="1"/>
  <c r="M2386" i="16" s="1"/>
  <c r="O2386" i="16" s="1"/>
  <c r="L2385" i="16"/>
  <c r="M2385" i="16" s="1"/>
  <c r="O2385" i="16" s="1"/>
  <c r="L2384" i="16"/>
  <c r="M2384" i="16" s="1"/>
  <c r="O2384" i="16" s="1"/>
  <c r="L2383" i="16"/>
  <c r="M2383" i="16" s="1"/>
  <c r="O2383" i="16" s="1"/>
  <c r="L2382" i="16"/>
  <c r="M2382" i="16" s="1"/>
  <c r="O2382" i="16" s="1"/>
  <c r="L2381" i="16"/>
  <c r="M2381" i="16" s="1"/>
  <c r="O2381" i="16" s="1"/>
  <c r="L2380" i="16"/>
  <c r="M2380" i="16" s="1"/>
  <c r="O2380" i="16" s="1"/>
  <c r="L2379" i="16"/>
  <c r="M2379" i="16" s="1"/>
  <c r="O2379" i="16" s="1"/>
  <c r="L2378" i="16"/>
  <c r="M2378" i="16" s="1"/>
  <c r="O2378" i="16" s="1"/>
  <c r="L2377" i="16"/>
  <c r="M2377" i="16" s="1"/>
  <c r="O2377" i="16" s="1"/>
  <c r="L2376" i="16"/>
  <c r="M2376" i="16" s="1"/>
  <c r="O2376" i="16" s="1"/>
  <c r="L2375" i="16"/>
  <c r="M2375" i="16" s="1"/>
  <c r="O2375" i="16" s="1"/>
  <c r="L2374" i="16"/>
  <c r="M2374" i="16" s="1"/>
  <c r="O2374" i="16" s="1"/>
  <c r="L2373" i="16"/>
  <c r="M2373" i="16" s="1"/>
  <c r="O2373" i="16" s="1"/>
  <c r="L2372" i="16"/>
  <c r="M2372" i="16" s="1"/>
  <c r="O2372" i="16" s="1"/>
  <c r="L2371" i="16"/>
  <c r="M2371" i="16" s="1"/>
  <c r="O2371" i="16" s="1"/>
  <c r="L2370" i="16"/>
  <c r="M2370" i="16" s="1"/>
  <c r="O2370" i="16" s="1"/>
  <c r="L2369" i="16"/>
  <c r="M2369" i="16" s="1"/>
  <c r="O2369" i="16" s="1"/>
  <c r="L2368" i="16"/>
  <c r="M2368" i="16" s="1"/>
  <c r="O2368" i="16" s="1"/>
  <c r="L2367" i="16"/>
  <c r="M2367" i="16" s="1"/>
  <c r="O2367" i="16" s="1"/>
  <c r="L2366" i="16"/>
  <c r="M2366" i="16" s="1"/>
  <c r="O2366" i="16" s="1"/>
  <c r="L2365" i="16"/>
  <c r="M2365" i="16" s="1"/>
  <c r="O2365" i="16" s="1"/>
  <c r="L2364" i="16"/>
  <c r="M2364" i="16" s="1"/>
  <c r="O2364" i="16" s="1"/>
  <c r="L2363" i="16"/>
  <c r="M2363" i="16" s="1"/>
  <c r="O2363" i="16" s="1"/>
  <c r="L2362" i="16"/>
  <c r="M2362" i="16" s="1"/>
  <c r="O2362" i="16" s="1"/>
  <c r="L2361" i="16"/>
  <c r="M2361" i="16" s="1"/>
  <c r="O2361" i="16" s="1"/>
  <c r="L2360" i="16"/>
  <c r="M2360" i="16" s="1"/>
  <c r="O2360" i="16" s="1"/>
  <c r="L2359" i="16"/>
  <c r="M2359" i="16" s="1"/>
  <c r="O2359" i="16" s="1"/>
  <c r="L2358" i="16"/>
  <c r="M2358" i="16" s="1"/>
  <c r="O2358" i="16" s="1"/>
  <c r="L2357" i="16"/>
  <c r="M2357" i="16" s="1"/>
  <c r="O2357" i="16" s="1"/>
  <c r="L2356" i="16"/>
  <c r="M2356" i="16" s="1"/>
  <c r="O2356" i="16" s="1"/>
  <c r="L2355" i="16"/>
  <c r="M2355" i="16" s="1"/>
  <c r="O2355" i="16" s="1"/>
  <c r="L2354" i="16"/>
  <c r="M2354" i="16" s="1"/>
  <c r="O2354" i="16" s="1"/>
  <c r="L2353" i="16"/>
  <c r="M2353" i="16" s="1"/>
  <c r="O2353" i="16" s="1"/>
  <c r="L2352" i="16"/>
  <c r="M2352" i="16" s="1"/>
  <c r="O2352" i="16" s="1"/>
  <c r="L2351" i="16"/>
  <c r="M2351" i="16" s="1"/>
  <c r="O2351" i="16" s="1"/>
  <c r="L2350" i="16"/>
  <c r="M2350" i="16" s="1"/>
  <c r="O2350" i="16" s="1"/>
  <c r="L2349" i="16"/>
  <c r="M2349" i="16" s="1"/>
  <c r="O2349" i="16" s="1"/>
  <c r="L2348" i="16"/>
  <c r="M2348" i="16" s="1"/>
  <c r="O2348" i="16" s="1"/>
  <c r="L2347" i="16"/>
  <c r="M2347" i="16" s="1"/>
  <c r="O2347" i="16" s="1"/>
  <c r="L2346" i="16"/>
  <c r="M2346" i="16" s="1"/>
  <c r="O2346" i="16" s="1"/>
  <c r="L2345" i="16"/>
  <c r="M2345" i="16" s="1"/>
  <c r="O2345" i="16" s="1"/>
  <c r="L2344" i="16"/>
  <c r="M2344" i="16" s="1"/>
  <c r="O2344" i="16" s="1"/>
  <c r="L2343" i="16"/>
  <c r="M2343" i="16" s="1"/>
  <c r="O2343" i="16" s="1"/>
  <c r="L2342" i="16"/>
  <c r="M2342" i="16" s="1"/>
  <c r="O2342" i="16" s="1"/>
  <c r="L2341" i="16"/>
  <c r="M2341" i="16" s="1"/>
  <c r="O2341" i="16" s="1"/>
  <c r="L2340" i="16"/>
  <c r="M2340" i="16" s="1"/>
  <c r="O2340" i="16" s="1"/>
  <c r="L2339" i="16"/>
  <c r="M2339" i="16" s="1"/>
  <c r="O2339" i="16" s="1"/>
  <c r="L2338" i="16"/>
  <c r="M2338" i="16" s="1"/>
  <c r="O2338" i="16" s="1"/>
  <c r="L2337" i="16"/>
  <c r="M2337" i="16" s="1"/>
  <c r="O2337" i="16" s="1"/>
  <c r="L2336" i="16"/>
  <c r="M2336" i="16" s="1"/>
  <c r="O2336" i="16" s="1"/>
  <c r="L2335" i="16"/>
  <c r="M2335" i="16" s="1"/>
  <c r="O2335" i="16" s="1"/>
  <c r="L2334" i="16"/>
  <c r="M2334" i="16" s="1"/>
  <c r="O2334" i="16" s="1"/>
  <c r="L2333" i="16"/>
  <c r="M2333" i="16" s="1"/>
  <c r="O2333" i="16" s="1"/>
  <c r="L2332" i="16"/>
  <c r="M2332" i="16" s="1"/>
  <c r="O2332" i="16" s="1"/>
  <c r="L2331" i="16"/>
  <c r="M2331" i="16" s="1"/>
  <c r="O2331" i="16" s="1"/>
  <c r="L2330" i="16"/>
  <c r="M2330" i="16" s="1"/>
  <c r="O2330" i="16" s="1"/>
  <c r="L2329" i="16"/>
  <c r="M2329" i="16" s="1"/>
  <c r="O2329" i="16" s="1"/>
  <c r="L2328" i="16"/>
  <c r="M2328" i="16" s="1"/>
  <c r="O2328" i="16" s="1"/>
  <c r="L2327" i="16"/>
  <c r="M2327" i="16" s="1"/>
  <c r="O2327" i="16" s="1"/>
  <c r="L2326" i="16"/>
  <c r="M2326" i="16" s="1"/>
  <c r="O2326" i="16" s="1"/>
  <c r="L2325" i="16"/>
  <c r="M2325" i="16" s="1"/>
  <c r="O2325" i="16" s="1"/>
  <c r="L2324" i="16"/>
  <c r="M2324" i="16" s="1"/>
  <c r="O2324" i="16" s="1"/>
  <c r="L2323" i="16"/>
  <c r="M2323" i="16" s="1"/>
  <c r="O2323" i="16" s="1"/>
  <c r="L2322" i="16"/>
  <c r="M2322" i="16" s="1"/>
  <c r="O2322" i="16" s="1"/>
  <c r="L2321" i="16"/>
  <c r="M2321" i="16" s="1"/>
  <c r="O2321" i="16" s="1"/>
  <c r="L2320" i="16"/>
  <c r="M2320" i="16" s="1"/>
  <c r="O2320" i="16" s="1"/>
  <c r="L2319" i="16"/>
  <c r="M2319" i="16" s="1"/>
  <c r="O2319" i="16" s="1"/>
  <c r="L2318" i="16"/>
  <c r="M2318" i="16" s="1"/>
  <c r="O2318" i="16" s="1"/>
  <c r="L2317" i="16"/>
  <c r="M2317" i="16" s="1"/>
  <c r="O2317" i="16" s="1"/>
  <c r="L2316" i="16"/>
  <c r="M2316" i="16" s="1"/>
  <c r="O2316" i="16" s="1"/>
  <c r="L2315" i="16"/>
  <c r="M2315" i="16" s="1"/>
  <c r="O2315" i="16" s="1"/>
  <c r="L2314" i="16"/>
  <c r="M2314" i="16" s="1"/>
  <c r="O2314" i="16" s="1"/>
  <c r="L2313" i="16"/>
  <c r="M2313" i="16" s="1"/>
  <c r="O2313" i="16" s="1"/>
  <c r="L2312" i="16"/>
  <c r="M2312" i="16" s="1"/>
  <c r="O2312" i="16" s="1"/>
  <c r="L2311" i="16"/>
  <c r="M2311" i="16" s="1"/>
  <c r="O2311" i="16" s="1"/>
  <c r="L2310" i="16"/>
  <c r="M2310" i="16" s="1"/>
  <c r="O2310" i="16" s="1"/>
  <c r="L2309" i="16"/>
  <c r="M2309" i="16" s="1"/>
  <c r="O2309" i="16" s="1"/>
  <c r="L2308" i="16"/>
  <c r="M2308" i="16" s="1"/>
  <c r="O2308" i="16" s="1"/>
  <c r="L2307" i="16"/>
  <c r="M2307" i="16" s="1"/>
  <c r="O2307" i="16" s="1"/>
  <c r="L2306" i="16"/>
  <c r="M2306" i="16" s="1"/>
  <c r="O2306" i="16" s="1"/>
  <c r="L2305" i="16"/>
  <c r="M2305" i="16" s="1"/>
  <c r="O2305" i="16" s="1"/>
  <c r="L2304" i="16"/>
  <c r="M2304" i="16" s="1"/>
  <c r="O2304" i="16" s="1"/>
  <c r="L2303" i="16"/>
  <c r="M2303" i="16" s="1"/>
  <c r="O2303" i="16" s="1"/>
  <c r="L2302" i="16"/>
  <c r="M2302" i="16" s="1"/>
  <c r="O2302" i="16" s="1"/>
  <c r="L2301" i="16"/>
  <c r="M2301" i="16" s="1"/>
  <c r="O2301" i="16" s="1"/>
  <c r="L2300" i="16"/>
  <c r="M2300" i="16" s="1"/>
  <c r="O2300" i="16" s="1"/>
  <c r="L2299" i="16"/>
  <c r="M2299" i="16" s="1"/>
  <c r="O2299" i="16" s="1"/>
  <c r="L2298" i="16"/>
  <c r="M2298" i="16" s="1"/>
  <c r="O2298" i="16" s="1"/>
  <c r="L2297" i="16"/>
  <c r="M2297" i="16" s="1"/>
  <c r="O2297" i="16" s="1"/>
  <c r="L2296" i="16"/>
  <c r="M2296" i="16" s="1"/>
  <c r="O2296" i="16" s="1"/>
  <c r="L2295" i="16"/>
  <c r="M2295" i="16" s="1"/>
  <c r="O2295" i="16" s="1"/>
  <c r="L2294" i="16"/>
  <c r="M2294" i="16" s="1"/>
  <c r="O2294" i="16" s="1"/>
  <c r="L2293" i="16"/>
  <c r="M2293" i="16" s="1"/>
  <c r="O2293" i="16" s="1"/>
  <c r="L2292" i="16"/>
  <c r="M2292" i="16" s="1"/>
  <c r="O2292" i="16" s="1"/>
  <c r="L2291" i="16"/>
  <c r="M2291" i="16" s="1"/>
  <c r="O2291" i="16" s="1"/>
  <c r="L2290" i="16"/>
  <c r="M2290" i="16" s="1"/>
  <c r="O2290" i="16" s="1"/>
  <c r="L2289" i="16"/>
  <c r="M2289" i="16" s="1"/>
  <c r="O2289" i="16" s="1"/>
  <c r="L2288" i="16"/>
  <c r="M2288" i="16" s="1"/>
  <c r="O2288" i="16" s="1"/>
  <c r="L2287" i="16"/>
  <c r="M2287" i="16" s="1"/>
  <c r="O2287" i="16" s="1"/>
  <c r="L2286" i="16"/>
  <c r="M2286" i="16" s="1"/>
  <c r="O2286" i="16" s="1"/>
  <c r="L2285" i="16"/>
  <c r="M2285" i="16" s="1"/>
  <c r="O2285" i="16" s="1"/>
  <c r="L2284" i="16"/>
  <c r="M2284" i="16" s="1"/>
  <c r="O2284" i="16" s="1"/>
  <c r="L2283" i="16"/>
  <c r="M2283" i="16" s="1"/>
  <c r="O2283" i="16" s="1"/>
  <c r="L2282" i="16"/>
  <c r="M2282" i="16" s="1"/>
  <c r="O2282" i="16" s="1"/>
  <c r="L2281" i="16"/>
  <c r="M2281" i="16" s="1"/>
  <c r="O2281" i="16" s="1"/>
  <c r="L2280" i="16"/>
  <c r="M2280" i="16" s="1"/>
  <c r="O2280" i="16" s="1"/>
  <c r="L2279" i="16"/>
  <c r="M2279" i="16" s="1"/>
  <c r="O2279" i="16" s="1"/>
  <c r="L2278" i="16"/>
  <c r="M2278" i="16" s="1"/>
  <c r="O2278" i="16" s="1"/>
  <c r="L2277" i="16"/>
  <c r="M2277" i="16" s="1"/>
  <c r="O2277" i="16" s="1"/>
  <c r="L2276" i="16"/>
  <c r="M2276" i="16" s="1"/>
  <c r="O2276" i="16" s="1"/>
  <c r="L2275" i="16"/>
  <c r="M2275" i="16" s="1"/>
  <c r="O2275" i="16" s="1"/>
  <c r="L2274" i="16"/>
  <c r="M2274" i="16" s="1"/>
  <c r="O2274" i="16" s="1"/>
  <c r="L2273" i="16"/>
  <c r="M2273" i="16" s="1"/>
  <c r="O2273" i="16" s="1"/>
  <c r="L2272" i="16"/>
  <c r="M2272" i="16" s="1"/>
  <c r="O2272" i="16" s="1"/>
  <c r="L2271" i="16"/>
  <c r="M2271" i="16" s="1"/>
  <c r="O2271" i="16" s="1"/>
  <c r="L2270" i="16"/>
  <c r="M2270" i="16" s="1"/>
  <c r="O2270" i="16" s="1"/>
  <c r="L2269" i="16"/>
  <c r="M2269" i="16" s="1"/>
  <c r="O2269" i="16" s="1"/>
  <c r="L2268" i="16"/>
  <c r="M2268" i="16" s="1"/>
  <c r="O2268" i="16" s="1"/>
  <c r="L2267" i="16"/>
  <c r="M2267" i="16" s="1"/>
  <c r="O2267" i="16" s="1"/>
  <c r="L2266" i="16"/>
  <c r="M2266" i="16" s="1"/>
  <c r="O2266" i="16" s="1"/>
  <c r="L2265" i="16"/>
  <c r="M2265" i="16" s="1"/>
  <c r="O2265" i="16" s="1"/>
  <c r="L2264" i="16"/>
  <c r="M2264" i="16" s="1"/>
  <c r="O2264" i="16" s="1"/>
  <c r="L2263" i="16"/>
  <c r="M2263" i="16" s="1"/>
  <c r="O2263" i="16" s="1"/>
  <c r="L2262" i="16"/>
  <c r="M2262" i="16" s="1"/>
  <c r="O2262" i="16" s="1"/>
  <c r="L2261" i="16"/>
  <c r="M2261" i="16" s="1"/>
  <c r="O2261" i="16" s="1"/>
  <c r="L2260" i="16"/>
  <c r="M2260" i="16" s="1"/>
  <c r="O2260" i="16" s="1"/>
  <c r="L2259" i="16"/>
  <c r="M2259" i="16" s="1"/>
  <c r="O2259" i="16" s="1"/>
  <c r="L2258" i="16"/>
  <c r="M2258" i="16" s="1"/>
  <c r="O2258" i="16" s="1"/>
  <c r="L2257" i="16"/>
  <c r="M2257" i="16" s="1"/>
  <c r="O2257" i="16" s="1"/>
  <c r="L2256" i="16"/>
  <c r="M2256" i="16" s="1"/>
  <c r="O2256" i="16" s="1"/>
  <c r="L2255" i="16"/>
  <c r="M2255" i="16" s="1"/>
  <c r="O2255" i="16" s="1"/>
  <c r="L2252" i="16"/>
  <c r="M2252" i="16" s="1"/>
  <c r="O2252" i="16" s="1"/>
  <c r="L2251" i="16"/>
  <c r="M2251" i="16" s="1"/>
  <c r="O2251" i="16" s="1"/>
  <c r="L2250" i="16"/>
  <c r="M2250" i="16" s="1"/>
  <c r="O2250" i="16" s="1"/>
  <c r="L2249" i="16"/>
  <c r="M2249" i="16" s="1"/>
  <c r="O2249" i="16" s="1"/>
  <c r="L2248" i="16"/>
  <c r="M2248" i="16" s="1"/>
  <c r="O2248" i="16" s="1"/>
  <c r="L2247" i="16"/>
  <c r="M2247" i="16" s="1"/>
  <c r="O2247" i="16" s="1"/>
  <c r="L2246" i="16"/>
  <c r="M2246" i="16" s="1"/>
  <c r="O2246" i="16" s="1"/>
  <c r="L2245" i="16"/>
  <c r="M2245" i="16" s="1"/>
  <c r="O2245" i="16" s="1"/>
  <c r="L2244" i="16"/>
  <c r="M2244" i="16" s="1"/>
  <c r="O2244" i="16" s="1"/>
  <c r="L2243" i="16"/>
  <c r="M2243" i="16" s="1"/>
  <c r="O2243" i="16" s="1"/>
  <c r="L2242" i="16"/>
  <c r="M2242" i="16" s="1"/>
  <c r="O2242" i="16" s="1"/>
  <c r="L2241" i="16"/>
  <c r="M2241" i="16" s="1"/>
  <c r="O2241" i="16" s="1"/>
  <c r="L2240" i="16"/>
  <c r="M2240" i="16" s="1"/>
  <c r="O2240" i="16" s="1"/>
  <c r="L2239" i="16"/>
  <c r="M2239" i="16" s="1"/>
  <c r="O2239" i="16" s="1"/>
  <c r="L2238" i="16"/>
  <c r="M2238" i="16" s="1"/>
  <c r="O2238" i="16" s="1"/>
  <c r="L2237" i="16"/>
  <c r="M2237" i="16" s="1"/>
  <c r="O2237" i="16" s="1"/>
  <c r="L2236" i="16"/>
  <c r="M2236" i="16" s="1"/>
  <c r="O2236" i="16" s="1"/>
  <c r="L2235" i="16"/>
  <c r="M2235" i="16" s="1"/>
  <c r="O2235" i="16" s="1"/>
  <c r="L2234" i="16"/>
  <c r="M2234" i="16" s="1"/>
  <c r="O2234" i="16" s="1"/>
  <c r="L2233" i="16"/>
  <c r="M2233" i="16" s="1"/>
  <c r="O2233" i="16" s="1"/>
  <c r="L2232" i="16"/>
  <c r="M2232" i="16" s="1"/>
  <c r="O2232" i="16" s="1"/>
  <c r="L2231" i="16"/>
  <c r="M2231" i="16" s="1"/>
  <c r="O2231" i="16" s="1"/>
  <c r="L2230" i="16"/>
  <c r="M2230" i="16" s="1"/>
  <c r="O2230" i="16" s="1"/>
  <c r="L2229" i="16"/>
  <c r="M2229" i="16" s="1"/>
  <c r="O2229" i="16" s="1"/>
  <c r="L2228" i="16"/>
  <c r="M2228" i="16" s="1"/>
  <c r="O2228" i="16" s="1"/>
  <c r="L2227" i="16"/>
  <c r="M2227" i="16" s="1"/>
  <c r="O2227" i="16" s="1"/>
  <c r="L2226" i="16"/>
  <c r="M2226" i="16" s="1"/>
  <c r="O2226" i="16" s="1"/>
  <c r="L2225" i="16"/>
  <c r="M2225" i="16" s="1"/>
  <c r="O2225" i="16" s="1"/>
  <c r="L2224" i="16"/>
  <c r="M2224" i="16" s="1"/>
  <c r="O2224" i="16" s="1"/>
  <c r="L2223" i="16"/>
  <c r="M2223" i="16" s="1"/>
  <c r="O2223" i="16" s="1"/>
  <c r="L2222" i="16"/>
  <c r="M2222" i="16" s="1"/>
  <c r="O2222" i="16" s="1"/>
  <c r="L2221" i="16"/>
  <c r="M2221" i="16" s="1"/>
  <c r="O2221" i="16" s="1"/>
  <c r="L2220" i="16"/>
  <c r="M2220" i="16" s="1"/>
  <c r="O2220" i="16" s="1"/>
  <c r="L2219" i="16"/>
  <c r="M2219" i="16" s="1"/>
  <c r="O2219" i="16" s="1"/>
  <c r="L2218" i="16"/>
  <c r="M2218" i="16" s="1"/>
  <c r="O2218" i="16" s="1"/>
  <c r="L2217" i="16"/>
  <c r="M2217" i="16" s="1"/>
  <c r="O2217" i="16" s="1"/>
  <c r="L2216" i="16"/>
  <c r="M2216" i="16" s="1"/>
  <c r="O2216" i="16" s="1"/>
  <c r="L2215" i="16"/>
  <c r="M2215" i="16" s="1"/>
  <c r="O2215" i="16" s="1"/>
  <c r="L2211" i="16"/>
  <c r="M2211" i="16" s="1"/>
  <c r="O2211" i="16" s="1"/>
  <c r="L2210" i="16"/>
  <c r="M2210" i="16" s="1"/>
  <c r="O2210" i="16" s="1"/>
  <c r="L2209" i="16"/>
  <c r="M2209" i="16" s="1"/>
  <c r="O2209" i="16" s="1"/>
  <c r="L2208" i="16"/>
  <c r="M2208" i="16" s="1"/>
  <c r="O2208" i="16" s="1"/>
  <c r="L2207" i="16"/>
  <c r="M2207" i="16" s="1"/>
  <c r="O2207" i="16" s="1"/>
  <c r="L2206" i="16"/>
  <c r="M2206" i="16" s="1"/>
  <c r="O2206" i="16" s="1"/>
  <c r="L2205" i="16"/>
  <c r="M2205" i="16" s="1"/>
  <c r="O2205" i="16" s="1"/>
  <c r="L2204" i="16"/>
  <c r="M2204" i="16" s="1"/>
  <c r="O2204" i="16" s="1"/>
  <c r="L2203" i="16"/>
  <c r="M2203" i="16" s="1"/>
  <c r="O2203" i="16" s="1"/>
  <c r="L2202" i="16"/>
  <c r="M2202" i="16" s="1"/>
  <c r="O2202" i="16" s="1"/>
  <c r="L2201" i="16"/>
  <c r="M2201" i="16" s="1"/>
  <c r="O2201" i="16" s="1"/>
  <c r="L2200" i="16"/>
  <c r="M2200" i="16" s="1"/>
  <c r="O2200" i="16" s="1"/>
  <c r="L2199" i="16"/>
  <c r="M2199" i="16" s="1"/>
  <c r="O2199" i="16" s="1"/>
  <c r="L2198" i="16"/>
  <c r="M2198" i="16" s="1"/>
  <c r="O2198" i="16" s="1"/>
  <c r="L2197" i="16"/>
  <c r="M2197" i="16" s="1"/>
  <c r="O2197" i="16" s="1"/>
  <c r="L2196" i="16"/>
  <c r="M2196" i="16" s="1"/>
  <c r="O2196" i="16" s="1"/>
  <c r="L2195" i="16"/>
  <c r="M2195" i="16" s="1"/>
  <c r="O2195" i="16" s="1"/>
  <c r="L2194" i="16"/>
  <c r="M2194" i="16" s="1"/>
  <c r="O2194" i="16" s="1"/>
  <c r="L2193" i="16"/>
  <c r="M2193" i="16" s="1"/>
  <c r="O2193" i="16" s="1"/>
  <c r="L2192" i="16"/>
  <c r="M2192" i="16" s="1"/>
  <c r="O2192" i="16" s="1"/>
  <c r="L2191" i="16"/>
  <c r="M2191" i="16" s="1"/>
  <c r="O2191" i="16" s="1"/>
  <c r="L2190" i="16"/>
  <c r="M2190" i="16" s="1"/>
  <c r="O2190" i="16" s="1"/>
  <c r="L2189" i="16"/>
  <c r="M2189" i="16" s="1"/>
  <c r="O2189" i="16" s="1"/>
  <c r="L2188" i="16"/>
  <c r="M2188" i="16" s="1"/>
  <c r="O2188" i="16" s="1"/>
  <c r="L2187" i="16"/>
  <c r="M2187" i="16" s="1"/>
  <c r="O2187" i="16" s="1"/>
  <c r="L2186" i="16"/>
  <c r="M2186" i="16" s="1"/>
  <c r="O2186" i="16" s="1"/>
  <c r="L2185" i="16"/>
  <c r="M2185" i="16" s="1"/>
  <c r="O2185" i="16" s="1"/>
  <c r="L2184" i="16"/>
  <c r="M2184" i="16" s="1"/>
  <c r="O2184" i="16" s="1"/>
  <c r="L2183" i="16"/>
  <c r="M2183" i="16" s="1"/>
  <c r="O2183" i="16" s="1"/>
  <c r="L2182" i="16"/>
  <c r="M2182" i="16" s="1"/>
  <c r="O2182" i="16" s="1"/>
  <c r="L2181" i="16"/>
  <c r="M2181" i="16" s="1"/>
  <c r="O2181" i="16" s="1"/>
  <c r="L2180" i="16"/>
  <c r="M2180" i="16" s="1"/>
  <c r="O2180" i="16" s="1"/>
  <c r="L2179" i="16"/>
  <c r="M2179" i="16" s="1"/>
  <c r="O2179" i="16" s="1"/>
  <c r="L2178" i="16"/>
  <c r="M2178" i="16" s="1"/>
  <c r="O2178" i="16" s="1"/>
  <c r="L2177" i="16"/>
  <c r="M2177" i="16" s="1"/>
  <c r="O2177" i="16" s="1"/>
  <c r="L2176" i="16"/>
  <c r="M2176" i="16" s="1"/>
  <c r="O2176" i="16" s="1"/>
  <c r="L2175" i="16"/>
  <c r="M2175" i="16" s="1"/>
  <c r="O2175" i="16" s="1"/>
  <c r="L2174" i="16"/>
  <c r="M2174" i="16" s="1"/>
  <c r="O2174" i="16" s="1"/>
  <c r="L2173" i="16"/>
  <c r="M2173" i="16" s="1"/>
  <c r="O2173" i="16" s="1"/>
  <c r="L2172" i="16"/>
  <c r="M2172" i="16" s="1"/>
  <c r="O2172" i="16" s="1"/>
  <c r="L2168" i="16"/>
  <c r="M2168" i="16" s="1"/>
  <c r="O2168" i="16" s="1"/>
  <c r="L2167" i="16"/>
  <c r="M2167" i="16" s="1"/>
  <c r="O2167" i="16" s="1"/>
  <c r="L2166" i="16"/>
  <c r="M2166" i="16" s="1"/>
  <c r="O2166" i="16" s="1"/>
  <c r="L2165" i="16"/>
  <c r="M2165" i="16" s="1"/>
  <c r="O2165" i="16" s="1"/>
  <c r="L2164" i="16"/>
  <c r="M2164" i="16" s="1"/>
  <c r="O2164" i="16" s="1"/>
  <c r="L2163" i="16"/>
  <c r="M2163" i="16" s="1"/>
  <c r="O2163" i="16" s="1"/>
  <c r="L2162" i="16"/>
  <c r="M2162" i="16" s="1"/>
  <c r="O2162" i="16" s="1"/>
  <c r="L2161" i="16"/>
  <c r="M2161" i="16" s="1"/>
  <c r="O2161" i="16" s="1"/>
  <c r="L2160" i="16"/>
  <c r="M2160" i="16" s="1"/>
  <c r="O2160" i="16" s="1"/>
  <c r="L2159" i="16"/>
  <c r="M2159" i="16" s="1"/>
  <c r="O2159" i="16" s="1"/>
  <c r="L2158" i="16"/>
  <c r="M2158" i="16" s="1"/>
  <c r="O2158" i="16" s="1"/>
  <c r="L2157" i="16"/>
  <c r="M2157" i="16" s="1"/>
  <c r="O2157" i="16" s="1"/>
  <c r="L2156" i="16"/>
  <c r="M2156" i="16" s="1"/>
  <c r="O2156" i="16" s="1"/>
  <c r="L2155" i="16"/>
  <c r="M2155" i="16" s="1"/>
  <c r="O2155" i="16" s="1"/>
  <c r="L2154" i="16"/>
  <c r="M2154" i="16" s="1"/>
  <c r="O2154" i="16" s="1"/>
  <c r="L2153" i="16"/>
  <c r="M2153" i="16" s="1"/>
  <c r="O2153" i="16" s="1"/>
  <c r="L2152" i="16"/>
  <c r="M2152" i="16" s="1"/>
  <c r="O2152" i="16" s="1"/>
  <c r="L2151" i="16"/>
  <c r="M2151" i="16" s="1"/>
  <c r="O2151" i="16" s="1"/>
  <c r="L2150" i="16"/>
  <c r="M2150" i="16" s="1"/>
  <c r="O2150" i="16" s="1"/>
  <c r="L2149" i="16"/>
  <c r="M2149" i="16" s="1"/>
  <c r="O2149" i="16" s="1"/>
  <c r="L2148" i="16"/>
  <c r="M2148" i="16" s="1"/>
  <c r="O2148" i="16" s="1"/>
  <c r="L2147" i="16"/>
  <c r="M2147" i="16" s="1"/>
  <c r="O2147" i="16" s="1"/>
  <c r="L2146" i="16"/>
  <c r="M2146" i="16" s="1"/>
  <c r="O2146" i="16" s="1"/>
  <c r="L2145" i="16"/>
  <c r="M2145" i="16" s="1"/>
  <c r="O2145" i="16" s="1"/>
  <c r="L2144" i="16"/>
  <c r="M2144" i="16" s="1"/>
  <c r="O2144" i="16" s="1"/>
  <c r="L2143" i="16"/>
  <c r="M2143" i="16" s="1"/>
  <c r="O2143" i="16" s="1"/>
  <c r="L2142" i="16"/>
  <c r="M2142" i="16" s="1"/>
  <c r="O2142" i="16" s="1"/>
  <c r="L2141" i="16"/>
  <c r="M2141" i="16" s="1"/>
  <c r="O2141" i="16" s="1"/>
  <c r="L2140" i="16"/>
  <c r="M2140" i="16" s="1"/>
  <c r="O2140" i="16" s="1"/>
  <c r="L2139" i="16"/>
  <c r="M2139" i="16" s="1"/>
  <c r="O2139" i="16" s="1"/>
  <c r="L2138" i="16"/>
  <c r="M2138" i="16" s="1"/>
  <c r="O2138" i="16" s="1"/>
  <c r="L2137" i="16"/>
  <c r="M2137" i="16" s="1"/>
  <c r="O2137" i="16" s="1"/>
  <c r="L2136" i="16"/>
  <c r="M2136" i="16" s="1"/>
  <c r="O2136" i="16" s="1"/>
  <c r="L2135" i="16"/>
  <c r="M2135" i="16" s="1"/>
  <c r="O2135" i="16" s="1"/>
  <c r="L2134" i="16"/>
  <c r="M2134" i="16" s="1"/>
  <c r="O2134" i="16" s="1"/>
  <c r="L2133" i="16"/>
  <c r="M2133" i="16" s="1"/>
  <c r="O2133" i="16" s="1"/>
  <c r="L2132" i="16"/>
  <c r="M2132" i="16" s="1"/>
  <c r="O2132" i="16" s="1"/>
  <c r="L2131" i="16"/>
  <c r="M2131" i="16" s="1"/>
  <c r="O2131" i="16" s="1"/>
  <c r="L2130" i="16"/>
  <c r="M2130" i="16" s="1"/>
  <c r="O2130" i="16" s="1"/>
  <c r="L2129" i="16"/>
  <c r="M2129" i="16" s="1"/>
  <c r="O2129" i="16" s="1"/>
  <c r="L2128" i="16"/>
  <c r="M2128" i="16" s="1"/>
  <c r="O2128" i="16" s="1"/>
  <c r="L2127" i="16"/>
  <c r="M2127" i="16" s="1"/>
  <c r="O2127" i="16" s="1"/>
  <c r="L2126" i="16"/>
  <c r="M2126" i="16" s="1"/>
  <c r="O2126" i="16" s="1"/>
  <c r="L2125" i="16"/>
  <c r="M2125" i="16" s="1"/>
  <c r="O2125" i="16" s="1"/>
  <c r="L2124" i="16"/>
  <c r="M2124" i="16" s="1"/>
  <c r="O2124" i="16" s="1"/>
  <c r="L2123" i="16"/>
  <c r="M2123" i="16" s="1"/>
  <c r="O2123" i="16" s="1"/>
  <c r="L2122" i="16"/>
  <c r="M2122" i="16" s="1"/>
  <c r="O2122" i="16" s="1"/>
  <c r="L2121" i="16"/>
  <c r="M2121" i="16" s="1"/>
  <c r="O2121" i="16" s="1"/>
  <c r="L2120" i="16"/>
  <c r="M2120" i="16" s="1"/>
  <c r="O2120" i="16" s="1"/>
  <c r="L2119" i="16"/>
  <c r="M2119" i="16" s="1"/>
  <c r="O2119" i="16" s="1"/>
  <c r="L2118" i="16"/>
  <c r="M2118" i="16" s="1"/>
  <c r="O2118" i="16" s="1"/>
  <c r="L2117" i="16"/>
  <c r="M2117" i="16" s="1"/>
  <c r="O2117" i="16" s="1"/>
  <c r="L2116" i="16"/>
  <c r="M2116" i="16" s="1"/>
  <c r="O2116" i="16" s="1"/>
  <c r="L2115" i="16"/>
  <c r="M2115" i="16" s="1"/>
  <c r="O2115" i="16" s="1"/>
  <c r="L2114" i="16"/>
  <c r="M2114" i="16" s="1"/>
  <c r="O2114" i="16" s="1"/>
  <c r="L2113" i="16"/>
  <c r="M2113" i="16" s="1"/>
  <c r="O2113" i="16" s="1"/>
  <c r="L2112" i="16"/>
  <c r="M2112" i="16" s="1"/>
  <c r="O2112" i="16" s="1"/>
  <c r="L2111" i="16"/>
  <c r="M2111" i="16" s="1"/>
  <c r="O2111" i="16" s="1"/>
  <c r="L2110" i="16"/>
  <c r="M2110" i="16" s="1"/>
  <c r="O2110" i="16" s="1"/>
  <c r="L2109" i="16"/>
  <c r="M2109" i="16" s="1"/>
  <c r="O2109" i="16" s="1"/>
  <c r="L2108" i="16"/>
  <c r="M2108" i="16" s="1"/>
  <c r="O2108" i="16" s="1"/>
  <c r="L2107" i="16"/>
  <c r="M2107" i="16" s="1"/>
  <c r="O2107" i="16" s="1"/>
  <c r="L2106" i="16"/>
  <c r="M2106" i="16" s="1"/>
  <c r="O2106" i="16" s="1"/>
  <c r="L2105" i="16"/>
  <c r="M2105" i="16" s="1"/>
  <c r="O2105" i="16" s="1"/>
  <c r="L2104" i="16"/>
  <c r="M2104" i="16" s="1"/>
  <c r="O2104" i="16" s="1"/>
  <c r="L2103" i="16"/>
  <c r="M2103" i="16" s="1"/>
  <c r="O2103" i="16" s="1"/>
  <c r="L2102" i="16"/>
  <c r="M2102" i="16" s="1"/>
  <c r="O2102" i="16" s="1"/>
  <c r="L2101" i="16"/>
  <c r="M2101" i="16" s="1"/>
  <c r="O2101" i="16" s="1"/>
  <c r="L2100" i="16"/>
  <c r="M2100" i="16" s="1"/>
  <c r="O2100" i="16" s="1"/>
  <c r="L2096" i="16"/>
  <c r="M2096" i="16" s="1"/>
  <c r="O2096" i="16" s="1"/>
  <c r="L2095" i="16"/>
  <c r="M2095" i="16" s="1"/>
  <c r="O2095" i="16" s="1"/>
  <c r="L2094" i="16"/>
  <c r="M2094" i="16" s="1"/>
  <c r="O2094" i="16" s="1"/>
  <c r="L2093" i="16"/>
  <c r="M2093" i="16" s="1"/>
  <c r="O2093" i="16" s="1"/>
  <c r="L2088" i="16"/>
  <c r="M2088" i="16" s="1"/>
  <c r="O2088" i="16" s="1"/>
  <c r="L2087" i="16"/>
  <c r="M2087" i="16" s="1"/>
  <c r="O2087" i="16" s="1"/>
  <c r="L2086" i="16"/>
  <c r="M2086" i="16" s="1"/>
  <c r="O2086" i="16" s="1"/>
  <c r="L2085" i="16"/>
  <c r="M2085" i="16" s="1"/>
  <c r="O2085" i="16" s="1"/>
  <c r="L2084" i="16"/>
  <c r="M2084" i="16" s="1"/>
  <c r="O2084" i="16" s="1"/>
  <c r="L2083" i="16"/>
  <c r="M2083" i="16" s="1"/>
  <c r="O2083" i="16" s="1"/>
  <c r="L2082" i="16"/>
  <c r="M2082" i="16" s="1"/>
  <c r="O2082" i="16" s="1"/>
  <c r="L2081" i="16"/>
  <c r="M2081" i="16" s="1"/>
  <c r="O2081" i="16" s="1"/>
  <c r="L2080" i="16"/>
  <c r="M2080" i="16" s="1"/>
  <c r="O2080" i="16" s="1"/>
  <c r="L2079" i="16"/>
  <c r="M2079" i="16" s="1"/>
  <c r="O2079" i="16" s="1"/>
  <c r="L2078" i="16"/>
  <c r="M2078" i="16" s="1"/>
  <c r="O2078" i="16" s="1"/>
  <c r="L2077" i="16"/>
  <c r="M2077" i="16" s="1"/>
  <c r="O2077" i="16" s="1"/>
  <c r="L2076" i="16"/>
  <c r="M2076" i="16" s="1"/>
  <c r="O2076" i="16" s="1"/>
  <c r="L2075" i="16"/>
  <c r="M2075" i="16" s="1"/>
  <c r="O2075" i="16" s="1"/>
  <c r="L2074" i="16"/>
  <c r="M2074" i="16" s="1"/>
  <c r="O2074" i="16" s="1"/>
  <c r="L2073" i="16"/>
  <c r="M2073" i="16" s="1"/>
  <c r="O2073" i="16" s="1"/>
  <c r="L2072" i="16"/>
  <c r="M2072" i="16" s="1"/>
  <c r="O2072" i="16" s="1"/>
  <c r="L2071" i="16"/>
  <c r="M2071" i="16" s="1"/>
  <c r="O2071" i="16" s="1"/>
  <c r="L2070" i="16"/>
  <c r="M2070" i="16" s="1"/>
  <c r="O2070" i="16" s="1"/>
  <c r="L2069" i="16"/>
  <c r="M2069" i="16" s="1"/>
  <c r="O2069" i="16" s="1"/>
  <c r="L2068" i="16"/>
  <c r="M2068" i="16" s="1"/>
  <c r="O2068" i="16" s="1"/>
  <c r="L2067" i="16"/>
  <c r="M2067" i="16" s="1"/>
  <c r="O2067" i="16" s="1"/>
  <c r="L2066" i="16"/>
  <c r="M2066" i="16" s="1"/>
  <c r="O2066" i="16" s="1"/>
  <c r="L2065" i="16"/>
  <c r="M2065" i="16" s="1"/>
  <c r="O2065" i="16" s="1"/>
  <c r="L2064" i="16"/>
  <c r="L2061" i="16"/>
  <c r="M2061" i="16" s="1"/>
  <c r="O2061" i="16" s="1"/>
  <c r="L2060" i="16"/>
  <c r="M2060" i="16" s="1"/>
  <c r="O2060" i="16" s="1"/>
  <c r="L2059" i="16"/>
  <c r="M2059" i="16" s="1"/>
  <c r="O2059" i="16" s="1"/>
  <c r="L2058" i="16"/>
  <c r="M2058" i="16" s="1"/>
  <c r="O2058" i="16" s="1"/>
  <c r="L2057" i="16"/>
  <c r="M2057" i="16" s="1"/>
  <c r="O2057" i="16" s="1"/>
  <c r="L2056" i="16"/>
  <c r="M2056" i="16" s="1"/>
  <c r="O2056" i="16" s="1"/>
  <c r="L2055" i="16"/>
  <c r="M2055" i="16" s="1"/>
  <c r="O2055" i="16" s="1"/>
  <c r="L2054" i="16"/>
  <c r="M2054" i="16" s="1"/>
  <c r="O2054" i="16" s="1"/>
  <c r="L2053" i="16"/>
  <c r="M2053" i="16" s="1"/>
  <c r="O2053" i="16" s="1"/>
  <c r="L2052" i="16"/>
  <c r="M2052" i="16" s="1"/>
  <c r="O2052" i="16" s="1"/>
  <c r="L2051" i="16"/>
  <c r="M2051" i="16" s="1"/>
  <c r="O2051" i="16" s="1"/>
  <c r="L2050" i="16"/>
  <c r="M2050" i="16" s="1"/>
  <c r="O2050" i="16" s="1"/>
  <c r="L2049" i="16"/>
  <c r="M2049" i="16" s="1"/>
  <c r="O2049" i="16" s="1"/>
  <c r="L61" i="2"/>
  <c r="N61" i="2"/>
  <c r="I2253" i="16"/>
  <c r="I2212" i="16"/>
  <c r="I2169" i="16"/>
  <c r="I2097" i="16"/>
  <c r="I2089" i="16"/>
  <c r="I2062" i="16"/>
  <c r="I2387" i="16"/>
  <c r="I2411" i="16"/>
  <c r="S61" i="2" l="1"/>
  <c r="T61" i="2" s="1"/>
  <c r="M2064" i="16"/>
  <c r="L2089" i="16"/>
  <c r="I2413" i="16"/>
  <c r="G42" i="18" s="1"/>
  <c r="I2466" i="16" l="1"/>
  <c r="G43" i="18" s="1"/>
  <c r="O2064" i="16"/>
  <c r="O2089" i="16" s="1"/>
  <c r="M2089" i="16"/>
  <c r="I330" i="14" l="1"/>
  <c r="K497" i="8" l="1"/>
  <c r="L497" i="8" s="1"/>
  <c r="N497" i="8" s="1"/>
  <c r="K496" i="8"/>
  <c r="L496" i="8" s="1"/>
  <c r="N496" i="8" s="1"/>
  <c r="K495" i="8"/>
  <c r="L495" i="8" s="1"/>
  <c r="N495" i="8" s="1"/>
  <c r="K494" i="8"/>
  <c r="L494" i="8" s="1"/>
  <c r="N494" i="8" s="1"/>
  <c r="K493" i="8"/>
  <c r="L493" i="8" s="1"/>
  <c r="N493" i="8" s="1"/>
  <c r="K492" i="8"/>
  <c r="L492" i="8" s="1"/>
  <c r="N492" i="8" s="1"/>
  <c r="K491" i="8"/>
  <c r="L491" i="8" s="1"/>
  <c r="N491" i="8" s="1"/>
  <c r="K490" i="8"/>
  <c r="L490" i="8" s="1"/>
  <c r="N490" i="8" s="1"/>
  <c r="K489" i="8"/>
  <c r="L489" i="8" s="1"/>
  <c r="N489" i="8" s="1"/>
  <c r="K488" i="8"/>
  <c r="L488" i="8" s="1"/>
  <c r="N488" i="8" s="1"/>
  <c r="K487" i="8"/>
  <c r="L487" i="8" s="1"/>
  <c r="N487" i="8" s="1"/>
  <c r="K486" i="8"/>
  <c r="L486" i="8" s="1"/>
  <c r="N486" i="8" s="1"/>
  <c r="K485" i="8"/>
  <c r="L485" i="8" s="1"/>
  <c r="N485" i="8" s="1"/>
  <c r="K484" i="8"/>
  <c r="L484" i="8" s="1"/>
  <c r="N484" i="8" s="1"/>
  <c r="K483" i="8"/>
  <c r="L483" i="8" s="1"/>
  <c r="N483" i="8" s="1"/>
  <c r="K482" i="8"/>
  <c r="L482" i="8" s="1"/>
  <c r="N482" i="8" s="1"/>
  <c r="K481" i="8"/>
  <c r="L481" i="8" s="1"/>
  <c r="N481" i="8" s="1"/>
  <c r="K480" i="8"/>
  <c r="L480" i="8" s="1"/>
  <c r="N480" i="8" s="1"/>
  <c r="K479" i="8"/>
  <c r="L479" i="8" s="1"/>
  <c r="N479" i="8" s="1"/>
  <c r="K478" i="8"/>
  <c r="L478" i="8" s="1"/>
  <c r="N478" i="8" s="1"/>
  <c r="K2036" i="16"/>
  <c r="J2036" i="16"/>
  <c r="L2043" i="16"/>
  <c r="M2043" i="16" s="1"/>
  <c r="O2043" i="16" s="1"/>
  <c r="L2042" i="16"/>
  <c r="M2042" i="16" s="1"/>
  <c r="O2042" i="16" s="1"/>
  <c r="L2041" i="16"/>
  <c r="M2041" i="16" s="1"/>
  <c r="O2041" i="16" s="1"/>
  <c r="L2040" i="16"/>
  <c r="M2040" i="16" s="1"/>
  <c r="O2040" i="16" s="1"/>
  <c r="L2039" i="16"/>
  <c r="M2039" i="16" s="1"/>
  <c r="O2039" i="16" s="1"/>
  <c r="L2038" i="16"/>
  <c r="M2038" i="16" s="1"/>
  <c r="O2038" i="16" s="1"/>
  <c r="L2037" i="16"/>
  <c r="M2037" i="16" s="1"/>
  <c r="O2037" i="16" s="1"/>
  <c r="L2035" i="16"/>
  <c r="M2035" i="16" s="1"/>
  <c r="O2035" i="16" s="1"/>
  <c r="L2034" i="16"/>
  <c r="M2034" i="16" s="1"/>
  <c r="O2034" i="16" s="1"/>
  <c r="L2033" i="16"/>
  <c r="M2033" i="16" s="1"/>
  <c r="O2033" i="16" s="1"/>
  <c r="L2032" i="16"/>
  <c r="M2032" i="16" s="1"/>
  <c r="O2032" i="16" s="1"/>
  <c r="L2031" i="16"/>
  <c r="M2031" i="16" s="1"/>
  <c r="O2031" i="16" s="1"/>
  <c r="L2030" i="16"/>
  <c r="M2030" i="16" s="1"/>
  <c r="O2030" i="16" s="1"/>
  <c r="L2029" i="16"/>
  <c r="M2029" i="16" s="1"/>
  <c r="O2029" i="16" s="1"/>
  <c r="L2028" i="16"/>
  <c r="M2028" i="16" s="1"/>
  <c r="O2028" i="16" s="1"/>
  <c r="L2027" i="16"/>
  <c r="M2027" i="16" s="1"/>
  <c r="O2027" i="16" s="1"/>
  <c r="L2026" i="16"/>
  <c r="M2026" i="16" s="1"/>
  <c r="O2026" i="16" s="1"/>
  <c r="L2025" i="16"/>
  <c r="M2025" i="16" s="1"/>
  <c r="O2025" i="16" s="1"/>
  <c r="L2024" i="16"/>
  <c r="M2024" i="16" s="1"/>
  <c r="O2024" i="16" s="1"/>
  <c r="L2023" i="16"/>
  <c r="M2023" i="16" s="1"/>
  <c r="O2023" i="16" s="1"/>
  <c r="L2022" i="16"/>
  <c r="M2022" i="16" s="1"/>
  <c r="O2022" i="16" s="1"/>
  <c r="L2021" i="16"/>
  <c r="M2021" i="16" s="1"/>
  <c r="O2021" i="16" s="1"/>
  <c r="L2020" i="16"/>
  <c r="M2020" i="16" s="1"/>
  <c r="O2020" i="16" s="1"/>
  <c r="L2019" i="16"/>
  <c r="M2019" i="16" s="1"/>
  <c r="O2019" i="16" s="1"/>
  <c r="L2018" i="16"/>
  <c r="M2018" i="16" s="1"/>
  <c r="O2018" i="16" s="1"/>
  <c r="L2017" i="16"/>
  <c r="M2017" i="16" s="1"/>
  <c r="O2017" i="16" s="1"/>
  <c r="L2016" i="16"/>
  <c r="M2016" i="16" s="1"/>
  <c r="O2016" i="16" s="1"/>
  <c r="L2015" i="16"/>
  <c r="M2015" i="16" s="1"/>
  <c r="O2015" i="16" s="1"/>
  <c r="L2014" i="16"/>
  <c r="M2014" i="16" s="1"/>
  <c r="O2014" i="16" s="1"/>
  <c r="L2013" i="16"/>
  <c r="M2013" i="16" s="1"/>
  <c r="O2013" i="16" s="1"/>
  <c r="L2012" i="16"/>
  <c r="M2012" i="16" s="1"/>
  <c r="O2012" i="16" s="1"/>
  <c r="L2036" i="16" l="1"/>
  <c r="M2036" i="16" s="1"/>
  <c r="O2036" i="16" s="1"/>
  <c r="H42" i="18" l="1"/>
  <c r="I2045" i="16"/>
  <c r="G41" i="18" s="1"/>
  <c r="I2009" i="16"/>
  <c r="G40" i="18" s="1"/>
  <c r="I1958" i="16"/>
  <c r="G39" i="18" s="1"/>
  <c r="I1863" i="16"/>
  <c r="G38" i="18" s="1"/>
  <c r="E200" i="14" l="1"/>
  <c r="E134" i="14"/>
  <c r="E273" i="14"/>
  <c r="K338" i="8" l="1"/>
  <c r="L338" i="8" s="1"/>
  <c r="N338" i="8" s="1"/>
  <c r="F11" i="19"/>
  <c r="G11" i="19"/>
  <c r="H11" i="19"/>
  <c r="E324" i="14"/>
  <c r="G56" i="20"/>
  <c r="G68" i="20"/>
  <c r="I324" i="14" l="1"/>
  <c r="J11" i="19"/>
  <c r="G63" i="20" l="1"/>
  <c r="H41" i="18" l="1"/>
  <c r="J476" i="8" l="1"/>
  <c r="K476" i="8" s="1"/>
  <c r="L476" i="8" s="1"/>
  <c r="N476" i="8" s="1"/>
  <c r="J475" i="8"/>
  <c r="K475" i="8" s="1"/>
  <c r="L475" i="8" s="1"/>
  <c r="N475" i="8" s="1"/>
  <c r="J474" i="8"/>
  <c r="K474" i="8" s="1"/>
  <c r="L474" i="8" s="1"/>
  <c r="N474" i="8" s="1"/>
  <c r="K473" i="8"/>
  <c r="L473" i="8" s="1"/>
  <c r="N473" i="8" s="1"/>
  <c r="K2007" i="16"/>
  <c r="L2007" i="16" s="1"/>
  <c r="M2007" i="16" s="1"/>
  <c r="O2007" i="16" s="1"/>
  <c r="K2006" i="16"/>
  <c r="L2006" i="16" s="1"/>
  <c r="M2006" i="16" s="1"/>
  <c r="O2006" i="16" s="1"/>
  <c r="K2005" i="16"/>
  <c r="L2005" i="16" s="1"/>
  <c r="M2005" i="16" s="1"/>
  <c r="O2005" i="16" s="1"/>
  <c r="L2004" i="16" l="1"/>
  <c r="M2004" i="16" s="1"/>
  <c r="O2004" i="16" s="1"/>
  <c r="L2003" i="16"/>
  <c r="M2003" i="16" s="1"/>
  <c r="O2003" i="16" s="1"/>
  <c r="L2002" i="16"/>
  <c r="M2002" i="16" s="1"/>
  <c r="O2002" i="16" s="1"/>
  <c r="L2001" i="16"/>
  <c r="M2001" i="16" s="1"/>
  <c r="O2001" i="16" s="1"/>
  <c r="L2000" i="16"/>
  <c r="M2000" i="16" s="1"/>
  <c r="O2000" i="16" s="1"/>
  <c r="L1999" i="16"/>
  <c r="M1999" i="16" s="1"/>
  <c r="O1999" i="16" s="1"/>
  <c r="L1998" i="16"/>
  <c r="M1998" i="16" s="1"/>
  <c r="O1998" i="16" s="1"/>
  <c r="L1997" i="16"/>
  <c r="M1997" i="16" s="1"/>
  <c r="O1997" i="16" s="1"/>
  <c r="L1996" i="16"/>
  <c r="M1996" i="16" s="1"/>
  <c r="O1996" i="16" s="1"/>
  <c r="L1995" i="16"/>
  <c r="M1995" i="16" s="1"/>
  <c r="O1995" i="16" s="1"/>
  <c r="L1994" i="16"/>
  <c r="M1994" i="16" s="1"/>
  <c r="O1994" i="16" s="1"/>
  <c r="L1993" i="16"/>
  <c r="M1993" i="16" s="1"/>
  <c r="O1993" i="16" s="1"/>
  <c r="I78" i="8" l="1"/>
  <c r="K78" i="8" s="1"/>
  <c r="L78" i="8" s="1"/>
  <c r="N78" i="8" s="1"/>
  <c r="I77" i="8"/>
  <c r="K77" i="8" s="1"/>
  <c r="L77" i="8" s="1"/>
  <c r="N77" i="8" s="1"/>
  <c r="I76" i="8"/>
  <c r="K76" i="8" s="1"/>
  <c r="L76" i="8" s="1"/>
  <c r="N76" i="8" s="1"/>
  <c r="I75" i="8"/>
  <c r="K75" i="8" s="1"/>
  <c r="L75" i="8" s="1"/>
  <c r="N75" i="8" s="1"/>
  <c r="I74" i="8"/>
  <c r="K74" i="8" s="1"/>
  <c r="L74" i="8" s="1"/>
  <c r="N74" i="8" s="1"/>
  <c r="I73" i="8"/>
  <c r="K73" i="8" s="1"/>
  <c r="L73" i="8" s="1"/>
  <c r="N73" i="8" s="1"/>
  <c r="I72" i="8"/>
  <c r="K72" i="8" s="1"/>
  <c r="L72" i="8" s="1"/>
  <c r="N72" i="8" s="1"/>
  <c r="I71" i="8"/>
  <c r="K71" i="8" s="1"/>
  <c r="L71" i="8" s="1"/>
  <c r="N71" i="8" s="1"/>
  <c r="I70" i="8"/>
  <c r="K70" i="8" s="1"/>
  <c r="L70" i="8" s="1"/>
  <c r="N70" i="8" s="1"/>
  <c r="I69" i="8"/>
  <c r="K69" i="8" s="1"/>
  <c r="L69" i="8" s="1"/>
  <c r="N69" i="8" s="1"/>
  <c r="I472" i="8"/>
  <c r="K472" i="8" s="1"/>
  <c r="L472" i="8" s="1"/>
  <c r="N472" i="8" s="1"/>
  <c r="I471" i="8"/>
  <c r="K471" i="8" s="1"/>
  <c r="L471" i="8" s="1"/>
  <c r="N471" i="8" s="1"/>
  <c r="I470" i="8"/>
  <c r="K470" i="8" s="1"/>
  <c r="L470" i="8" s="1"/>
  <c r="N470" i="8" s="1"/>
  <c r="I469" i="8"/>
  <c r="K469" i="8" s="1"/>
  <c r="L469" i="8" s="1"/>
  <c r="N469" i="8" s="1"/>
  <c r="I468" i="8"/>
  <c r="K468" i="8" s="1"/>
  <c r="L468" i="8" s="1"/>
  <c r="N468" i="8" s="1"/>
  <c r="I467" i="8"/>
  <c r="K467" i="8" s="1"/>
  <c r="L467" i="8" s="1"/>
  <c r="N467" i="8" s="1"/>
  <c r="I466" i="8"/>
  <c r="K466" i="8" s="1"/>
  <c r="L466" i="8" s="1"/>
  <c r="N466" i="8" s="1"/>
  <c r="I465" i="8"/>
  <c r="K465" i="8" s="1"/>
  <c r="L465" i="8" s="1"/>
  <c r="N465" i="8" s="1"/>
  <c r="I464" i="8"/>
  <c r="K464" i="8" s="1"/>
  <c r="L464" i="8" s="1"/>
  <c r="N464" i="8" s="1"/>
  <c r="I463" i="8"/>
  <c r="K463" i="8" s="1"/>
  <c r="L463" i="8" s="1"/>
  <c r="N463" i="8" s="1"/>
  <c r="K1184" i="8" l="1"/>
  <c r="L1184" i="8" s="1"/>
  <c r="N1184" i="8" s="1"/>
  <c r="J1990" i="16" l="1"/>
  <c r="L1990" i="16" s="1"/>
  <c r="M1990" i="16" s="1"/>
  <c r="O1990" i="16" s="1"/>
  <c r="J1989" i="16"/>
  <c r="L1989" i="16" s="1"/>
  <c r="M1989" i="16" s="1"/>
  <c r="O1989" i="16" s="1"/>
  <c r="J1988" i="16"/>
  <c r="L1988" i="16" s="1"/>
  <c r="M1988" i="16" s="1"/>
  <c r="O1988" i="16" s="1"/>
  <c r="J1987" i="16"/>
  <c r="L1987" i="16" s="1"/>
  <c r="M1987" i="16" s="1"/>
  <c r="O1987" i="16" s="1"/>
  <c r="J1986" i="16"/>
  <c r="L1986" i="16" s="1"/>
  <c r="M1986" i="16" s="1"/>
  <c r="O1986" i="16" s="1"/>
  <c r="J1985" i="16"/>
  <c r="L1985" i="16" s="1"/>
  <c r="M1985" i="16" s="1"/>
  <c r="O1985" i="16" s="1"/>
  <c r="J1984" i="16"/>
  <c r="L1984" i="16" s="1"/>
  <c r="M1984" i="16" s="1"/>
  <c r="O1984" i="16" s="1"/>
  <c r="J1983" i="16"/>
  <c r="L1983" i="16" s="1"/>
  <c r="M1983" i="16" s="1"/>
  <c r="O1983" i="16" s="1"/>
  <c r="J1982" i="16"/>
  <c r="L1982" i="16" s="1"/>
  <c r="M1982" i="16" s="1"/>
  <c r="O1982" i="16" s="1"/>
  <c r="J1981" i="16"/>
  <c r="L1981" i="16" s="1"/>
  <c r="M1981" i="16" s="1"/>
  <c r="O1981" i="16" s="1"/>
  <c r="J1980" i="16"/>
  <c r="L1980" i="16" s="1"/>
  <c r="M1980" i="16" s="1"/>
  <c r="O1980" i="16" s="1"/>
  <c r="J1979" i="16"/>
  <c r="L1979" i="16" s="1"/>
  <c r="M1979" i="16" s="1"/>
  <c r="O1979" i="16" s="1"/>
  <c r="J1978" i="16"/>
  <c r="L1978" i="16" s="1"/>
  <c r="M1978" i="16" s="1"/>
  <c r="O1978" i="16" s="1"/>
  <c r="J1977" i="16"/>
  <c r="L1977" i="16" s="1"/>
  <c r="M1977" i="16" s="1"/>
  <c r="O1977" i="16" s="1"/>
  <c r="J1975" i="16"/>
  <c r="L1975" i="16" s="1"/>
  <c r="M1975" i="16" s="1"/>
  <c r="O1975" i="16" s="1"/>
  <c r="J1974" i="16"/>
  <c r="L1974" i="16" s="1"/>
  <c r="M1974" i="16" s="1"/>
  <c r="O1974" i="16" s="1"/>
  <c r="J1973" i="16"/>
  <c r="L1973" i="16" s="1"/>
  <c r="M1973" i="16" s="1"/>
  <c r="O1973" i="16" s="1"/>
  <c r="J1971" i="16"/>
  <c r="L1971" i="16" s="1"/>
  <c r="M1971" i="16" s="1"/>
  <c r="O1971" i="16" s="1"/>
  <c r="J1970" i="16"/>
  <c r="L1970" i="16" s="1"/>
  <c r="M1970" i="16" s="1"/>
  <c r="O1970" i="16" s="1"/>
  <c r="J1969" i="16"/>
  <c r="L1969" i="16" s="1"/>
  <c r="M1969" i="16" s="1"/>
  <c r="O1969" i="16" s="1"/>
  <c r="J1968" i="16"/>
  <c r="L1968" i="16" s="1"/>
  <c r="M1968" i="16" s="1"/>
  <c r="O1968" i="16" s="1"/>
  <c r="J1967" i="16"/>
  <c r="L1967" i="16" s="1"/>
  <c r="M1967" i="16" s="1"/>
  <c r="O1967" i="16" s="1"/>
  <c r="J1966" i="16"/>
  <c r="L1966" i="16" s="1"/>
  <c r="M1966" i="16" s="1"/>
  <c r="O1966" i="16" s="1"/>
  <c r="J1965" i="16"/>
  <c r="L1965" i="16" s="1"/>
  <c r="M1965" i="16" s="1"/>
  <c r="O1965" i="16" s="1"/>
  <c r="J1964" i="16"/>
  <c r="L1964" i="16" s="1"/>
  <c r="M1964" i="16" s="1"/>
  <c r="O1964" i="16" s="1"/>
  <c r="J1963" i="16"/>
  <c r="L1963" i="16" s="1"/>
  <c r="M1963" i="16" s="1"/>
  <c r="O1963" i="16" s="1"/>
  <c r="J1972" i="16"/>
  <c r="L1972" i="16" s="1"/>
  <c r="M1972" i="16" s="1"/>
  <c r="O1972" i="16" s="1"/>
  <c r="J1976" i="16"/>
  <c r="L1976" i="16" s="1"/>
  <c r="M1976" i="16" s="1"/>
  <c r="O1976" i="16" s="1"/>
  <c r="H40" i="18" l="1"/>
  <c r="M24" i="18" l="1"/>
  <c r="R1955" i="16"/>
  <c r="K1956" i="16"/>
  <c r="K1955" i="16"/>
  <c r="K1954" i="16"/>
  <c r="K1953" i="16"/>
  <c r="K1952" i="16"/>
  <c r="K1951" i="16"/>
  <c r="K1950" i="16"/>
  <c r="K1949" i="16"/>
  <c r="K1948" i="16"/>
  <c r="J1956" i="16"/>
  <c r="J1955" i="16"/>
  <c r="J1954" i="16"/>
  <c r="J1953" i="16"/>
  <c r="J1952" i="16"/>
  <c r="J1951" i="16"/>
  <c r="J1950" i="16"/>
  <c r="J1949" i="16"/>
  <c r="J1948" i="16"/>
  <c r="L1948" i="16" l="1"/>
  <c r="M1948" i="16" s="1"/>
  <c r="O1948" i="16" s="1"/>
  <c r="L1956" i="16"/>
  <c r="M1956" i="16" s="1"/>
  <c r="O1956" i="16" s="1"/>
  <c r="L1950" i="16"/>
  <c r="M1950" i="16" s="1"/>
  <c r="O1950" i="16" s="1"/>
  <c r="L1952" i="16"/>
  <c r="M1952" i="16" s="1"/>
  <c r="O1952" i="16" s="1"/>
  <c r="L1954" i="16"/>
  <c r="M1954" i="16" s="1"/>
  <c r="O1954" i="16" s="1"/>
  <c r="L1949" i="16"/>
  <c r="M1949" i="16" s="1"/>
  <c r="O1949" i="16" s="1"/>
  <c r="L1951" i="16"/>
  <c r="M1951" i="16" s="1"/>
  <c r="O1951" i="16" s="1"/>
  <c r="L1953" i="16"/>
  <c r="M1953" i="16" s="1"/>
  <c r="O1953" i="16" s="1"/>
  <c r="L1955" i="16"/>
  <c r="M1955" i="16" s="1"/>
  <c r="O1955" i="16" s="1"/>
  <c r="F68" i="20"/>
  <c r="F63" i="20"/>
  <c r="F56" i="20"/>
  <c r="O243" i="25" l="1"/>
  <c r="J243" i="25"/>
  <c r="K243" i="25" s="1"/>
  <c r="M243" i="25" s="1"/>
  <c r="J242" i="25"/>
  <c r="K242" i="25" s="1"/>
  <c r="M242" i="25" s="1"/>
  <c r="J241" i="25"/>
  <c r="K241" i="25" s="1"/>
  <c r="M241" i="25" s="1"/>
  <c r="J239" i="25"/>
  <c r="K239" i="25" s="1"/>
  <c r="M239" i="25" s="1"/>
  <c r="J236" i="25"/>
  <c r="K236" i="25" s="1"/>
  <c r="M236" i="25" s="1"/>
  <c r="J235" i="25"/>
  <c r="K235" i="25" s="1"/>
  <c r="M235" i="25" s="1"/>
  <c r="M233" i="25"/>
  <c r="E318" i="14" l="1"/>
  <c r="F318" i="14"/>
  <c r="I318" i="14" l="1"/>
  <c r="N1416" i="8" l="1"/>
  <c r="N1415" i="8"/>
  <c r="N1414" i="8"/>
  <c r="N1413" i="8"/>
  <c r="N1412" i="8"/>
  <c r="N1411" i="8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32" i="16"/>
  <c r="E313" i="14" l="1"/>
  <c r="F313" i="14"/>
  <c r="I313" i="14" l="1"/>
  <c r="J113" i="24" l="1"/>
  <c r="K113" i="24" s="1"/>
  <c r="M113" i="24" s="1"/>
  <c r="J112" i="24"/>
  <c r="K112" i="24" s="1"/>
  <c r="M112" i="24" s="1"/>
  <c r="J111" i="24"/>
  <c r="K111" i="24" s="1"/>
  <c r="M111" i="24" s="1"/>
  <c r="J110" i="24"/>
  <c r="K110" i="24" s="1"/>
  <c r="M110" i="24" s="1"/>
  <c r="J109" i="24"/>
  <c r="K109" i="24" s="1"/>
  <c r="M109" i="24" s="1"/>
  <c r="J108" i="24"/>
  <c r="K108" i="24" s="1"/>
  <c r="M108" i="24" s="1"/>
  <c r="J107" i="24"/>
  <c r="K107" i="24" s="1"/>
  <c r="M107" i="24" s="1"/>
  <c r="J106" i="24"/>
  <c r="K106" i="24" s="1"/>
  <c r="M106" i="24" s="1"/>
  <c r="J105" i="24"/>
  <c r="K105" i="24" s="1"/>
  <c r="M105" i="24" s="1"/>
  <c r="J104" i="24"/>
  <c r="K104" i="24" s="1"/>
  <c r="M104" i="24" s="1"/>
  <c r="J103" i="24"/>
  <c r="K103" i="24" s="1"/>
  <c r="M103" i="24" s="1"/>
  <c r="J102" i="24"/>
  <c r="K102" i="24" s="1"/>
  <c r="M102" i="24" s="1"/>
  <c r="J101" i="24"/>
  <c r="K101" i="24" s="1"/>
  <c r="M101" i="24" s="1"/>
  <c r="J100" i="24"/>
  <c r="K100" i="24" s="1"/>
  <c r="M100" i="24" s="1"/>
  <c r="L1880" i="16"/>
  <c r="M1880" i="16" s="1"/>
  <c r="O1880" i="16" s="1"/>
  <c r="L1879" i="16"/>
  <c r="M1879" i="16" s="1"/>
  <c r="O1879" i="16" s="1"/>
  <c r="L1878" i="16"/>
  <c r="M1878" i="16" s="1"/>
  <c r="O1878" i="16" s="1"/>
  <c r="L1877" i="16"/>
  <c r="M1877" i="16" s="1"/>
  <c r="O1877" i="16" s="1"/>
  <c r="L1876" i="16"/>
  <c r="M1876" i="16" s="1"/>
  <c r="O1876" i="16" s="1"/>
  <c r="L1875" i="16"/>
  <c r="M1875" i="16" s="1"/>
  <c r="O1875" i="16" s="1"/>
  <c r="L1874" i="16"/>
  <c r="M1874" i="16" s="1"/>
  <c r="O1874" i="16" s="1"/>
  <c r="L1873" i="16"/>
  <c r="M1873" i="16" s="1"/>
  <c r="O1873" i="16" s="1"/>
  <c r="L1872" i="16"/>
  <c r="M1872" i="16" s="1"/>
  <c r="O1872" i="16" s="1"/>
  <c r="L1871" i="16"/>
  <c r="M1871" i="16" s="1"/>
  <c r="O1871" i="16" s="1"/>
  <c r="L1870" i="16"/>
  <c r="M1870" i="16" s="1"/>
  <c r="O1870" i="16" s="1"/>
  <c r="L1869" i="16"/>
  <c r="M1869" i="16" s="1"/>
  <c r="O1869" i="16" s="1"/>
  <c r="L1868" i="16"/>
  <c r="M1868" i="16" s="1"/>
  <c r="O1868" i="16" s="1"/>
  <c r="L1867" i="16"/>
  <c r="M1867" i="16" s="1"/>
  <c r="O1867" i="16" s="1"/>
  <c r="L1866" i="16"/>
  <c r="M1866" i="16" s="1"/>
  <c r="O1866" i="16" s="1"/>
  <c r="K459" i="8" l="1"/>
  <c r="L459" i="8" s="1"/>
  <c r="N459" i="8" s="1"/>
  <c r="K458" i="8"/>
  <c r="L458" i="8" s="1"/>
  <c r="N458" i="8" s="1"/>
  <c r="K457" i="8"/>
  <c r="L457" i="8" s="1"/>
  <c r="N457" i="8" s="1"/>
  <c r="J55" i="23"/>
  <c r="K55" i="23" s="1"/>
  <c r="M55" i="23" s="1"/>
  <c r="J54" i="23"/>
  <c r="K54" i="23" s="1"/>
  <c r="M54" i="23" s="1"/>
  <c r="J53" i="23"/>
  <c r="K53" i="23" s="1"/>
  <c r="M53" i="23" s="1"/>
  <c r="J52" i="23"/>
  <c r="K52" i="23" s="1"/>
  <c r="M52" i="23" s="1"/>
  <c r="J51" i="23"/>
  <c r="K51" i="23" s="1"/>
  <c r="M51" i="23" s="1"/>
  <c r="J50" i="23"/>
  <c r="K50" i="23" s="1"/>
  <c r="M50" i="23" s="1"/>
  <c r="J49" i="23"/>
  <c r="K49" i="23" s="1"/>
  <c r="M49" i="23" s="1"/>
  <c r="J48" i="23"/>
  <c r="K48" i="23" s="1"/>
  <c r="M48" i="23" s="1"/>
  <c r="J47" i="23"/>
  <c r="K47" i="23" s="1"/>
  <c r="M47" i="23" s="1"/>
  <c r="J46" i="23"/>
  <c r="K46" i="23" s="1"/>
  <c r="M46" i="23" s="1"/>
  <c r="J45" i="23"/>
  <c r="K45" i="23" s="1"/>
  <c r="M45" i="23" s="1"/>
  <c r="J44" i="23"/>
  <c r="K44" i="23" s="1"/>
  <c r="M44" i="23" s="1"/>
  <c r="J43" i="23"/>
  <c r="K43" i="23" s="1"/>
  <c r="M43" i="23" s="1"/>
  <c r="J42" i="23"/>
  <c r="K42" i="23" s="1"/>
  <c r="M42" i="23" s="1"/>
  <c r="J41" i="23"/>
  <c r="K41" i="23" s="1"/>
  <c r="M41" i="23" s="1"/>
  <c r="J40" i="23"/>
  <c r="K40" i="23" s="1"/>
  <c r="M40" i="23" s="1"/>
  <c r="J39" i="23"/>
  <c r="K39" i="23" s="1"/>
  <c r="M39" i="23" s="1"/>
  <c r="J38" i="23"/>
  <c r="K38" i="23" s="1"/>
  <c r="M38" i="23" s="1"/>
  <c r="J37" i="23"/>
  <c r="K37" i="23" s="1"/>
  <c r="M37" i="23" s="1"/>
  <c r="J36" i="23"/>
  <c r="K36" i="23" s="1"/>
  <c r="M36" i="23" s="1"/>
  <c r="L1930" i="16"/>
  <c r="M1930" i="16" s="1"/>
  <c r="O1930" i="16" s="1"/>
  <c r="L1929" i="16"/>
  <c r="M1929" i="16" s="1"/>
  <c r="O1929" i="16" s="1"/>
  <c r="L1928" i="16"/>
  <c r="M1928" i="16" s="1"/>
  <c r="O1928" i="16" s="1"/>
  <c r="L1927" i="16"/>
  <c r="M1927" i="16" s="1"/>
  <c r="O1927" i="16" s="1"/>
  <c r="L1926" i="16"/>
  <c r="M1926" i="16" s="1"/>
  <c r="O1926" i="16" s="1"/>
  <c r="L1925" i="16"/>
  <c r="M1925" i="16" s="1"/>
  <c r="O1925" i="16" s="1"/>
  <c r="L1924" i="16"/>
  <c r="M1924" i="16" s="1"/>
  <c r="O1924" i="16" s="1"/>
  <c r="L1923" i="16"/>
  <c r="M1923" i="16" s="1"/>
  <c r="O1923" i="16" s="1"/>
  <c r="L1922" i="16"/>
  <c r="M1922" i="16" s="1"/>
  <c r="O1922" i="16" s="1"/>
  <c r="L1921" i="16"/>
  <c r="M1921" i="16" s="1"/>
  <c r="O1921" i="16" s="1"/>
  <c r="L1920" i="16"/>
  <c r="M1920" i="16" s="1"/>
  <c r="O1920" i="16" s="1"/>
  <c r="L1919" i="16"/>
  <c r="M1919" i="16" s="1"/>
  <c r="O1919" i="16" s="1"/>
  <c r="L1918" i="16"/>
  <c r="M1918" i="16" s="1"/>
  <c r="O1918" i="16" s="1"/>
  <c r="L1917" i="16"/>
  <c r="M1917" i="16" s="1"/>
  <c r="O1917" i="16" s="1"/>
  <c r="L1916" i="16"/>
  <c r="M1916" i="16" s="1"/>
  <c r="O1916" i="16" s="1"/>
  <c r="L1915" i="16"/>
  <c r="M1915" i="16" s="1"/>
  <c r="O1915" i="16" s="1"/>
  <c r="L1914" i="16"/>
  <c r="M1914" i="16" s="1"/>
  <c r="O1914" i="16" s="1"/>
  <c r="L1913" i="16"/>
  <c r="M1913" i="16" s="1"/>
  <c r="O1913" i="16" s="1"/>
  <c r="L1912" i="16"/>
  <c r="M1912" i="16" s="1"/>
  <c r="O1912" i="16" s="1"/>
  <c r="L1911" i="16"/>
  <c r="M1911" i="16" s="1"/>
  <c r="O1911" i="16" s="1"/>
  <c r="L1910" i="16"/>
  <c r="M1910" i="16" s="1"/>
  <c r="O1910" i="16" s="1"/>
  <c r="L1909" i="16"/>
  <c r="M1909" i="16" s="1"/>
  <c r="O1909" i="16" s="1"/>
  <c r="L1908" i="16"/>
  <c r="M1908" i="16" s="1"/>
  <c r="O1908" i="16" s="1"/>
  <c r="L1907" i="16"/>
  <c r="M1907" i="16" s="1"/>
  <c r="O1907" i="16" s="1"/>
  <c r="L1906" i="16"/>
  <c r="M1906" i="16" s="1"/>
  <c r="O1906" i="16" s="1"/>
  <c r="L1905" i="16"/>
  <c r="M1905" i="16" s="1"/>
  <c r="O1905" i="16" s="1"/>
  <c r="L1904" i="16"/>
  <c r="M1904" i="16" s="1"/>
  <c r="O1904" i="16" s="1"/>
  <c r="L1903" i="16"/>
  <c r="M1903" i="16" s="1"/>
  <c r="O1903" i="16" s="1"/>
  <c r="L1902" i="16"/>
  <c r="M1902" i="16" s="1"/>
  <c r="O1902" i="16" s="1"/>
  <c r="L1901" i="16"/>
  <c r="M1901" i="16" s="1"/>
  <c r="O1901" i="16" s="1"/>
  <c r="L1900" i="16"/>
  <c r="M1900" i="16" s="1"/>
  <c r="O1900" i="16" s="1"/>
  <c r="L1899" i="16"/>
  <c r="M1899" i="16" s="1"/>
  <c r="O1899" i="16" s="1"/>
  <c r="L1898" i="16"/>
  <c r="M1898" i="16" s="1"/>
  <c r="O1898" i="16" s="1"/>
  <c r="L1897" i="16"/>
  <c r="M1897" i="16" s="1"/>
  <c r="O1897" i="16" s="1"/>
  <c r="L1896" i="16"/>
  <c r="M1896" i="16" s="1"/>
  <c r="O1896" i="16" s="1"/>
  <c r="L1895" i="16"/>
  <c r="M1895" i="16" s="1"/>
  <c r="O1895" i="16" s="1"/>
  <c r="L1894" i="16"/>
  <c r="M1894" i="16" s="1"/>
  <c r="O1894" i="16" s="1"/>
  <c r="L1893" i="16"/>
  <c r="M1893" i="16" s="1"/>
  <c r="O1893" i="16" s="1"/>
  <c r="L1892" i="16"/>
  <c r="M1892" i="16" s="1"/>
  <c r="O1892" i="16" s="1"/>
  <c r="L1891" i="16"/>
  <c r="M1891" i="16" s="1"/>
  <c r="O1891" i="16" s="1"/>
  <c r="L1890" i="16"/>
  <c r="M1890" i="16" s="1"/>
  <c r="O1890" i="16" s="1"/>
  <c r="L1889" i="16"/>
  <c r="M1889" i="16" s="1"/>
  <c r="O1889" i="16" s="1"/>
  <c r="L1888" i="16"/>
  <c r="M1888" i="16" s="1"/>
  <c r="O1888" i="16" s="1"/>
  <c r="L1887" i="16"/>
  <c r="M1887" i="16" s="1"/>
  <c r="O1887" i="16" s="1"/>
  <c r="L1886" i="16"/>
  <c r="M1886" i="16" s="1"/>
  <c r="O1886" i="16" s="1"/>
  <c r="L1885" i="16"/>
  <c r="M1885" i="16" s="1"/>
  <c r="O1885" i="16" s="1"/>
  <c r="L1884" i="16"/>
  <c r="M1884" i="16" s="1"/>
  <c r="O1884" i="16" s="1"/>
  <c r="L1883" i="16"/>
  <c r="M1883" i="16" s="1"/>
  <c r="O1883" i="16" s="1"/>
  <c r="F230" i="25" l="1"/>
  <c r="N229" i="25"/>
  <c r="L229" i="25"/>
  <c r="H229" i="25"/>
  <c r="G229" i="25"/>
  <c r="J228" i="25"/>
  <c r="K228" i="25" s="1"/>
  <c r="M228" i="25" s="1"/>
  <c r="J227" i="25"/>
  <c r="K227" i="25" s="1"/>
  <c r="M227" i="25" s="1"/>
  <c r="J226" i="25"/>
  <c r="K226" i="25" s="1"/>
  <c r="M226" i="25" s="1"/>
  <c r="J223" i="25"/>
  <c r="K223" i="25" s="1"/>
  <c r="M223" i="25" s="1"/>
  <c r="J222" i="25"/>
  <c r="K222" i="25" s="1"/>
  <c r="M222" i="25" s="1"/>
  <c r="J221" i="25"/>
  <c r="K221" i="25" s="1"/>
  <c r="M221" i="25" s="1"/>
  <c r="J220" i="25"/>
  <c r="K220" i="25" s="1"/>
  <c r="M220" i="25" s="1"/>
  <c r="J219" i="25"/>
  <c r="K219" i="25" s="1"/>
  <c r="M219" i="25" s="1"/>
  <c r="J218" i="25"/>
  <c r="K218" i="25" s="1"/>
  <c r="M218" i="25" s="1"/>
  <c r="J217" i="25"/>
  <c r="K217" i="25" s="1"/>
  <c r="M217" i="25" s="1"/>
  <c r="J216" i="25"/>
  <c r="K216" i="25" s="1"/>
  <c r="M216" i="25" s="1"/>
  <c r="J215" i="25"/>
  <c r="K215" i="25" s="1"/>
  <c r="M215" i="25" s="1"/>
  <c r="J214" i="25"/>
  <c r="K214" i="25" s="1"/>
  <c r="M214" i="25" s="1"/>
  <c r="M212" i="25"/>
  <c r="M211" i="25"/>
  <c r="J210" i="25"/>
  <c r="K210" i="25" s="1"/>
  <c r="M210" i="25" s="1"/>
  <c r="J209" i="25"/>
  <c r="K209" i="25" s="1"/>
  <c r="M209" i="25" s="1"/>
  <c r="J208" i="25"/>
  <c r="K208" i="25" s="1"/>
  <c r="M208" i="25" s="1"/>
  <c r="J206" i="25"/>
  <c r="K206" i="25" s="1"/>
  <c r="M206" i="25" s="1"/>
  <c r="J205" i="25"/>
  <c r="K205" i="25" s="1"/>
  <c r="M205" i="25" s="1"/>
  <c r="J204" i="25"/>
  <c r="K204" i="25" s="1"/>
  <c r="M204" i="25" s="1"/>
  <c r="J202" i="25"/>
  <c r="K202" i="25" s="1"/>
  <c r="M202" i="25" s="1"/>
  <c r="J201" i="25"/>
  <c r="K201" i="25" s="1"/>
  <c r="M201" i="25" s="1"/>
  <c r="J200" i="25"/>
  <c r="K200" i="25" s="1"/>
  <c r="M200" i="25" s="1"/>
  <c r="J199" i="25"/>
  <c r="K199" i="25" s="1"/>
  <c r="M199" i="25" s="1"/>
  <c r="J198" i="25"/>
  <c r="K198" i="25" s="1"/>
  <c r="M198" i="25" s="1"/>
  <c r="I196" i="25"/>
  <c r="J196" i="25" s="1"/>
  <c r="K196" i="25" s="1"/>
  <c r="M196" i="25" s="1"/>
  <c r="T195" i="25"/>
  <c r="I194" i="25"/>
  <c r="N192" i="25"/>
  <c r="J126" i="25"/>
  <c r="K126" i="25" s="1"/>
  <c r="M126" i="25" s="1"/>
  <c r="J125" i="25"/>
  <c r="K125" i="25" s="1"/>
  <c r="M125" i="25" s="1"/>
  <c r="J124" i="25"/>
  <c r="K124" i="25" s="1"/>
  <c r="M124" i="25" s="1"/>
  <c r="J123" i="25"/>
  <c r="K123" i="25" s="1"/>
  <c r="M123" i="25" s="1"/>
  <c r="J122" i="25"/>
  <c r="K122" i="25" s="1"/>
  <c r="M122" i="25" s="1"/>
  <c r="J121" i="25"/>
  <c r="K121" i="25" s="1"/>
  <c r="M121" i="25" s="1"/>
  <c r="J120" i="25"/>
  <c r="K120" i="25" s="1"/>
  <c r="M120" i="25" s="1"/>
  <c r="J119" i="25"/>
  <c r="K119" i="25" s="1"/>
  <c r="M119" i="25" s="1"/>
  <c r="J117" i="25"/>
  <c r="K117" i="25" s="1"/>
  <c r="M117" i="25" s="1"/>
  <c r="J116" i="25"/>
  <c r="K116" i="25" s="1"/>
  <c r="M116" i="25" s="1"/>
  <c r="J115" i="25"/>
  <c r="K115" i="25" s="1"/>
  <c r="M115" i="25" s="1"/>
  <c r="J114" i="25"/>
  <c r="K114" i="25" s="1"/>
  <c r="M114" i="25" s="1"/>
  <c r="J112" i="25"/>
  <c r="K112" i="25" s="1"/>
  <c r="M112" i="25" s="1"/>
  <c r="J111" i="25"/>
  <c r="K111" i="25" s="1"/>
  <c r="M111" i="25" s="1"/>
  <c r="J110" i="25"/>
  <c r="K110" i="25" s="1"/>
  <c r="M110" i="25" s="1"/>
  <c r="J109" i="25"/>
  <c r="K109" i="25" s="1"/>
  <c r="M109" i="25" s="1"/>
  <c r="J108" i="25"/>
  <c r="K108" i="25" s="1"/>
  <c r="M108" i="25" s="1"/>
  <c r="J107" i="25"/>
  <c r="K107" i="25" s="1"/>
  <c r="M107" i="25" s="1"/>
  <c r="J106" i="25"/>
  <c r="K106" i="25" s="1"/>
  <c r="M106" i="25" s="1"/>
  <c r="J105" i="25"/>
  <c r="K105" i="25" s="1"/>
  <c r="M105" i="25" s="1"/>
  <c r="J104" i="25"/>
  <c r="K104" i="25" s="1"/>
  <c r="M104" i="25" s="1"/>
  <c r="J103" i="25"/>
  <c r="K103" i="25" s="1"/>
  <c r="M103" i="25" s="1"/>
  <c r="J101" i="25"/>
  <c r="K101" i="25" s="1"/>
  <c r="M101" i="25" s="1"/>
  <c r="J96" i="25"/>
  <c r="K96" i="25" s="1"/>
  <c r="M96" i="25" s="1"/>
  <c r="J100" i="25"/>
  <c r="K100" i="25" s="1"/>
  <c r="M100" i="25" s="1"/>
  <c r="J99" i="25"/>
  <c r="K99" i="25" s="1"/>
  <c r="M99" i="25" s="1"/>
  <c r="J98" i="25"/>
  <c r="K98" i="25" s="1"/>
  <c r="M98" i="25" s="1"/>
  <c r="J97" i="25"/>
  <c r="K97" i="25" s="1"/>
  <c r="M97" i="25" s="1"/>
  <c r="J95" i="25"/>
  <c r="K95" i="25" s="1"/>
  <c r="M95" i="25" s="1"/>
  <c r="J92" i="25"/>
  <c r="K92" i="25" s="1"/>
  <c r="M92" i="25" s="1"/>
  <c r="J91" i="25"/>
  <c r="K91" i="25" s="1"/>
  <c r="M91" i="25" s="1"/>
  <c r="J90" i="25"/>
  <c r="K90" i="25" s="1"/>
  <c r="M90" i="25" s="1"/>
  <c r="J89" i="25"/>
  <c r="K89" i="25" s="1"/>
  <c r="M89" i="25" s="1"/>
  <c r="J88" i="25"/>
  <c r="K88" i="25" s="1"/>
  <c r="M88" i="25" s="1"/>
  <c r="J87" i="25"/>
  <c r="K87" i="25" s="1"/>
  <c r="M87" i="25" s="1"/>
  <c r="J86" i="25"/>
  <c r="K86" i="25" s="1"/>
  <c r="M86" i="25" s="1"/>
  <c r="I84" i="25"/>
  <c r="J84" i="25" s="1"/>
  <c r="K84" i="25" s="1"/>
  <c r="M84" i="25" s="1"/>
  <c r="I83" i="25"/>
  <c r="J83" i="25" s="1"/>
  <c r="K83" i="25" s="1"/>
  <c r="M83" i="25" s="1"/>
  <c r="J80" i="25"/>
  <c r="K80" i="25" s="1"/>
  <c r="M80" i="25" s="1"/>
  <c r="K78" i="25"/>
  <c r="M78" i="25" s="1"/>
  <c r="K77" i="25"/>
  <c r="M77" i="25" s="1"/>
  <c r="K76" i="25"/>
  <c r="M76" i="25" s="1"/>
  <c r="G192" i="25"/>
  <c r="J74" i="25"/>
  <c r="K74" i="25" s="1"/>
  <c r="M74" i="25" s="1"/>
  <c r="J73" i="25"/>
  <c r="K73" i="25" s="1"/>
  <c r="M73" i="25" s="1"/>
  <c r="J72" i="25"/>
  <c r="K72" i="25" s="1"/>
  <c r="M72" i="25" s="1"/>
  <c r="J71" i="25"/>
  <c r="K71" i="25" s="1"/>
  <c r="M71" i="25" s="1"/>
  <c r="J70" i="25"/>
  <c r="K70" i="25" s="1"/>
  <c r="M70" i="25" s="1"/>
  <c r="J69" i="25"/>
  <c r="K69" i="25" s="1"/>
  <c r="M69" i="25" s="1"/>
  <c r="J68" i="25"/>
  <c r="K68" i="25" s="1"/>
  <c r="M68" i="25" s="1"/>
  <c r="J67" i="25"/>
  <c r="K67" i="25" s="1"/>
  <c r="M67" i="25" s="1"/>
  <c r="I65" i="25"/>
  <c r="J65" i="25" s="1"/>
  <c r="K65" i="25" s="1"/>
  <c r="M65" i="25" s="1"/>
  <c r="I64" i="25"/>
  <c r="J64" i="25" s="1"/>
  <c r="K64" i="25" s="1"/>
  <c r="M64" i="25" s="1"/>
  <c r="I63" i="25"/>
  <c r="J63" i="25" s="1"/>
  <c r="K63" i="25" s="1"/>
  <c r="M63" i="25" s="1"/>
  <c r="I62" i="25"/>
  <c r="J62" i="25" s="1"/>
  <c r="K62" i="25" s="1"/>
  <c r="M62" i="25" s="1"/>
  <c r="I61" i="25"/>
  <c r="J61" i="25" s="1"/>
  <c r="K61" i="25" s="1"/>
  <c r="M61" i="25" s="1"/>
  <c r="I60" i="25"/>
  <c r="J60" i="25" s="1"/>
  <c r="K60" i="25" s="1"/>
  <c r="M60" i="25" s="1"/>
  <c r="I59" i="25"/>
  <c r="J59" i="25" s="1"/>
  <c r="K59" i="25" s="1"/>
  <c r="M59" i="25" s="1"/>
  <c r="J57" i="25"/>
  <c r="K57" i="25" s="1"/>
  <c r="M57" i="25" s="1"/>
  <c r="J56" i="25"/>
  <c r="K56" i="25" s="1"/>
  <c r="M56" i="25" s="1"/>
  <c r="J55" i="25"/>
  <c r="K55" i="25" s="1"/>
  <c r="M55" i="25" s="1"/>
  <c r="J54" i="25"/>
  <c r="K54" i="25" s="1"/>
  <c r="M54" i="25" s="1"/>
  <c r="J53" i="25"/>
  <c r="K53" i="25" s="1"/>
  <c r="M53" i="25" s="1"/>
  <c r="J52" i="25"/>
  <c r="K52" i="25" s="1"/>
  <c r="M52" i="25" s="1"/>
  <c r="J51" i="25"/>
  <c r="K51" i="25" s="1"/>
  <c r="M51" i="25" s="1"/>
  <c r="J50" i="25"/>
  <c r="K50" i="25" s="1"/>
  <c r="M50" i="25" s="1"/>
  <c r="M49" i="25"/>
  <c r="M48" i="25"/>
  <c r="J47" i="25"/>
  <c r="K47" i="25" s="1"/>
  <c r="M47" i="25" s="1"/>
  <c r="J46" i="25"/>
  <c r="K46" i="25" s="1"/>
  <c r="M46" i="25" s="1"/>
  <c r="J44" i="25"/>
  <c r="K44" i="25" s="1"/>
  <c r="M44" i="25" s="1"/>
  <c r="J43" i="25"/>
  <c r="K43" i="25" s="1"/>
  <c r="M43" i="25" s="1"/>
  <c r="J42" i="25"/>
  <c r="K42" i="25" s="1"/>
  <c r="M42" i="25" s="1"/>
  <c r="J41" i="25"/>
  <c r="K41" i="25" s="1"/>
  <c r="M41" i="25" s="1"/>
  <c r="J40" i="25"/>
  <c r="K40" i="25" s="1"/>
  <c r="M40" i="25" s="1"/>
  <c r="M39" i="25"/>
  <c r="M38" i="25"/>
  <c r="I37" i="25"/>
  <c r="J37" i="25" s="1"/>
  <c r="K37" i="25" s="1"/>
  <c r="M37" i="25" s="1"/>
  <c r="I36" i="25"/>
  <c r="J36" i="25" s="1"/>
  <c r="K36" i="25" s="1"/>
  <c r="M36" i="25" s="1"/>
  <c r="M35" i="25"/>
  <c r="I34" i="25"/>
  <c r="J34" i="25" s="1"/>
  <c r="K34" i="25" s="1"/>
  <c r="M34" i="25" s="1"/>
  <c r="I33" i="25"/>
  <c r="J33" i="25" s="1"/>
  <c r="K33" i="25" s="1"/>
  <c r="M33" i="25" s="1"/>
  <c r="I32" i="25"/>
  <c r="J32" i="25" s="1"/>
  <c r="K32" i="25" s="1"/>
  <c r="M32" i="25" s="1"/>
  <c r="I31" i="25"/>
  <c r="J31" i="25" s="1"/>
  <c r="K31" i="25" s="1"/>
  <c r="M31" i="25" s="1"/>
  <c r="I30" i="25"/>
  <c r="J30" i="25" s="1"/>
  <c r="K30" i="25" s="1"/>
  <c r="M30" i="25" s="1"/>
  <c r="I29" i="25"/>
  <c r="J29" i="25" s="1"/>
  <c r="K29" i="25" s="1"/>
  <c r="M29" i="25" s="1"/>
  <c r="I28" i="25"/>
  <c r="J28" i="25" s="1"/>
  <c r="K28" i="25" s="1"/>
  <c r="M28" i="25" s="1"/>
  <c r="I27" i="25"/>
  <c r="J27" i="25" s="1"/>
  <c r="K27" i="25" s="1"/>
  <c r="M27" i="25" s="1"/>
  <c r="I26" i="25"/>
  <c r="J26" i="25" s="1"/>
  <c r="K26" i="25" s="1"/>
  <c r="M26" i="25" s="1"/>
  <c r="I25" i="25"/>
  <c r="J25" i="25" s="1"/>
  <c r="K25" i="25" s="1"/>
  <c r="M25" i="25" s="1"/>
  <c r="I24" i="25"/>
  <c r="J24" i="25" s="1"/>
  <c r="K24" i="25" s="1"/>
  <c r="M24" i="25" s="1"/>
  <c r="I23" i="25"/>
  <c r="J23" i="25" s="1"/>
  <c r="K23" i="25" s="1"/>
  <c r="M23" i="25" s="1"/>
  <c r="M22" i="25"/>
  <c r="I21" i="25"/>
  <c r="J21" i="25" s="1"/>
  <c r="K21" i="25" s="1"/>
  <c r="M21" i="25" s="1"/>
  <c r="I20" i="25"/>
  <c r="J20" i="25" s="1"/>
  <c r="K20" i="25" s="1"/>
  <c r="M20" i="25" s="1"/>
  <c r="I19" i="25"/>
  <c r="J19" i="25" s="1"/>
  <c r="K19" i="25" s="1"/>
  <c r="M19" i="25" s="1"/>
  <c r="I18" i="25"/>
  <c r="J18" i="25" s="1"/>
  <c r="K18" i="25" s="1"/>
  <c r="M18" i="25" s="1"/>
  <c r="I17" i="25"/>
  <c r="J17" i="25" s="1"/>
  <c r="K17" i="25" s="1"/>
  <c r="M17" i="25" s="1"/>
  <c r="I16" i="25"/>
  <c r="J16" i="25" s="1"/>
  <c r="K16" i="25" s="1"/>
  <c r="M16" i="25" s="1"/>
  <c r="I15" i="25"/>
  <c r="J15" i="25" s="1"/>
  <c r="K15" i="25" s="1"/>
  <c r="M15" i="25" s="1"/>
  <c r="I14" i="25"/>
  <c r="J14" i="25" s="1"/>
  <c r="K14" i="25" s="1"/>
  <c r="M14" i="25" s="1"/>
  <c r="I13" i="25"/>
  <c r="J13" i="25" s="1"/>
  <c r="K13" i="25" s="1"/>
  <c r="M13" i="25" s="1"/>
  <c r="J12" i="25"/>
  <c r="K12" i="25" s="1"/>
  <c r="M12" i="25" s="1"/>
  <c r="M11" i="25"/>
  <c r="M10" i="25"/>
  <c r="M9" i="25"/>
  <c r="M8" i="25"/>
  <c r="M7" i="25"/>
  <c r="M6" i="25"/>
  <c r="J5" i="25"/>
  <c r="K5" i="25" s="1"/>
  <c r="M5" i="25" s="1"/>
  <c r="E186" i="24"/>
  <c r="E187" i="24"/>
  <c r="J4" i="24"/>
  <c r="K4" i="24" s="1"/>
  <c r="M4" i="24" s="1"/>
  <c r="J5" i="24"/>
  <c r="K5" i="24" s="1"/>
  <c r="M5" i="24" s="1"/>
  <c r="M6" i="24"/>
  <c r="J7" i="24"/>
  <c r="M7" i="24"/>
  <c r="J8" i="24"/>
  <c r="K8" i="24" s="1"/>
  <c r="M13" i="24"/>
  <c r="J14" i="24"/>
  <c r="K14" i="24" s="1"/>
  <c r="M14" i="24" s="1"/>
  <c r="J15" i="24"/>
  <c r="K15" i="24" s="1"/>
  <c r="M15" i="24" s="1"/>
  <c r="M16" i="24"/>
  <c r="J17" i="24"/>
  <c r="K17" i="24" s="1"/>
  <c r="M17" i="24" s="1"/>
  <c r="J18" i="24"/>
  <c r="K18" i="24" s="1"/>
  <c r="M18" i="24" s="1"/>
  <c r="J19" i="24"/>
  <c r="K19" i="24" s="1"/>
  <c r="M19" i="24" s="1"/>
  <c r="J20" i="24"/>
  <c r="K20" i="24" s="1"/>
  <c r="M20" i="24" s="1"/>
  <c r="S20" i="24"/>
  <c r="M21" i="24"/>
  <c r="I22" i="24"/>
  <c r="J22" i="24" s="1"/>
  <c r="K22" i="24" s="1"/>
  <c r="M22" i="24" s="1"/>
  <c r="M23" i="24"/>
  <c r="I24" i="24"/>
  <c r="J24" i="24" s="1"/>
  <c r="K24" i="24" s="1"/>
  <c r="M24" i="24" s="1"/>
  <c r="I25" i="24"/>
  <c r="J25" i="24" s="1"/>
  <c r="K25" i="24" s="1"/>
  <c r="M25" i="24" s="1"/>
  <c r="I26" i="24"/>
  <c r="J26" i="24" s="1"/>
  <c r="K26" i="24" s="1"/>
  <c r="M26" i="24" s="1"/>
  <c r="I27" i="24"/>
  <c r="J27" i="24" s="1"/>
  <c r="K27" i="24" s="1"/>
  <c r="M27" i="24" s="1"/>
  <c r="M28" i="24"/>
  <c r="J29" i="24"/>
  <c r="K29" i="24" s="1"/>
  <c r="M29" i="24" s="1"/>
  <c r="J30" i="24"/>
  <c r="K30" i="24" s="1"/>
  <c r="M30" i="24" s="1"/>
  <c r="J31" i="24"/>
  <c r="K31" i="24" s="1"/>
  <c r="M31" i="24" s="1"/>
  <c r="J32" i="24"/>
  <c r="K32" i="24" s="1"/>
  <c r="M32" i="24" s="1"/>
  <c r="J33" i="24"/>
  <c r="K33" i="24" s="1"/>
  <c r="M33" i="24" s="1"/>
  <c r="J34" i="24"/>
  <c r="K34" i="24" s="1"/>
  <c r="M34" i="24" s="1"/>
  <c r="J37" i="24"/>
  <c r="K37" i="24" s="1"/>
  <c r="M37" i="24" s="1"/>
  <c r="J38" i="24"/>
  <c r="K38" i="24" s="1"/>
  <c r="M38" i="24" s="1"/>
  <c r="J39" i="24"/>
  <c r="K39" i="24" s="1"/>
  <c r="M39" i="24" s="1"/>
  <c r="H41" i="24"/>
  <c r="J41" i="24" s="1"/>
  <c r="K41" i="24" s="1"/>
  <c r="M41" i="24" s="1"/>
  <c r="J43" i="24"/>
  <c r="K43" i="24" s="1"/>
  <c r="M43" i="24" s="1"/>
  <c r="J44" i="24"/>
  <c r="K44" i="24" s="1"/>
  <c r="M44" i="24" s="1"/>
  <c r="J46" i="24"/>
  <c r="K46" i="24" s="1"/>
  <c r="M46" i="24" s="1"/>
  <c r="J47" i="24"/>
  <c r="K47" i="24" s="1"/>
  <c r="M47" i="24" s="1"/>
  <c r="J48" i="24"/>
  <c r="K48" i="24" s="1"/>
  <c r="M48" i="24" s="1"/>
  <c r="J49" i="24"/>
  <c r="K49" i="24" s="1"/>
  <c r="M49" i="24" s="1"/>
  <c r="J50" i="24"/>
  <c r="K50" i="24" s="1"/>
  <c r="M50" i="24" s="1"/>
  <c r="J52" i="24"/>
  <c r="K52" i="24" s="1"/>
  <c r="M52" i="24" s="1"/>
  <c r="J53" i="24"/>
  <c r="K53" i="24" s="1"/>
  <c r="M53" i="24" s="1"/>
  <c r="J54" i="24"/>
  <c r="K54" i="24" s="1"/>
  <c r="M54" i="24" s="1"/>
  <c r="J55" i="24"/>
  <c r="K55" i="24" s="1"/>
  <c r="M55" i="24" s="1"/>
  <c r="J62" i="24"/>
  <c r="K62" i="24" s="1"/>
  <c r="M62" i="24" s="1"/>
  <c r="J63" i="24"/>
  <c r="K63" i="24" s="1"/>
  <c r="M63" i="24" s="1"/>
  <c r="J64" i="24"/>
  <c r="K64" i="24" s="1"/>
  <c r="M64" i="24" s="1"/>
  <c r="J65" i="24"/>
  <c r="K65" i="24" s="1"/>
  <c r="M65" i="24" s="1"/>
  <c r="J66" i="24"/>
  <c r="K66" i="24" s="1"/>
  <c r="M66" i="24" s="1"/>
  <c r="J67" i="24"/>
  <c r="K67" i="24" s="1"/>
  <c r="M67" i="24" s="1"/>
  <c r="J69" i="24"/>
  <c r="K69" i="24" s="1"/>
  <c r="M69" i="24" s="1"/>
  <c r="I71" i="24"/>
  <c r="J71" i="24" s="1"/>
  <c r="K71" i="24" s="1"/>
  <c r="M71" i="24" s="1"/>
  <c r="I72" i="24"/>
  <c r="J72" i="24" s="1"/>
  <c r="K72" i="24" s="1"/>
  <c r="M72" i="24" s="1"/>
  <c r="I73" i="24"/>
  <c r="J73" i="24" s="1"/>
  <c r="K73" i="24" s="1"/>
  <c r="M73" i="24" s="1"/>
  <c r="I74" i="24"/>
  <c r="J74" i="24" s="1"/>
  <c r="K74" i="24" s="1"/>
  <c r="M74" i="24" s="1"/>
  <c r="I75" i="24"/>
  <c r="J75" i="24" s="1"/>
  <c r="K75" i="24" s="1"/>
  <c r="M75" i="24" s="1"/>
  <c r="I76" i="24"/>
  <c r="J76" i="24" s="1"/>
  <c r="K76" i="24" s="1"/>
  <c r="M76" i="24" s="1"/>
  <c r="I77" i="24"/>
  <c r="J77" i="24" s="1"/>
  <c r="K77" i="24" s="1"/>
  <c r="M77" i="24" s="1"/>
  <c r="I78" i="24"/>
  <c r="J78" i="24" s="1"/>
  <c r="K78" i="24" s="1"/>
  <c r="M78" i="24" s="1"/>
  <c r="I79" i="24"/>
  <c r="J79" i="24" s="1"/>
  <c r="K79" i="24" s="1"/>
  <c r="M79" i="24" s="1"/>
  <c r="I80" i="24"/>
  <c r="J80" i="24" s="1"/>
  <c r="K80" i="24" s="1"/>
  <c r="M80" i="24" s="1"/>
  <c r="I98" i="24"/>
  <c r="J98" i="24" s="1"/>
  <c r="K98" i="24" s="1"/>
  <c r="M98" i="24" s="1"/>
  <c r="G184" i="24"/>
  <c r="M184" i="24"/>
  <c r="N184" i="24"/>
  <c r="M338" i="23"/>
  <c r="F338" i="23"/>
  <c r="N337" i="23"/>
  <c r="L337" i="23"/>
  <c r="H337" i="23"/>
  <c r="G337" i="23"/>
  <c r="I336" i="23"/>
  <c r="J336" i="23" s="1"/>
  <c r="K336" i="23" s="1"/>
  <c r="M336" i="23" s="1"/>
  <c r="I335" i="23"/>
  <c r="J335" i="23" s="1"/>
  <c r="K335" i="23" s="1"/>
  <c r="M335" i="23" s="1"/>
  <c r="I334" i="23"/>
  <c r="J334" i="23" s="1"/>
  <c r="K334" i="23" s="1"/>
  <c r="M334" i="23" s="1"/>
  <c r="I333" i="23"/>
  <c r="J333" i="23" s="1"/>
  <c r="K333" i="23" s="1"/>
  <c r="M333" i="23" s="1"/>
  <c r="I332" i="23"/>
  <c r="J332" i="23" s="1"/>
  <c r="K332" i="23" s="1"/>
  <c r="M332" i="23" s="1"/>
  <c r="I331" i="23"/>
  <c r="J331" i="23" s="1"/>
  <c r="K331" i="23" s="1"/>
  <c r="M331" i="23" s="1"/>
  <c r="I329" i="23"/>
  <c r="J329" i="23" s="1"/>
  <c r="K329" i="23" s="1"/>
  <c r="M329" i="23" s="1"/>
  <c r="I328" i="23"/>
  <c r="J328" i="23" s="1"/>
  <c r="K328" i="23" s="1"/>
  <c r="M328" i="23" s="1"/>
  <c r="I327" i="23"/>
  <c r="J327" i="23" s="1"/>
  <c r="K327" i="23" s="1"/>
  <c r="M327" i="23" s="1"/>
  <c r="I326" i="23"/>
  <c r="J326" i="23" s="1"/>
  <c r="K326" i="23" s="1"/>
  <c r="M326" i="23" s="1"/>
  <c r="I325" i="23"/>
  <c r="J325" i="23" s="1"/>
  <c r="K325" i="23" s="1"/>
  <c r="M325" i="23" s="1"/>
  <c r="J323" i="23"/>
  <c r="K323" i="23" s="1"/>
  <c r="M323" i="23" s="1"/>
  <c r="J322" i="23"/>
  <c r="K322" i="23" s="1"/>
  <c r="M322" i="23" s="1"/>
  <c r="J321" i="23"/>
  <c r="K321" i="23" s="1"/>
  <c r="M321" i="23" s="1"/>
  <c r="J320" i="23"/>
  <c r="K320" i="23" s="1"/>
  <c r="M320" i="23" s="1"/>
  <c r="J319" i="23"/>
  <c r="K319" i="23" s="1"/>
  <c r="M319" i="23" s="1"/>
  <c r="J318" i="23"/>
  <c r="K318" i="23" s="1"/>
  <c r="M318" i="23" s="1"/>
  <c r="J317" i="23"/>
  <c r="K317" i="23" s="1"/>
  <c r="M317" i="23" s="1"/>
  <c r="S316" i="23"/>
  <c r="J316" i="23"/>
  <c r="K316" i="23" s="1"/>
  <c r="M316" i="23" s="1"/>
  <c r="J315" i="23"/>
  <c r="K315" i="23" s="1"/>
  <c r="M315" i="23" s="1"/>
  <c r="J314" i="23"/>
  <c r="K314" i="23" s="1"/>
  <c r="M314" i="23" s="1"/>
  <c r="J313" i="23"/>
  <c r="K313" i="23" s="1"/>
  <c r="M313" i="23" s="1"/>
  <c r="J312" i="23"/>
  <c r="K312" i="23" s="1"/>
  <c r="M312" i="23" s="1"/>
  <c r="J311" i="23"/>
  <c r="K311" i="23" s="1"/>
  <c r="M311" i="23" s="1"/>
  <c r="J310" i="23"/>
  <c r="K310" i="23" s="1"/>
  <c r="M310" i="23" s="1"/>
  <c r="J309" i="23"/>
  <c r="K309" i="23" s="1"/>
  <c r="M309" i="23" s="1"/>
  <c r="J308" i="23"/>
  <c r="K308" i="23" s="1"/>
  <c r="M308" i="23" s="1"/>
  <c r="J307" i="23"/>
  <c r="K307" i="23" s="1"/>
  <c r="M307" i="23" s="1"/>
  <c r="J306" i="23"/>
  <c r="K306" i="23" s="1"/>
  <c r="M306" i="23" s="1"/>
  <c r="J305" i="23"/>
  <c r="K305" i="23" s="1"/>
  <c r="M305" i="23" s="1"/>
  <c r="J304" i="23"/>
  <c r="K304" i="23" s="1"/>
  <c r="M304" i="23" s="1"/>
  <c r="J303" i="23"/>
  <c r="K303" i="23" s="1"/>
  <c r="M303" i="23" s="1"/>
  <c r="I301" i="23"/>
  <c r="J301" i="23" s="1"/>
  <c r="K301" i="23" s="1"/>
  <c r="M301" i="23" s="1"/>
  <c r="I300" i="23"/>
  <c r="J300" i="23" s="1"/>
  <c r="K300" i="23" s="1"/>
  <c r="M300" i="23" s="1"/>
  <c r="I299" i="23"/>
  <c r="J299" i="23" s="1"/>
  <c r="K299" i="23" s="1"/>
  <c r="M299" i="23" s="1"/>
  <c r="I298" i="23"/>
  <c r="J298" i="23" s="1"/>
  <c r="K298" i="23" s="1"/>
  <c r="M298" i="23" s="1"/>
  <c r="I297" i="23"/>
  <c r="J297" i="23" s="1"/>
  <c r="K297" i="23" s="1"/>
  <c r="M297" i="23" s="1"/>
  <c r="I296" i="23"/>
  <c r="J296" i="23" s="1"/>
  <c r="K296" i="23" s="1"/>
  <c r="M296" i="23" s="1"/>
  <c r="I295" i="23"/>
  <c r="J295" i="23" s="1"/>
  <c r="K295" i="23" s="1"/>
  <c r="M295" i="23" s="1"/>
  <c r="J293" i="23"/>
  <c r="K293" i="23" s="1"/>
  <c r="M293" i="23" s="1"/>
  <c r="J292" i="23"/>
  <c r="K292" i="23" s="1"/>
  <c r="M292" i="23" s="1"/>
  <c r="J291" i="23"/>
  <c r="K291" i="23" s="1"/>
  <c r="M291" i="23" s="1"/>
  <c r="J290" i="23"/>
  <c r="K290" i="23" s="1"/>
  <c r="M290" i="23" s="1"/>
  <c r="M289" i="23"/>
  <c r="I288" i="23"/>
  <c r="J288" i="23" s="1"/>
  <c r="K288" i="23" s="1"/>
  <c r="M288" i="23" s="1"/>
  <c r="I287" i="23"/>
  <c r="J287" i="23" s="1"/>
  <c r="K287" i="23" s="1"/>
  <c r="M287" i="23" s="1"/>
  <c r="M286" i="23"/>
  <c r="I285" i="23"/>
  <c r="J284" i="23"/>
  <c r="K284" i="23" s="1"/>
  <c r="M284" i="23" s="1"/>
  <c r="M283" i="23"/>
  <c r="J282" i="23"/>
  <c r="M281" i="23"/>
  <c r="F278" i="23"/>
  <c r="N277" i="23"/>
  <c r="L277" i="23"/>
  <c r="H277" i="23"/>
  <c r="G277" i="23"/>
  <c r="J274" i="23"/>
  <c r="K274" i="23" s="1"/>
  <c r="M274" i="23" s="1"/>
  <c r="J272" i="23"/>
  <c r="K272" i="23" s="1"/>
  <c r="M272" i="23" s="1"/>
  <c r="J271" i="23"/>
  <c r="K271" i="23" s="1"/>
  <c r="M271" i="23" s="1"/>
  <c r="J270" i="23"/>
  <c r="K270" i="23" s="1"/>
  <c r="M270" i="23" s="1"/>
  <c r="M269" i="23"/>
  <c r="I277" i="23"/>
  <c r="F267" i="23"/>
  <c r="F266" i="23"/>
  <c r="N265" i="23"/>
  <c r="L265" i="23"/>
  <c r="H265" i="23"/>
  <c r="G265" i="23"/>
  <c r="I147" i="23"/>
  <c r="J147" i="23" s="1"/>
  <c r="K147" i="23" s="1"/>
  <c r="M147" i="23" s="1"/>
  <c r="I146" i="23"/>
  <c r="J146" i="23" s="1"/>
  <c r="K146" i="23" s="1"/>
  <c r="M146" i="23" s="1"/>
  <c r="I145" i="23"/>
  <c r="J145" i="23" s="1"/>
  <c r="K145" i="23" s="1"/>
  <c r="M145" i="23" s="1"/>
  <c r="I144" i="23"/>
  <c r="J144" i="23" s="1"/>
  <c r="K144" i="23" s="1"/>
  <c r="M144" i="23" s="1"/>
  <c r="I143" i="23"/>
  <c r="J143" i="23" s="1"/>
  <c r="K143" i="23" s="1"/>
  <c r="M143" i="23" s="1"/>
  <c r="I142" i="23"/>
  <c r="J142" i="23" s="1"/>
  <c r="K142" i="23" s="1"/>
  <c r="M142" i="23" s="1"/>
  <c r="I141" i="23"/>
  <c r="J141" i="23" s="1"/>
  <c r="K141" i="23" s="1"/>
  <c r="M141" i="23" s="1"/>
  <c r="I140" i="23"/>
  <c r="J140" i="23" s="1"/>
  <c r="K140" i="23" s="1"/>
  <c r="M140" i="23" s="1"/>
  <c r="I139" i="23"/>
  <c r="J139" i="23" s="1"/>
  <c r="K139" i="23" s="1"/>
  <c r="M139" i="23" s="1"/>
  <c r="I138" i="23"/>
  <c r="J138" i="23" s="1"/>
  <c r="K138" i="23" s="1"/>
  <c r="M138" i="23" s="1"/>
  <c r="I137" i="23"/>
  <c r="J137" i="23" s="1"/>
  <c r="K137" i="23" s="1"/>
  <c r="M137" i="23" s="1"/>
  <c r="I136" i="23"/>
  <c r="J136" i="23" s="1"/>
  <c r="K136" i="23" s="1"/>
  <c r="M136" i="23" s="1"/>
  <c r="I135" i="23"/>
  <c r="J135" i="23" s="1"/>
  <c r="K135" i="23" s="1"/>
  <c r="M135" i="23" s="1"/>
  <c r="I134" i="23"/>
  <c r="J134" i="23" s="1"/>
  <c r="K134" i="23" s="1"/>
  <c r="M134" i="23" s="1"/>
  <c r="I133" i="23"/>
  <c r="J133" i="23" s="1"/>
  <c r="K133" i="23" s="1"/>
  <c r="M133" i="23" s="1"/>
  <c r="I132" i="23"/>
  <c r="J132" i="23" s="1"/>
  <c r="K132" i="23" s="1"/>
  <c r="M132" i="23" s="1"/>
  <c r="I131" i="23"/>
  <c r="J131" i="23" s="1"/>
  <c r="K131" i="23" s="1"/>
  <c r="M131" i="23" s="1"/>
  <c r="I130" i="23"/>
  <c r="J130" i="23" s="1"/>
  <c r="K130" i="23" s="1"/>
  <c r="M130" i="23" s="1"/>
  <c r="I129" i="23"/>
  <c r="J129" i="23" s="1"/>
  <c r="K129" i="23" s="1"/>
  <c r="M129" i="23" s="1"/>
  <c r="I127" i="23"/>
  <c r="J127" i="23" s="1"/>
  <c r="K127" i="23" s="1"/>
  <c r="M127" i="23" s="1"/>
  <c r="I126" i="23"/>
  <c r="J126" i="23" s="1"/>
  <c r="K126" i="23" s="1"/>
  <c r="M126" i="23" s="1"/>
  <c r="I125" i="23"/>
  <c r="J125" i="23" s="1"/>
  <c r="K125" i="23" s="1"/>
  <c r="M125" i="23" s="1"/>
  <c r="I124" i="23"/>
  <c r="J124" i="23" s="1"/>
  <c r="K124" i="23" s="1"/>
  <c r="M124" i="23" s="1"/>
  <c r="I123" i="23"/>
  <c r="J123" i="23" s="1"/>
  <c r="K123" i="23" s="1"/>
  <c r="M123" i="23" s="1"/>
  <c r="I122" i="23"/>
  <c r="J122" i="23" s="1"/>
  <c r="K122" i="23" s="1"/>
  <c r="M122" i="23" s="1"/>
  <c r="J118" i="23"/>
  <c r="K118" i="23" s="1"/>
  <c r="M118" i="23" s="1"/>
  <c r="J117" i="23"/>
  <c r="K117" i="23" s="1"/>
  <c r="M117" i="23" s="1"/>
  <c r="J116" i="23"/>
  <c r="K116" i="23" s="1"/>
  <c r="M116" i="23" s="1"/>
  <c r="J113" i="23"/>
  <c r="K113" i="23" s="1"/>
  <c r="M113" i="23" s="1"/>
  <c r="J112" i="23"/>
  <c r="K112" i="23" s="1"/>
  <c r="M112" i="23" s="1"/>
  <c r="J111" i="23"/>
  <c r="K111" i="23" s="1"/>
  <c r="M111" i="23" s="1"/>
  <c r="J109" i="23"/>
  <c r="K109" i="23" s="1"/>
  <c r="M109" i="23" s="1"/>
  <c r="J108" i="23"/>
  <c r="K108" i="23" s="1"/>
  <c r="M108" i="23" s="1"/>
  <c r="M107" i="23"/>
  <c r="M106" i="23"/>
  <c r="M104" i="23"/>
  <c r="F104" i="23"/>
  <c r="N104" i="23"/>
  <c r="J35" i="23"/>
  <c r="K35" i="23" s="1"/>
  <c r="M35" i="23" s="1"/>
  <c r="J34" i="23"/>
  <c r="K34" i="23" s="1"/>
  <c r="M34" i="23" s="1"/>
  <c r="J33" i="23"/>
  <c r="K33" i="23" s="1"/>
  <c r="M33" i="23" s="1"/>
  <c r="J32" i="23"/>
  <c r="K32" i="23" s="1"/>
  <c r="M32" i="23" s="1"/>
  <c r="J31" i="23"/>
  <c r="K31" i="23" s="1"/>
  <c r="M31" i="23" s="1"/>
  <c r="J30" i="23"/>
  <c r="K30" i="23" s="1"/>
  <c r="M30" i="23" s="1"/>
  <c r="J29" i="23"/>
  <c r="K29" i="23" s="1"/>
  <c r="M29" i="23" s="1"/>
  <c r="J28" i="23"/>
  <c r="K28" i="23" s="1"/>
  <c r="M28" i="23" s="1"/>
  <c r="J27" i="23"/>
  <c r="K27" i="23" s="1"/>
  <c r="M27" i="23" s="1"/>
  <c r="J26" i="23"/>
  <c r="K26" i="23" s="1"/>
  <c r="M26" i="23" s="1"/>
  <c r="J25" i="23"/>
  <c r="K25" i="23" s="1"/>
  <c r="M25" i="23" s="1"/>
  <c r="J24" i="23"/>
  <c r="K24" i="23" s="1"/>
  <c r="M24" i="23" s="1"/>
  <c r="J23" i="23"/>
  <c r="K23" i="23" s="1"/>
  <c r="M23" i="23" s="1"/>
  <c r="J22" i="23"/>
  <c r="K22" i="23" s="1"/>
  <c r="M22" i="23" s="1"/>
  <c r="J21" i="23"/>
  <c r="K21" i="23" s="1"/>
  <c r="M21" i="23" s="1"/>
  <c r="J20" i="23"/>
  <c r="K20" i="23" s="1"/>
  <c r="M20" i="23" s="1"/>
  <c r="J19" i="23"/>
  <c r="K19" i="23" s="1"/>
  <c r="M19" i="23" s="1"/>
  <c r="J18" i="23"/>
  <c r="K18" i="23" s="1"/>
  <c r="M18" i="23" s="1"/>
  <c r="J17" i="23"/>
  <c r="K17" i="23" s="1"/>
  <c r="M17" i="23" s="1"/>
  <c r="J16" i="23"/>
  <c r="K16" i="23" s="1"/>
  <c r="M16" i="23" s="1"/>
  <c r="J15" i="23"/>
  <c r="K15" i="23" s="1"/>
  <c r="M15" i="23" s="1"/>
  <c r="J13" i="23"/>
  <c r="K13" i="23" s="1"/>
  <c r="M13" i="23" s="1"/>
  <c r="J12" i="23"/>
  <c r="K12" i="23" s="1"/>
  <c r="M12" i="23" s="1"/>
  <c r="J11" i="23"/>
  <c r="K11" i="23" s="1"/>
  <c r="M11" i="23" s="1"/>
  <c r="J10" i="23"/>
  <c r="K10" i="23" s="1"/>
  <c r="M10" i="23" s="1"/>
  <c r="J9" i="23"/>
  <c r="K9" i="23" s="1"/>
  <c r="M9" i="23" s="1"/>
  <c r="J8" i="23"/>
  <c r="K8" i="23" s="1"/>
  <c r="M8" i="23" s="1"/>
  <c r="I6" i="23"/>
  <c r="J5" i="23"/>
  <c r="K5" i="23" s="1"/>
  <c r="M5" i="23" s="1"/>
  <c r="J4" i="23"/>
  <c r="K4" i="23" s="1"/>
  <c r="M4" i="23" s="1"/>
  <c r="M3" i="23"/>
  <c r="M2" i="23"/>
  <c r="M192" i="25" l="1"/>
  <c r="I337" i="23"/>
  <c r="I229" i="25"/>
  <c r="J194" i="25"/>
  <c r="I265" i="23"/>
  <c r="M277" i="23"/>
  <c r="N278" i="23"/>
  <c r="K282" i="23"/>
  <c r="J285" i="23"/>
  <c r="K285" i="23" s="1"/>
  <c r="M285" i="23" s="1"/>
  <c r="J6" i="23"/>
  <c r="K6" i="23" s="1"/>
  <c r="M6" i="23" s="1"/>
  <c r="N266" i="23"/>
  <c r="J437" i="8"/>
  <c r="K437" i="8" s="1"/>
  <c r="L437" i="8" s="1"/>
  <c r="N437" i="8" s="1"/>
  <c r="J436" i="8"/>
  <c r="K436" i="8" s="1"/>
  <c r="L436" i="8" s="1"/>
  <c r="N436" i="8" s="1"/>
  <c r="J435" i="8"/>
  <c r="K435" i="8" s="1"/>
  <c r="L435" i="8" s="1"/>
  <c r="N435" i="8" s="1"/>
  <c r="J434" i="8"/>
  <c r="K434" i="8" s="1"/>
  <c r="L434" i="8" s="1"/>
  <c r="N434" i="8" s="1"/>
  <c r="J433" i="8"/>
  <c r="K433" i="8" s="1"/>
  <c r="L433" i="8" s="1"/>
  <c r="N433" i="8" s="1"/>
  <c r="J432" i="8"/>
  <c r="K432" i="8" s="1"/>
  <c r="L432" i="8" s="1"/>
  <c r="N432" i="8" s="1"/>
  <c r="J431" i="8"/>
  <c r="K431" i="8" s="1"/>
  <c r="L431" i="8" s="1"/>
  <c r="N431" i="8" s="1"/>
  <c r="J430" i="8"/>
  <c r="K430" i="8" s="1"/>
  <c r="L430" i="8" s="1"/>
  <c r="N430" i="8" s="1"/>
  <c r="K1861" i="16"/>
  <c r="L1861" i="16" s="1"/>
  <c r="M1861" i="16" s="1"/>
  <c r="O1861" i="16" s="1"/>
  <c r="K1860" i="16"/>
  <c r="L1860" i="16" s="1"/>
  <c r="M1860" i="16" s="1"/>
  <c r="O1860" i="16" s="1"/>
  <c r="K1859" i="16"/>
  <c r="L1859" i="16" s="1"/>
  <c r="M1859" i="16" s="1"/>
  <c r="O1859" i="16" s="1"/>
  <c r="K1858" i="16"/>
  <c r="L1858" i="16" s="1"/>
  <c r="M1858" i="16" s="1"/>
  <c r="O1858" i="16" s="1"/>
  <c r="K1857" i="16"/>
  <c r="L1857" i="16" s="1"/>
  <c r="M1857" i="16" s="1"/>
  <c r="O1857" i="16" s="1"/>
  <c r="K1856" i="16"/>
  <c r="L1856" i="16" s="1"/>
  <c r="M1856" i="16" s="1"/>
  <c r="O1856" i="16" s="1"/>
  <c r="K1855" i="16"/>
  <c r="L1855" i="16" s="1"/>
  <c r="M1855" i="16" s="1"/>
  <c r="O1855" i="16" s="1"/>
  <c r="K1854" i="16"/>
  <c r="L1854" i="16" s="1"/>
  <c r="M1854" i="16" s="1"/>
  <c r="O1854" i="16" s="1"/>
  <c r="K456" i="8"/>
  <c r="L456" i="8" s="1"/>
  <c r="N456" i="8" s="1"/>
  <c r="K455" i="8"/>
  <c r="L455" i="8" s="1"/>
  <c r="N455" i="8" s="1"/>
  <c r="K453" i="8"/>
  <c r="L453" i="8" s="1"/>
  <c r="N453" i="8" s="1"/>
  <c r="K452" i="8"/>
  <c r="L452" i="8" s="1"/>
  <c r="N452" i="8" s="1"/>
  <c r="K451" i="8"/>
  <c r="L451" i="8" s="1"/>
  <c r="N451" i="8" s="1"/>
  <c r="K450" i="8"/>
  <c r="L450" i="8" s="1"/>
  <c r="N450" i="8" s="1"/>
  <c r="K449" i="8"/>
  <c r="L449" i="8" s="1"/>
  <c r="N449" i="8" s="1"/>
  <c r="K448" i="8"/>
  <c r="L448" i="8" s="1"/>
  <c r="N448" i="8" s="1"/>
  <c r="K447" i="8"/>
  <c r="L447" i="8" s="1"/>
  <c r="N447" i="8" s="1"/>
  <c r="K446" i="8"/>
  <c r="L446" i="8" s="1"/>
  <c r="N446" i="8" s="1"/>
  <c r="K445" i="8"/>
  <c r="L445" i="8" s="1"/>
  <c r="N445" i="8" s="1"/>
  <c r="K444" i="8"/>
  <c r="L444" i="8" s="1"/>
  <c r="N444" i="8" s="1"/>
  <c r="K443" i="8"/>
  <c r="L443" i="8" s="1"/>
  <c r="N443" i="8" s="1"/>
  <c r="J442" i="8"/>
  <c r="K442" i="8" s="1"/>
  <c r="L442" i="8" s="1"/>
  <c r="N442" i="8" s="1"/>
  <c r="J441" i="8"/>
  <c r="K441" i="8" s="1"/>
  <c r="L441" i="8" s="1"/>
  <c r="N441" i="8" s="1"/>
  <c r="J440" i="8"/>
  <c r="K440" i="8" s="1"/>
  <c r="L440" i="8" s="1"/>
  <c r="N440" i="8" s="1"/>
  <c r="J439" i="8"/>
  <c r="K439" i="8" s="1"/>
  <c r="L439" i="8" s="1"/>
  <c r="N439" i="8" s="1"/>
  <c r="J438" i="8"/>
  <c r="K438" i="8" s="1"/>
  <c r="L438" i="8" s="1"/>
  <c r="N438" i="8" s="1"/>
  <c r="L1789" i="16"/>
  <c r="M1789" i="16" s="1"/>
  <c r="O1789" i="16" s="1"/>
  <c r="K1852" i="16"/>
  <c r="L1852" i="16" s="1"/>
  <c r="M1852" i="16" s="1"/>
  <c r="O1852" i="16" s="1"/>
  <c r="K1851" i="16"/>
  <c r="L1851" i="16" s="1"/>
  <c r="M1851" i="16" s="1"/>
  <c r="O1851" i="16" s="1"/>
  <c r="K1850" i="16"/>
  <c r="L1850" i="16" s="1"/>
  <c r="M1850" i="16" s="1"/>
  <c r="O1850" i="16" s="1"/>
  <c r="K1849" i="16"/>
  <c r="L1849" i="16" s="1"/>
  <c r="M1849" i="16" s="1"/>
  <c r="O1849" i="16" s="1"/>
  <c r="L1848" i="16"/>
  <c r="M1848" i="16" s="1"/>
  <c r="O1848" i="16" s="1"/>
  <c r="L1847" i="16"/>
  <c r="M1847" i="16" s="1"/>
  <c r="O1847" i="16" s="1"/>
  <c r="L1846" i="16"/>
  <c r="M1846" i="16" s="1"/>
  <c r="O1846" i="16" s="1"/>
  <c r="L1845" i="16"/>
  <c r="M1845" i="16" s="1"/>
  <c r="O1845" i="16" s="1"/>
  <c r="L1844" i="16"/>
  <c r="M1844" i="16" s="1"/>
  <c r="O1844" i="16" s="1"/>
  <c r="L1843" i="16"/>
  <c r="M1843" i="16" s="1"/>
  <c r="O1843" i="16" s="1"/>
  <c r="L1842" i="16"/>
  <c r="M1842" i="16" s="1"/>
  <c r="O1842" i="16" s="1"/>
  <c r="L1841" i="16"/>
  <c r="M1841" i="16" s="1"/>
  <c r="O1841" i="16" s="1"/>
  <c r="L1840" i="16"/>
  <c r="M1840" i="16" s="1"/>
  <c r="O1840" i="16" s="1"/>
  <c r="L1839" i="16"/>
  <c r="M1839" i="16" s="1"/>
  <c r="O1839" i="16" s="1"/>
  <c r="L1838" i="16"/>
  <c r="M1838" i="16" s="1"/>
  <c r="O1838" i="16" s="1"/>
  <c r="L1837" i="16"/>
  <c r="M1837" i="16" s="1"/>
  <c r="O1837" i="16" s="1"/>
  <c r="L1836" i="16"/>
  <c r="M1836" i="16" s="1"/>
  <c r="O1836" i="16" s="1"/>
  <c r="L1835" i="16"/>
  <c r="M1835" i="16" s="1"/>
  <c r="O1835" i="16" s="1"/>
  <c r="L1834" i="16"/>
  <c r="M1834" i="16" s="1"/>
  <c r="O1834" i="16" s="1"/>
  <c r="L1833" i="16"/>
  <c r="M1833" i="16" s="1"/>
  <c r="O1833" i="16" s="1"/>
  <c r="L1832" i="16"/>
  <c r="M1832" i="16" s="1"/>
  <c r="O1832" i="16" s="1"/>
  <c r="L1831" i="16"/>
  <c r="M1831" i="16" s="1"/>
  <c r="O1831" i="16" s="1"/>
  <c r="L1830" i="16"/>
  <c r="M1830" i="16" s="1"/>
  <c r="O1830" i="16" s="1"/>
  <c r="L1829" i="16"/>
  <c r="M1829" i="16" s="1"/>
  <c r="O1829" i="16" s="1"/>
  <c r="L1828" i="16"/>
  <c r="M1828" i="16" s="1"/>
  <c r="O1828" i="16" s="1"/>
  <c r="L1827" i="16"/>
  <c r="M1827" i="16" s="1"/>
  <c r="O1827" i="16" s="1"/>
  <c r="L1826" i="16"/>
  <c r="M1826" i="16" s="1"/>
  <c r="O1826" i="16" s="1"/>
  <c r="L1825" i="16"/>
  <c r="M1825" i="16" s="1"/>
  <c r="O1825" i="16" s="1"/>
  <c r="L1822" i="16"/>
  <c r="M1822" i="16" s="1"/>
  <c r="O1822" i="16" s="1"/>
  <c r="L1821" i="16"/>
  <c r="M1821" i="16" s="1"/>
  <c r="O1821" i="16" s="1"/>
  <c r="L1820" i="16"/>
  <c r="M1820" i="16" s="1"/>
  <c r="O1820" i="16" s="1"/>
  <c r="L1819" i="16"/>
  <c r="M1819" i="16" s="1"/>
  <c r="O1819" i="16" s="1"/>
  <c r="L1818" i="16"/>
  <c r="M1818" i="16" s="1"/>
  <c r="O1818" i="16" s="1"/>
  <c r="L1817" i="16"/>
  <c r="M1817" i="16" s="1"/>
  <c r="O1817" i="16" s="1"/>
  <c r="L1816" i="16"/>
  <c r="M1816" i="16" s="1"/>
  <c r="O1816" i="16" s="1"/>
  <c r="L1815" i="16"/>
  <c r="M1815" i="16" s="1"/>
  <c r="O1815" i="16" s="1"/>
  <c r="L1814" i="16"/>
  <c r="M1814" i="16" s="1"/>
  <c r="O1814" i="16" s="1"/>
  <c r="L1813" i="16"/>
  <c r="M1813" i="16" s="1"/>
  <c r="O1813" i="16" s="1"/>
  <c r="L1812" i="16"/>
  <c r="M1812" i="16" s="1"/>
  <c r="O1812" i="16" s="1"/>
  <c r="L1811" i="16"/>
  <c r="M1811" i="16" s="1"/>
  <c r="O1811" i="16" s="1"/>
  <c r="L1810" i="16"/>
  <c r="M1810" i="16" s="1"/>
  <c r="O1810" i="16" s="1"/>
  <c r="L1809" i="16"/>
  <c r="M1809" i="16" s="1"/>
  <c r="O1809" i="16" s="1"/>
  <c r="L1808" i="16"/>
  <c r="M1808" i="16" s="1"/>
  <c r="O1808" i="16" s="1"/>
  <c r="L1807" i="16"/>
  <c r="M1807" i="16" s="1"/>
  <c r="O1807" i="16" s="1"/>
  <c r="K1806" i="16"/>
  <c r="L1806" i="16" s="1"/>
  <c r="M1806" i="16" s="1"/>
  <c r="O1806" i="16" s="1"/>
  <c r="K1805" i="16"/>
  <c r="L1805" i="16" s="1"/>
  <c r="M1805" i="16" s="1"/>
  <c r="O1805" i="16" s="1"/>
  <c r="K1804" i="16"/>
  <c r="L1804" i="16" s="1"/>
  <c r="M1804" i="16" s="1"/>
  <c r="O1804" i="16" s="1"/>
  <c r="K1803" i="16"/>
  <c r="L1803" i="16" s="1"/>
  <c r="M1803" i="16" s="1"/>
  <c r="O1803" i="16" s="1"/>
  <c r="K1802" i="16"/>
  <c r="L1802" i="16" s="1"/>
  <c r="M1802" i="16" s="1"/>
  <c r="O1802" i="16" s="1"/>
  <c r="K1801" i="16"/>
  <c r="L1801" i="16" s="1"/>
  <c r="M1801" i="16" s="1"/>
  <c r="O1801" i="16" s="1"/>
  <c r="K1800" i="16"/>
  <c r="L1800" i="16" s="1"/>
  <c r="M1800" i="16" s="1"/>
  <c r="O1800" i="16" s="1"/>
  <c r="K1799" i="16"/>
  <c r="L1799" i="16" s="1"/>
  <c r="M1799" i="16" s="1"/>
  <c r="O1799" i="16" s="1"/>
  <c r="K1798" i="16"/>
  <c r="L1798" i="16" s="1"/>
  <c r="M1798" i="16" s="1"/>
  <c r="O1798" i="16" s="1"/>
  <c r="K1797" i="16"/>
  <c r="L1797" i="16" s="1"/>
  <c r="M1797" i="16" s="1"/>
  <c r="O1797" i="16" s="1"/>
  <c r="K1796" i="16"/>
  <c r="L1796" i="16" s="1"/>
  <c r="M1796" i="16" s="1"/>
  <c r="O1796" i="16" s="1"/>
  <c r="K1795" i="16"/>
  <c r="L1795" i="16" s="1"/>
  <c r="M1795" i="16" s="1"/>
  <c r="O1795" i="16" s="1"/>
  <c r="K1794" i="16"/>
  <c r="L1794" i="16" s="1"/>
  <c r="M1794" i="16" s="1"/>
  <c r="O1794" i="16" s="1"/>
  <c r="K1793" i="16"/>
  <c r="L1793" i="16" s="1"/>
  <c r="M1793" i="16" s="1"/>
  <c r="O1793" i="16" s="1"/>
  <c r="K1792" i="16"/>
  <c r="L1792" i="16" s="1"/>
  <c r="M1792" i="16" s="1"/>
  <c r="O1792" i="16" s="1"/>
  <c r="K1791" i="16"/>
  <c r="L1791" i="16" s="1"/>
  <c r="M1791" i="16" s="1"/>
  <c r="O1791" i="16" s="1"/>
  <c r="L1788" i="16"/>
  <c r="M1788" i="16" s="1"/>
  <c r="O1788" i="16" s="1"/>
  <c r="L1787" i="16"/>
  <c r="M1787" i="16" s="1"/>
  <c r="O1787" i="16" s="1"/>
  <c r="L1786" i="16"/>
  <c r="M1786" i="16" s="1"/>
  <c r="O1786" i="16" s="1"/>
  <c r="L1785" i="16"/>
  <c r="M1785" i="16" s="1"/>
  <c r="O1785" i="16" s="1"/>
  <c r="L1784" i="16"/>
  <c r="M1784" i="16" s="1"/>
  <c r="O1784" i="16" s="1"/>
  <c r="L1783" i="16"/>
  <c r="M1783" i="16" s="1"/>
  <c r="O1783" i="16" s="1"/>
  <c r="L1782" i="16"/>
  <c r="M1782" i="16" s="1"/>
  <c r="O1782" i="16" s="1"/>
  <c r="L1781" i="16"/>
  <c r="M1781" i="16" s="1"/>
  <c r="O1781" i="16" s="1"/>
  <c r="L1780" i="16"/>
  <c r="M1780" i="16" s="1"/>
  <c r="O1780" i="16" s="1"/>
  <c r="L1779" i="16"/>
  <c r="M1779" i="16" s="1"/>
  <c r="O1779" i="16" s="1"/>
  <c r="L1778" i="16"/>
  <c r="M1778" i="16" s="1"/>
  <c r="O1778" i="16" s="1"/>
  <c r="L1777" i="16"/>
  <c r="M1777" i="16" s="1"/>
  <c r="O1777" i="16" s="1"/>
  <c r="L1776" i="16"/>
  <c r="M1776" i="16" s="1"/>
  <c r="O1776" i="16" s="1"/>
  <c r="L1775" i="16"/>
  <c r="M1775" i="16" s="1"/>
  <c r="O1775" i="16" s="1"/>
  <c r="L1774" i="16"/>
  <c r="M1774" i="16" s="1"/>
  <c r="O1774" i="16" s="1"/>
  <c r="L1773" i="16"/>
  <c r="M1773" i="16" s="1"/>
  <c r="O1773" i="16" s="1"/>
  <c r="L1772" i="16"/>
  <c r="M1772" i="16" s="1"/>
  <c r="O1772" i="16" s="1"/>
  <c r="L1771" i="16"/>
  <c r="M1771" i="16" s="1"/>
  <c r="O1771" i="16" s="1"/>
  <c r="L1770" i="16"/>
  <c r="M1770" i="16" s="1"/>
  <c r="O1770" i="16" s="1"/>
  <c r="L1769" i="16"/>
  <c r="M1769" i="16" s="1"/>
  <c r="O1769" i="16" s="1"/>
  <c r="L1768" i="16"/>
  <c r="M1768" i="16" s="1"/>
  <c r="O1768" i="16" s="1"/>
  <c r="L1767" i="16"/>
  <c r="M1767" i="16" s="1"/>
  <c r="O1767" i="16" s="1"/>
  <c r="L1766" i="16"/>
  <c r="M1766" i="16" s="1"/>
  <c r="O1766" i="16" s="1"/>
  <c r="L1765" i="16"/>
  <c r="M1765" i="16" s="1"/>
  <c r="O1765" i="16" s="1"/>
  <c r="L1764" i="16"/>
  <c r="M1764" i="16" s="1"/>
  <c r="O1764" i="16" s="1"/>
  <c r="L1763" i="16"/>
  <c r="M1763" i="16" s="1"/>
  <c r="O1763" i="16" s="1"/>
  <c r="L1762" i="16"/>
  <c r="M1762" i="16" s="1"/>
  <c r="O1762" i="16" s="1"/>
  <c r="L1761" i="16"/>
  <c r="M1761" i="16" s="1"/>
  <c r="O1761" i="16" s="1"/>
  <c r="L1760" i="16"/>
  <c r="M1760" i="16" s="1"/>
  <c r="O1760" i="16" s="1"/>
  <c r="L1759" i="16"/>
  <c r="M1759" i="16" s="1"/>
  <c r="O1759" i="16" s="1"/>
  <c r="L1758" i="16"/>
  <c r="M1758" i="16" s="1"/>
  <c r="O1758" i="16" s="1"/>
  <c r="L1757" i="16"/>
  <c r="M1757" i="16" s="1"/>
  <c r="O1757" i="16" s="1"/>
  <c r="I309" i="14" l="1"/>
  <c r="J229" i="25"/>
  <c r="K194" i="25"/>
  <c r="J277" i="23"/>
  <c r="K277" i="23"/>
  <c r="K337" i="23"/>
  <c r="M282" i="23"/>
  <c r="M337" i="23" s="1"/>
  <c r="J337" i="23"/>
  <c r="K265" i="23"/>
  <c r="M265" i="23"/>
  <c r="J265" i="23"/>
  <c r="H39" i="18" l="1"/>
  <c r="K229" i="25"/>
  <c r="M194" i="25"/>
  <c r="M229" i="25" s="1"/>
  <c r="J1285" i="8" l="1"/>
  <c r="K1285" i="8" s="1"/>
  <c r="L1285" i="8" s="1"/>
  <c r="N1285" i="8" s="1"/>
  <c r="J1284" i="8"/>
  <c r="K1284" i="8" s="1"/>
  <c r="L1284" i="8" s="1"/>
  <c r="N1284" i="8" s="1"/>
  <c r="J1283" i="8"/>
  <c r="K1283" i="8" s="1"/>
  <c r="L1283" i="8" s="1"/>
  <c r="N1283" i="8" s="1"/>
  <c r="J1282" i="8"/>
  <c r="K1282" i="8" s="1"/>
  <c r="L1282" i="8" s="1"/>
  <c r="N1282" i="8" s="1"/>
  <c r="J1281" i="8"/>
  <c r="K1281" i="8" s="1"/>
  <c r="L1281" i="8" s="1"/>
  <c r="N1281" i="8" s="1"/>
  <c r="J1280" i="8"/>
  <c r="K1280" i="8" s="1"/>
  <c r="L1280" i="8" s="1"/>
  <c r="N1280" i="8" s="1"/>
  <c r="J1279" i="8"/>
  <c r="K1279" i="8" s="1"/>
  <c r="L1279" i="8" s="1"/>
  <c r="N1279" i="8" s="1"/>
  <c r="J1278" i="8"/>
  <c r="K1278" i="8" s="1"/>
  <c r="L1278" i="8" s="1"/>
  <c r="N1278" i="8" s="1"/>
  <c r="J1277" i="8"/>
  <c r="K1277" i="8" s="1"/>
  <c r="L1277" i="8" s="1"/>
  <c r="N1277" i="8" s="1"/>
  <c r="J1276" i="8"/>
  <c r="K1276" i="8" s="1"/>
  <c r="L1276" i="8" s="1"/>
  <c r="N1276" i="8" s="1"/>
  <c r="J1275" i="8"/>
  <c r="K1275" i="8" s="1"/>
  <c r="L1275" i="8" s="1"/>
  <c r="N1275" i="8" s="1"/>
  <c r="J1274" i="8"/>
  <c r="K1274" i="8" s="1"/>
  <c r="L1274" i="8" s="1"/>
  <c r="N1274" i="8" s="1"/>
  <c r="J1273" i="8"/>
  <c r="K1273" i="8" s="1"/>
  <c r="L1273" i="8" s="1"/>
  <c r="N1273" i="8" s="1"/>
  <c r="J1272" i="8"/>
  <c r="K1272" i="8" s="1"/>
  <c r="L1272" i="8" s="1"/>
  <c r="N1272" i="8" s="1"/>
  <c r="J1271" i="8"/>
  <c r="K1271" i="8" s="1"/>
  <c r="L1271" i="8" s="1"/>
  <c r="N1271" i="8" s="1"/>
  <c r="J1237" i="8"/>
  <c r="K1237" i="8" s="1"/>
  <c r="L1237" i="8" s="1"/>
  <c r="N1237" i="8" s="1"/>
  <c r="J1236" i="8"/>
  <c r="K1236" i="8" s="1"/>
  <c r="L1236" i="8" s="1"/>
  <c r="N1236" i="8" s="1"/>
  <c r="J1235" i="8"/>
  <c r="K1235" i="8" s="1"/>
  <c r="L1235" i="8" s="1"/>
  <c r="N1235" i="8" s="1"/>
  <c r="J1234" i="8"/>
  <c r="K1234" i="8" s="1"/>
  <c r="L1234" i="8" s="1"/>
  <c r="N1234" i="8" s="1"/>
  <c r="J1233" i="8"/>
  <c r="K1233" i="8" s="1"/>
  <c r="L1233" i="8" s="1"/>
  <c r="N1233" i="8" s="1"/>
  <c r="J1232" i="8"/>
  <c r="K1232" i="8" s="1"/>
  <c r="L1232" i="8" s="1"/>
  <c r="N1232" i="8" s="1"/>
  <c r="J1231" i="8"/>
  <c r="K1231" i="8" s="1"/>
  <c r="L1231" i="8" s="1"/>
  <c r="N1231" i="8" s="1"/>
  <c r="J1230" i="8"/>
  <c r="K1230" i="8" s="1"/>
  <c r="L1230" i="8" s="1"/>
  <c r="N1230" i="8" s="1"/>
  <c r="J1229" i="8"/>
  <c r="K1229" i="8" s="1"/>
  <c r="L1229" i="8" s="1"/>
  <c r="N1229" i="8" s="1"/>
  <c r="J1228" i="8"/>
  <c r="K1228" i="8" s="1"/>
  <c r="L1228" i="8" s="1"/>
  <c r="N1228" i="8" s="1"/>
  <c r="J1227" i="8"/>
  <c r="K1227" i="8" s="1"/>
  <c r="L1227" i="8" s="1"/>
  <c r="N1227" i="8" s="1"/>
  <c r="J1226" i="8"/>
  <c r="K1226" i="8" s="1"/>
  <c r="L1226" i="8" s="1"/>
  <c r="N1226" i="8" s="1"/>
  <c r="J1225" i="8"/>
  <c r="K1225" i="8" s="1"/>
  <c r="L1225" i="8" s="1"/>
  <c r="N1225" i="8" s="1"/>
  <c r="J1224" i="8"/>
  <c r="K1224" i="8" s="1"/>
  <c r="L1224" i="8" s="1"/>
  <c r="N1224" i="8" s="1"/>
  <c r="J1223" i="8"/>
  <c r="K1223" i="8" s="1"/>
  <c r="L1223" i="8" s="1"/>
  <c r="N1223" i="8" s="1"/>
  <c r="J1222" i="8"/>
  <c r="K1222" i="8" s="1"/>
  <c r="L1222" i="8" s="1"/>
  <c r="N1222" i="8" s="1"/>
  <c r="J1221" i="8"/>
  <c r="K1221" i="8" s="1"/>
  <c r="L1221" i="8" s="1"/>
  <c r="N1221" i="8" s="1"/>
  <c r="J1220" i="8"/>
  <c r="K1220" i="8" s="1"/>
  <c r="L1220" i="8" s="1"/>
  <c r="N1220" i="8" s="1"/>
  <c r="J1219" i="8"/>
  <c r="K1219" i="8" s="1"/>
  <c r="L1219" i="8" s="1"/>
  <c r="N1219" i="8" s="1"/>
  <c r="J1218" i="8"/>
  <c r="K1218" i="8" s="1"/>
  <c r="L1218" i="8" s="1"/>
  <c r="N1218" i="8" s="1"/>
  <c r="J1217" i="8"/>
  <c r="K1217" i="8" s="1"/>
  <c r="L1217" i="8" s="1"/>
  <c r="N1217" i="8" s="1"/>
  <c r="J1216" i="8"/>
  <c r="K1216" i="8" s="1"/>
  <c r="L1216" i="8" s="1"/>
  <c r="N1216" i="8" s="1"/>
  <c r="J1215" i="8"/>
  <c r="K1215" i="8" s="1"/>
  <c r="L1215" i="8" s="1"/>
  <c r="N1215" i="8" s="1"/>
  <c r="J1214" i="8"/>
  <c r="K1214" i="8" s="1"/>
  <c r="L1214" i="8" s="1"/>
  <c r="N1214" i="8" s="1"/>
  <c r="J1243" i="8"/>
  <c r="K1243" i="8" s="1"/>
  <c r="L1243" i="8" s="1"/>
  <c r="N1243" i="8" s="1"/>
  <c r="J1242" i="8"/>
  <c r="K1242" i="8" s="1"/>
  <c r="L1242" i="8" s="1"/>
  <c r="N1242" i="8" s="1"/>
  <c r="J1241" i="8"/>
  <c r="K1241" i="8" s="1"/>
  <c r="L1241" i="8" s="1"/>
  <c r="N1241" i="8" s="1"/>
  <c r="J1240" i="8"/>
  <c r="K1240" i="8" s="1"/>
  <c r="L1240" i="8" s="1"/>
  <c r="N1240" i="8" s="1"/>
  <c r="J1239" i="8"/>
  <c r="K1239" i="8" s="1"/>
  <c r="L1239" i="8" s="1"/>
  <c r="N1239" i="8" s="1"/>
  <c r="J1238" i="8"/>
  <c r="K1238" i="8" s="1"/>
  <c r="L1238" i="8" s="1"/>
  <c r="N1238" i="8" s="1"/>
  <c r="J1270" i="8"/>
  <c r="K1270" i="8" s="1"/>
  <c r="L1270" i="8" s="1"/>
  <c r="N1270" i="8" s="1"/>
  <c r="J1269" i="8"/>
  <c r="K1269" i="8" s="1"/>
  <c r="L1269" i="8" s="1"/>
  <c r="N1269" i="8" s="1"/>
  <c r="J1268" i="8"/>
  <c r="K1268" i="8" s="1"/>
  <c r="L1268" i="8" s="1"/>
  <c r="N1268" i="8" s="1"/>
  <c r="J1267" i="8"/>
  <c r="K1267" i="8" s="1"/>
  <c r="L1267" i="8" s="1"/>
  <c r="N1267" i="8" s="1"/>
  <c r="J1266" i="8"/>
  <c r="K1266" i="8" s="1"/>
  <c r="L1266" i="8" s="1"/>
  <c r="N1266" i="8" s="1"/>
  <c r="J1402" i="8"/>
  <c r="K1402" i="8" s="1"/>
  <c r="L1402" i="8" s="1"/>
  <c r="N1402" i="8" s="1"/>
  <c r="J1401" i="8"/>
  <c r="K1401" i="8" s="1"/>
  <c r="L1401" i="8" s="1"/>
  <c r="N1401" i="8" s="1"/>
  <c r="J1400" i="8"/>
  <c r="K1400" i="8" s="1"/>
  <c r="L1400" i="8" s="1"/>
  <c r="N1400" i="8" s="1"/>
  <c r="J1399" i="8"/>
  <c r="K1399" i="8" s="1"/>
  <c r="L1399" i="8" s="1"/>
  <c r="N1399" i="8" s="1"/>
  <c r="J1398" i="8"/>
  <c r="K1398" i="8" s="1"/>
  <c r="L1398" i="8" s="1"/>
  <c r="N1398" i="8" s="1"/>
  <c r="J1397" i="8"/>
  <c r="K1397" i="8" s="1"/>
  <c r="L1397" i="8" s="1"/>
  <c r="N1397" i="8" s="1"/>
  <c r="J1396" i="8"/>
  <c r="K1396" i="8" s="1"/>
  <c r="L1396" i="8" s="1"/>
  <c r="N1396" i="8" s="1"/>
  <c r="J1395" i="8"/>
  <c r="K1395" i="8" s="1"/>
  <c r="L1395" i="8" s="1"/>
  <c r="N1395" i="8" s="1"/>
  <c r="J1394" i="8"/>
  <c r="K1394" i="8" s="1"/>
  <c r="L1394" i="8" s="1"/>
  <c r="N1394" i="8" s="1"/>
  <c r="J1393" i="8"/>
  <c r="K1393" i="8" s="1"/>
  <c r="L1393" i="8" s="1"/>
  <c r="N1393" i="8" s="1"/>
  <c r="J972" i="8"/>
  <c r="K972" i="8" s="1"/>
  <c r="L972" i="8" s="1"/>
  <c r="N972" i="8" s="1"/>
  <c r="J971" i="8"/>
  <c r="K971" i="8" s="1"/>
  <c r="L971" i="8" s="1"/>
  <c r="N971" i="8" s="1"/>
  <c r="J970" i="8"/>
  <c r="K970" i="8" s="1"/>
  <c r="L970" i="8" s="1"/>
  <c r="N970" i="8" s="1"/>
  <c r="J969" i="8"/>
  <c r="K969" i="8" s="1"/>
  <c r="L969" i="8" s="1"/>
  <c r="N969" i="8" s="1"/>
  <c r="J968" i="8"/>
  <c r="K968" i="8" s="1"/>
  <c r="L968" i="8" s="1"/>
  <c r="N968" i="8" s="1"/>
  <c r="J967" i="8"/>
  <c r="K967" i="8" s="1"/>
  <c r="L967" i="8" s="1"/>
  <c r="N967" i="8" s="1"/>
  <c r="J966" i="8"/>
  <c r="K966" i="8" s="1"/>
  <c r="L966" i="8" s="1"/>
  <c r="N966" i="8" s="1"/>
  <c r="J965" i="8"/>
  <c r="K965" i="8" s="1"/>
  <c r="L965" i="8" s="1"/>
  <c r="N965" i="8" s="1"/>
  <c r="J964" i="8"/>
  <c r="K964" i="8" s="1"/>
  <c r="L964" i="8" s="1"/>
  <c r="N964" i="8" s="1"/>
  <c r="J963" i="8"/>
  <c r="K963" i="8" s="1"/>
  <c r="L963" i="8" s="1"/>
  <c r="N963" i="8" s="1"/>
  <c r="J962" i="8"/>
  <c r="K962" i="8" s="1"/>
  <c r="L962" i="8" s="1"/>
  <c r="N962" i="8" s="1"/>
  <c r="J961" i="8"/>
  <c r="K961" i="8" s="1"/>
  <c r="L961" i="8" s="1"/>
  <c r="N961" i="8" s="1"/>
  <c r="J960" i="8"/>
  <c r="K960" i="8" s="1"/>
  <c r="L960" i="8" s="1"/>
  <c r="N960" i="8" s="1"/>
  <c r="J959" i="8"/>
  <c r="K959" i="8" s="1"/>
  <c r="L959" i="8" s="1"/>
  <c r="N959" i="8" s="1"/>
  <c r="J958" i="8"/>
  <c r="K958" i="8" s="1"/>
  <c r="L958" i="8" s="1"/>
  <c r="N958" i="8" s="1"/>
  <c r="J957" i="8"/>
  <c r="K957" i="8" s="1"/>
  <c r="L957" i="8" s="1"/>
  <c r="N957" i="8" s="1"/>
  <c r="J956" i="8"/>
  <c r="K956" i="8" s="1"/>
  <c r="L956" i="8" s="1"/>
  <c r="N956" i="8" s="1"/>
  <c r="J955" i="8"/>
  <c r="K955" i="8" s="1"/>
  <c r="L955" i="8" s="1"/>
  <c r="N955" i="8" s="1"/>
  <c r="J954" i="8"/>
  <c r="K954" i="8" s="1"/>
  <c r="L954" i="8" s="1"/>
  <c r="N954" i="8" s="1"/>
  <c r="J838" i="8"/>
  <c r="K838" i="8" s="1"/>
  <c r="L838" i="8" s="1"/>
  <c r="N838" i="8" s="1"/>
  <c r="J837" i="8"/>
  <c r="K837" i="8" s="1"/>
  <c r="L837" i="8" s="1"/>
  <c r="N837" i="8" s="1"/>
  <c r="J836" i="8"/>
  <c r="K836" i="8" s="1"/>
  <c r="L836" i="8" s="1"/>
  <c r="N836" i="8" s="1"/>
  <c r="J835" i="8"/>
  <c r="K835" i="8" s="1"/>
  <c r="L835" i="8" s="1"/>
  <c r="N835" i="8" s="1"/>
  <c r="J834" i="8"/>
  <c r="K834" i="8" s="1"/>
  <c r="L834" i="8" s="1"/>
  <c r="N834" i="8" s="1"/>
  <c r="J833" i="8"/>
  <c r="K833" i="8" s="1"/>
  <c r="L833" i="8" s="1"/>
  <c r="N833" i="8" s="1"/>
  <c r="J832" i="8"/>
  <c r="K832" i="8" s="1"/>
  <c r="L832" i="8" s="1"/>
  <c r="N832" i="8" s="1"/>
  <c r="J831" i="8"/>
  <c r="K831" i="8" s="1"/>
  <c r="L831" i="8" s="1"/>
  <c r="N831" i="8" s="1"/>
  <c r="J830" i="8"/>
  <c r="K830" i="8" s="1"/>
  <c r="L830" i="8" s="1"/>
  <c r="N830" i="8" s="1"/>
  <c r="J829" i="8"/>
  <c r="K829" i="8" s="1"/>
  <c r="L829" i="8" s="1"/>
  <c r="N829" i="8" s="1"/>
  <c r="J828" i="8"/>
  <c r="K828" i="8" s="1"/>
  <c r="L828" i="8" s="1"/>
  <c r="N828" i="8" s="1"/>
  <c r="J827" i="8"/>
  <c r="K827" i="8" s="1"/>
  <c r="L827" i="8" s="1"/>
  <c r="N827" i="8" s="1"/>
  <c r="J826" i="8"/>
  <c r="K826" i="8" s="1"/>
  <c r="L826" i="8" s="1"/>
  <c r="N826" i="8" s="1"/>
  <c r="J825" i="8"/>
  <c r="K825" i="8" s="1"/>
  <c r="L825" i="8" s="1"/>
  <c r="N825" i="8" s="1"/>
  <c r="J824" i="8"/>
  <c r="K824" i="8" s="1"/>
  <c r="L824" i="8" s="1"/>
  <c r="N824" i="8" s="1"/>
  <c r="J823" i="8"/>
  <c r="K823" i="8" s="1"/>
  <c r="L823" i="8" s="1"/>
  <c r="N823" i="8" s="1"/>
  <c r="J822" i="8"/>
  <c r="K822" i="8" s="1"/>
  <c r="L822" i="8" s="1"/>
  <c r="N822" i="8" s="1"/>
  <c r="P67" i="8"/>
  <c r="J67" i="8"/>
  <c r="K67" i="8" s="1"/>
  <c r="L67" i="8" s="1"/>
  <c r="N67" i="8" s="1"/>
  <c r="J66" i="8"/>
  <c r="K66" i="8" s="1"/>
  <c r="L66" i="8" s="1"/>
  <c r="N66" i="8" s="1"/>
  <c r="J65" i="8"/>
  <c r="K65" i="8" s="1"/>
  <c r="L65" i="8" s="1"/>
  <c r="N65" i="8" s="1"/>
  <c r="J64" i="8"/>
  <c r="K64" i="8" s="1"/>
  <c r="L64" i="8" s="1"/>
  <c r="N64" i="8" s="1"/>
  <c r="J63" i="8"/>
  <c r="K63" i="8" s="1"/>
  <c r="L63" i="8" s="1"/>
  <c r="N63" i="8" s="1"/>
  <c r="J62" i="8"/>
  <c r="K62" i="8" s="1"/>
  <c r="L62" i="8" s="1"/>
  <c r="N62" i="8" s="1"/>
  <c r="J429" i="8"/>
  <c r="J428" i="8"/>
  <c r="J427" i="8"/>
  <c r="J426" i="8"/>
  <c r="K426" i="8" s="1"/>
  <c r="L426" i="8" s="1"/>
  <c r="N426" i="8" s="1"/>
  <c r="J425" i="8"/>
  <c r="K425" i="8" s="1"/>
  <c r="L425" i="8" s="1"/>
  <c r="P424" i="8"/>
  <c r="J424" i="8"/>
  <c r="K424" i="8" s="1"/>
  <c r="L424" i="8" s="1"/>
  <c r="N424" i="8" s="1"/>
  <c r="J423" i="8"/>
  <c r="K423" i="8" s="1"/>
  <c r="L423" i="8" s="1"/>
  <c r="N423" i="8" s="1"/>
  <c r="J422" i="8"/>
  <c r="K422" i="8" s="1"/>
  <c r="L422" i="8" s="1"/>
  <c r="N422" i="8" s="1"/>
  <c r="P421" i="8"/>
  <c r="J421" i="8"/>
  <c r="K421" i="8" s="1"/>
  <c r="L421" i="8" s="1"/>
  <c r="N421" i="8" s="1"/>
  <c r="J420" i="8"/>
  <c r="K420" i="8" s="1"/>
  <c r="L420" i="8" s="1"/>
  <c r="N420" i="8" s="1"/>
  <c r="J419" i="8"/>
  <c r="K419" i="8" s="1"/>
  <c r="L419" i="8" s="1"/>
  <c r="N419" i="8" s="1"/>
  <c r="J418" i="8"/>
  <c r="K418" i="8" s="1"/>
  <c r="L418" i="8" s="1"/>
  <c r="N418" i="8" s="1"/>
  <c r="J417" i="8"/>
  <c r="K417" i="8" s="1"/>
  <c r="L417" i="8" s="1"/>
  <c r="N417" i="8" s="1"/>
  <c r="J416" i="8"/>
  <c r="K416" i="8" s="1"/>
  <c r="L416" i="8" s="1"/>
  <c r="N416" i="8" s="1"/>
  <c r="J415" i="8"/>
  <c r="K415" i="8" s="1"/>
  <c r="L415" i="8" s="1"/>
  <c r="N415" i="8" s="1"/>
  <c r="J414" i="8"/>
  <c r="K414" i="8" s="1"/>
  <c r="L414" i="8" s="1"/>
  <c r="N414" i="8" s="1"/>
  <c r="J413" i="8"/>
  <c r="K413" i="8" s="1"/>
  <c r="L413" i="8" s="1"/>
  <c r="N413" i="8" s="1"/>
  <c r="J412" i="8"/>
  <c r="K412" i="8" s="1"/>
  <c r="L412" i="8" s="1"/>
  <c r="N412" i="8" s="1"/>
  <c r="J411" i="8"/>
  <c r="K411" i="8" s="1"/>
  <c r="L411" i="8" s="1"/>
  <c r="N411" i="8" s="1"/>
  <c r="K427" i="8" l="1"/>
  <c r="L427" i="8" s="1"/>
  <c r="N427" i="8" s="1"/>
  <c r="K428" i="8"/>
  <c r="L428" i="8" s="1"/>
  <c r="N428" i="8" s="1"/>
  <c r="K429" i="8"/>
  <c r="L429" i="8" s="1"/>
  <c r="N429" i="8" s="1"/>
  <c r="K1616" i="16"/>
  <c r="L1616" i="16" s="1"/>
  <c r="M1616" i="16" s="1"/>
  <c r="O1616" i="16" s="1"/>
  <c r="K1615" i="16"/>
  <c r="L1615" i="16" s="1"/>
  <c r="M1615" i="16" s="1"/>
  <c r="O1615" i="16" s="1"/>
  <c r="K1614" i="16"/>
  <c r="L1614" i="16" s="1"/>
  <c r="M1614" i="16" s="1"/>
  <c r="O1614" i="16" s="1"/>
  <c r="K1613" i="16"/>
  <c r="L1613" i="16" s="1"/>
  <c r="M1613" i="16" s="1"/>
  <c r="O1613" i="16" s="1"/>
  <c r="K1612" i="16"/>
  <c r="L1612" i="16" s="1"/>
  <c r="M1612" i="16" s="1"/>
  <c r="O1612" i="16" s="1"/>
  <c r="K1611" i="16"/>
  <c r="L1611" i="16" s="1"/>
  <c r="M1611" i="16" s="1"/>
  <c r="O1611" i="16" s="1"/>
  <c r="K1610" i="16"/>
  <c r="L1610" i="16" s="1"/>
  <c r="M1610" i="16" s="1"/>
  <c r="O1610" i="16" s="1"/>
  <c r="K1609" i="16"/>
  <c r="L1609" i="16" s="1"/>
  <c r="M1609" i="16" s="1"/>
  <c r="O1609" i="16" s="1"/>
  <c r="K1608" i="16"/>
  <c r="L1608" i="16" s="1"/>
  <c r="M1608" i="16" s="1"/>
  <c r="O1608" i="16" s="1"/>
  <c r="K1607" i="16"/>
  <c r="L1607" i="16" s="1"/>
  <c r="M1607" i="16" s="1"/>
  <c r="O1607" i="16" s="1"/>
  <c r="K1606" i="16"/>
  <c r="L1606" i="16" s="1"/>
  <c r="M1606" i="16" s="1"/>
  <c r="O1606" i="16" s="1"/>
  <c r="K1605" i="16"/>
  <c r="L1605" i="16" s="1"/>
  <c r="M1605" i="16" s="1"/>
  <c r="O1605" i="16" s="1"/>
  <c r="K1604" i="16"/>
  <c r="L1604" i="16" s="1"/>
  <c r="M1604" i="16" s="1"/>
  <c r="O1604" i="16" s="1"/>
  <c r="K1603" i="16"/>
  <c r="L1603" i="16" s="1"/>
  <c r="M1603" i="16" s="1"/>
  <c r="O1603" i="16" s="1"/>
  <c r="K1602" i="16"/>
  <c r="L1602" i="16" s="1"/>
  <c r="M1602" i="16" s="1"/>
  <c r="O1602" i="16" s="1"/>
  <c r="K1601" i="16"/>
  <c r="L1601" i="16" s="1"/>
  <c r="M1601" i="16" s="1"/>
  <c r="O1601" i="16" s="1"/>
  <c r="K1600" i="16"/>
  <c r="L1600" i="16" s="1"/>
  <c r="M1600" i="16" s="1"/>
  <c r="O1600" i="16" s="1"/>
  <c r="K1599" i="16"/>
  <c r="L1599" i="16" s="1"/>
  <c r="M1599" i="16" s="1"/>
  <c r="O1599" i="16" s="1"/>
  <c r="K1598" i="16"/>
  <c r="L1598" i="16" s="1"/>
  <c r="M1598" i="16" s="1"/>
  <c r="O1598" i="16" s="1"/>
  <c r="K1597" i="16"/>
  <c r="L1597" i="16" s="1"/>
  <c r="M1597" i="16" s="1"/>
  <c r="O1597" i="16" s="1"/>
  <c r="K1596" i="16"/>
  <c r="L1596" i="16" s="1"/>
  <c r="M1596" i="16" s="1"/>
  <c r="O1596" i="16" s="1"/>
  <c r="K1595" i="16"/>
  <c r="L1595" i="16" s="1"/>
  <c r="M1595" i="16" s="1"/>
  <c r="O1595" i="16" s="1"/>
  <c r="K1594" i="16"/>
  <c r="L1594" i="16" s="1"/>
  <c r="M1594" i="16" s="1"/>
  <c r="O1594" i="16" s="1"/>
  <c r="K1593" i="16"/>
  <c r="L1593" i="16" s="1"/>
  <c r="M1593" i="16" s="1"/>
  <c r="O1593" i="16" s="1"/>
  <c r="K1592" i="16"/>
  <c r="L1592" i="16" s="1"/>
  <c r="M1592" i="16" s="1"/>
  <c r="O1592" i="16" s="1"/>
  <c r="K1591" i="16"/>
  <c r="L1591" i="16" s="1"/>
  <c r="M1591" i="16" s="1"/>
  <c r="O1591" i="16" s="1"/>
  <c r="K1590" i="16"/>
  <c r="L1590" i="16" s="1"/>
  <c r="M1590" i="16" s="1"/>
  <c r="O1590" i="16" s="1"/>
  <c r="K1589" i="16"/>
  <c r="L1589" i="16" s="1"/>
  <c r="M1589" i="16" s="1"/>
  <c r="O1589" i="16" s="1"/>
  <c r="K1588" i="16"/>
  <c r="L1588" i="16" s="1"/>
  <c r="M1588" i="16" s="1"/>
  <c r="O1588" i="16" s="1"/>
  <c r="K1587" i="16"/>
  <c r="L1587" i="16" s="1"/>
  <c r="M1587" i="16" s="1"/>
  <c r="O1587" i="16" s="1"/>
  <c r="K1586" i="16"/>
  <c r="L1586" i="16" s="1"/>
  <c r="M1586" i="16" s="1"/>
  <c r="O1586" i="16" s="1"/>
  <c r="K1585" i="16"/>
  <c r="L1585" i="16" s="1"/>
  <c r="M1585" i="16" s="1"/>
  <c r="O1585" i="16" s="1"/>
  <c r="K1584" i="16"/>
  <c r="L1584" i="16" s="1"/>
  <c r="M1584" i="16" s="1"/>
  <c r="O1584" i="16" s="1"/>
  <c r="K1583" i="16"/>
  <c r="L1583" i="16" s="1"/>
  <c r="M1583" i="16" s="1"/>
  <c r="O1583" i="16" s="1"/>
  <c r="K1582" i="16"/>
  <c r="L1582" i="16" s="1"/>
  <c r="M1582" i="16" s="1"/>
  <c r="O1582" i="16" s="1"/>
  <c r="K1581" i="16"/>
  <c r="L1581" i="16" s="1"/>
  <c r="M1581" i="16" s="1"/>
  <c r="O1581" i="16" s="1"/>
  <c r="K1580" i="16"/>
  <c r="L1580" i="16" s="1"/>
  <c r="M1580" i="16" s="1"/>
  <c r="O1580" i="16" s="1"/>
  <c r="K1579" i="16"/>
  <c r="L1579" i="16" s="1"/>
  <c r="M1579" i="16" s="1"/>
  <c r="O1579" i="16" s="1"/>
  <c r="K1578" i="16"/>
  <c r="L1578" i="16" s="1"/>
  <c r="M1578" i="16" s="1"/>
  <c r="O1578" i="16" s="1"/>
  <c r="K1577" i="16"/>
  <c r="L1577" i="16" s="1"/>
  <c r="M1577" i="16" s="1"/>
  <c r="O1577" i="16" s="1"/>
  <c r="K1576" i="16"/>
  <c r="L1576" i="16" s="1"/>
  <c r="M1576" i="16" s="1"/>
  <c r="O1576" i="16" s="1"/>
  <c r="K1575" i="16"/>
  <c r="L1575" i="16" s="1"/>
  <c r="M1575" i="16" s="1"/>
  <c r="O1575" i="16" s="1"/>
  <c r="K1574" i="16"/>
  <c r="L1574" i="16" s="1"/>
  <c r="M1574" i="16" s="1"/>
  <c r="O1574" i="16" s="1"/>
  <c r="K1573" i="16"/>
  <c r="L1573" i="16" s="1"/>
  <c r="M1573" i="16" s="1"/>
  <c r="O1573" i="16" s="1"/>
  <c r="K1572" i="16"/>
  <c r="L1572" i="16" s="1"/>
  <c r="M1572" i="16" s="1"/>
  <c r="O1572" i="16" s="1"/>
  <c r="K1571" i="16"/>
  <c r="L1571" i="16" s="1"/>
  <c r="M1571" i="16" s="1"/>
  <c r="O1571" i="16" s="1"/>
  <c r="K1570" i="16"/>
  <c r="L1570" i="16" s="1"/>
  <c r="M1570" i="16" s="1"/>
  <c r="O1570" i="16" s="1"/>
  <c r="K1569" i="16"/>
  <c r="L1569" i="16" s="1"/>
  <c r="M1569" i="16" s="1"/>
  <c r="O1569" i="16" s="1"/>
  <c r="K1568" i="16"/>
  <c r="L1568" i="16" s="1"/>
  <c r="M1568" i="16" s="1"/>
  <c r="O1568" i="16" s="1"/>
  <c r="K1567" i="16"/>
  <c r="L1567" i="16" s="1"/>
  <c r="M1567" i="16" s="1"/>
  <c r="O1567" i="16" s="1"/>
  <c r="K1566" i="16"/>
  <c r="L1566" i="16" s="1"/>
  <c r="M1566" i="16" s="1"/>
  <c r="O1566" i="16" s="1"/>
  <c r="K1565" i="16"/>
  <c r="L1565" i="16" s="1"/>
  <c r="M1565" i="16" s="1"/>
  <c r="O1565" i="16" s="1"/>
  <c r="K1564" i="16"/>
  <c r="L1564" i="16" s="1"/>
  <c r="M1564" i="16" s="1"/>
  <c r="O1564" i="16" s="1"/>
  <c r="K1563" i="16"/>
  <c r="L1563" i="16" s="1"/>
  <c r="M1563" i="16" s="1"/>
  <c r="O1563" i="16" s="1"/>
  <c r="K1562" i="16"/>
  <c r="L1562" i="16" s="1"/>
  <c r="M1562" i="16" s="1"/>
  <c r="O1562" i="16" s="1"/>
  <c r="K1561" i="16"/>
  <c r="L1561" i="16" s="1"/>
  <c r="M1561" i="16" s="1"/>
  <c r="O1561" i="16" s="1"/>
  <c r="K1560" i="16"/>
  <c r="L1560" i="16" s="1"/>
  <c r="M1560" i="16" s="1"/>
  <c r="O1560" i="16" s="1"/>
  <c r="K1559" i="16"/>
  <c r="L1559" i="16" s="1"/>
  <c r="M1559" i="16" s="1"/>
  <c r="O1559" i="16" s="1"/>
  <c r="K1558" i="16"/>
  <c r="L1558" i="16" s="1"/>
  <c r="M1558" i="16" s="1"/>
  <c r="O1558" i="16" s="1"/>
  <c r="K1557" i="16"/>
  <c r="L1557" i="16" s="1"/>
  <c r="M1557" i="16" s="1"/>
  <c r="O1557" i="16" s="1"/>
  <c r="K1556" i="16"/>
  <c r="L1556" i="16" s="1"/>
  <c r="M1556" i="16" s="1"/>
  <c r="O1556" i="16" s="1"/>
  <c r="K1555" i="16"/>
  <c r="L1555" i="16" s="1"/>
  <c r="M1555" i="16" s="1"/>
  <c r="O1555" i="16" s="1"/>
  <c r="K1554" i="16"/>
  <c r="L1554" i="16" s="1"/>
  <c r="M1554" i="16" s="1"/>
  <c r="O1554" i="16" s="1"/>
  <c r="K1553" i="16"/>
  <c r="L1553" i="16" s="1"/>
  <c r="M1553" i="16" s="1"/>
  <c r="O1553" i="16" s="1"/>
  <c r="K1552" i="16"/>
  <c r="L1552" i="16" s="1"/>
  <c r="M1552" i="16" s="1"/>
  <c r="O1552" i="16" s="1"/>
  <c r="K1551" i="16"/>
  <c r="L1551" i="16" s="1"/>
  <c r="M1551" i="16" s="1"/>
  <c r="O1551" i="16" s="1"/>
  <c r="K1550" i="16"/>
  <c r="L1550" i="16" s="1"/>
  <c r="M1550" i="16" s="1"/>
  <c r="O1550" i="16" s="1"/>
  <c r="K1549" i="16"/>
  <c r="L1549" i="16" s="1"/>
  <c r="M1549" i="16" s="1"/>
  <c r="O1549" i="16" s="1"/>
  <c r="K1548" i="16"/>
  <c r="L1548" i="16" s="1"/>
  <c r="M1548" i="16" s="1"/>
  <c r="O1548" i="16" s="1"/>
  <c r="K1547" i="16"/>
  <c r="L1547" i="16" s="1"/>
  <c r="M1547" i="16" s="1"/>
  <c r="O1547" i="16" s="1"/>
  <c r="K1546" i="16"/>
  <c r="L1546" i="16" s="1"/>
  <c r="M1546" i="16" s="1"/>
  <c r="O1546" i="16" s="1"/>
  <c r="K1545" i="16"/>
  <c r="L1545" i="16" s="1"/>
  <c r="M1545" i="16" s="1"/>
  <c r="O1545" i="16" s="1"/>
  <c r="K1544" i="16"/>
  <c r="L1544" i="16" s="1"/>
  <c r="M1544" i="16" s="1"/>
  <c r="O1544" i="16" s="1"/>
  <c r="K1543" i="16"/>
  <c r="L1543" i="16" s="1"/>
  <c r="M1543" i="16" s="1"/>
  <c r="O1543" i="16" s="1"/>
  <c r="K1542" i="16"/>
  <c r="L1542" i="16" s="1"/>
  <c r="M1542" i="16" s="1"/>
  <c r="O1542" i="16" s="1"/>
  <c r="K1541" i="16"/>
  <c r="L1541" i="16" s="1"/>
  <c r="M1541" i="16" s="1"/>
  <c r="O1541" i="16" s="1"/>
  <c r="K1540" i="16"/>
  <c r="L1540" i="16" s="1"/>
  <c r="M1540" i="16" s="1"/>
  <c r="O1540" i="16" s="1"/>
  <c r="K1539" i="16"/>
  <c r="L1539" i="16" s="1"/>
  <c r="M1539" i="16" s="1"/>
  <c r="O1539" i="16" s="1"/>
  <c r="K1538" i="16"/>
  <c r="L1538" i="16" s="1"/>
  <c r="M1538" i="16" s="1"/>
  <c r="O1538" i="16" s="1"/>
  <c r="K1537" i="16"/>
  <c r="L1537" i="16" s="1"/>
  <c r="M1537" i="16" s="1"/>
  <c r="O1537" i="16" s="1"/>
  <c r="K1536" i="16"/>
  <c r="L1536" i="16" s="1"/>
  <c r="M1536" i="16" s="1"/>
  <c r="O1536" i="16" s="1"/>
  <c r="K1535" i="16"/>
  <c r="L1535" i="16" s="1"/>
  <c r="M1535" i="16" s="1"/>
  <c r="O1535" i="16" s="1"/>
  <c r="K1534" i="16"/>
  <c r="L1534" i="16" s="1"/>
  <c r="M1534" i="16" s="1"/>
  <c r="O1534" i="16" s="1"/>
  <c r="K1497" i="16" l="1"/>
  <c r="L1497" i="16" s="1"/>
  <c r="M1497" i="16" s="1"/>
  <c r="O1497" i="16" s="1"/>
  <c r="K1753" i="16"/>
  <c r="L1753" i="16" s="1"/>
  <c r="M1753" i="16" s="1"/>
  <c r="O1753" i="16" s="1"/>
  <c r="K1752" i="16"/>
  <c r="L1752" i="16" s="1"/>
  <c r="M1752" i="16" s="1"/>
  <c r="O1752" i="16" s="1"/>
  <c r="K1751" i="16"/>
  <c r="L1751" i="16" s="1"/>
  <c r="M1751" i="16" s="1"/>
  <c r="O1751" i="16" s="1"/>
  <c r="K1750" i="16"/>
  <c r="L1750" i="16" s="1"/>
  <c r="M1750" i="16" s="1"/>
  <c r="O1750" i="16" s="1"/>
  <c r="K1749" i="16"/>
  <c r="L1749" i="16" s="1"/>
  <c r="M1749" i="16" s="1"/>
  <c r="O1749" i="16" s="1"/>
  <c r="K1748" i="16"/>
  <c r="L1748" i="16" s="1"/>
  <c r="M1748" i="16" s="1"/>
  <c r="O1748" i="16" s="1"/>
  <c r="K1747" i="16"/>
  <c r="L1747" i="16" s="1"/>
  <c r="M1747" i="16" s="1"/>
  <c r="O1747" i="16" s="1"/>
  <c r="K1746" i="16"/>
  <c r="L1746" i="16" s="1"/>
  <c r="M1746" i="16" s="1"/>
  <c r="O1746" i="16" s="1"/>
  <c r="K1745" i="16"/>
  <c r="L1745" i="16" s="1"/>
  <c r="M1745" i="16" s="1"/>
  <c r="O1745" i="16" s="1"/>
  <c r="K1744" i="16"/>
  <c r="L1744" i="16" s="1"/>
  <c r="M1744" i="16" s="1"/>
  <c r="O1744" i="16" s="1"/>
  <c r="K1743" i="16"/>
  <c r="L1743" i="16" s="1"/>
  <c r="M1743" i="16" s="1"/>
  <c r="O1743" i="16" s="1"/>
  <c r="K1742" i="16"/>
  <c r="L1742" i="16" s="1"/>
  <c r="M1742" i="16" s="1"/>
  <c r="O1742" i="16" s="1"/>
  <c r="K1741" i="16"/>
  <c r="L1741" i="16" s="1"/>
  <c r="M1741" i="16" s="1"/>
  <c r="O1741" i="16" s="1"/>
  <c r="K1740" i="16"/>
  <c r="L1740" i="16" s="1"/>
  <c r="M1740" i="16" s="1"/>
  <c r="O1740" i="16" s="1"/>
  <c r="K1739" i="16"/>
  <c r="L1739" i="16" s="1"/>
  <c r="M1739" i="16" s="1"/>
  <c r="O1739" i="16" s="1"/>
  <c r="K1738" i="16"/>
  <c r="L1738" i="16" s="1"/>
  <c r="M1738" i="16" s="1"/>
  <c r="O1738" i="16" s="1"/>
  <c r="K1737" i="16"/>
  <c r="L1737" i="16" s="1"/>
  <c r="M1737" i="16" s="1"/>
  <c r="O1737" i="16" s="1"/>
  <c r="K1736" i="16"/>
  <c r="L1736" i="16" s="1"/>
  <c r="M1736" i="16" s="1"/>
  <c r="O1736" i="16" s="1"/>
  <c r="K1735" i="16"/>
  <c r="L1735" i="16" s="1"/>
  <c r="M1735" i="16" s="1"/>
  <c r="O1735" i="16" s="1"/>
  <c r="K1734" i="16"/>
  <c r="L1734" i="16" s="1"/>
  <c r="M1734" i="16" s="1"/>
  <c r="O1734" i="16" s="1"/>
  <c r="K1733" i="16"/>
  <c r="L1733" i="16" s="1"/>
  <c r="M1733" i="16" s="1"/>
  <c r="O1733" i="16" s="1"/>
  <c r="K1732" i="16"/>
  <c r="L1732" i="16" s="1"/>
  <c r="M1732" i="16" s="1"/>
  <c r="O1732" i="16" s="1"/>
  <c r="K1731" i="16"/>
  <c r="L1731" i="16" s="1"/>
  <c r="M1731" i="16" s="1"/>
  <c r="O1731" i="16" s="1"/>
  <c r="K1730" i="16"/>
  <c r="L1730" i="16" s="1"/>
  <c r="M1730" i="16" s="1"/>
  <c r="O1730" i="16" s="1"/>
  <c r="K1729" i="16"/>
  <c r="L1729" i="16" s="1"/>
  <c r="M1729" i="16" s="1"/>
  <c r="O1729" i="16" s="1"/>
  <c r="K1728" i="16"/>
  <c r="L1728" i="16" s="1"/>
  <c r="M1728" i="16" s="1"/>
  <c r="O1728" i="16" s="1"/>
  <c r="K1727" i="16"/>
  <c r="L1727" i="16" s="1"/>
  <c r="M1727" i="16" s="1"/>
  <c r="O1727" i="16" s="1"/>
  <c r="K1726" i="16"/>
  <c r="L1726" i="16" s="1"/>
  <c r="M1726" i="16" s="1"/>
  <c r="O1726" i="16" s="1"/>
  <c r="K1725" i="16"/>
  <c r="L1725" i="16" s="1"/>
  <c r="M1725" i="16" s="1"/>
  <c r="O1725" i="16" s="1"/>
  <c r="K1724" i="16"/>
  <c r="L1724" i="16" s="1"/>
  <c r="M1724" i="16" s="1"/>
  <c r="O1724" i="16" s="1"/>
  <c r="K1723" i="16"/>
  <c r="L1723" i="16" s="1"/>
  <c r="M1723" i="16" s="1"/>
  <c r="O1723" i="16" s="1"/>
  <c r="K1722" i="16"/>
  <c r="L1722" i="16" s="1"/>
  <c r="M1722" i="16" s="1"/>
  <c r="O1722" i="16" s="1"/>
  <c r="K1721" i="16"/>
  <c r="L1721" i="16" s="1"/>
  <c r="M1721" i="16" s="1"/>
  <c r="O1721" i="16" s="1"/>
  <c r="K1720" i="16"/>
  <c r="L1720" i="16" s="1"/>
  <c r="M1720" i="16" s="1"/>
  <c r="O1720" i="16" s="1"/>
  <c r="K1719" i="16"/>
  <c r="L1719" i="16" s="1"/>
  <c r="M1719" i="16" s="1"/>
  <c r="O1719" i="16" s="1"/>
  <c r="K1718" i="16"/>
  <c r="L1718" i="16" s="1"/>
  <c r="M1718" i="16" s="1"/>
  <c r="O1718" i="16" s="1"/>
  <c r="K1717" i="16"/>
  <c r="L1717" i="16" s="1"/>
  <c r="M1717" i="16" s="1"/>
  <c r="O1717" i="16" s="1"/>
  <c r="K1716" i="16"/>
  <c r="L1716" i="16" s="1"/>
  <c r="M1716" i="16" s="1"/>
  <c r="O1716" i="16" s="1"/>
  <c r="K1715" i="16"/>
  <c r="L1715" i="16" s="1"/>
  <c r="M1715" i="16" s="1"/>
  <c r="O1715" i="16" s="1"/>
  <c r="K1714" i="16"/>
  <c r="L1714" i="16" s="1"/>
  <c r="M1714" i="16" s="1"/>
  <c r="O1714" i="16" s="1"/>
  <c r="K1713" i="16"/>
  <c r="L1713" i="16" s="1"/>
  <c r="M1713" i="16" s="1"/>
  <c r="O1713" i="16" s="1"/>
  <c r="K1712" i="16"/>
  <c r="L1712" i="16" s="1"/>
  <c r="M1712" i="16" s="1"/>
  <c r="O1712" i="16" s="1"/>
  <c r="K1711" i="16"/>
  <c r="L1711" i="16" s="1"/>
  <c r="M1711" i="16" s="1"/>
  <c r="O1711" i="16" s="1"/>
  <c r="K1710" i="16"/>
  <c r="L1710" i="16" s="1"/>
  <c r="M1710" i="16" s="1"/>
  <c r="O1710" i="16" s="1"/>
  <c r="K1709" i="16"/>
  <c r="L1709" i="16" s="1"/>
  <c r="M1709" i="16" s="1"/>
  <c r="O1709" i="16" s="1"/>
  <c r="K1708" i="16"/>
  <c r="L1708" i="16" s="1"/>
  <c r="M1708" i="16" s="1"/>
  <c r="O1708" i="16" s="1"/>
  <c r="K1707" i="16"/>
  <c r="L1707" i="16" s="1"/>
  <c r="M1707" i="16" s="1"/>
  <c r="O1707" i="16" s="1"/>
  <c r="K1706" i="16"/>
  <c r="L1706" i="16" s="1"/>
  <c r="M1706" i="16" s="1"/>
  <c r="O1706" i="16" s="1"/>
  <c r="K1705" i="16"/>
  <c r="L1705" i="16" s="1"/>
  <c r="M1705" i="16" s="1"/>
  <c r="O1705" i="16" s="1"/>
  <c r="K1704" i="16"/>
  <c r="L1704" i="16" s="1"/>
  <c r="M1704" i="16" s="1"/>
  <c r="O1704" i="16" s="1"/>
  <c r="K1703" i="16"/>
  <c r="L1703" i="16" s="1"/>
  <c r="M1703" i="16" s="1"/>
  <c r="O1703" i="16" s="1"/>
  <c r="K1702" i="16"/>
  <c r="L1702" i="16" s="1"/>
  <c r="M1702" i="16" s="1"/>
  <c r="O1702" i="16" s="1"/>
  <c r="K1701" i="16"/>
  <c r="L1701" i="16" s="1"/>
  <c r="M1701" i="16" s="1"/>
  <c r="O1701" i="16" s="1"/>
  <c r="K1700" i="16"/>
  <c r="L1700" i="16" s="1"/>
  <c r="M1700" i="16" s="1"/>
  <c r="O1700" i="16" s="1"/>
  <c r="K1699" i="16"/>
  <c r="L1699" i="16" s="1"/>
  <c r="M1699" i="16" s="1"/>
  <c r="O1699" i="16" s="1"/>
  <c r="K1698" i="16"/>
  <c r="L1698" i="16" s="1"/>
  <c r="M1698" i="16" s="1"/>
  <c r="O1698" i="16" s="1"/>
  <c r="K1697" i="16"/>
  <c r="L1697" i="16" s="1"/>
  <c r="M1697" i="16" s="1"/>
  <c r="O1697" i="16" s="1"/>
  <c r="K1696" i="16"/>
  <c r="L1696" i="16" s="1"/>
  <c r="M1696" i="16" s="1"/>
  <c r="O1696" i="16" s="1"/>
  <c r="K1695" i="16"/>
  <c r="L1695" i="16" s="1"/>
  <c r="M1695" i="16" s="1"/>
  <c r="O1695" i="16" s="1"/>
  <c r="K1694" i="16"/>
  <c r="L1694" i="16" s="1"/>
  <c r="M1694" i="16" s="1"/>
  <c r="O1694" i="16" s="1"/>
  <c r="K1693" i="16"/>
  <c r="L1693" i="16" s="1"/>
  <c r="M1693" i="16" s="1"/>
  <c r="O1693" i="16" s="1"/>
  <c r="K1692" i="16"/>
  <c r="L1692" i="16" s="1"/>
  <c r="M1692" i="16" s="1"/>
  <c r="O1692" i="16" s="1"/>
  <c r="K1691" i="16"/>
  <c r="L1691" i="16" s="1"/>
  <c r="M1691" i="16" s="1"/>
  <c r="O1691" i="16" s="1"/>
  <c r="K1690" i="16"/>
  <c r="L1690" i="16" s="1"/>
  <c r="M1690" i="16" s="1"/>
  <c r="O1690" i="16" s="1"/>
  <c r="K1689" i="16"/>
  <c r="L1689" i="16" s="1"/>
  <c r="M1689" i="16" s="1"/>
  <c r="O1689" i="16" s="1"/>
  <c r="K1688" i="16"/>
  <c r="L1688" i="16" s="1"/>
  <c r="M1688" i="16" s="1"/>
  <c r="O1688" i="16" s="1"/>
  <c r="K1687" i="16"/>
  <c r="L1687" i="16" s="1"/>
  <c r="M1687" i="16" s="1"/>
  <c r="O1687" i="16" s="1"/>
  <c r="K1686" i="16"/>
  <c r="L1686" i="16" s="1"/>
  <c r="M1686" i="16" s="1"/>
  <c r="O1686" i="16" s="1"/>
  <c r="K1685" i="16"/>
  <c r="L1685" i="16" s="1"/>
  <c r="M1685" i="16" s="1"/>
  <c r="O1685" i="16" s="1"/>
  <c r="K1684" i="16"/>
  <c r="L1684" i="16" s="1"/>
  <c r="M1684" i="16" s="1"/>
  <c r="O1684" i="16" s="1"/>
  <c r="K1683" i="16"/>
  <c r="L1683" i="16" s="1"/>
  <c r="M1683" i="16" s="1"/>
  <c r="O1683" i="16" s="1"/>
  <c r="K1682" i="16"/>
  <c r="L1682" i="16" s="1"/>
  <c r="M1682" i="16" s="1"/>
  <c r="O1682" i="16" s="1"/>
  <c r="K1681" i="16"/>
  <c r="L1681" i="16" s="1"/>
  <c r="M1681" i="16" s="1"/>
  <c r="O1681" i="16" s="1"/>
  <c r="K1680" i="16"/>
  <c r="L1680" i="16" s="1"/>
  <c r="M1680" i="16" s="1"/>
  <c r="O1680" i="16" s="1"/>
  <c r="K1679" i="16"/>
  <c r="L1679" i="16" s="1"/>
  <c r="M1679" i="16" s="1"/>
  <c r="O1679" i="16" s="1"/>
  <c r="K1678" i="16"/>
  <c r="L1678" i="16" s="1"/>
  <c r="M1678" i="16" s="1"/>
  <c r="O1678" i="16" s="1"/>
  <c r="K1677" i="16"/>
  <c r="L1677" i="16" s="1"/>
  <c r="M1677" i="16" s="1"/>
  <c r="O1677" i="16" s="1"/>
  <c r="K1676" i="16"/>
  <c r="L1676" i="16" s="1"/>
  <c r="M1676" i="16" s="1"/>
  <c r="O1676" i="16" s="1"/>
  <c r="K1675" i="16"/>
  <c r="L1675" i="16" s="1"/>
  <c r="M1675" i="16" s="1"/>
  <c r="O1675" i="16" s="1"/>
  <c r="K1674" i="16"/>
  <c r="L1674" i="16" s="1"/>
  <c r="M1674" i="16" s="1"/>
  <c r="O1674" i="16" s="1"/>
  <c r="K1673" i="16"/>
  <c r="L1673" i="16" s="1"/>
  <c r="M1673" i="16" s="1"/>
  <c r="O1673" i="16" s="1"/>
  <c r="K1672" i="16"/>
  <c r="L1672" i="16" s="1"/>
  <c r="M1672" i="16" s="1"/>
  <c r="O1672" i="16" s="1"/>
  <c r="K1671" i="16"/>
  <c r="L1671" i="16" s="1"/>
  <c r="M1671" i="16" s="1"/>
  <c r="O1671" i="16" s="1"/>
  <c r="K1670" i="16"/>
  <c r="L1670" i="16" s="1"/>
  <c r="M1670" i="16" s="1"/>
  <c r="O1670" i="16" s="1"/>
  <c r="K1669" i="16"/>
  <c r="L1669" i="16" s="1"/>
  <c r="M1669" i="16" s="1"/>
  <c r="O1669" i="16" s="1"/>
  <c r="K1668" i="16"/>
  <c r="L1668" i="16" s="1"/>
  <c r="M1668" i="16" s="1"/>
  <c r="O1668" i="16" s="1"/>
  <c r="K1667" i="16"/>
  <c r="L1667" i="16" s="1"/>
  <c r="M1667" i="16" s="1"/>
  <c r="O1667" i="16" s="1"/>
  <c r="K1666" i="16"/>
  <c r="L1666" i="16" s="1"/>
  <c r="M1666" i="16" s="1"/>
  <c r="O1666" i="16" s="1"/>
  <c r="K1665" i="16"/>
  <c r="L1665" i="16" s="1"/>
  <c r="M1665" i="16" s="1"/>
  <c r="O1665" i="16" s="1"/>
  <c r="K1664" i="16"/>
  <c r="L1664" i="16" s="1"/>
  <c r="M1664" i="16" s="1"/>
  <c r="O1664" i="16" s="1"/>
  <c r="K1663" i="16"/>
  <c r="L1663" i="16" s="1"/>
  <c r="M1663" i="16" s="1"/>
  <c r="O1663" i="16" s="1"/>
  <c r="K1662" i="16"/>
  <c r="L1662" i="16" s="1"/>
  <c r="M1662" i="16" s="1"/>
  <c r="O1662" i="16" s="1"/>
  <c r="K1661" i="16"/>
  <c r="L1661" i="16" s="1"/>
  <c r="M1661" i="16" s="1"/>
  <c r="O1661" i="16" s="1"/>
  <c r="K1660" i="16"/>
  <c r="L1660" i="16" s="1"/>
  <c r="M1660" i="16" s="1"/>
  <c r="O1660" i="16" s="1"/>
  <c r="K1659" i="16"/>
  <c r="L1659" i="16" s="1"/>
  <c r="M1659" i="16" s="1"/>
  <c r="O1659" i="16" s="1"/>
  <c r="K1658" i="16"/>
  <c r="L1658" i="16" s="1"/>
  <c r="M1658" i="16" s="1"/>
  <c r="O1658" i="16" s="1"/>
  <c r="K1657" i="16"/>
  <c r="L1657" i="16" s="1"/>
  <c r="M1657" i="16" s="1"/>
  <c r="O1657" i="16" s="1"/>
  <c r="K1656" i="16"/>
  <c r="L1656" i="16" s="1"/>
  <c r="M1656" i="16" s="1"/>
  <c r="O1656" i="16" s="1"/>
  <c r="K1655" i="16"/>
  <c r="L1655" i="16" s="1"/>
  <c r="M1655" i="16" s="1"/>
  <c r="O1655" i="16" s="1"/>
  <c r="K1654" i="16"/>
  <c r="L1654" i="16" s="1"/>
  <c r="M1654" i="16" s="1"/>
  <c r="O1654" i="16" s="1"/>
  <c r="K1653" i="16"/>
  <c r="L1653" i="16" s="1"/>
  <c r="M1653" i="16" s="1"/>
  <c r="O1653" i="16" s="1"/>
  <c r="K1652" i="16"/>
  <c r="L1652" i="16" s="1"/>
  <c r="M1652" i="16" s="1"/>
  <c r="O1652" i="16" s="1"/>
  <c r="K1651" i="16"/>
  <c r="L1651" i="16" s="1"/>
  <c r="M1651" i="16" s="1"/>
  <c r="O1651" i="16" s="1"/>
  <c r="K1650" i="16"/>
  <c r="L1650" i="16" s="1"/>
  <c r="M1650" i="16" s="1"/>
  <c r="O1650" i="16" s="1"/>
  <c r="K1649" i="16"/>
  <c r="L1649" i="16" s="1"/>
  <c r="M1649" i="16" s="1"/>
  <c r="O1649" i="16" s="1"/>
  <c r="K1648" i="16"/>
  <c r="L1648" i="16" s="1"/>
  <c r="M1648" i="16" s="1"/>
  <c r="O1648" i="16" s="1"/>
  <c r="K1647" i="16"/>
  <c r="L1647" i="16" s="1"/>
  <c r="M1647" i="16" s="1"/>
  <c r="O1647" i="16" s="1"/>
  <c r="K1646" i="16"/>
  <c r="L1646" i="16" s="1"/>
  <c r="M1646" i="16" s="1"/>
  <c r="O1646" i="16" s="1"/>
  <c r="K1645" i="16"/>
  <c r="L1645" i="16" s="1"/>
  <c r="M1645" i="16" s="1"/>
  <c r="O1645" i="16" s="1"/>
  <c r="K1644" i="16"/>
  <c r="L1644" i="16" s="1"/>
  <c r="M1644" i="16" s="1"/>
  <c r="O1644" i="16" s="1"/>
  <c r="K1643" i="16"/>
  <c r="L1643" i="16" s="1"/>
  <c r="M1643" i="16" s="1"/>
  <c r="O1643" i="16" s="1"/>
  <c r="K1642" i="16"/>
  <c r="L1642" i="16" s="1"/>
  <c r="M1642" i="16" s="1"/>
  <c r="O1642" i="16" s="1"/>
  <c r="K1641" i="16"/>
  <c r="L1641" i="16" s="1"/>
  <c r="M1641" i="16" s="1"/>
  <c r="O1641" i="16" s="1"/>
  <c r="K1640" i="16"/>
  <c r="L1640" i="16" s="1"/>
  <c r="M1640" i="16" s="1"/>
  <c r="O1640" i="16" s="1"/>
  <c r="K1639" i="16"/>
  <c r="L1639" i="16" s="1"/>
  <c r="M1639" i="16" s="1"/>
  <c r="O1639" i="16" s="1"/>
  <c r="K1638" i="16"/>
  <c r="L1638" i="16" s="1"/>
  <c r="M1638" i="16" s="1"/>
  <c r="O1638" i="16" s="1"/>
  <c r="K1637" i="16"/>
  <c r="L1637" i="16" s="1"/>
  <c r="M1637" i="16" s="1"/>
  <c r="O1637" i="16" s="1"/>
  <c r="K1636" i="16"/>
  <c r="L1636" i="16" s="1"/>
  <c r="M1636" i="16" s="1"/>
  <c r="O1636" i="16" s="1"/>
  <c r="K1635" i="16"/>
  <c r="L1635" i="16" s="1"/>
  <c r="M1635" i="16" s="1"/>
  <c r="O1635" i="16" s="1"/>
  <c r="K1634" i="16"/>
  <c r="L1634" i="16" s="1"/>
  <c r="M1634" i="16" s="1"/>
  <c r="O1634" i="16" s="1"/>
  <c r="K1633" i="16"/>
  <c r="L1633" i="16" s="1"/>
  <c r="M1633" i="16" s="1"/>
  <c r="O1633" i="16" s="1"/>
  <c r="K1632" i="16"/>
  <c r="L1632" i="16" s="1"/>
  <c r="M1632" i="16" s="1"/>
  <c r="O1632" i="16" s="1"/>
  <c r="K1631" i="16"/>
  <c r="L1631" i="16" s="1"/>
  <c r="M1631" i="16" s="1"/>
  <c r="O1631" i="16" s="1"/>
  <c r="K1630" i="16"/>
  <c r="L1630" i="16" s="1"/>
  <c r="M1630" i="16" s="1"/>
  <c r="O1630" i="16" s="1"/>
  <c r="K1629" i="16"/>
  <c r="L1629" i="16" s="1"/>
  <c r="M1629" i="16" s="1"/>
  <c r="O1629" i="16" s="1"/>
  <c r="K1628" i="16"/>
  <c r="L1628" i="16" s="1"/>
  <c r="M1628" i="16" s="1"/>
  <c r="O1628" i="16" s="1"/>
  <c r="K1627" i="16"/>
  <c r="L1627" i="16" s="1"/>
  <c r="M1627" i="16" s="1"/>
  <c r="O1627" i="16" s="1"/>
  <c r="K1626" i="16"/>
  <c r="L1626" i="16" s="1"/>
  <c r="M1626" i="16" s="1"/>
  <c r="O1626" i="16" s="1"/>
  <c r="K1625" i="16"/>
  <c r="L1625" i="16" s="1"/>
  <c r="M1625" i="16" s="1"/>
  <c r="O1625" i="16" s="1"/>
  <c r="K1624" i="16"/>
  <c r="L1624" i="16" s="1"/>
  <c r="M1624" i="16" s="1"/>
  <c r="O1624" i="16" s="1"/>
  <c r="K1623" i="16"/>
  <c r="L1623" i="16" s="1"/>
  <c r="M1623" i="16" s="1"/>
  <c r="O1623" i="16" s="1"/>
  <c r="K1622" i="16"/>
  <c r="L1622" i="16" s="1"/>
  <c r="M1622" i="16" s="1"/>
  <c r="O1622" i="16" s="1"/>
  <c r="K1621" i="16"/>
  <c r="L1621" i="16" s="1"/>
  <c r="M1621" i="16" s="1"/>
  <c r="O1621" i="16" s="1"/>
  <c r="K1531" i="16"/>
  <c r="L1531" i="16" s="1"/>
  <c r="M1531" i="16" s="1"/>
  <c r="O1531" i="16" s="1"/>
  <c r="K1530" i="16"/>
  <c r="L1530" i="16" s="1"/>
  <c r="M1530" i="16" s="1"/>
  <c r="O1530" i="16" s="1"/>
  <c r="K1529" i="16"/>
  <c r="L1529" i="16" s="1"/>
  <c r="M1529" i="16" s="1"/>
  <c r="O1529" i="16" s="1"/>
  <c r="K1528" i="16"/>
  <c r="L1528" i="16" s="1"/>
  <c r="M1528" i="16" s="1"/>
  <c r="O1528" i="16" s="1"/>
  <c r="K1527" i="16"/>
  <c r="L1527" i="16" s="1"/>
  <c r="M1527" i="16" s="1"/>
  <c r="O1527" i="16" s="1"/>
  <c r="K1526" i="16"/>
  <c r="L1526" i="16" s="1"/>
  <c r="M1526" i="16" s="1"/>
  <c r="O1526" i="16" s="1"/>
  <c r="K1523" i="16"/>
  <c r="L1523" i="16" s="1"/>
  <c r="M1523" i="16" s="1"/>
  <c r="O1523" i="16" s="1"/>
  <c r="K1522" i="16"/>
  <c r="L1522" i="16" s="1"/>
  <c r="M1522" i="16" s="1"/>
  <c r="O1522" i="16" s="1"/>
  <c r="K1521" i="16"/>
  <c r="L1521" i="16" s="1"/>
  <c r="M1521" i="16" s="1"/>
  <c r="O1521" i="16" s="1"/>
  <c r="K1520" i="16"/>
  <c r="L1520" i="16" s="1"/>
  <c r="M1520" i="16" s="1"/>
  <c r="O1520" i="16" s="1"/>
  <c r="K1519" i="16"/>
  <c r="L1519" i="16" s="1"/>
  <c r="M1519" i="16" s="1"/>
  <c r="O1519" i="16" s="1"/>
  <c r="K1518" i="16"/>
  <c r="L1518" i="16" s="1"/>
  <c r="M1518" i="16" s="1"/>
  <c r="O1518" i="16" s="1"/>
  <c r="K1517" i="16"/>
  <c r="L1517" i="16" s="1"/>
  <c r="M1517" i="16" s="1"/>
  <c r="O1517" i="16" s="1"/>
  <c r="K1516" i="16"/>
  <c r="L1516" i="16" s="1"/>
  <c r="M1516" i="16" s="1"/>
  <c r="O1516" i="16" s="1"/>
  <c r="K1515" i="16"/>
  <c r="L1515" i="16" s="1"/>
  <c r="M1515" i="16" s="1"/>
  <c r="O1515" i="16" s="1"/>
  <c r="K1514" i="16"/>
  <c r="L1514" i="16" s="1"/>
  <c r="M1514" i="16" s="1"/>
  <c r="O1514" i="16" s="1"/>
  <c r="K1513" i="16"/>
  <c r="L1513" i="16" s="1"/>
  <c r="M1513" i="16" s="1"/>
  <c r="O1513" i="16" s="1"/>
  <c r="K1510" i="16"/>
  <c r="L1510" i="16" s="1"/>
  <c r="M1510" i="16" s="1"/>
  <c r="O1510" i="16" s="1"/>
  <c r="K1509" i="16"/>
  <c r="L1509" i="16" s="1"/>
  <c r="M1509" i="16" s="1"/>
  <c r="O1509" i="16" s="1"/>
  <c r="K1508" i="16"/>
  <c r="L1508" i="16" s="1"/>
  <c r="M1508" i="16" s="1"/>
  <c r="O1508" i="16" s="1"/>
  <c r="K1507" i="16"/>
  <c r="L1507" i="16" s="1"/>
  <c r="M1507" i="16" s="1"/>
  <c r="O1507" i="16" s="1"/>
  <c r="K1506" i="16"/>
  <c r="L1506" i="16" s="1"/>
  <c r="M1506" i="16" s="1"/>
  <c r="O1506" i="16" s="1"/>
  <c r="K1505" i="16"/>
  <c r="L1505" i="16" s="1"/>
  <c r="M1505" i="16" s="1"/>
  <c r="O1505" i="16" s="1"/>
  <c r="K1504" i="16"/>
  <c r="L1504" i="16" s="1"/>
  <c r="M1504" i="16" s="1"/>
  <c r="O1504" i="16" s="1"/>
  <c r="K1503" i="16"/>
  <c r="L1503" i="16" s="1"/>
  <c r="M1503" i="16" s="1"/>
  <c r="O1503" i="16" s="1"/>
  <c r="K1502" i="16"/>
  <c r="L1502" i="16" s="1"/>
  <c r="M1502" i="16" s="1"/>
  <c r="O1502" i="16" s="1"/>
  <c r="K1501" i="16"/>
  <c r="L1501" i="16" s="1"/>
  <c r="M1501" i="16" s="1"/>
  <c r="O1501" i="16" s="1"/>
  <c r="K1500" i="16"/>
  <c r="L1500" i="16" s="1"/>
  <c r="M1500" i="16" s="1"/>
  <c r="O1500" i="16" s="1"/>
  <c r="K1499" i="16"/>
  <c r="L1499" i="16" s="1"/>
  <c r="M1499" i="16" s="1"/>
  <c r="O1499" i="16" s="1"/>
  <c r="K1498" i="16"/>
  <c r="L1498" i="16" s="1"/>
  <c r="M1498" i="16" s="1"/>
  <c r="O1498" i="16" s="1"/>
  <c r="K1494" i="16"/>
  <c r="L1494" i="16" s="1"/>
  <c r="M1494" i="16" s="1"/>
  <c r="O1494" i="16" s="1"/>
  <c r="K1493" i="16"/>
  <c r="L1493" i="16" s="1"/>
  <c r="M1493" i="16" s="1"/>
  <c r="O1493" i="16" s="1"/>
  <c r="K1492" i="16"/>
  <c r="L1492" i="16" s="1"/>
  <c r="M1492" i="16" s="1"/>
  <c r="O1492" i="16" s="1"/>
  <c r="K1491" i="16"/>
  <c r="L1491" i="16" s="1"/>
  <c r="M1491" i="16" s="1"/>
  <c r="O1491" i="16" s="1"/>
  <c r="K1490" i="16"/>
  <c r="L1490" i="16" s="1"/>
  <c r="M1490" i="16" s="1"/>
  <c r="O1490" i="16" s="1"/>
  <c r="K1489" i="16"/>
  <c r="L1489" i="16" s="1"/>
  <c r="M1489" i="16" s="1"/>
  <c r="O1489" i="16" s="1"/>
  <c r="K1488" i="16"/>
  <c r="L1488" i="16" s="1"/>
  <c r="M1488" i="16" s="1"/>
  <c r="O1488" i="16" s="1"/>
  <c r="K1487" i="16"/>
  <c r="L1487" i="16" s="1"/>
  <c r="M1487" i="16" s="1"/>
  <c r="O1487" i="16" s="1"/>
  <c r="K1486" i="16"/>
  <c r="L1486" i="16" s="1"/>
  <c r="M1486" i="16" s="1"/>
  <c r="O1486" i="16" s="1"/>
  <c r="K1485" i="16"/>
  <c r="L1485" i="16" s="1"/>
  <c r="M1485" i="16" s="1"/>
  <c r="O1485" i="16" s="1"/>
  <c r="K1484" i="16"/>
  <c r="L1484" i="16" s="1"/>
  <c r="M1484" i="16" s="1"/>
  <c r="O1484" i="16" s="1"/>
  <c r="K1483" i="16"/>
  <c r="L1483" i="16" s="1"/>
  <c r="M1483" i="16" s="1"/>
  <c r="O1483" i="16" s="1"/>
  <c r="K1482" i="16"/>
  <c r="L1482" i="16" s="1"/>
  <c r="M1482" i="16" s="1"/>
  <c r="O1482" i="16" s="1"/>
  <c r="K1481" i="16"/>
  <c r="L1481" i="16" s="1"/>
  <c r="M1481" i="16" s="1"/>
  <c r="O1481" i="16" s="1"/>
  <c r="K1480" i="16"/>
  <c r="L1480" i="16" s="1"/>
  <c r="M1480" i="16" s="1"/>
  <c r="O1480" i="16" s="1"/>
  <c r="K1479" i="16"/>
  <c r="L1479" i="16" s="1"/>
  <c r="M1479" i="16" s="1"/>
  <c r="O1479" i="16" s="1"/>
  <c r="K1478" i="16"/>
  <c r="L1478" i="16" s="1"/>
  <c r="M1478" i="16" s="1"/>
  <c r="O1478" i="16" s="1"/>
  <c r="K1477" i="16"/>
  <c r="L1477" i="16" s="1"/>
  <c r="M1477" i="16" s="1"/>
  <c r="O1477" i="16" s="1"/>
  <c r="K1476" i="16"/>
  <c r="L1476" i="16" s="1"/>
  <c r="M1476" i="16" s="1"/>
  <c r="O1476" i="16" s="1"/>
  <c r="K1475" i="16"/>
  <c r="L1475" i="16" s="1"/>
  <c r="M1475" i="16" s="1"/>
  <c r="O1475" i="16" s="1"/>
  <c r="K1474" i="16"/>
  <c r="L1474" i="16" s="1"/>
  <c r="M1474" i="16" s="1"/>
  <c r="O1474" i="16" s="1"/>
  <c r="K1473" i="16"/>
  <c r="L1473" i="16" s="1"/>
  <c r="M1473" i="16" s="1"/>
  <c r="O1473" i="16" s="1"/>
  <c r="K1472" i="16"/>
  <c r="L1472" i="16" s="1"/>
  <c r="M1472" i="16" s="1"/>
  <c r="O1472" i="16" s="1"/>
  <c r="K1471" i="16"/>
  <c r="L1471" i="16" s="1"/>
  <c r="M1471" i="16" s="1"/>
  <c r="O1471" i="16" s="1"/>
  <c r="K1470" i="16"/>
  <c r="L1470" i="16" s="1"/>
  <c r="M1470" i="16" s="1"/>
  <c r="O1470" i="16" s="1"/>
  <c r="K1469" i="16"/>
  <c r="L1469" i="16" s="1"/>
  <c r="M1469" i="16" s="1"/>
  <c r="O1469" i="16" s="1"/>
  <c r="K1468" i="16"/>
  <c r="L1468" i="16" s="1"/>
  <c r="M1468" i="16" s="1"/>
  <c r="O1468" i="16" s="1"/>
  <c r="K1467" i="16"/>
  <c r="L1467" i="16" s="1"/>
  <c r="M1467" i="16" s="1"/>
  <c r="O1467" i="16" s="1"/>
  <c r="K1466" i="16"/>
  <c r="L1466" i="16" s="1"/>
  <c r="M1466" i="16" s="1"/>
  <c r="O1466" i="16" s="1"/>
  <c r="K1465" i="16"/>
  <c r="L1465" i="16" s="1"/>
  <c r="M1465" i="16" s="1"/>
  <c r="O1465" i="16" s="1"/>
  <c r="K1464" i="16"/>
  <c r="L1464" i="16" s="1"/>
  <c r="M1464" i="16" s="1"/>
  <c r="O1464" i="16" s="1"/>
  <c r="K1463" i="16"/>
  <c r="L1463" i="16" s="1"/>
  <c r="M1463" i="16" s="1"/>
  <c r="O1463" i="16" s="1"/>
  <c r="K1462" i="16"/>
  <c r="L1462" i="16" s="1"/>
  <c r="M1462" i="16" s="1"/>
  <c r="O1462" i="16" s="1"/>
  <c r="K1461" i="16"/>
  <c r="L1461" i="16" s="1"/>
  <c r="M1461" i="16" s="1"/>
  <c r="O1461" i="16" s="1"/>
  <c r="K1460" i="16"/>
  <c r="L1460" i="16" s="1"/>
  <c r="M1460" i="16" s="1"/>
  <c r="O1460" i="16" s="1"/>
  <c r="K1459" i="16"/>
  <c r="L1459" i="16" s="1"/>
  <c r="M1459" i="16" s="1"/>
  <c r="O1459" i="16" s="1"/>
  <c r="K1458" i="16"/>
  <c r="L1458" i="16" s="1"/>
  <c r="M1458" i="16" s="1"/>
  <c r="O1458" i="16" s="1"/>
  <c r="K1440" i="16"/>
  <c r="L1440" i="16" s="1"/>
  <c r="M1440" i="16" s="1"/>
  <c r="O1440" i="16" s="1"/>
  <c r="K1439" i="16"/>
  <c r="L1439" i="16" s="1"/>
  <c r="M1439" i="16" s="1"/>
  <c r="O1439" i="16" s="1"/>
  <c r="K1438" i="16"/>
  <c r="L1438" i="16" s="1"/>
  <c r="M1438" i="16" s="1"/>
  <c r="O1438" i="16" s="1"/>
  <c r="K1437" i="16"/>
  <c r="L1437" i="16" s="1"/>
  <c r="M1437" i="16" s="1"/>
  <c r="O1437" i="16" s="1"/>
  <c r="K1455" i="16"/>
  <c r="L1455" i="16" s="1"/>
  <c r="M1455" i="16" s="1"/>
  <c r="O1455" i="16" s="1"/>
  <c r="K1454" i="16"/>
  <c r="L1454" i="16" s="1"/>
  <c r="M1454" i="16" s="1"/>
  <c r="O1454" i="16" s="1"/>
  <c r="K1453" i="16"/>
  <c r="L1453" i="16" s="1"/>
  <c r="M1453" i="16" s="1"/>
  <c r="O1453" i="16" s="1"/>
  <c r="K1452" i="16"/>
  <c r="L1452" i="16" s="1"/>
  <c r="M1452" i="16" s="1"/>
  <c r="O1452" i="16" s="1"/>
  <c r="K1451" i="16"/>
  <c r="L1451" i="16" s="1"/>
  <c r="M1451" i="16" s="1"/>
  <c r="O1451" i="16" s="1"/>
  <c r="K1450" i="16"/>
  <c r="L1450" i="16" s="1"/>
  <c r="M1450" i="16" s="1"/>
  <c r="O1450" i="16" s="1"/>
  <c r="K1449" i="16"/>
  <c r="L1449" i="16" s="1"/>
  <c r="M1449" i="16" s="1"/>
  <c r="O1449" i="16" s="1"/>
  <c r="K1448" i="16"/>
  <c r="L1448" i="16" s="1"/>
  <c r="M1448" i="16" s="1"/>
  <c r="O1448" i="16" s="1"/>
  <c r="K1447" i="16"/>
  <c r="L1447" i="16" s="1"/>
  <c r="M1447" i="16" s="1"/>
  <c r="O1447" i="16" s="1"/>
  <c r="K1446" i="16"/>
  <c r="L1446" i="16" s="1"/>
  <c r="M1446" i="16" s="1"/>
  <c r="O1446" i="16" s="1"/>
  <c r="K1445" i="16"/>
  <c r="L1445" i="16" s="1"/>
  <c r="M1445" i="16" s="1"/>
  <c r="O1445" i="16" s="1"/>
  <c r="K1444" i="16"/>
  <c r="L1444" i="16" s="1"/>
  <c r="M1444" i="16" s="1"/>
  <c r="O1444" i="16" s="1"/>
  <c r="K1443" i="16"/>
  <c r="L1443" i="16" s="1"/>
  <c r="M1443" i="16" s="1"/>
  <c r="O1443" i="16" s="1"/>
  <c r="K1442" i="16"/>
  <c r="L1442" i="16" s="1"/>
  <c r="M1442" i="16" s="1"/>
  <c r="O1442" i="16" s="1"/>
  <c r="K1436" i="16"/>
  <c r="L1436" i="16" s="1"/>
  <c r="M1436" i="16" s="1"/>
  <c r="O1436" i="16" s="1"/>
  <c r="K1435" i="16"/>
  <c r="L1435" i="16" s="1"/>
  <c r="M1435" i="16" s="1"/>
  <c r="O1435" i="16" s="1"/>
  <c r="K1434" i="16"/>
  <c r="L1434" i="16" s="1"/>
  <c r="M1434" i="16" s="1"/>
  <c r="O1434" i="16" s="1"/>
  <c r="K1433" i="16"/>
  <c r="L1433" i="16" s="1"/>
  <c r="M1433" i="16" s="1"/>
  <c r="O1433" i="16" s="1"/>
  <c r="K1432" i="16"/>
  <c r="L1432" i="16" s="1"/>
  <c r="M1432" i="16" s="1"/>
  <c r="O1432" i="16" s="1"/>
  <c r="K1431" i="16"/>
  <c r="L1431" i="16" s="1"/>
  <c r="M1431" i="16" s="1"/>
  <c r="O1431" i="16" s="1"/>
  <c r="K1430" i="16"/>
  <c r="L1430" i="16" s="1"/>
  <c r="M1430" i="16" s="1"/>
  <c r="O1430" i="16" s="1"/>
  <c r="K1429" i="16"/>
  <c r="L1429" i="16" s="1"/>
  <c r="M1429" i="16" s="1"/>
  <c r="O1429" i="16" s="1"/>
  <c r="K1428" i="16"/>
  <c r="L1428" i="16" s="1"/>
  <c r="M1428" i="16" s="1"/>
  <c r="O1428" i="16" s="1"/>
  <c r="K1427" i="16"/>
  <c r="L1427" i="16" s="1"/>
  <c r="M1427" i="16" s="1"/>
  <c r="O1427" i="16" s="1"/>
  <c r="K1426" i="16"/>
  <c r="L1426" i="16" s="1"/>
  <c r="M1426" i="16" s="1"/>
  <c r="O1426" i="16" s="1"/>
  <c r="K1425" i="16"/>
  <c r="L1425" i="16" s="1"/>
  <c r="M1425" i="16" s="1"/>
  <c r="O1425" i="16" s="1"/>
  <c r="K1424" i="16"/>
  <c r="L1424" i="16" s="1"/>
  <c r="M1424" i="16" s="1"/>
  <c r="O1424" i="16" s="1"/>
  <c r="K1423" i="16"/>
  <c r="L1423" i="16" s="1"/>
  <c r="M1423" i="16" s="1"/>
  <c r="O1423" i="16" s="1"/>
  <c r="K1422" i="16"/>
  <c r="L1422" i="16" s="1"/>
  <c r="M1422" i="16" s="1"/>
  <c r="O1422" i="16" s="1"/>
  <c r="K1421" i="16"/>
  <c r="L1421" i="16" s="1"/>
  <c r="M1421" i="16" s="1"/>
  <c r="O1421" i="16" s="1"/>
  <c r="K1420" i="16"/>
  <c r="L1420" i="16" s="1"/>
  <c r="M1420" i="16" s="1"/>
  <c r="O1420" i="16" s="1"/>
  <c r="K1419" i="16"/>
  <c r="L1419" i="16" s="1"/>
  <c r="M1419" i="16" s="1"/>
  <c r="O1419" i="16" s="1"/>
  <c r="K1418" i="16"/>
  <c r="L1418" i="16" s="1"/>
  <c r="M1418" i="16" s="1"/>
  <c r="O1418" i="16" s="1"/>
  <c r="K1417" i="16"/>
  <c r="L1417" i="16" s="1"/>
  <c r="M1417" i="16" s="1"/>
  <c r="O1417" i="16" s="1"/>
  <c r="K1416" i="16"/>
  <c r="L1416" i="16" s="1"/>
  <c r="M1416" i="16" s="1"/>
  <c r="O1416" i="16" s="1"/>
  <c r="K1415" i="16"/>
  <c r="L1415" i="16" s="1"/>
  <c r="M1415" i="16" s="1"/>
  <c r="O1415" i="16" s="1"/>
  <c r="K1408" i="16"/>
  <c r="L1408" i="16" s="1"/>
  <c r="M1408" i="16" s="1"/>
  <c r="O1408" i="16" s="1"/>
  <c r="K1407" i="16"/>
  <c r="L1407" i="16" s="1"/>
  <c r="M1407" i="16" s="1"/>
  <c r="O1407" i="16" s="1"/>
  <c r="K1406" i="16"/>
  <c r="L1406" i="16" s="1"/>
  <c r="M1406" i="16" s="1"/>
  <c r="O1406" i="16" s="1"/>
  <c r="K1405" i="16"/>
  <c r="L1405" i="16" s="1"/>
  <c r="M1405" i="16" s="1"/>
  <c r="O1405" i="16" s="1"/>
  <c r="K1404" i="16"/>
  <c r="L1404" i="16" s="1"/>
  <c r="M1404" i="16" s="1"/>
  <c r="O1404" i="16" s="1"/>
  <c r="K1403" i="16"/>
  <c r="L1403" i="16" s="1"/>
  <c r="M1403" i="16" s="1"/>
  <c r="O1403" i="16" s="1"/>
  <c r="K1402" i="16"/>
  <c r="L1402" i="16" s="1"/>
  <c r="M1402" i="16" s="1"/>
  <c r="O1402" i="16" s="1"/>
  <c r="K1401" i="16"/>
  <c r="L1401" i="16" s="1"/>
  <c r="M1401" i="16" s="1"/>
  <c r="O1401" i="16" s="1"/>
  <c r="K1398" i="16"/>
  <c r="L1398" i="16" s="1"/>
  <c r="M1398" i="16" s="1"/>
  <c r="O1398" i="16" s="1"/>
  <c r="K1397" i="16"/>
  <c r="L1397" i="16" s="1"/>
  <c r="M1397" i="16" s="1"/>
  <c r="O1397" i="16" s="1"/>
  <c r="K1396" i="16"/>
  <c r="L1396" i="16" s="1"/>
  <c r="M1396" i="16" s="1"/>
  <c r="O1396" i="16" s="1"/>
  <c r="K1395" i="16"/>
  <c r="L1395" i="16" s="1"/>
  <c r="M1395" i="16" s="1"/>
  <c r="O1395" i="16" s="1"/>
  <c r="K1394" i="16"/>
  <c r="L1394" i="16" s="1"/>
  <c r="M1394" i="16" s="1"/>
  <c r="O1394" i="16" s="1"/>
  <c r="K1393" i="16"/>
  <c r="L1393" i="16" s="1"/>
  <c r="M1393" i="16" s="1"/>
  <c r="O1393" i="16" s="1"/>
  <c r="K1392" i="16"/>
  <c r="L1392" i="16" s="1"/>
  <c r="M1392" i="16" s="1"/>
  <c r="O1392" i="16" s="1"/>
  <c r="K1391" i="16"/>
  <c r="L1391" i="16" s="1"/>
  <c r="M1391" i="16" s="1"/>
  <c r="O1391" i="16" s="1"/>
  <c r="K1390" i="16"/>
  <c r="L1390" i="16" s="1"/>
  <c r="M1390" i="16" s="1"/>
  <c r="O1390" i="16" s="1"/>
  <c r="K1389" i="16"/>
  <c r="L1389" i="16" s="1"/>
  <c r="M1389" i="16" s="1"/>
  <c r="O1389" i="16" s="1"/>
  <c r="K1388" i="16"/>
  <c r="L1388" i="16" s="1"/>
  <c r="M1388" i="16" s="1"/>
  <c r="O1388" i="16" s="1"/>
  <c r="K1387" i="16"/>
  <c r="L1387" i="16" s="1"/>
  <c r="M1387" i="16" s="1"/>
  <c r="O1387" i="16" s="1"/>
  <c r="K1386" i="16"/>
  <c r="L1386" i="16" s="1"/>
  <c r="M1386" i="16" s="1"/>
  <c r="O1386" i="16" s="1"/>
  <c r="K1385" i="16"/>
  <c r="L1385" i="16" s="1"/>
  <c r="M1385" i="16" s="1"/>
  <c r="O1385" i="16" s="1"/>
  <c r="K1384" i="16"/>
  <c r="L1384" i="16" s="1"/>
  <c r="M1384" i="16" s="1"/>
  <c r="O1384" i="16" s="1"/>
  <c r="K1383" i="16"/>
  <c r="L1383" i="16" s="1"/>
  <c r="M1383" i="16" s="1"/>
  <c r="O1383" i="16" s="1"/>
  <c r="K1382" i="16"/>
  <c r="L1382" i="16" s="1"/>
  <c r="M1382" i="16" s="1"/>
  <c r="O1382" i="16" s="1"/>
  <c r="K1381" i="16"/>
  <c r="L1381" i="16" s="1"/>
  <c r="M1381" i="16" s="1"/>
  <c r="O1381" i="16" s="1"/>
  <c r="K1380" i="16"/>
  <c r="L1380" i="16" s="1"/>
  <c r="M1380" i="16" s="1"/>
  <c r="O1380" i="16" s="1"/>
  <c r="K1379" i="16"/>
  <c r="L1379" i="16" s="1"/>
  <c r="M1379" i="16" s="1"/>
  <c r="O1379" i="16" s="1"/>
  <c r="K1378" i="16"/>
  <c r="L1378" i="16" s="1"/>
  <c r="M1378" i="16" s="1"/>
  <c r="O1378" i="16" s="1"/>
  <c r="K1377" i="16"/>
  <c r="L1377" i="16" s="1"/>
  <c r="M1377" i="16" s="1"/>
  <c r="O1377" i="16" s="1"/>
  <c r="K1376" i="16"/>
  <c r="L1376" i="16" s="1"/>
  <c r="M1376" i="16" s="1"/>
  <c r="O1376" i="16" s="1"/>
  <c r="K1375" i="16"/>
  <c r="L1375" i="16" s="1"/>
  <c r="M1375" i="16" s="1"/>
  <c r="O1375" i="16" s="1"/>
  <c r="K1374" i="16"/>
  <c r="L1374" i="16" s="1"/>
  <c r="M1374" i="16" s="1"/>
  <c r="O1374" i="16" s="1"/>
  <c r="K1373" i="16"/>
  <c r="L1373" i="16" s="1"/>
  <c r="M1373" i="16" s="1"/>
  <c r="O1373" i="16" s="1"/>
  <c r="K1372" i="16"/>
  <c r="L1372" i="16" s="1"/>
  <c r="M1372" i="16" s="1"/>
  <c r="O1372" i="16" s="1"/>
  <c r="K1371" i="16"/>
  <c r="L1371" i="16" s="1"/>
  <c r="M1371" i="16" s="1"/>
  <c r="O1371" i="16" s="1"/>
  <c r="K1370" i="16"/>
  <c r="L1370" i="16" s="1"/>
  <c r="M1370" i="16" s="1"/>
  <c r="O1370" i="16" s="1"/>
  <c r="K1369" i="16"/>
  <c r="L1369" i="16" s="1"/>
  <c r="M1369" i="16" s="1"/>
  <c r="O1369" i="16" s="1"/>
  <c r="K1368" i="16"/>
  <c r="L1368" i="16" s="1"/>
  <c r="M1368" i="16" s="1"/>
  <c r="O1368" i="16" s="1"/>
  <c r="K1367" i="16"/>
  <c r="L1367" i="16" s="1"/>
  <c r="M1367" i="16" s="1"/>
  <c r="O1367" i="16" s="1"/>
  <c r="K1366" i="16"/>
  <c r="L1366" i="16" s="1"/>
  <c r="M1366" i="16" s="1"/>
  <c r="O1366" i="16" s="1"/>
  <c r="K1365" i="16"/>
  <c r="L1365" i="16" s="1"/>
  <c r="M1365" i="16" s="1"/>
  <c r="O1365" i="16" s="1"/>
  <c r="K1364" i="16"/>
  <c r="L1364" i="16" s="1"/>
  <c r="M1364" i="16" s="1"/>
  <c r="O1364" i="16" s="1"/>
  <c r="K1363" i="16"/>
  <c r="L1363" i="16" s="1"/>
  <c r="M1363" i="16" s="1"/>
  <c r="O1363" i="16" s="1"/>
  <c r="K1362" i="16"/>
  <c r="L1362" i="16" s="1"/>
  <c r="M1362" i="16" s="1"/>
  <c r="O1362" i="16" s="1"/>
  <c r="K1361" i="16"/>
  <c r="L1361" i="16" s="1"/>
  <c r="M1361" i="16" s="1"/>
  <c r="O1361" i="16" s="1"/>
  <c r="K1360" i="16"/>
  <c r="L1360" i="16" s="1"/>
  <c r="M1360" i="16" s="1"/>
  <c r="O1360" i="16" s="1"/>
  <c r="K1359" i="16"/>
  <c r="L1359" i="16" s="1"/>
  <c r="M1359" i="16" s="1"/>
  <c r="O1359" i="16" s="1"/>
  <c r="K1358" i="16"/>
  <c r="L1358" i="16" s="1"/>
  <c r="M1358" i="16" s="1"/>
  <c r="O1358" i="16" s="1"/>
  <c r="K1357" i="16"/>
  <c r="L1357" i="16" s="1"/>
  <c r="M1357" i="16" s="1"/>
  <c r="O1357" i="16" s="1"/>
  <c r="K1356" i="16"/>
  <c r="L1356" i="16" s="1"/>
  <c r="M1356" i="16" s="1"/>
  <c r="O1356" i="16" s="1"/>
  <c r="K1355" i="16"/>
  <c r="L1355" i="16" s="1"/>
  <c r="M1355" i="16" s="1"/>
  <c r="O1355" i="16" s="1"/>
  <c r="Q1383" i="16"/>
  <c r="Q1384" i="16"/>
  <c r="Q1385" i="16"/>
  <c r="Q1386" i="16"/>
  <c r="Q1387" i="16"/>
  <c r="Q1388" i="16"/>
  <c r="Q1389" i="16"/>
  <c r="Q1390" i="16"/>
  <c r="Q1391" i="16"/>
  <c r="Q1392" i="16"/>
  <c r="Q1393" i="16"/>
  <c r="Q1394" i="16"/>
  <c r="Q1395" i="16"/>
  <c r="Q1396" i="16"/>
  <c r="Q1397" i="16"/>
  <c r="Q1398" i="16"/>
  <c r="Q1401" i="16"/>
  <c r="Q1402" i="16"/>
  <c r="Q1403" i="16"/>
  <c r="Q1404" i="16"/>
  <c r="Q1405" i="16"/>
  <c r="Q1406" i="16"/>
  <c r="Q1407" i="16"/>
  <c r="Q1408" i="16"/>
  <c r="N59" i="2"/>
  <c r="S59" i="2" s="1"/>
  <c r="T59" i="2" s="1"/>
  <c r="K60" i="8"/>
  <c r="L60" i="8" s="1"/>
  <c r="N60" i="8" s="1"/>
  <c r="K59" i="8"/>
  <c r="L59" i="8" s="1"/>
  <c r="N59" i="8" s="1"/>
  <c r="K58" i="8"/>
  <c r="L58" i="8" s="1"/>
  <c r="N58" i="8" s="1"/>
  <c r="K57" i="8"/>
  <c r="L57" i="8" s="1"/>
  <c r="N57" i="8" s="1"/>
  <c r="J1351" i="16"/>
  <c r="K1351" i="16"/>
  <c r="N1351" i="16"/>
  <c r="P1351" i="16"/>
  <c r="I1351" i="16"/>
  <c r="L1349" i="16" l="1"/>
  <c r="M1349" i="16" s="1"/>
  <c r="O1349" i="16" s="1"/>
  <c r="L1348" i="16"/>
  <c r="M1348" i="16" s="1"/>
  <c r="O1348" i="16" s="1"/>
  <c r="L1347" i="16" l="1"/>
  <c r="M1347" i="16" s="1"/>
  <c r="O1347" i="16" s="1"/>
  <c r="L1346" i="16"/>
  <c r="M1346" i="16" s="1"/>
  <c r="O1346" i="16" s="1"/>
  <c r="L1345" i="16"/>
  <c r="M1345" i="16" s="1"/>
  <c r="O1345" i="16" s="1"/>
  <c r="L1344" i="16"/>
  <c r="M1344" i="16" s="1"/>
  <c r="O1344" i="16" s="1"/>
  <c r="L1343" i="16"/>
  <c r="M1343" i="16" s="1"/>
  <c r="O1343" i="16" s="1"/>
  <c r="L1342" i="16"/>
  <c r="M1342" i="16" s="1"/>
  <c r="O1342" i="16" s="1"/>
  <c r="L1341" i="16"/>
  <c r="M1341" i="16" s="1"/>
  <c r="O1341" i="16" s="1"/>
  <c r="L1340" i="16"/>
  <c r="M1340" i="16" s="1"/>
  <c r="O1340" i="16" s="1"/>
  <c r="L1339" i="16"/>
  <c r="M1339" i="16" s="1"/>
  <c r="O1339" i="16" s="1"/>
  <c r="L1338" i="16"/>
  <c r="M1338" i="16" s="1"/>
  <c r="O1338" i="16" s="1"/>
  <c r="L1337" i="16"/>
  <c r="M1337" i="16" s="1"/>
  <c r="O1337" i="16" s="1"/>
  <c r="L1336" i="16"/>
  <c r="M1336" i="16" s="1"/>
  <c r="O1336" i="16" s="1"/>
  <c r="L1335" i="16"/>
  <c r="M1335" i="16" s="1"/>
  <c r="O1335" i="16" s="1"/>
  <c r="L1334" i="16"/>
  <c r="M1334" i="16" s="1"/>
  <c r="O1334" i="16" s="1"/>
  <c r="L1333" i="16"/>
  <c r="M1333" i="16" s="1"/>
  <c r="O1333" i="16" s="1"/>
  <c r="L1332" i="16"/>
  <c r="M1332" i="16" s="1"/>
  <c r="O1332" i="16" s="1"/>
  <c r="L1331" i="16"/>
  <c r="M1331" i="16" s="1"/>
  <c r="O1331" i="16" s="1"/>
  <c r="L1330" i="16"/>
  <c r="M1330" i="16" s="1"/>
  <c r="O1330" i="16" s="1"/>
  <c r="L1329" i="16"/>
  <c r="M1329" i="16" s="1"/>
  <c r="O1329" i="16" s="1"/>
  <c r="L1328" i="16"/>
  <c r="M1328" i="16" s="1"/>
  <c r="O1328" i="16" s="1"/>
  <c r="L1327" i="16"/>
  <c r="M1327" i="16" s="1"/>
  <c r="O1327" i="16" s="1"/>
  <c r="L1326" i="16"/>
  <c r="M1326" i="16" s="1"/>
  <c r="O1326" i="16" s="1"/>
  <c r="L1325" i="16"/>
  <c r="M1325" i="16" s="1"/>
  <c r="O1325" i="16" s="1"/>
  <c r="L1324" i="16"/>
  <c r="M1324" i="16" s="1"/>
  <c r="O1324" i="16" s="1"/>
  <c r="L1323" i="16"/>
  <c r="M1323" i="16" s="1"/>
  <c r="O1323" i="16" s="1"/>
  <c r="L1322" i="16"/>
  <c r="M1322" i="16" s="1"/>
  <c r="O1322" i="16" s="1"/>
  <c r="L1321" i="16"/>
  <c r="M1321" i="16" s="1"/>
  <c r="O1321" i="16" s="1"/>
  <c r="L1320" i="16"/>
  <c r="M1320" i="16" s="1"/>
  <c r="O1320" i="16" s="1"/>
  <c r="L1319" i="16"/>
  <c r="M1319" i="16" s="1"/>
  <c r="O1319" i="16" s="1"/>
  <c r="L1318" i="16"/>
  <c r="M1318" i="16" s="1"/>
  <c r="O1318" i="16" s="1"/>
  <c r="L1317" i="16"/>
  <c r="M1317" i="16" s="1"/>
  <c r="O1317" i="16" s="1"/>
  <c r="L1316" i="16"/>
  <c r="M1316" i="16" s="1"/>
  <c r="O1316" i="16" s="1"/>
  <c r="L1315" i="16"/>
  <c r="M1315" i="16" s="1"/>
  <c r="O1315" i="16" s="1"/>
  <c r="L1314" i="16"/>
  <c r="M1314" i="16" s="1"/>
  <c r="O1314" i="16" s="1"/>
  <c r="L1313" i="16"/>
  <c r="M1313" i="16" s="1"/>
  <c r="O1313" i="16" s="1"/>
  <c r="L1312" i="16"/>
  <c r="M1312" i="16" s="1"/>
  <c r="O1312" i="16" s="1"/>
  <c r="L1311" i="16"/>
  <c r="M1311" i="16" s="1"/>
  <c r="O1311" i="16" s="1"/>
  <c r="L1310" i="16"/>
  <c r="M1310" i="16" s="1"/>
  <c r="O1310" i="16" s="1"/>
  <c r="L1309" i="16"/>
  <c r="M1309" i="16" s="1"/>
  <c r="O1309" i="16" s="1"/>
  <c r="L1308" i="16"/>
  <c r="M1308" i="16" s="1"/>
  <c r="O1308" i="16" s="1"/>
  <c r="L1307" i="16"/>
  <c r="M1307" i="16" s="1"/>
  <c r="O1307" i="16" s="1"/>
  <c r="L1306" i="16"/>
  <c r="M1306" i="16" s="1"/>
  <c r="O1306" i="16" s="1"/>
  <c r="L1305" i="16"/>
  <c r="M1305" i="16" s="1"/>
  <c r="O1305" i="16" s="1"/>
  <c r="L1304" i="16"/>
  <c r="M1304" i="16" s="1"/>
  <c r="O1304" i="16" s="1"/>
  <c r="L1303" i="16"/>
  <c r="M1303" i="16" s="1"/>
  <c r="O1303" i="16" s="1"/>
  <c r="L1302" i="16"/>
  <c r="M1302" i="16" s="1"/>
  <c r="O1302" i="16" s="1"/>
  <c r="L1301" i="16"/>
  <c r="M1301" i="16" s="1"/>
  <c r="O1301" i="16" s="1"/>
  <c r="L1300" i="16"/>
  <c r="M1300" i="16" s="1"/>
  <c r="O1300" i="16" s="1"/>
  <c r="L1299" i="16"/>
  <c r="M1299" i="16" s="1"/>
  <c r="O1299" i="16" s="1"/>
  <c r="L1298" i="16"/>
  <c r="M1298" i="16" s="1"/>
  <c r="O1298" i="16" s="1"/>
  <c r="L1297" i="16"/>
  <c r="M1297" i="16" s="1"/>
  <c r="O1297" i="16" s="1"/>
  <c r="L1296" i="16"/>
  <c r="M1296" i="16" s="1"/>
  <c r="O1296" i="16" s="1"/>
  <c r="L1295" i="16"/>
  <c r="M1295" i="16" s="1"/>
  <c r="O1295" i="16" s="1"/>
  <c r="L1294" i="16"/>
  <c r="M1294" i="16" s="1"/>
  <c r="O1294" i="16" s="1"/>
  <c r="L1293" i="16"/>
  <c r="M1293" i="16" s="1"/>
  <c r="O1293" i="16" s="1"/>
  <c r="L1292" i="16"/>
  <c r="M1292" i="16" s="1"/>
  <c r="O1292" i="16" s="1"/>
  <c r="L1291" i="16"/>
  <c r="M1291" i="16" s="1"/>
  <c r="O1291" i="16" s="1"/>
  <c r="L1290" i="16"/>
  <c r="M1290" i="16" s="1"/>
  <c r="O1290" i="16" s="1"/>
  <c r="L1289" i="16"/>
  <c r="M1289" i="16" s="1"/>
  <c r="O1289" i="16" s="1"/>
  <c r="L1288" i="16"/>
  <c r="M1288" i="16" s="1"/>
  <c r="O1288" i="16" s="1"/>
  <c r="L1287" i="16"/>
  <c r="M1287" i="16" s="1"/>
  <c r="O1287" i="16" s="1"/>
  <c r="L1286" i="16"/>
  <c r="M1286" i="16" s="1"/>
  <c r="O1286" i="16" s="1"/>
  <c r="L1285" i="16"/>
  <c r="M1285" i="16" s="1"/>
  <c r="O1285" i="16" s="1"/>
  <c r="L1284" i="16"/>
  <c r="M1284" i="16" s="1"/>
  <c r="O1284" i="16" s="1"/>
  <c r="L1283" i="16"/>
  <c r="M1283" i="16" s="1"/>
  <c r="O1283" i="16" s="1"/>
  <c r="L1282" i="16"/>
  <c r="M1282" i="16" s="1"/>
  <c r="O1282" i="16" s="1"/>
  <c r="L1281" i="16"/>
  <c r="M1281" i="16" s="1"/>
  <c r="O1281" i="16" s="1"/>
  <c r="L1280" i="16"/>
  <c r="M1280" i="16" s="1"/>
  <c r="O1280" i="16" s="1"/>
  <c r="L1279" i="16"/>
  <c r="M1279" i="16" s="1"/>
  <c r="O1279" i="16" s="1"/>
  <c r="L1278" i="16"/>
  <c r="M1278" i="16" s="1"/>
  <c r="O1278" i="16" s="1"/>
  <c r="L1277" i="16"/>
  <c r="M1277" i="16" s="1"/>
  <c r="O1277" i="16" s="1"/>
  <c r="L1276" i="16"/>
  <c r="M1276" i="16" s="1"/>
  <c r="O1276" i="16" s="1"/>
  <c r="L1275" i="16"/>
  <c r="M1275" i="16" s="1"/>
  <c r="O1275" i="16" s="1"/>
  <c r="L1274" i="16"/>
  <c r="M1274" i="16" s="1"/>
  <c r="O1274" i="16" s="1"/>
  <c r="L1273" i="16"/>
  <c r="M1273" i="16" s="1"/>
  <c r="O1273" i="16" s="1"/>
  <c r="L1272" i="16"/>
  <c r="M1272" i="16" s="1"/>
  <c r="O1272" i="16" s="1"/>
  <c r="L1271" i="16"/>
  <c r="M1271" i="16" s="1"/>
  <c r="O1271" i="16" s="1"/>
  <c r="L1270" i="16"/>
  <c r="M1270" i="16" s="1"/>
  <c r="O1270" i="16" s="1"/>
  <c r="L1269" i="16"/>
  <c r="M1269" i="16" s="1"/>
  <c r="O1269" i="16" s="1"/>
  <c r="L1268" i="16"/>
  <c r="M1268" i="16" s="1"/>
  <c r="O1268" i="16" s="1"/>
  <c r="L1267" i="16"/>
  <c r="M1267" i="16" s="1"/>
  <c r="O1267" i="16" s="1"/>
  <c r="L1266" i="16"/>
  <c r="M1266" i="16" s="1"/>
  <c r="O1266" i="16" s="1"/>
  <c r="L1265" i="16"/>
  <c r="M1265" i="16" s="1"/>
  <c r="O1265" i="16" s="1"/>
  <c r="L1264" i="16"/>
  <c r="M1264" i="16" s="1"/>
  <c r="O1264" i="16" s="1"/>
  <c r="L1263" i="16"/>
  <c r="M1263" i="16" s="1"/>
  <c r="O1263" i="16" s="1"/>
  <c r="L1262" i="16"/>
  <c r="M1262" i="16" s="1"/>
  <c r="O1262" i="16" s="1"/>
  <c r="L1261" i="16"/>
  <c r="M1261" i="16" s="1"/>
  <c r="O1261" i="16" s="1"/>
  <c r="L1260" i="16"/>
  <c r="M1260" i="16" s="1"/>
  <c r="O1260" i="16" s="1"/>
  <c r="L1259" i="16"/>
  <c r="M1259" i="16" s="1"/>
  <c r="O1259" i="16" s="1"/>
  <c r="L1258" i="16"/>
  <c r="M1258" i="16" s="1"/>
  <c r="O1258" i="16" s="1"/>
  <c r="L1257" i="16"/>
  <c r="M1257" i="16" s="1"/>
  <c r="O1257" i="16" s="1"/>
  <c r="L1256" i="16"/>
  <c r="M1256" i="16" s="1"/>
  <c r="O1256" i="16" s="1"/>
  <c r="L1255" i="16"/>
  <c r="M1255" i="16" s="1"/>
  <c r="O1255" i="16" s="1"/>
  <c r="L1254" i="16"/>
  <c r="M1254" i="16" s="1"/>
  <c r="O1254" i="16" s="1"/>
  <c r="L1253" i="16"/>
  <c r="M1253" i="16" s="1"/>
  <c r="O1253" i="16" s="1"/>
  <c r="L1252" i="16"/>
  <c r="M1252" i="16" s="1"/>
  <c r="O1252" i="16" s="1"/>
  <c r="L1251" i="16"/>
  <c r="M1251" i="16" s="1"/>
  <c r="O1251" i="16" s="1"/>
  <c r="L1250" i="16"/>
  <c r="M1250" i="16" s="1"/>
  <c r="O1250" i="16" s="1"/>
  <c r="L1249" i="16"/>
  <c r="M1249" i="16" s="1"/>
  <c r="O1249" i="16" s="1"/>
  <c r="L1248" i="16"/>
  <c r="M1248" i="16" s="1"/>
  <c r="O1248" i="16" s="1"/>
  <c r="L1247" i="16"/>
  <c r="M1247" i="16" s="1"/>
  <c r="O1247" i="16" s="1"/>
  <c r="O33" i="20" l="1"/>
  <c r="G37" i="18" l="1"/>
  <c r="L1245" i="16" l="1"/>
  <c r="M1245" i="16" s="1"/>
  <c r="O1245" i="16" s="1"/>
  <c r="L1244" i="16"/>
  <c r="M1244" i="16" s="1"/>
  <c r="O1244" i="16" s="1"/>
  <c r="L1243" i="16"/>
  <c r="M1243" i="16" s="1"/>
  <c r="O1243" i="16" s="1"/>
  <c r="L1242" i="16"/>
  <c r="M1242" i="16" s="1"/>
  <c r="O1242" i="16" s="1"/>
  <c r="L1241" i="16"/>
  <c r="M1241" i="16" s="1"/>
  <c r="O1241" i="16" s="1"/>
  <c r="L1240" i="16"/>
  <c r="M1240" i="16" s="1"/>
  <c r="O1240" i="16" s="1"/>
  <c r="K409" i="8"/>
  <c r="L409" i="8" s="1"/>
  <c r="N409" i="8" s="1"/>
  <c r="K408" i="8"/>
  <c r="L408" i="8" s="1"/>
  <c r="N408" i="8" s="1"/>
  <c r="L1239" i="16"/>
  <c r="M1239" i="16" s="1"/>
  <c r="O1239" i="16" s="1"/>
  <c r="L1238" i="16"/>
  <c r="M1238" i="16" s="1"/>
  <c r="O1238" i="16" s="1"/>
  <c r="L1237" i="16"/>
  <c r="M1237" i="16" s="1"/>
  <c r="O1237" i="16" s="1"/>
  <c r="L1236" i="16"/>
  <c r="M1236" i="16" s="1"/>
  <c r="O1236" i="16" s="1"/>
  <c r="L1235" i="16"/>
  <c r="M1235" i="16" s="1"/>
  <c r="O1235" i="16" s="1"/>
  <c r="L1234" i="16"/>
  <c r="M1234" i="16" s="1"/>
  <c r="O1234" i="16" s="1"/>
  <c r="L1233" i="16"/>
  <c r="M1233" i="16" s="1"/>
  <c r="O1233" i="16" s="1"/>
  <c r="L1232" i="16"/>
  <c r="M1232" i="16" s="1"/>
  <c r="O1232" i="16" s="1"/>
  <c r="L1231" i="16"/>
  <c r="M1231" i="16" s="1"/>
  <c r="O1231" i="16" s="1"/>
  <c r="L1230" i="16"/>
  <c r="M1230" i="16" s="1"/>
  <c r="O1230" i="16" s="1"/>
  <c r="L1229" i="16"/>
  <c r="M1229" i="16" s="1"/>
  <c r="O1229" i="16" s="1"/>
  <c r="L1228" i="16"/>
  <c r="M1228" i="16" s="1"/>
  <c r="O1228" i="16" s="1"/>
  <c r="L1227" i="16"/>
  <c r="M1227" i="16" s="1"/>
  <c r="O1227" i="16" s="1"/>
  <c r="L1226" i="16"/>
  <c r="M1226" i="16" s="1"/>
  <c r="O1226" i="16" s="1"/>
  <c r="L1225" i="16"/>
  <c r="M1225" i="16" s="1"/>
  <c r="L1351" i="16" l="1"/>
  <c r="O1225" i="16"/>
  <c r="O1351" i="16" s="1"/>
  <c r="M1351" i="16"/>
  <c r="H37" i="18" l="1"/>
  <c r="F6" i="19" l="1"/>
  <c r="G6" i="19"/>
  <c r="H6" i="19"/>
  <c r="J6" i="19" l="1"/>
  <c r="P1222" i="16" l="1"/>
  <c r="I1222" i="16"/>
  <c r="G36" i="18" s="1"/>
  <c r="L1220" i="16"/>
  <c r="M1220" i="16" s="1"/>
  <c r="O1220" i="16" s="1"/>
  <c r="L1219" i="16"/>
  <c r="M1219" i="16" s="1"/>
  <c r="O1219" i="16" s="1"/>
  <c r="L1218" i="16"/>
  <c r="M1218" i="16" s="1"/>
  <c r="O1218" i="16" s="1"/>
  <c r="L1217" i="16"/>
  <c r="M1217" i="16" s="1"/>
  <c r="O1217" i="16" s="1"/>
  <c r="L1216" i="16"/>
  <c r="M1216" i="16" s="1"/>
  <c r="O1216" i="16" s="1"/>
  <c r="L1215" i="16"/>
  <c r="M1215" i="16" s="1"/>
  <c r="O1215" i="16" s="1"/>
  <c r="L1214" i="16"/>
  <c r="M1214" i="16" s="1"/>
  <c r="O1214" i="16" s="1"/>
  <c r="L1213" i="16"/>
  <c r="M1213" i="16" s="1"/>
  <c r="O1213" i="16" s="1"/>
  <c r="L1212" i="16"/>
  <c r="M1212" i="16" s="1"/>
  <c r="O1212" i="16" s="1"/>
  <c r="L1211" i="16"/>
  <c r="M1211" i="16" s="1"/>
  <c r="O1211" i="16" s="1"/>
  <c r="L1210" i="16"/>
  <c r="M1210" i="16" s="1"/>
  <c r="O1210" i="16" s="1"/>
  <c r="L1209" i="16"/>
  <c r="M1209" i="16" s="1"/>
  <c r="O1209" i="16" s="1"/>
  <c r="L1208" i="16"/>
  <c r="M1208" i="16" s="1"/>
  <c r="O1208" i="16" s="1"/>
  <c r="L1207" i="16"/>
  <c r="M1207" i="16" s="1"/>
  <c r="O1207" i="16" s="1"/>
  <c r="L1206" i="16"/>
  <c r="M1206" i="16" s="1"/>
  <c r="O1206" i="16" s="1"/>
  <c r="L1205" i="16"/>
  <c r="M1205" i="16" s="1"/>
  <c r="O1205" i="16" s="1"/>
  <c r="L1204" i="16"/>
  <c r="M1204" i="16" s="1"/>
  <c r="O1204" i="16" s="1"/>
  <c r="L1203" i="16"/>
  <c r="M1203" i="16" s="1"/>
  <c r="O1203" i="16" s="1"/>
  <c r="L1202" i="16"/>
  <c r="M1202" i="16" s="1"/>
  <c r="O1202" i="16" s="1"/>
  <c r="L1201" i="16"/>
  <c r="M1201" i="16" s="1"/>
  <c r="O1201" i="16" s="1"/>
  <c r="L1200" i="16"/>
  <c r="M1200" i="16" s="1"/>
  <c r="O1200" i="16" s="1"/>
  <c r="L1199" i="16"/>
  <c r="M1199" i="16" s="1"/>
  <c r="O1199" i="16" s="1"/>
  <c r="L1198" i="16"/>
  <c r="M1198" i="16" s="1"/>
  <c r="O1198" i="16" s="1"/>
  <c r="L1197" i="16"/>
  <c r="M1197" i="16" s="1"/>
  <c r="O1197" i="16" s="1"/>
  <c r="L1196" i="16"/>
  <c r="M1196" i="16" s="1"/>
  <c r="O1196" i="16" s="1"/>
  <c r="L1195" i="16"/>
  <c r="M1195" i="16" s="1"/>
  <c r="O1195" i="16" s="1"/>
  <c r="L1194" i="16"/>
  <c r="M1194" i="16" s="1"/>
  <c r="O1194" i="16" s="1"/>
  <c r="L1193" i="16"/>
  <c r="M1193" i="16" s="1"/>
  <c r="O1193" i="16" s="1"/>
  <c r="L1192" i="16"/>
  <c r="M1192" i="16" s="1"/>
  <c r="O1192" i="16" s="1"/>
  <c r="L1191" i="16"/>
  <c r="M1191" i="16" s="1"/>
  <c r="O1191" i="16" s="1"/>
  <c r="L1190" i="16"/>
  <c r="M1190" i="16" s="1"/>
  <c r="O1190" i="16" s="1"/>
  <c r="L1189" i="16"/>
  <c r="M1189" i="16" s="1"/>
  <c r="O1189" i="16" s="1"/>
  <c r="L1188" i="16"/>
  <c r="M1188" i="16" s="1"/>
  <c r="O1188" i="16" s="1"/>
  <c r="L1187" i="16"/>
  <c r="M1187" i="16" s="1"/>
  <c r="O1187" i="16" s="1"/>
  <c r="L1186" i="16"/>
  <c r="M1186" i="16" s="1"/>
  <c r="O1186" i="16" s="1"/>
  <c r="L1185" i="16"/>
  <c r="M1185" i="16" s="1"/>
  <c r="O1185" i="16" s="1"/>
  <c r="L1184" i="16"/>
  <c r="M1184" i="16" s="1"/>
  <c r="O1184" i="16" s="1"/>
  <c r="L1183" i="16"/>
  <c r="M1183" i="16" s="1"/>
  <c r="O1183" i="16" s="1"/>
  <c r="L1182" i="16"/>
  <c r="M1182" i="16" s="1"/>
  <c r="O1182" i="16" s="1"/>
  <c r="L1181" i="16"/>
  <c r="M1181" i="16" s="1"/>
  <c r="O1181" i="16" s="1"/>
  <c r="L1180" i="16"/>
  <c r="M1180" i="16" s="1"/>
  <c r="O1180" i="16" s="1"/>
  <c r="L1179" i="16"/>
  <c r="M1179" i="16" s="1"/>
  <c r="O1179" i="16" s="1"/>
  <c r="L1178" i="16"/>
  <c r="M1178" i="16" s="1"/>
  <c r="O1178" i="16" s="1"/>
  <c r="L1177" i="16"/>
  <c r="M1177" i="16" s="1"/>
  <c r="O1177" i="16" s="1"/>
  <c r="L1176" i="16"/>
  <c r="M1176" i="16" s="1"/>
  <c r="O1176" i="16" s="1"/>
  <c r="L1175" i="16"/>
  <c r="M1175" i="16" s="1"/>
  <c r="O1175" i="16" s="1"/>
  <c r="L1174" i="16"/>
  <c r="M1174" i="16" s="1"/>
  <c r="O1174" i="16" s="1"/>
  <c r="L1173" i="16"/>
  <c r="M1173" i="16" s="1"/>
  <c r="O1173" i="16" s="1"/>
  <c r="H36" i="18" l="1"/>
  <c r="L1168" i="16"/>
  <c r="M1168" i="16" s="1"/>
  <c r="O1168" i="16" s="1"/>
  <c r="L1167" i="16"/>
  <c r="M1167" i="16" s="1"/>
  <c r="O1167" i="16" s="1"/>
  <c r="L1166" i="16"/>
  <c r="M1166" i="16" s="1"/>
  <c r="O1166" i="16" s="1"/>
  <c r="L1165" i="16"/>
  <c r="M1165" i="16" s="1"/>
  <c r="O1165" i="16" s="1"/>
  <c r="L1164" i="16"/>
  <c r="M1164" i="16" s="1"/>
  <c r="O1164" i="16" s="1"/>
  <c r="L1163" i="16"/>
  <c r="M1163" i="16" s="1"/>
  <c r="O1163" i="16" s="1"/>
  <c r="L1162" i="16"/>
  <c r="M1162" i="16" s="1"/>
  <c r="O1162" i="16" s="1"/>
  <c r="J1161" i="16"/>
  <c r="L1161" i="16" s="1"/>
  <c r="M1161" i="16" s="1"/>
  <c r="O1161" i="16" s="1"/>
  <c r="I1169" i="16"/>
  <c r="G35" i="18" l="1"/>
  <c r="I1170" i="16"/>
  <c r="L1130" i="16" l="1"/>
  <c r="M1130" i="16" s="1"/>
  <c r="O1130" i="16" s="1"/>
  <c r="L1107" i="16"/>
  <c r="M1107" i="16" s="1"/>
  <c r="O1107" i="16" s="1"/>
  <c r="L1102" i="16" l="1"/>
  <c r="M1102" i="16" s="1"/>
  <c r="O1102" i="16" s="1"/>
  <c r="L1137" i="16"/>
  <c r="M1137" i="16" s="1"/>
  <c r="O1137" i="16" s="1"/>
  <c r="L1136" i="16"/>
  <c r="M1136" i="16" s="1"/>
  <c r="O1136" i="16" s="1"/>
  <c r="L1135" i="16"/>
  <c r="M1135" i="16" s="1"/>
  <c r="O1135" i="16" s="1"/>
  <c r="L1134" i="16"/>
  <c r="M1134" i="16" s="1"/>
  <c r="O1134" i="16" s="1"/>
  <c r="L1133" i="16"/>
  <c r="M1133" i="16" s="1"/>
  <c r="O1133" i="16" s="1"/>
  <c r="L1132" i="16"/>
  <c r="M1132" i="16" s="1"/>
  <c r="O1132" i="16" s="1"/>
  <c r="L1131" i="16"/>
  <c r="M1131" i="16" s="1"/>
  <c r="O1131" i="16" s="1"/>
  <c r="L1110" i="16"/>
  <c r="M1110" i="16" s="1"/>
  <c r="O1110" i="16" s="1"/>
  <c r="L1112" i="16"/>
  <c r="M1112" i="16" s="1"/>
  <c r="O1112" i="16" s="1"/>
  <c r="L1113" i="16"/>
  <c r="M1113" i="16" s="1"/>
  <c r="O1113" i="16" s="1"/>
  <c r="L1114" i="16"/>
  <c r="M1114" i="16" s="1"/>
  <c r="O1114" i="16" s="1"/>
  <c r="L1115" i="16"/>
  <c r="M1115" i="16" s="1"/>
  <c r="O1115" i="16" s="1"/>
  <c r="L1116" i="16"/>
  <c r="M1116" i="16" s="1"/>
  <c r="O1116" i="16" s="1"/>
  <c r="L1117" i="16"/>
  <c r="M1117" i="16" s="1"/>
  <c r="O1117" i="16" s="1"/>
  <c r="L1118" i="16"/>
  <c r="M1118" i="16" s="1"/>
  <c r="O1118" i="16" s="1"/>
  <c r="L1119" i="16"/>
  <c r="M1119" i="16" s="1"/>
  <c r="O1119" i="16" s="1"/>
  <c r="L1120" i="16"/>
  <c r="M1120" i="16" s="1"/>
  <c r="O1120" i="16" s="1"/>
  <c r="L1121" i="16"/>
  <c r="M1121" i="16" s="1"/>
  <c r="O1121" i="16" s="1"/>
  <c r="L1122" i="16"/>
  <c r="M1122" i="16" s="1"/>
  <c r="O1122" i="16" s="1"/>
  <c r="L1123" i="16"/>
  <c r="M1123" i="16" s="1"/>
  <c r="O1123" i="16" s="1"/>
  <c r="L1124" i="16"/>
  <c r="M1124" i="16" s="1"/>
  <c r="O1124" i="16" s="1"/>
  <c r="L1125" i="16"/>
  <c r="M1125" i="16" s="1"/>
  <c r="O1125" i="16" s="1"/>
  <c r="L1126" i="16"/>
  <c r="M1126" i="16" s="1"/>
  <c r="O1126" i="16" s="1"/>
  <c r="L1127" i="16"/>
  <c r="M1127" i="16" s="1"/>
  <c r="O1127" i="16" s="1"/>
  <c r="L1128" i="16"/>
  <c r="M1128" i="16" s="1"/>
  <c r="O1128" i="16" s="1"/>
  <c r="L1129" i="16"/>
  <c r="M1129" i="16" s="1"/>
  <c r="O1129" i="16" s="1"/>
  <c r="L1111" i="16"/>
  <c r="M1111" i="16" s="1"/>
  <c r="O1111" i="16" s="1"/>
  <c r="L1106" i="16" l="1"/>
  <c r="M1106" i="16" s="1"/>
  <c r="O1106" i="16" s="1"/>
  <c r="L1104" i="16"/>
  <c r="M1104" i="16" s="1"/>
  <c r="O1104" i="16" s="1"/>
  <c r="L1101" i="16"/>
  <c r="M1101" i="16" s="1"/>
  <c r="O1101" i="16" s="1"/>
  <c r="L1100" i="16"/>
  <c r="M1100" i="16" s="1"/>
  <c r="O1100" i="16" s="1"/>
  <c r="L1105" i="16"/>
  <c r="M1105" i="16" s="1"/>
  <c r="O1105" i="16" s="1"/>
  <c r="L1103" i="16"/>
  <c r="M1103" i="16" s="1"/>
  <c r="O1103" i="16" s="1"/>
  <c r="K394" i="8"/>
  <c r="L394" i="8" s="1"/>
  <c r="N394" i="8" s="1"/>
  <c r="K380" i="8"/>
  <c r="L380" i="8" s="1"/>
  <c r="N380" i="8" s="1"/>
  <c r="H35" i="18" l="1"/>
  <c r="F253" i="14" l="1"/>
  <c r="E253" i="14"/>
  <c r="E222" i="14" l="1"/>
  <c r="F222" i="14"/>
  <c r="K33" i="20" l="1"/>
  <c r="G33" i="20"/>
  <c r="C33" i="20"/>
  <c r="K1075" i="8"/>
  <c r="L1075" i="8" s="1"/>
  <c r="N1075" i="8" s="1"/>
  <c r="K1074" i="8"/>
  <c r="L1074" i="8" s="1"/>
  <c r="N1074" i="8" s="1"/>
  <c r="K1073" i="8"/>
  <c r="L1073" i="8" s="1"/>
  <c r="N1073" i="8" s="1"/>
  <c r="K1072" i="8"/>
  <c r="L1072" i="8" s="1"/>
  <c r="N1072" i="8" s="1"/>
  <c r="K1071" i="8"/>
  <c r="L1071" i="8" s="1"/>
  <c r="N1071" i="8" s="1"/>
  <c r="K1070" i="8"/>
  <c r="L1070" i="8" s="1"/>
  <c r="N1070" i="8" s="1"/>
  <c r="K1069" i="8"/>
  <c r="L1069" i="8" s="1"/>
  <c r="N1069" i="8" s="1"/>
  <c r="K1068" i="8"/>
  <c r="L1068" i="8" s="1"/>
  <c r="N1068" i="8" s="1"/>
  <c r="K1067" i="8"/>
  <c r="L1067" i="8" s="1"/>
  <c r="N1067" i="8" s="1"/>
  <c r="K1066" i="8"/>
  <c r="L1066" i="8" s="1"/>
  <c r="N1066" i="8" s="1"/>
  <c r="K1065" i="8"/>
  <c r="L1065" i="8" s="1"/>
  <c r="N1065" i="8" s="1"/>
  <c r="K1064" i="8"/>
  <c r="L1064" i="8" s="1"/>
  <c r="N1064" i="8" s="1"/>
  <c r="K1063" i="8"/>
  <c r="L1063" i="8" s="1"/>
  <c r="N1063" i="8" s="1"/>
  <c r="K1062" i="8"/>
  <c r="L1062" i="8" s="1"/>
  <c r="N1062" i="8" s="1"/>
  <c r="K1061" i="8"/>
  <c r="L1061" i="8" s="1"/>
  <c r="N1061" i="8" s="1"/>
  <c r="K1060" i="8"/>
  <c r="L1060" i="8" s="1"/>
  <c r="N1060" i="8" s="1"/>
  <c r="K1059" i="8"/>
  <c r="L1059" i="8" s="1"/>
  <c r="N1059" i="8" s="1"/>
  <c r="K1058" i="8"/>
  <c r="L1058" i="8" s="1"/>
  <c r="N1058" i="8" s="1"/>
  <c r="K1057" i="8"/>
  <c r="L1057" i="8" s="1"/>
  <c r="N1057" i="8" s="1"/>
  <c r="K1056" i="8"/>
  <c r="L1056" i="8" s="1"/>
  <c r="N1056" i="8" s="1"/>
  <c r="K1055" i="8"/>
  <c r="L1055" i="8" s="1"/>
  <c r="N1055" i="8" s="1"/>
  <c r="K1054" i="8"/>
  <c r="L1054" i="8" s="1"/>
  <c r="N1054" i="8" s="1"/>
  <c r="K1053" i="8"/>
  <c r="L1053" i="8" s="1"/>
  <c r="N1053" i="8" s="1"/>
  <c r="K1052" i="8"/>
  <c r="L1052" i="8" s="1"/>
  <c r="N1052" i="8" s="1"/>
  <c r="K405" i="8"/>
  <c r="L405" i="8" s="1"/>
  <c r="N405" i="8" s="1"/>
  <c r="K404" i="8"/>
  <c r="L404" i="8" s="1"/>
  <c r="N404" i="8" s="1"/>
  <c r="K403" i="8"/>
  <c r="L403" i="8" s="1"/>
  <c r="N403" i="8" s="1"/>
  <c r="K402" i="8"/>
  <c r="L402" i="8" s="1"/>
  <c r="N402" i="8" s="1"/>
  <c r="K401" i="8"/>
  <c r="L401" i="8" s="1"/>
  <c r="N401" i="8" s="1"/>
  <c r="K400" i="8"/>
  <c r="L400" i="8" s="1"/>
  <c r="N400" i="8" s="1"/>
  <c r="K399" i="8"/>
  <c r="L399" i="8" s="1"/>
  <c r="N399" i="8" s="1"/>
  <c r="K398" i="8"/>
  <c r="L398" i="8" s="1"/>
  <c r="N398" i="8" s="1"/>
  <c r="K397" i="8"/>
  <c r="L397" i="8" s="1"/>
  <c r="N397" i="8" s="1"/>
  <c r="K396" i="8"/>
  <c r="L396" i="8" s="1"/>
  <c r="N396" i="8" s="1"/>
  <c r="K395" i="8"/>
  <c r="L395" i="8" s="1"/>
  <c r="N395" i="8" s="1"/>
  <c r="K393" i="8"/>
  <c r="L393" i="8" s="1"/>
  <c r="N393" i="8" s="1"/>
  <c r="K392" i="8"/>
  <c r="L392" i="8" s="1"/>
  <c r="N392" i="8" s="1"/>
  <c r="K391" i="8"/>
  <c r="L391" i="8" s="1"/>
  <c r="N391" i="8" s="1"/>
  <c r="K388" i="8"/>
  <c r="L388" i="8" s="1"/>
  <c r="N388" i="8" s="1"/>
  <c r="K387" i="8"/>
  <c r="L387" i="8" s="1"/>
  <c r="N387" i="8" s="1"/>
  <c r="K386" i="8"/>
  <c r="L386" i="8" s="1"/>
  <c r="N386" i="8" s="1"/>
  <c r="K385" i="8"/>
  <c r="L385" i="8" s="1"/>
  <c r="N385" i="8" s="1"/>
  <c r="K384" i="8"/>
  <c r="L384" i="8" s="1"/>
  <c r="N384" i="8" s="1"/>
  <c r="K383" i="8"/>
  <c r="L383" i="8" s="1"/>
  <c r="N383" i="8" s="1"/>
  <c r="K382" i="8"/>
  <c r="L382" i="8" s="1"/>
  <c r="N382" i="8" s="1"/>
  <c r="K381" i="8"/>
  <c r="L381" i="8" s="1"/>
  <c r="N381" i="8" s="1"/>
  <c r="K379" i="8"/>
  <c r="L379" i="8" s="1"/>
  <c r="N379" i="8" s="1"/>
  <c r="K378" i="8"/>
  <c r="L378" i="8" s="1"/>
  <c r="N378" i="8" s="1"/>
  <c r="K377" i="8"/>
  <c r="L377" i="8" s="1"/>
  <c r="N377" i="8" s="1"/>
  <c r="K376" i="8"/>
  <c r="L376" i="8" s="1"/>
  <c r="N376" i="8" s="1"/>
  <c r="K375" i="8"/>
  <c r="L375" i="8" s="1"/>
  <c r="N375" i="8" s="1"/>
  <c r="K374" i="8"/>
  <c r="L374" i="8" s="1"/>
  <c r="N374" i="8" s="1"/>
  <c r="K373" i="8"/>
  <c r="L373" i="8" s="1"/>
  <c r="N373" i="8" s="1"/>
  <c r="K372" i="8"/>
  <c r="L372" i="8" s="1"/>
  <c r="N372" i="8" s="1"/>
  <c r="K371" i="8"/>
  <c r="L371" i="8" s="1"/>
  <c r="N371" i="8" s="1"/>
  <c r="K370" i="8"/>
  <c r="L370" i="8" s="1"/>
  <c r="N370" i="8" s="1"/>
  <c r="K369" i="8"/>
  <c r="L369" i="8" s="1"/>
  <c r="N369" i="8" s="1"/>
  <c r="I711" i="16"/>
  <c r="P871" i="16" l="1"/>
  <c r="I871" i="16"/>
  <c r="E45" i="18" s="1"/>
  <c r="P1158" i="16" l="1"/>
  <c r="L1099" i="16"/>
  <c r="M1099" i="16" s="1"/>
  <c r="O1099" i="16" s="1"/>
  <c r="L1098" i="16"/>
  <c r="M1098" i="16" s="1"/>
  <c r="O1098" i="16" s="1"/>
  <c r="L1097" i="16"/>
  <c r="M1097" i="16" s="1"/>
  <c r="O1097" i="16" s="1"/>
  <c r="L1096" i="16"/>
  <c r="M1096" i="16" s="1"/>
  <c r="O1096" i="16" s="1"/>
  <c r="L1095" i="16"/>
  <c r="M1095" i="16" s="1"/>
  <c r="O1095" i="16" s="1"/>
  <c r="L1094" i="16"/>
  <c r="M1094" i="16" s="1"/>
  <c r="O1094" i="16" s="1"/>
  <c r="L1093" i="16"/>
  <c r="M1093" i="16" s="1"/>
  <c r="O1093" i="16" s="1"/>
  <c r="L1092" i="16"/>
  <c r="M1092" i="16" s="1"/>
  <c r="O1092" i="16" s="1"/>
  <c r="L1091" i="16"/>
  <c r="M1091" i="16" s="1"/>
  <c r="O1091" i="16" s="1"/>
  <c r="L1156" i="16"/>
  <c r="M1156" i="16" s="1"/>
  <c r="O1156" i="16" s="1"/>
  <c r="L1155" i="16"/>
  <c r="M1155" i="16" s="1"/>
  <c r="O1155" i="16" s="1"/>
  <c r="L1154" i="16"/>
  <c r="M1154" i="16" s="1"/>
  <c r="O1154" i="16" s="1"/>
  <c r="L1142" i="16"/>
  <c r="M1142" i="16" s="1"/>
  <c r="O1142" i="16" s="1"/>
  <c r="L1150" i="16"/>
  <c r="M1150" i="16" s="1"/>
  <c r="O1150" i="16" s="1"/>
  <c r="L1149" i="16"/>
  <c r="M1149" i="16" s="1"/>
  <c r="O1149" i="16" s="1"/>
  <c r="L1148" i="16"/>
  <c r="M1148" i="16" s="1"/>
  <c r="O1148" i="16" s="1"/>
  <c r="L1147" i="16"/>
  <c r="M1147" i="16" s="1"/>
  <c r="O1147" i="16" s="1"/>
  <c r="L1146" i="16"/>
  <c r="M1146" i="16" s="1"/>
  <c r="O1146" i="16" s="1"/>
  <c r="L1145" i="16"/>
  <c r="M1145" i="16" s="1"/>
  <c r="O1145" i="16" s="1"/>
  <c r="L1144" i="16"/>
  <c r="M1144" i="16" s="1"/>
  <c r="O1144" i="16" s="1"/>
  <c r="L1143" i="16"/>
  <c r="M1143" i="16" s="1"/>
  <c r="O1143" i="16" s="1"/>
  <c r="L1141" i="16"/>
  <c r="M1141" i="16" s="1"/>
  <c r="O1141" i="16" s="1"/>
  <c r="L1140" i="16"/>
  <c r="M1140" i="16" s="1"/>
  <c r="O1140" i="16" s="1"/>
  <c r="L1088" i="16"/>
  <c r="M1088" i="16" s="1"/>
  <c r="O1088" i="16" s="1"/>
  <c r="L1087" i="16"/>
  <c r="M1087" i="16" s="1"/>
  <c r="O1087" i="16" s="1"/>
  <c r="L1086" i="16"/>
  <c r="M1086" i="16" s="1"/>
  <c r="O1086" i="16" s="1"/>
  <c r="L1085" i="16"/>
  <c r="M1085" i="16" s="1"/>
  <c r="O1085" i="16" s="1"/>
  <c r="L1084" i="16"/>
  <c r="M1084" i="16" s="1"/>
  <c r="O1084" i="16" s="1"/>
  <c r="L1083" i="16"/>
  <c r="M1083" i="16" s="1"/>
  <c r="O1083" i="16" s="1"/>
  <c r="L1082" i="16"/>
  <c r="M1082" i="16" s="1"/>
  <c r="O1082" i="16" s="1"/>
  <c r="L1081" i="16"/>
  <c r="M1081" i="16" s="1"/>
  <c r="O1081" i="16" s="1"/>
  <c r="L1080" i="16"/>
  <c r="M1080" i="16" s="1"/>
  <c r="O1080" i="16" s="1"/>
  <c r="L1079" i="16"/>
  <c r="M1079" i="16" s="1"/>
  <c r="O1079" i="16" s="1"/>
  <c r="L1078" i="16"/>
  <c r="M1078" i="16" s="1"/>
  <c r="O1078" i="16" s="1"/>
  <c r="L1077" i="16"/>
  <c r="M1077" i="16" s="1"/>
  <c r="O1077" i="16" s="1"/>
  <c r="L1076" i="16"/>
  <c r="M1076" i="16" s="1"/>
  <c r="O1076" i="16" s="1"/>
  <c r="L1075" i="16"/>
  <c r="M1075" i="16" s="1"/>
  <c r="O1075" i="16" s="1"/>
  <c r="L1074" i="16"/>
  <c r="M1074" i="16" s="1"/>
  <c r="O1074" i="16" s="1"/>
  <c r="L1073" i="16"/>
  <c r="M1073" i="16" s="1"/>
  <c r="O1073" i="16" s="1"/>
  <c r="L1072" i="16"/>
  <c r="M1072" i="16" s="1"/>
  <c r="O1072" i="16" s="1"/>
  <c r="L1071" i="16"/>
  <c r="M1071" i="16" s="1"/>
  <c r="O1071" i="16" s="1"/>
  <c r="L1070" i="16"/>
  <c r="M1070" i="16" s="1"/>
  <c r="O1070" i="16" s="1"/>
  <c r="L1069" i="16"/>
  <c r="M1069" i="16" s="1"/>
  <c r="O1069" i="16" s="1"/>
  <c r="L1068" i="16"/>
  <c r="M1068" i="16" s="1"/>
  <c r="O1068" i="16" s="1"/>
  <c r="L1067" i="16"/>
  <c r="M1067" i="16" s="1"/>
  <c r="O1067" i="16" s="1"/>
  <c r="L1066" i="16"/>
  <c r="M1066" i="16" s="1"/>
  <c r="O1066" i="16" s="1"/>
  <c r="L1065" i="16"/>
  <c r="M1065" i="16" s="1"/>
  <c r="O1065" i="16" s="1"/>
  <c r="L1064" i="16"/>
  <c r="M1064" i="16" s="1"/>
  <c r="O1064" i="16" s="1"/>
  <c r="L1063" i="16"/>
  <c r="M1063" i="16" s="1"/>
  <c r="O1063" i="16" s="1"/>
  <c r="L1062" i="16"/>
  <c r="M1062" i="16" s="1"/>
  <c r="O1062" i="16" s="1"/>
  <c r="L1061" i="16"/>
  <c r="M1061" i="16" s="1"/>
  <c r="O1061" i="16" s="1"/>
  <c r="L1060" i="16"/>
  <c r="M1060" i="16" s="1"/>
  <c r="O1060" i="16" s="1"/>
  <c r="L1059" i="16"/>
  <c r="M1059" i="16" s="1"/>
  <c r="O1059" i="16" s="1"/>
  <c r="L1058" i="16"/>
  <c r="M1058" i="16" s="1"/>
  <c r="O1058" i="16" s="1"/>
  <c r="L1057" i="16"/>
  <c r="M1057" i="16" s="1"/>
  <c r="O1057" i="16" s="1"/>
  <c r="L1056" i="16"/>
  <c r="M1056" i="16" s="1"/>
  <c r="O1056" i="16" s="1"/>
  <c r="L1055" i="16"/>
  <c r="M1055" i="16" s="1"/>
  <c r="O1055" i="16" s="1"/>
  <c r="L1054" i="16"/>
  <c r="M1054" i="16" s="1"/>
  <c r="O1054" i="16" s="1"/>
  <c r="L1053" i="16"/>
  <c r="M1053" i="16" s="1"/>
  <c r="O1053" i="16" s="1"/>
  <c r="L1052" i="16"/>
  <c r="M1052" i="16" s="1"/>
  <c r="O1052" i="16" s="1"/>
  <c r="L1051" i="16"/>
  <c r="M1051" i="16" s="1"/>
  <c r="O1051" i="16" s="1"/>
  <c r="L1050" i="16"/>
  <c r="M1050" i="16" s="1"/>
  <c r="O1050" i="16" s="1"/>
  <c r="L1049" i="16"/>
  <c r="M1049" i="16" s="1"/>
  <c r="O1049" i="16" s="1"/>
  <c r="L1048" i="16"/>
  <c r="M1048" i="16" s="1"/>
  <c r="O1048" i="16" s="1"/>
  <c r="L1047" i="16"/>
  <c r="M1047" i="16" s="1"/>
  <c r="O1047" i="16" s="1"/>
  <c r="L1044" i="16"/>
  <c r="M1044" i="16" s="1"/>
  <c r="O1044" i="16" s="1"/>
  <c r="L1043" i="16"/>
  <c r="M1043" i="16" s="1"/>
  <c r="O1043" i="16" s="1"/>
  <c r="L1042" i="16"/>
  <c r="M1042" i="16" s="1"/>
  <c r="O1042" i="16" s="1"/>
  <c r="L1041" i="16"/>
  <c r="M1041" i="16" s="1"/>
  <c r="O1041" i="16" s="1"/>
  <c r="L1040" i="16"/>
  <c r="M1040" i="16" s="1"/>
  <c r="O1040" i="16" s="1"/>
  <c r="L1039" i="16"/>
  <c r="M1039" i="16" s="1"/>
  <c r="O1039" i="16" s="1"/>
  <c r="L1038" i="16"/>
  <c r="M1038" i="16" s="1"/>
  <c r="O1038" i="16" s="1"/>
  <c r="L1037" i="16"/>
  <c r="M1037" i="16" s="1"/>
  <c r="O1037" i="16" s="1"/>
  <c r="L1036" i="16"/>
  <c r="M1036" i="16" s="1"/>
  <c r="O1036" i="16" s="1"/>
  <c r="L1035" i="16"/>
  <c r="M1035" i="16" s="1"/>
  <c r="O1035" i="16" s="1"/>
  <c r="L1034" i="16"/>
  <c r="M1034" i="16" s="1"/>
  <c r="O1034" i="16" s="1"/>
  <c r="L1033" i="16"/>
  <c r="M1033" i="16" s="1"/>
  <c r="O1033" i="16" s="1"/>
  <c r="L1032" i="16"/>
  <c r="M1032" i="16" s="1"/>
  <c r="O1032" i="16" s="1"/>
  <c r="L1031" i="16"/>
  <c r="M1031" i="16" s="1"/>
  <c r="O1031" i="16" s="1"/>
  <c r="L1030" i="16"/>
  <c r="M1030" i="16" s="1"/>
  <c r="O1030" i="16" s="1"/>
  <c r="L1029" i="16"/>
  <c r="M1029" i="16" s="1"/>
  <c r="O1029" i="16" s="1"/>
  <c r="L1028" i="16"/>
  <c r="M1028" i="16" s="1"/>
  <c r="O1028" i="16" s="1"/>
  <c r="L1027" i="16"/>
  <c r="M1027" i="16" s="1"/>
  <c r="O1027" i="16" s="1"/>
  <c r="L1026" i="16"/>
  <c r="M1026" i="16" s="1"/>
  <c r="O1026" i="16" s="1"/>
  <c r="L1025" i="16"/>
  <c r="M1025" i="16" s="1"/>
  <c r="O1025" i="16" s="1"/>
  <c r="L1024" i="16"/>
  <c r="M1024" i="16" s="1"/>
  <c r="O1024" i="16" s="1"/>
  <c r="L1023" i="16"/>
  <c r="M1023" i="16" s="1"/>
  <c r="O1023" i="16" s="1"/>
  <c r="L1022" i="16"/>
  <c r="M1022" i="16" s="1"/>
  <c r="O1022" i="16" s="1"/>
  <c r="L1021" i="16"/>
  <c r="M1021" i="16" s="1"/>
  <c r="O1021" i="16" s="1"/>
  <c r="L1020" i="16"/>
  <c r="M1020" i="16" s="1"/>
  <c r="O1020" i="16" s="1"/>
  <c r="L1019" i="16"/>
  <c r="M1019" i="16" s="1"/>
  <c r="O1019" i="16" s="1"/>
  <c r="L1018" i="16"/>
  <c r="M1018" i="16" s="1"/>
  <c r="O1018" i="16" s="1"/>
  <c r="L1017" i="16"/>
  <c r="M1017" i="16" s="1"/>
  <c r="O1017" i="16" s="1"/>
  <c r="L1016" i="16"/>
  <c r="M1016" i="16" s="1"/>
  <c r="O1016" i="16" s="1"/>
  <c r="L1015" i="16"/>
  <c r="M1015" i="16" s="1"/>
  <c r="O1015" i="16" s="1"/>
  <c r="L1014" i="16"/>
  <c r="M1014" i="16" s="1"/>
  <c r="O1014" i="16" s="1"/>
  <c r="L1013" i="16"/>
  <c r="M1013" i="16" s="1"/>
  <c r="O1013" i="16" s="1"/>
  <c r="L1012" i="16"/>
  <c r="M1012" i="16" s="1"/>
  <c r="O1012" i="16" s="1"/>
  <c r="L1011" i="16"/>
  <c r="M1011" i="16" s="1"/>
  <c r="O1011" i="16" s="1"/>
  <c r="L1010" i="16"/>
  <c r="M1010" i="16" s="1"/>
  <c r="O1010" i="16" s="1"/>
  <c r="L1009" i="16"/>
  <c r="M1009" i="16" s="1"/>
  <c r="O1009" i="16" s="1"/>
  <c r="L1008" i="16"/>
  <c r="M1008" i="16" s="1"/>
  <c r="O1008" i="16" s="1"/>
  <c r="L1007" i="16"/>
  <c r="M1007" i="16" s="1"/>
  <c r="O1007" i="16" s="1"/>
  <c r="L1006" i="16"/>
  <c r="M1006" i="16" s="1"/>
  <c r="O1006" i="16" s="1"/>
  <c r="L1005" i="16"/>
  <c r="M1005" i="16" s="1"/>
  <c r="O1005" i="16" s="1"/>
  <c r="L1004" i="16"/>
  <c r="M1004" i="16" s="1"/>
  <c r="O1004" i="16" s="1"/>
  <c r="L1003" i="16"/>
  <c r="M1003" i="16" s="1"/>
  <c r="O1003" i="16" s="1"/>
  <c r="L1002" i="16"/>
  <c r="M1002" i="16" s="1"/>
  <c r="O1002" i="16" s="1"/>
  <c r="L1001" i="16"/>
  <c r="M1001" i="16" s="1"/>
  <c r="O1001" i="16" s="1"/>
  <c r="L1000" i="16"/>
  <c r="M1000" i="16" s="1"/>
  <c r="O1000" i="16" s="1"/>
  <c r="L999" i="16"/>
  <c r="M999" i="16" s="1"/>
  <c r="O999" i="16" s="1"/>
  <c r="L998" i="16"/>
  <c r="M998" i="16" s="1"/>
  <c r="O998" i="16" s="1"/>
  <c r="L997" i="16"/>
  <c r="M997" i="16" s="1"/>
  <c r="O997" i="16" s="1"/>
  <c r="L996" i="16"/>
  <c r="M996" i="16" s="1"/>
  <c r="O996" i="16" s="1"/>
  <c r="L995" i="16"/>
  <c r="M995" i="16" s="1"/>
  <c r="O995" i="16" s="1"/>
  <c r="L991" i="16"/>
  <c r="M991" i="16" s="1"/>
  <c r="O991" i="16" s="1"/>
  <c r="L990" i="16"/>
  <c r="M990" i="16" s="1"/>
  <c r="O990" i="16" s="1"/>
  <c r="L989" i="16"/>
  <c r="M989" i="16" s="1"/>
  <c r="O989" i="16" s="1"/>
  <c r="L988" i="16"/>
  <c r="M988" i="16" s="1"/>
  <c r="O988" i="16" s="1"/>
  <c r="L987" i="16"/>
  <c r="M987" i="16" s="1"/>
  <c r="O987" i="16" s="1"/>
  <c r="L986" i="16"/>
  <c r="M986" i="16" s="1"/>
  <c r="O986" i="16" s="1"/>
  <c r="L985" i="16"/>
  <c r="M985" i="16" s="1"/>
  <c r="O985" i="16" s="1"/>
  <c r="L984" i="16"/>
  <c r="M984" i="16" s="1"/>
  <c r="O984" i="16" s="1"/>
  <c r="L983" i="16"/>
  <c r="M983" i="16" s="1"/>
  <c r="O983" i="16" s="1"/>
  <c r="L982" i="16"/>
  <c r="M982" i="16" s="1"/>
  <c r="O982" i="16" s="1"/>
  <c r="L981" i="16"/>
  <c r="M981" i="16" s="1"/>
  <c r="O981" i="16" s="1"/>
  <c r="L980" i="16"/>
  <c r="M980" i="16" s="1"/>
  <c r="O980" i="16" s="1"/>
  <c r="L979" i="16"/>
  <c r="M979" i="16" s="1"/>
  <c r="O979" i="16" s="1"/>
  <c r="L978" i="16"/>
  <c r="M978" i="16" s="1"/>
  <c r="O978" i="16" s="1"/>
  <c r="L977" i="16"/>
  <c r="M977" i="16" s="1"/>
  <c r="O977" i="16" s="1"/>
  <c r="L976" i="16"/>
  <c r="M976" i="16" s="1"/>
  <c r="O976" i="16" s="1"/>
  <c r="L975" i="16"/>
  <c r="M975" i="16" s="1"/>
  <c r="O975" i="16" s="1"/>
  <c r="L974" i="16"/>
  <c r="M974" i="16" s="1"/>
  <c r="O974" i="16" s="1"/>
  <c r="L973" i="16"/>
  <c r="M973" i="16" s="1"/>
  <c r="O973" i="16" s="1"/>
  <c r="L972" i="16"/>
  <c r="M972" i="16" s="1"/>
  <c r="O972" i="16" s="1"/>
  <c r="L971" i="16"/>
  <c r="M971" i="16" s="1"/>
  <c r="O971" i="16" s="1"/>
  <c r="L970" i="16"/>
  <c r="M970" i="16" s="1"/>
  <c r="O970" i="16" s="1"/>
  <c r="L969" i="16"/>
  <c r="M969" i="16" s="1"/>
  <c r="O969" i="16" s="1"/>
  <c r="L968" i="16"/>
  <c r="M968" i="16" s="1"/>
  <c r="O968" i="16" s="1"/>
  <c r="L967" i="16"/>
  <c r="M967" i="16" s="1"/>
  <c r="O967" i="16" s="1"/>
  <c r="L966" i="16"/>
  <c r="M966" i="16" s="1"/>
  <c r="O966" i="16" s="1"/>
  <c r="L965" i="16"/>
  <c r="M965" i="16" s="1"/>
  <c r="O965" i="16" s="1"/>
  <c r="L964" i="16"/>
  <c r="M964" i="16" s="1"/>
  <c r="O964" i="16" s="1"/>
  <c r="L963" i="16"/>
  <c r="M963" i="16" s="1"/>
  <c r="O963" i="16" s="1"/>
  <c r="L962" i="16"/>
  <c r="M962" i="16" s="1"/>
  <c r="O962" i="16" s="1"/>
  <c r="L961" i="16"/>
  <c r="M961" i="16" s="1"/>
  <c r="O961" i="16" s="1"/>
  <c r="L960" i="16"/>
  <c r="M960" i="16" s="1"/>
  <c r="O960" i="16" s="1"/>
  <c r="L959" i="16"/>
  <c r="M959" i="16" s="1"/>
  <c r="O959" i="16" s="1"/>
  <c r="L958" i="16"/>
  <c r="M958" i="16" s="1"/>
  <c r="O958" i="16" s="1"/>
  <c r="L957" i="16"/>
  <c r="M957" i="16" s="1"/>
  <c r="O957" i="16" s="1"/>
  <c r="L956" i="16"/>
  <c r="M956" i="16" s="1"/>
  <c r="O956" i="16" s="1"/>
  <c r="L955" i="16"/>
  <c r="M955" i="16" s="1"/>
  <c r="O955" i="16" s="1"/>
  <c r="L954" i="16"/>
  <c r="M954" i="16" s="1"/>
  <c r="O954" i="16" s="1"/>
  <c r="L953" i="16"/>
  <c r="M953" i="16" s="1"/>
  <c r="O953" i="16" s="1"/>
  <c r="L952" i="16"/>
  <c r="M952" i="16" s="1"/>
  <c r="O952" i="16" s="1"/>
  <c r="L951" i="16"/>
  <c r="M951" i="16" s="1"/>
  <c r="O951" i="16" s="1"/>
  <c r="L950" i="16"/>
  <c r="M950" i="16" s="1"/>
  <c r="O950" i="16" s="1"/>
  <c r="L949" i="16"/>
  <c r="M949" i="16" s="1"/>
  <c r="O949" i="16" s="1"/>
  <c r="L948" i="16"/>
  <c r="M948" i="16" s="1"/>
  <c r="O948" i="16" s="1"/>
  <c r="L947" i="16"/>
  <c r="M947" i="16" s="1"/>
  <c r="O947" i="16" s="1"/>
  <c r="L946" i="16"/>
  <c r="M946" i="16" s="1"/>
  <c r="O946" i="16" s="1"/>
  <c r="L945" i="16"/>
  <c r="M945" i="16" s="1"/>
  <c r="O945" i="16" s="1"/>
  <c r="L944" i="16"/>
  <c r="M944" i="16" s="1"/>
  <c r="O944" i="16" s="1"/>
  <c r="L943" i="16"/>
  <c r="M943" i="16" s="1"/>
  <c r="O943" i="16" s="1"/>
  <c r="L942" i="16"/>
  <c r="M942" i="16" s="1"/>
  <c r="O942" i="16" s="1"/>
  <c r="L941" i="16"/>
  <c r="M941" i="16" s="1"/>
  <c r="O941" i="16" s="1"/>
  <c r="L940" i="16"/>
  <c r="M940" i="16" s="1"/>
  <c r="O940" i="16" s="1"/>
  <c r="L939" i="16"/>
  <c r="M939" i="16" s="1"/>
  <c r="O939" i="16" s="1"/>
  <c r="L938" i="16"/>
  <c r="M938" i="16" s="1"/>
  <c r="O938" i="16" s="1"/>
  <c r="L937" i="16"/>
  <c r="M937" i="16" s="1"/>
  <c r="O937" i="16" s="1"/>
  <c r="L936" i="16"/>
  <c r="M936" i="16" s="1"/>
  <c r="O936" i="16" s="1"/>
  <c r="L935" i="16"/>
  <c r="M935" i="16" s="1"/>
  <c r="O935" i="16" s="1"/>
  <c r="L934" i="16"/>
  <c r="M934" i="16" s="1"/>
  <c r="O934" i="16" s="1"/>
  <c r="L933" i="16"/>
  <c r="M933" i="16" s="1"/>
  <c r="O933" i="16" s="1"/>
  <c r="L932" i="16"/>
  <c r="M932" i="16" s="1"/>
  <c r="O932" i="16" s="1"/>
  <c r="L931" i="16"/>
  <c r="M931" i="16" s="1"/>
  <c r="O931" i="16" s="1"/>
  <c r="L930" i="16"/>
  <c r="M930" i="16" s="1"/>
  <c r="O930" i="16" s="1"/>
  <c r="L929" i="16"/>
  <c r="M929" i="16" s="1"/>
  <c r="O929" i="16" s="1"/>
  <c r="L928" i="16"/>
  <c r="M928" i="16" s="1"/>
  <c r="O928" i="16" s="1"/>
  <c r="L927" i="16"/>
  <c r="M927" i="16" s="1"/>
  <c r="O927" i="16" s="1"/>
  <c r="L926" i="16"/>
  <c r="M926" i="16" s="1"/>
  <c r="O926" i="16" s="1"/>
  <c r="L925" i="16"/>
  <c r="M925" i="16" s="1"/>
  <c r="O925" i="16" s="1"/>
  <c r="L924" i="16"/>
  <c r="M924" i="16" s="1"/>
  <c r="O924" i="16" s="1"/>
  <c r="L923" i="16"/>
  <c r="M923" i="16" s="1"/>
  <c r="O923" i="16" s="1"/>
  <c r="L922" i="16"/>
  <c r="M922" i="16" s="1"/>
  <c r="O922" i="16" s="1"/>
  <c r="L921" i="16"/>
  <c r="M921" i="16" s="1"/>
  <c r="O921" i="16" s="1"/>
  <c r="L920" i="16"/>
  <c r="M920" i="16" s="1"/>
  <c r="O920" i="16" s="1"/>
  <c r="L919" i="16"/>
  <c r="M919" i="16" s="1"/>
  <c r="O919" i="16" s="1"/>
  <c r="L918" i="16"/>
  <c r="M918" i="16" s="1"/>
  <c r="O918" i="16" s="1"/>
  <c r="L917" i="16"/>
  <c r="M917" i="16" s="1"/>
  <c r="O917" i="16" s="1"/>
  <c r="L916" i="16"/>
  <c r="M916" i="16" s="1"/>
  <c r="O916" i="16" s="1"/>
  <c r="L915" i="16"/>
  <c r="M915" i="16" s="1"/>
  <c r="O915" i="16" s="1"/>
  <c r="L914" i="16"/>
  <c r="M914" i="16" s="1"/>
  <c r="O914" i="16" s="1"/>
  <c r="L913" i="16"/>
  <c r="M913" i="16" s="1"/>
  <c r="O913" i="16" s="1"/>
  <c r="L912" i="16"/>
  <c r="M912" i="16" s="1"/>
  <c r="O912" i="16" s="1"/>
  <c r="L911" i="16"/>
  <c r="M911" i="16" s="1"/>
  <c r="O911" i="16" s="1"/>
  <c r="L910" i="16"/>
  <c r="M910" i="16" s="1"/>
  <c r="O910" i="16" s="1"/>
  <c r="L909" i="16"/>
  <c r="M909" i="16" s="1"/>
  <c r="O909" i="16" s="1"/>
  <c r="L908" i="16"/>
  <c r="M908" i="16" s="1"/>
  <c r="O908" i="16" s="1"/>
  <c r="L907" i="16"/>
  <c r="M907" i="16" s="1"/>
  <c r="O907" i="16" s="1"/>
  <c r="L906" i="16"/>
  <c r="M906" i="16" s="1"/>
  <c r="O906" i="16" s="1"/>
  <c r="L905" i="16"/>
  <c r="M905" i="16" s="1"/>
  <c r="O905" i="16" s="1"/>
  <c r="L904" i="16"/>
  <c r="M904" i="16" s="1"/>
  <c r="O904" i="16" s="1"/>
  <c r="L903" i="16"/>
  <c r="M903" i="16" s="1"/>
  <c r="O903" i="16" s="1"/>
  <c r="L902" i="16"/>
  <c r="M902" i="16" s="1"/>
  <c r="O902" i="16" s="1"/>
  <c r="L901" i="16"/>
  <c r="M901" i="16" s="1"/>
  <c r="O901" i="16" s="1"/>
  <c r="L900" i="16"/>
  <c r="M900" i="16" s="1"/>
  <c r="O900" i="16" s="1"/>
  <c r="L899" i="16"/>
  <c r="M899" i="16" s="1"/>
  <c r="O899" i="16" s="1"/>
  <c r="L898" i="16"/>
  <c r="M898" i="16" s="1"/>
  <c r="O898" i="16" s="1"/>
  <c r="L897" i="16"/>
  <c r="M897" i="16" s="1"/>
  <c r="O897" i="16" s="1"/>
  <c r="L896" i="16"/>
  <c r="M896" i="16" s="1"/>
  <c r="O896" i="16" s="1"/>
  <c r="L895" i="16"/>
  <c r="M895" i="16" s="1"/>
  <c r="O895" i="16" s="1"/>
  <c r="L894" i="16"/>
  <c r="M894" i="16" s="1"/>
  <c r="O894" i="16" s="1"/>
  <c r="L893" i="16"/>
  <c r="M893" i="16" s="1"/>
  <c r="O893" i="16" s="1"/>
  <c r="L892" i="16"/>
  <c r="M892" i="16" s="1"/>
  <c r="O892" i="16" s="1"/>
  <c r="L891" i="16"/>
  <c r="M891" i="16" s="1"/>
  <c r="O891" i="16" s="1"/>
  <c r="L890" i="16"/>
  <c r="M890" i="16" s="1"/>
  <c r="O890" i="16" s="1"/>
  <c r="L889" i="16"/>
  <c r="M889" i="16" s="1"/>
  <c r="O889" i="16" s="1"/>
  <c r="L888" i="16"/>
  <c r="M888" i="16" s="1"/>
  <c r="O888" i="16" s="1"/>
  <c r="L887" i="16"/>
  <c r="M887" i="16" s="1"/>
  <c r="O887" i="16" s="1"/>
  <c r="L886" i="16"/>
  <c r="M886" i="16" s="1"/>
  <c r="O886" i="16" s="1"/>
  <c r="L885" i="16"/>
  <c r="M885" i="16" s="1"/>
  <c r="O885" i="16" s="1"/>
  <c r="L884" i="16"/>
  <c r="M884" i="16" s="1"/>
  <c r="O884" i="16" s="1"/>
  <c r="L883" i="16"/>
  <c r="M883" i="16" s="1"/>
  <c r="O883" i="16" s="1"/>
  <c r="L882" i="16"/>
  <c r="M882" i="16" s="1"/>
  <c r="O882" i="16" s="1"/>
  <c r="L881" i="16"/>
  <c r="M881" i="16" s="1"/>
  <c r="O881" i="16" s="1"/>
  <c r="L880" i="16"/>
  <c r="M880" i="16" s="1"/>
  <c r="O880" i="16" s="1"/>
  <c r="L879" i="16"/>
  <c r="M879" i="16" s="1"/>
  <c r="O879" i="16" s="1"/>
  <c r="L878" i="16"/>
  <c r="M878" i="16" s="1"/>
  <c r="O878" i="16" s="1"/>
  <c r="M55" i="2"/>
  <c r="K57" i="2"/>
  <c r="K56" i="2"/>
  <c r="J57" i="2"/>
  <c r="J56" i="2"/>
  <c r="H55" i="2"/>
  <c r="H57" i="2" s="1"/>
  <c r="I1158" i="16"/>
  <c r="G34" i="18" s="1"/>
  <c r="S57" i="2" l="1"/>
  <c r="T57" i="2" s="1"/>
  <c r="H56" i="2"/>
  <c r="S56" i="2" s="1"/>
  <c r="T56" i="2" s="1"/>
  <c r="O1158" i="16"/>
  <c r="O1159" i="16" s="1"/>
  <c r="P1159" i="16"/>
  <c r="H34" i="18" l="1"/>
  <c r="M22" i="18" l="1"/>
  <c r="F216" i="14" l="1"/>
  <c r="E216" i="14"/>
  <c r="K852" i="16" l="1"/>
  <c r="L852" i="16" s="1"/>
  <c r="M852" i="16" s="1"/>
  <c r="O852" i="16" s="1"/>
  <c r="K851" i="16"/>
  <c r="L851" i="16" s="1"/>
  <c r="M851" i="16" s="1"/>
  <c r="O851" i="16" s="1"/>
  <c r="K850" i="16"/>
  <c r="L850" i="16" s="1"/>
  <c r="M850" i="16" s="1"/>
  <c r="O850" i="16" s="1"/>
  <c r="K849" i="16"/>
  <c r="L849" i="16" s="1"/>
  <c r="M849" i="16" s="1"/>
  <c r="O849" i="16" s="1"/>
  <c r="K848" i="16"/>
  <c r="L848" i="16" s="1"/>
  <c r="M848" i="16" s="1"/>
  <c r="O848" i="16" s="1"/>
  <c r="K847" i="16"/>
  <c r="L847" i="16" s="1"/>
  <c r="M847" i="16" s="1"/>
  <c r="O847" i="16" s="1"/>
  <c r="K846" i="16"/>
  <c r="L846" i="16" s="1"/>
  <c r="M846" i="16" s="1"/>
  <c r="O846" i="16" s="1"/>
  <c r="K845" i="16"/>
  <c r="L845" i="16" s="1"/>
  <c r="M845" i="16" s="1"/>
  <c r="O845" i="16" s="1"/>
  <c r="F45" i="18" l="1"/>
  <c r="K358" i="8" l="1"/>
  <c r="L358" i="8" s="1"/>
  <c r="N358" i="8" s="1"/>
  <c r="K357" i="8"/>
  <c r="L357" i="8" s="1"/>
  <c r="N357" i="8" s="1"/>
  <c r="K356" i="8"/>
  <c r="L356" i="8" s="1"/>
  <c r="N356" i="8" s="1"/>
  <c r="K355" i="8"/>
  <c r="L355" i="8" s="1"/>
  <c r="N355" i="8" s="1"/>
  <c r="K354" i="8"/>
  <c r="L354" i="8" s="1"/>
  <c r="N354" i="8" s="1"/>
  <c r="K353" i="8"/>
  <c r="L353" i="8" s="1"/>
  <c r="N353" i="8" s="1"/>
  <c r="K352" i="8"/>
  <c r="L352" i="8" s="1"/>
  <c r="N352" i="8" s="1"/>
  <c r="K351" i="8"/>
  <c r="L351" i="8" s="1"/>
  <c r="N351" i="8" s="1"/>
  <c r="K350" i="8"/>
  <c r="L350" i="8" s="1"/>
  <c r="N350" i="8" s="1"/>
  <c r="K349" i="8"/>
  <c r="L349" i="8" s="1"/>
  <c r="N349" i="8" s="1"/>
  <c r="K348" i="8"/>
  <c r="L348" i="8" s="1"/>
  <c r="N348" i="8" s="1"/>
  <c r="K347" i="8"/>
  <c r="L347" i="8" s="1"/>
  <c r="N347" i="8" s="1"/>
  <c r="K364" i="8"/>
  <c r="L364" i="8" s="1"/>
  <c r="N364" i="8" s="1"/>
  <c r="K363" i="8"/>
  <c r="L363" i="8" s="1"/>
  <c r="N363" i="8" s="1"/>
  <c r="K362" i="8"/>
  <c r="L362" i="8" s="1"/>
  <c r="N362" i="8" s="1"/>
  <c r="K361" i="8"/>
  <c r="L361" i="8" s="1"/>
  <c r="N361" i="8" s="1"/>
  <c r="K360" i="8"/>
  <c r="L360" i="8" s="1"/>
  <c r="N360" i="8" s="1"/>
  <c r="K359" i="8"/>
  <c r="L359" i="8" s="1"/>
  <c r="N359" i="8" s="1"/>
  <c r="L843" i="16"/>
  <c r="M843" i="16" s="1"/>
  <c r="O843" i="16" s="1"/>
  <c r="L842" i="16"/>
  <c r="M842" i="16" s="1"/>
  <c r="O842" i="16" s="1"/>
  <c r="L841" i="16"/>
  <c r="M841" i="16" s="1"/>
  <c r="O841" i="16" s="1"/>
  <c r="I853" i="16"/>
  <c r="L840" i="16"/>
  <c r="M840" i="16" s="1"/>
  <c r="O840" i="16" s="1"/>
  <c r="L839" i="16"/>
  <c r="M839" i="16" s="1"/>
  <c r="O839" i="16" s="1"/>
  <c r="L838" i="16"/>
  <c r="M838" i="16" s="1"/>
  <c r="O838" i="16" s="1"/>
  <c r="L837" i="16"/>
  <c r="M837" i="16" s="1"/>
  <c r="O837" i="16" s="1"/>
  <c r="L836" i="16"/>
  <c r="M836" i="16" s="1"/>
  <c r="O836" i="16" s="1"/>
  <c r="L835" i="16"/>
  <c r="M835" i="16" s="1"/>
  <c r="O835" i="16" s="1"/>
  <c r="L834" i="16"/>
  <c r="M834" i="16" s="1"/>
  <c r="O834" i="16" s="1"/>
  <c r="L833" i="16"/>
  <c r="M833" i="16" s="1"/>
  <c r="O833" i="16" s="1"/>
  <c r="L832" i="16"/>
  <c r="M832" i="16" s="1"/>
  <c r="O832" i="16" s="1"/>
  <c r="L831" i="16"/>
  <c r="M831" i="16" s="1"/>
  <c r="O831" i="16" s="1"/>
  <c r="L830" i="16"/>
  <c r="M830" i="16" s="1"/>
  <c r="O830" i="16" s="1"/>
  <c r="L829" i="16"/>
  <c r="M829" i="16" s="1"/>
  <c r="O829" i="16" s="1"/>
  <c r="L828" i="16"/>
  <c r="M828" i="16" s="1"/>
  <c r="O828" i="16" s="1"/>
  <c r="L827" i="16"/>
  <c r="M827" i="16" s="1"/>
  <c r="O827" i="16" s="1"/>
  <c r="L826" i="16"/>
  <c r="M826" i="16" s="1"/>
  <c r="O826" i="16" s="1"/>
  <c r="L825" i="16"/>
  <c r="M825" i="16" s="1"/>
  <c r="O825" i="16" s="1"/>
  <c r="L824" i="16"/>
  <c r="M824" i="16" s="1"/>
  <c r="O824" i="16" s="1"/>
  <c r="L823" i="16"/>
  <c r="M823" i="16" s="1"/>
  <c r="O823" i="16" s="1"/>
  <c r="E44" i="18" l="1"/>
  <c r="P853" i="16"/>
  <c r="L821" i="16"/>
  <c r="M821" i="16" s="1"/>
  <c r="O821" i="16" s="1"/>
  <c r="L820" i="16"/>
  <c r="M820" i="16" s="1"/>
  <c r="O820" i="16" s="1"/>
  <c r="L819" i="16"/>
  <c r="M819" i="16" s="1"/>
  <c r="O819" i="16" s="1"/>
  <c r="L818" i="16"/>
  <c r="M818" i="16" s="1"/>
  <c r="O818" i="16" s="1"/>
  <c r="L817" i="16"/>
  <c r="M817" i="16" s="1"/>
  <c r="O817" i="16" s="1"/>
  <c r="L816" i="16"/>
  <c r="M816" i="16" s="1"/>
  <c r="O816" i="16" s="1"/>
  <c r="L815" i="16"/>
  <c r="M815" i="16" s="1"/>
  <c r="O815" i="16" s="1"/>
  <c r="L814" i="16"/>
  <c r="M814" i="16" s="1"/>
  <c r="O814" i="16" s="1"/>
  <c r="L813" i="16"/>
  <c r="M813" i="16" s="1"/>
  <c r="O813" i="16" s="1"/>
  <c r="L812" i="16"/>
  <c r="M812" i="16" s="1"/>
  <c r="O812" i="16" s="1"/>
  <c r="L811" i="16"/>
  <c r="M811" i="16" s="1"/>
  <c r="O811" i="16" s="1"/>
  <c r="L810" i="16"/>
  <c r="M810" i="16" s="1"/>
  <c r="O810" i="16" s="1"/>
  <c r="L809" i="16"/>
  <c r="M809" i="16" s="1"/>
  <c r="O809" i="16" s="1"/>
  <c r="L808" i="16"/>
  <c r="M808" i="16" s="1"/>
  <c r="O808" i="16" s="1"/>
  <c r="L807" i="16"/>
  <c r="M807" i="16" s="1"/>
  <c r="O807" i="16" s="1"/>
  <c r="L806" i="16"/>
  <c r="M806" i="16" s="1"/>
  <c r="O806" i="16" s="1"/>
  <c r="L805" i="16"/>
  <c r="M805" i="16" s="1"/>
  <c r="O805" i="16" s="1"/>
  <c r="L804" i="16"/>
  <c r="M804" i="16" s="1"/>
  <c r="O804" i="16" s="1"/>
  <c r="L803" i="16"/>
  <c r="M803" i="16" s="1"/>
  <c r="O803" i="16" s="1"/>
  <c r="L802" i="16"/>
  <c r="M802" i="16" s="1"/>
  <c r="O802" i="16" s="1"/>
  <c r="L801" i="16"/>
  <c r="M801" i="16" s="1"/>
  <c r="O801" i="16" s="1"/>
  <c r="L800" i="16"/>
  <c r="M800" i="16" s="1"/>
  <c r="O800" i="16" s="1"/>
  <c r="L799" i="16"/>
  <c r="M799" i="16" s="1"/>
  <c r="O799" i="16" s="1"/>
  <c r="L798" i="16"/>
  <c r="M798" i="16" s="1"/>
  <c r="O798" i="16" s="1"/>
  <c r="L797" i="16"/>
  <c r="M797" i="16" s="1"/>
  <c r="O797" i="16" s="1"/>
  <c r="L796" i="16"/>
  <c r="M796" i="16" s="1"/>
  <c r="O796" i="16" s="1"/>
  <c r="L795" i="16"/>
  <c r="M795" i="16" s="1"/>
  <c r="O795" i="16" s="1"/>
  <c r="L794" i="16"/>
  <c r="M794" i="16" s="1"/>
  <c r="O794" i="16" s="1"/>
  <c r="L793" i="16"/>
  <c r="M793" i="16" s="1"/>
  <c r="O793" i="16" s="1"/>
  <c r="L792" i="16"/>
  <c r="M792" i="16" s="1"/>
  <c r="O792" i="16" s="1"/>
  <c r="L791" i="16"/>
  <c r="M791" i="16" s="1"/>
  <c r="O791" i="16" s="1"/>
  <c r="L790" i="16"/>
  <c r="M790" i="16" s="1"/>
  <c r="O790" i="16" s="1"/>
  <c r="L789" i="16"/>
  <c r="M789" i="16" s="1"/>
  <c r="O789" i="16" s="1"/>
  <c r="L788" i="16"/>
  <c r="M788" i="16" s="1"/>
  <c r="O788" i="16" s="1"/>
  <c r="L787" i="16"/>
  <c r="M787" i="16" s="1"/>
  <c r="O787" i="16" s="1"/>
  <c r="L786" i="16"/>
  <c r="M786" i="16" s="1"/>
  <c r="O786" i="16" s="1"/>
  <c r="L785" i="16"/>
  <c r="M785" i="16" s="1"/>
  <c r="O785" i="16" s="1"/>
  <c r="L784" i="16"/>
  <c r="M784" i="16" s="1"/>
  <c r="O784" i="16" s="1"/>
  <c r="L783" i="16"/>
  <c r="M783" i="16" s="1"/>
  <c r="O783" i="16" s="1"/>
  <c r="L782" i="16"/>
  <c r="M782" i="16" s="1"/>
  <c r="O782" i="16" s="1"/>
  <c r="L781" i="16"/>
  <c r="M781" i="16" s="1"/>
  <c r="O781" i="16" s="1"/>
  <c r="O853" i="16" l="1"/>
  <c r="F44" i="18" l="1"/>
  <c r="K750" i="16" l="1"/>
  <c r="L750" i="16" s="1"/>
  <c r="M750" i="16" s="1"/>
  <c r="O750" i="16" s="1"/>
  <c r="K749" i="16"/>
  <c r="L749" i="16" s="1"/>
  <c r="M749" i="16" s="1"/>
  <c r="O749" i="16" s="1"/>
  <c r="K748" i="16"/>
  <c r="L748" i="16" s="1"/>
  <c r="M748" i="16" s="1"/>
  <c r="O748" i="16" s="1"/>
  <c r="P751" i="16"/>
  <c r="K747" i="16"/>
  <c r="L747" i="16" s="1"/>
  <c r="M747" i="16" s="1"/>
  <c r="O747" i="16" s="1"/>
  <c r="I691" i="16"/>
  <c r="L690" i="16"/>
  <c r="M690" i="16" s="1"/>
  <c r="O690" i="16" s="1"/>
  <c r="L689" i="16"/>
  <c r="M689" i="16" s="1"/>
  <c r="O689" i="16" s="1"/>
  <c r="L688" i="16"/>
  <c r="M688" i="16" s="1"/>
  <c r="O688" i="16" s="1"/>
  <c r="P691" i="16"/>
  <c r="L687" i="16"/>
  <c r="M687" i="16" s="1"/>
  <c r="O687" i="16" s="1"/>
  <c r="K344" i="8"/>
  <c r="L344" i="8" s="1"/>
  <c r="N344" i="8" s="1"/>
  <c r="K343" i="8"/>
  <c r="L343" i="8" s="1"/>
  <c r="N343" i="8" s="1"/>
  <c r="K342" i="8"/>
  <c r="L342" i="8" s="1"/>
  <c r="N342" i="8" s="1"/>
  <c r="K341" i="8"/>
  <c r="L341" i="8" s="1"/>
  <c r="N341" i="8" s="1"/>
  <c r="O778" i="16"/>
  <c r="L777" i="16"/>
  <c r="M777" i="16" s="1"/>
  <c r="O777" i="16" s="1"/>
  <c r="L776" i="16"/>
  <c r="M776" i="16" s="1"/>
  <c r="O776" i="16" s="1"/>
  <c r="L775" i="16"/>
  <c r="M775" i="16" s="1"/>
  <c r="O775" i="16" s="1"/>
  <c r="L774" i="16"/>
  <c r="M774" i="16" s="1"/>
  <c r="O774" i="16" s="1"/>
  <c r="L773" i="16"/>
  <c r="M773" i="16" s="1"/>
  <c r="O773" i="16" s="1"/>
  <c r="L772" i="16"/>
  <c r="M772" i="16" s="1"/>
  <c r="O772" i="16" s="1"/>
  <c r="L771" i="16"/>
  <c r="M771" i="16" s="1"/>
  <c r="O771" i="16" s="1"/>
  <c r="L770" i="16"/>
  <c r="M770" i="16" s="1"/>
  <c r="O770" i="16" s="1"/>
  <c r="L769" i="16"/>
  <c r="M769" i="16" s="1"/>
  <c r="O769" i="16" s="1"/>
  <c r="L768" i="16"/>
  <c r="M768" i="16" s="1"/>
  <c r="O768" i="16" s="1"/>
  <c r="L767" i="16"/>
  <c r="M767" i="16" s="1"/>
  <c r="O767" i="16" s="1"/>
  <c r="L766" i="16"/>
  <c r="M766" i="16" s="1"/>
  <c r="O766" i="16" s="1"/>
  <c r="L765" i="16"/>
  <c r="M765" i="16" s="1"/>
  <c r="O765" i="16" s="1"/>
  <c r="L764" i="16"/>
  <c r="M764" i="16" s="1"/>
  <c r="O764" i="16" s="1"/>
  <c r="L763" i="16"/>
  <c r="M763" i="16" s="1"/>
  <c r="O763" i="16" s="1"/>
  <c r="L762" i="16"/>
  <c r="M762" i="16" s="1"/>
  <c r="O762" i="16" s="1"/>
  <c r="I458" i="16" l="1"/>
  <c r="E39" i="18" s="1"/>
  <c r="I255" i="16"/>
  <c r="E36" i="18" s="1"/>
  <c r="I379" i="16"/>
  <c r="E37" i="18" s="1"/>
  <c r="I477" i="16"/>
  <c r="E40" i="18" s="1"/>
  <c r="I650" i="16"/>
  <c r="E41" i="18" s="1"/>
  <c r="O46" i="18" l="1"/>
  <c r="N46" i="18"/>
  <c r="M46" i="18"/>
  <c r="L46" i="18"/>
  <c r="K46" i="18"/>
  <c r="J46" i="18"/>
  <c r="I46" i="18"/>
  <c r="G46" i="18"/>
  <c r="P35" i="18"/>
  <c r="P34" i="18"/>
  <c r="P46" i="18" l="1"/>
  <c r="L760" i="16"/>
  <c r="M760" i="16" s="1"/>
  <c r="O760" i="16" s="1"/>
  <c r="L759" i="16"/>
  <c r="M759" i="16" s="1"/>
  <c r="O759" i="16" s="1"/>
  <c r="L758" i="16"/>
  <c r="M758" i="16" s="1"/>
  <c r="O758" i="16" s="1"/>
  <c r="L757" i="16"/>
  <c r="M757" i="16" s="1"/>
  <c r="O757" i="16" s="1"/>
  <c r="L756" i="16"/>
  <c r="M756" i="16" s="1"/>
  <c r="O756" i="16" s="1"/>
  <c r="L755" i="16"/>
  <c r="M755" i="16" s="1"/>
  <c r="O755" i="16" s="1"/>
  <c r="L754" i="16"/>
  <c r="M754" i="16" s="1"/>
  <c r="O754" i="16" s="1"/>
  <c r="L753" i="16"/>
  <c r="M753" i="16" s="1"/>
  <c r="O753" i="16" s="1"/>
  <c r="J336" i="8" l="1"/>
  <c r="K336" i="8" s="1"/>
  <c r="L336" i="8" s="1"/>
  <c r="N336" i="8" s="1"/>
  <c r="J335" i="8"/>
  <c r="K335" i="8" s="1"/>
  <c r="L335" i="8" s="1"/>
  <c r="N335" i="8" s="1"/>
  <c r="J334" i="8"/>
  <c r="K334" i="8" s="1"/>
  <c r="L334" i="8" s="1"/>
  <c r="N334" i="8" s="1"/>
  <c r="J333" i="8"/>
  <c r="K333" i="8" s="1"/>
  <c r="L333" i="8" s="1"/>
  <c r="N333" i="8" s="1"/>
  <c r="J332" i="8"/>
  <c r="K332" i="8" s="1"/>
  <c r="L332" i="8" s="1"/>
  <c r="N332" i="8" s="1"/>
  <c r="J331" i="8"/>
  <c r="K331" i="8" s="1"/>
  <c r="L331" i="8" s="1"/>
  <c r="N331" i="8" s="1"/>
  <c r="J330" i="8"/>
  <c r="K330" i="8" s="1"/>
  <c r="L330" i="8" s="1"/>
  <c r="N330" i="8" s="1"/>
  <c r="K325" i="8"/>
  <c r="L325" i="8" s="1"/>
  <c r="N325" i="8" s="1"/>
  <c r="K746" i="16" l="1"/>
  <c r="L746" i="16" s="1"/>
  <c r="M746" i="16" s="1"/>
  <c r="O746" i="16" s="1"/>
  <c r="K745" i="16"/>
  <c r="L745" i="16" s="1"/>
  <c r="M745" i="16" s="1"/>
  <c r="O745" i="16" s="1"/>
  <c r="K744" i="16"/>
  <c r="L744" i="16" s="1"/>
  <c r="M744" i="16" s="1"/>
  <c r="O744" i="16" s="1"/>
  <c r="K743" i="16"/>
  <c r="L743" i="16" s="1"/>
  <c r="M743" i="16" s="1"/>
  <c r="O743" i="16" s="1"/>
  <c r="K742" i="16"/>
  <c r="L742" i="16" s="1"/>
  <c r="M742" i="16" s="1"/>
  <c r="O742" i="16" s="1"/>
  <c r="K741" i="16"/>
  <c r="L741" i="16" s="1"/>
  <c r="M741" i="16" s="1"/>
  <c r="O741" i="16" s="1"/>
  <c r="K740" i="16"/>
  <c r="L740" i="16" s="1"/>
  <c r="M740" i="16" s="1"/>
  <c r="O740" i="16" s="1"/>
  <c r="K739" i="16"/>
  <c r="L739" i="16" s="1"/>
  <c r="M739" i="16" s="1"/>
  <c r="O739" i="16" s="1"/>
  <c r="K738" i="16"/>
  <c r="L738" i="16" s="1"/>
  <c r="M738" i="16" s="1"/>
  <c r="O738" i="16" s="1"/>
  <c r="K737" i="16"/>
  <c r="L737" i="16" s="1"/>
  <c r="M737" i="16" s="1"/>
  <c r="O737" i="16" s="1"/>
  <c r="K736" i="16"/>
  <c r="L736" i="16" s="1"/>
  <c r="M736" i="16" s="1"/>
  <c r="O736" i="16" s="1"/>
  <c r="K735" i="16"/>
  <c r="L735" i="16" s="1"/>
  <c r="M735" i="16" s="1"/>
  <c r="O735" i="16" s="1"/>
  <c r="K734" i="16"/>
  <c r="L734" i="16" s="1"/>
  <c r="M734" i="16" s="1"/>
  <c r="O734" i="16" s="1"/>
  <c r="K733" i="16"/>
  <c r="L733" i="16" s="1"/>
  <c r="M733" i="16" s="1"/>
  <c r="O733" i="16" s="1"/>
  <c r="K732" i="16"/>
  <c r="L732" i="16" s="1"/>
  <c r="M732" i="16" s="1"/>
  <c r="O732" i="16" s="1"/>
  <c r="K731" i="16"/>
  <c r="L731" i="16" s="1"/>
  <c r="M731" i="16" s="1"/>
  <c r="O731" i="16" s="1"/>
  <c r="K730" i="16"/>
  <c r="L730" i="16" s="1"/>
  <c r="M730" i="16" s="1"/>
  <c r="O730" i="16" s="1"/>
  <c r="K729" i="16"/>
  <c r="L729" i="16" s="1"/>
  <c r="M729" i="16" s="1"/>
  <c r="O729" i="16" s="1"/>
  <c r="K728" i="16"/>
  <c r="L728" i="16" s="1"/>
  <c r="M728" i="16" s="1"/>
  <c r="O728" i="16" s="1"/>
  <c r="K727" i="16"/>
  <c r="L727" i="16" s="1"/>
  <c r="M727" i="16" s="1"/>
  <c r="O727" i="16" s="1"/>
  <c r="K726" i="16"/>
  <c r="L726" i="16" s="1"/>
  <c r="M726" i="16" s="1"/>
  <c r="O726" i="16" s="1"/>
  <c r="K725" i="16"/>
  <c r="L725" i="16" s="1"/>
  <c r="M725" i="16" s="1"/>
  <c r="O725" i="16" s="1"/>
  <c r="K724" i="16"/>
  <c r="L724" i="16" s="1"/>
  <c r="M724" i="16" s="1"/>
  <c r="O724" i="16" s="1"/>
  <c r="K723" i="16"/>
  <c r="L723" i="16" s="1"/>
  <c r="M723" i="16" s="1"/>
  <c r="O723" i="16" s="1"/>
  <c r="P720" i="16"/>
  <c r="I716" i="16"/>
  <c r="I717" i="16"/>
  <c r="I713" i="16"/>
  <c r="L710" i="16"/>
  <c r="M710" i="16" s="1"/>
  <c r="O710" i="16" s="1"/>
  <c r="L709" i="16"/>
  <c r="M709" i="16" s="1"/>
  <c r="O709" i="16" s="1"/>
  <c r="P711" i="16"/>
  <c r="L708" i="16"/>
  <c r="M708" i="16" s="1"/>
  <c r="O708" i="16" s="1"/>
  <c r="L707" i="16"/>
  <c r="M707" i="16" s="1"/>
  <c r="O707" i="16" s="1"/>
  <c r="L706" i="16"/>
  <c r="M706" i="16" s="1"/>
  <c r="O706" i="16" s="1"/>
  <c r="L705" i="16"/>
  <c r="M705" i="16" s="1"/>
  <c r="O705" i="16" s="1"/>
  <c r="L704" i="16"/>
  <c r="M704" i="16" s="1"/>
  <c r="O704" i="16" s="1"/>
  <c r="L703" i="16"/>
  <c r="M703" i="16" s="1"/>
  <c r="O703" i="16" s="1"/>
  <c r="L702" i="16"/>
  <c r="M702" i="16" s="1"/>
  <c r="O702" i="16" s="1"/>
  <c r="L701" i="16"/>
  <c r="M701" i="16" s="1"/>
  <c r="O701" i="16" s="1"/>
  <c r="L700" i="16"/>
  <c r="M700" i="16" s="1"/>
  <c r="O700" i="16" s="1"/>
  <c r="L699" i="16"/>
  <c r="M699" i="16" s="1"/>
  <c r="O699" i="16" s="1"/>
  <c r="L698" i="16"/>
  <c r="M698" i="16" s="1"/>
  <c r="O698" i="16" s="1"/>
  <c r="L697" i="16"/>
  <c r="M697" i="16" s="1"/>
  <c r="O697" i="16" s="1"/>
  <c r="L696" i="16"/>
  <c r="M696" i="16" s="1"/>
  <c r="O696" i="16" s="1"/>
  <c r="L695" i="16"/>
  <c r="M695" i="16" s="1"/>
  <c r="O695" i="16" s="1"/>
  <c r="L694" i="16"/>
  <c r="M694" i="16" s="1"/>
  <c r="O694" i="16" s="1"/>
  <c r="I720" i="16" l="1"/>
  <c r="I778" i="16" s="1"/>
  <c r="E43" i="18" s="1"/>
  <c r="K1049" i="8" l="1"/>
  <c r="L1049" i="8" s="1"/>
  <c r="N1049" i="8" s="1"/>
  <c r="K1048" i="8"/>
  <c r="L1048" i="8" s="1"/>
  <c r="N1048" i="8" s="1"/>
  <c r="K1047" i="8"/>
  <c r="L1047" i="8" s="1"/>
  <c r="N1047" i="8" s="1"/>
  <c r="K1046" i="8"/>
  <c r="L1046" i="8" s="1"/>
  <c r="N1046" i="8" s="1"/>
  <c r="K1045" i="8"/>
  <c r="L1045" i="8" s="1"/>
  <c r="N1045" i="8" s="1"/>
  <c r="K1044" i="8"/>
  <c r="L1044" i="8" s="1"/>
  <c r="N1044" i="8" s="1"/>
  <c r="K1043" i="8"/>
  <c r="L1043" i="8" s="1"/>
  <c r="N1043" i="8" s="1"/>
  <c r="K1039" i="8"/>
  <c r="L1039" i="8" s="1"/>
  <c r="N1039" i="8" s="1"/>
  <c r="L686" i="16"/>
  <c r="M686" i="16" s="1"/>
  <c r="O686" i="16" s="1"/>
  <c r="L685" i="16"/>
  <c r="M685" i="16" s="1"/>
  <c r="O685" i="16" s="1"/>
  <c r="L684" i="16"/>
  <c r="M684" i="16" s="1"/>
  <c r="O684" i="16" s="1"/>
  <c r="L683" i="16"/>
  <c r="M683" i="16" s="1"/>
  <c r="O683" i="16" s="1"/>
  <c r="L682" i="16"/>
  <c r="M682" i="16" s="1"/>
  <c r="O682" i="16" s="1"/>
  <c r="L681" i="16"/>
  <c r="M681" i="16" s="1"/>
  <c r="O681" i="16" s="1"/>
  <c r="L680" i="16"/>
  <c r="M680" i="16" s="1"/>
  <c r="O680" i="16" s="1"/>
  <c r="L679" i="16"/>
  <c r="M679" i="16" s="1"/>
  <c r="O679" i="16" s="1"/>
  <c r="L678" i="16"/>
  <c r="M678" i="16" s="1"/>
  <c r="O678" i="16" s="1"/>
  <c r="L677" i="16"/>
  <c r="M677" i="16" s="1"/>
  <c r="O677" i="16" s="1"/>
  <c r="L676" i="16"/>
  <c r="M676" i="16" s="1"/>
  <c r="O676" i="16" s="1"/>
  <c r="L675" i="16"/>
  <c r="M675" i="16" s="1"/>
  <c r="O675" i="16" s="1"/>
  <c r="L674" i="16"/>
  <c r="M674" i="16" s="1"/>
  <c r="O674" i="16" s="1"/>
  <c r="L673" i="16"/>
  <c r="M673" i="16" s="1"/>
  <c r="O673" i="16" s="1"/>
  <c r="L672" i="16"/>
  <c r="M672" i="16" s="1"/>
  <c r="O672" i="16" s="1"/>
  <c r="L671" i="16"/>
  <c r="M671" i="16" s="1"/>
  <c r="O671" i="16" s="1"/>
  <c r="E42" i="18"/>
  <c r="F43" i="18" l="1"/>
  <c r="L669" i="16"/>
  <c r="M669" i="16" s="1"/>
  <c r="O669" i="16" s="1"/>
  <c r="L668" i="16"/>
  <c r="M668" i="16" s="1"/>
  <c r="O668" i="16" s="1"/>
  <c r="L667" i="16"/>
  <c r="M667" i="16" s="1"/>
  <c r="O667" i="16" s="1"/>
  <c r="L666" i="16"/>
  <c r="M666" i="16" s="1"/>
  <c r="O666" i="16" s="1"/>
  <c r="L665" i="16"/>
  <c r="M665" i="16" s="1"/>
  <c r="O665" i="16" s="1"/>
  <c r="L664" i="16"/>
  <c r="M664" i="16" s="1"/>
  <c r="O664" i="16" s="1"/>
  <c r="L663" i="16"/>
  <c r="M663" i="16" s="1"/>
  <c r="O663" i="16" s="1"/>
  <c r="L662" i="16"/>
  <c r="M662" i="16" s="1"/>
  <c r="O662" i="16" s="1"/>
  <c r="L661" i="16"/>
  <c r="M661" i="16" s="1"/>
  <c r="O661" i="16" s="1"/>
  <c r="L660" i="16"/>
  <c r="M660" i="16" s="1"/>
  <c r="O660" i="16" s="1"/>
  <c r="L659" i="16"/>
  <c r="M659" i="16" s="1"/>
  <c r="O659" i="16" s="1"/>
  <c r="L658" i="16"/>
  <c r="M658" i="16" s="1"/>
  <c r="O658" i="16" s="1"/>
  <c r="L657" i="16"/>
  <c r="M657" i="16" s="1"/>
  <c r="O657" i="16" s="1"/>
  <c r="L656" i="16"/>
  <c r="M656" i="16" s="1"/>
  <c r="O656" i="16" s="1"/>
  <c r="L655" i="16"/>
  <c r="M655" i="16" s="1"/>
  <c r="O655" i="16" s="1"/>
  <c r="L654" i="16"/>
  <c r="M654" i="16" s="1"/>
  <c r="O654" i="16" s="1"/>
  <c r="L653" i="16"/>
  <c r="M653" i="16" l="1"/>
  <c r="O653" i="16" l="1"/>
  <c r="O691" i="16" s="1"/>
  <c r="E287" i="14" l="1"/>
  <c r="F287" i="14"/>
  <c r="F42" i="18" l="1"/>
  <c r="K323" i="8"/>
  <c r="L323" i="8" s="1"/>
  <c r="N323" i="8" s="1"/>
  <c r="K322" i="8"/>
  <c r="L322" i="8" s="1"/>
  <c r="N322" i="8" s="1"/>
  <c r="K321" i="8"/>
  <c r="L321" i="8" s="1"/>
  <c r="N321" i="8" s="1"/>
  <c r="K320" i="8"/>
  <c r="L320" i="8" s="1"/>
  <c r="N320" i="8" s="1"/>
  <c r="K319" i="8"/>
  <c r="L319" i="8" s="1"/>
  <c r="N319" i="8" s="1"/>
  <c r="K318" i="8"/>
  <c r="L318" i="8" s="1"/>
  <c r="N318" i="8" s="1"/>
  <c r="K317" i="8"/>
  <c r="L317" i="8" s="1"/>
  <c r="N317" i="8" s="1"/>
  <c r="K316" i="8"/>
  <c r="L316" i="8" s="1"/>
  <c r="N316" i="8" s="1"/>
  <c r="K315" i="8"/>
  <c r="L315" i="8" s="1"/>
  <c r="N315" i="8" s="1"/>
  <c r="K314" i="8"/>
  <c r="L314" i="8" s="1"/>
  <c r="N314" i="8" s="1"/>
  <c r="K313" i="8"/>
  <c r="L313" i="8" s="1"/>
  <c r="N313" i="8" s="1"/>
  <c r="K312" i="8"/>
  <c r="L312" i="8" s="1"/>
  <c r="N312" i="8" s="1"/>
  <c r="K311" i="8"/>
  <c r="L311" i="8" s="1"/>
  <c r="N311" i="8" s="1"/>
  <c r="K310" i="8"/>
  <c r="L310" i="8" s="1"/>
  <c r="N310" i="8" s="1"/>
  <c r="K309" i="8"/>
  <c r="L309" i="8" s="1"/>
  <c r="N309" i="8" s="1"/>
  <c r="K308" i="8"/>
  <c r="L308" i="8" s="1"/>
  <c r="N308" i="8" s="1"/>
  <c r="K307" i="8"/>
  <c r="L307" i="8" s="1"/>
  <c r="N307" i="8" s="1"/>
  <c r="K306" i="8"/>
  <c r="L306" i="8" s="1"/>
  <c r="N306" i="8" s="1"/>
  <c r="K305" i="8"/>
  <c r="L305" i="8" s="1"/>
  <c r="N305" i="8" s="1"/>
  <c r="K304" i="8"/>
  <c r="L304" i="8" s="1"/>
  <c r="N304" i="8" s="1"/>
  <c r="K303" i="8"/>
  <c r="L303" i="8" s="1"/>
  <c r="N303" i="8" s="1"/>
  <c r="K302" i="8"/>
  <c r="L302" i="8" s="1"/>
  <c r="N302" i="8" s="1"/>
  <c r="K55" i="8"/>
  <c r="L55" i="8" s="1"/>
  <c r="N55" i="8" s="1"/>
  <c r="K54" i="8"/>
  <c r="L54" i="8" s="1"/>
  <c r="N54" i="8" s="1"/>
  <c r="K53" i="8"/>
  <c r="L53" i="8" s="1"/>
  <c r="N53" i="8" s="1"/>
  <c r="K52" i="8"/>
  <c r="L52" i="8" s="1"/>
  <c r="N52" i="8" s="1"/>
  <c r="K51" i="8"/>
  <c r="L51" i="8" s="1"/>
  <c r="N51" i="8" s="1"/>
  <c r="K50" i="8"/>
  <c r="L50" i="8" s="1"/>
  <c r="N50" i="8" s="1"/>
  <c r="L569" i="16" l="1"/>
  <c r="M569" i="16" s="1"/>
  <c r="O569" i="16" s="1"/>
  <c r="L568" i="16"/>
  <c r="M568" i="16" s="1"/>
  <c r="O568" i="16" s="1"/>
  <c r="L567" i="16"/>
  <c r="M567" i="16" s="1"/>
  <c r="O567" i="16" s="1"/>
  <c r="L475" i="16" l="1"/>
  <c r="M475" i="16" s="1"/>
  <c r="O475" i="16" s="1"/>
  <c r="L474" i="16"/>
  <c r="M474" i="16" s="1"/>
  <c r="O474" i="16" s="1"/>
  <c r="L473" i="16"/>
  <c r="M473" i="16" s="1"/>
  <c r="O473" i="16" s="1"/>
  <c r="L472" i="16"/>
  <c r="M472" i="16" s="1"/>
  <c r="O472" i="16" s="1"/>
  <c r="L471" i="16"/>
  <c r="M471" i="16" s="1"/>
  <c r="O471" i="16" s="1"/>
  <c r="L470" i="16"/>
  <c r="M470" i="16" s="1"/>
  <c r="O470" i="16" s="1"/>
  <c r="L590" i="16" l="1"/>
  <c r="M590" i="16" s="1"/>
  <c r="O590" i="16" s="1"/>
  <c r="L589" i="16"/>
  <c r="M589" i="16" s="1"/>
  <c r="O589" i="16" s="1"/>
  <c r="L588" i="16"/>
  <c r="M588" i="16" s="1"/>
  <c r="O588" i="16" s="1"/>
  <c r="K48" i="8" l="1"/>
  <c r="L48" i="8" s="1"/>
  <c r="N48" i="8" s="1"/>
  <c r="L482" i="16"/>
  <c r="M482" i="16" s="1"/>
  <c r="O482" i="16" s="1"/>
  <c r="L481" i="16"/>
  <c r="M481" i="16" s="1"/>
  <c r="O481" i="16" s="1"/>
  <c r="L480" i="16"/>
  <c r="M480" i="16" s="1"/>
  <c r="O480" i="16" s="1"/>
  <c r="L479" i="16"/>
  <c r="M479" i="16" s="1"/>
  <c r="O479" i="16" s="1"/>
  <c r="L469" i="16"/>
  <c r="M469" i="16" s="1"/>
  <c r="O469" i="16" s="1"/>
  <c r="L468" i="16"/>
  <c r="M468" i="16" s="1"/>
  <c r="O468" i="16" s="1"/>
  <c r="L467" i="16"/>
  <c r="M467" i="16" s="1"/>
  <c r="O467" i="16" s="1"/>
  <c r="L466" i="16"/>
  <c r="M466" i="16" s="1"/>
  <c r="O466" i="16" s="1"/>
  <c r="L465" i="16"/>
  <c r="M465" i="16" s="1"/>
  <c r="O465" i="16" s="1"/>
  <c r="L464" i="16"/>
  <c r="M464" i="16" s="1"/>
  <c r="O464" i="16" s="1"/>
  <c r="L463" i="16"/>
  <c r="M463" i="16" s="1"/>
  <c r="O463" i="16" s="1"/>
  <c r="L462" i="16"/>
  <c r="M462" i="16" s="1"/>
  <c r="O462" i="16" s="1"/>
  <c r="L461" i="16"/>
  <c r="M461" i="16" s="1"/>
  <c r="O461" i="16" s="1"/>
  <c r="E83" i="14" l="1"/>
  <c r="F83" i="14"/>
  <c r="I83" i="14" l="1"/>
  <c r="E47" i="18" l="1"/>
  <c r="L545" i="16"/>
  <c r="M545" i="16" s="1"/>
  <c r="O545" i="16" s="1"/>
  <c r="L544" i="16"/>
  <c r="M544" i="16" s="1"/>
  <c r="O544" i="16" s="1"/>
  <c r="L543" i="16"/>
  <c r="M543" i="16" s="1"/>
  <c r="O543" i="16" s="1"/>
  <c r="L542" i="16"/>
  <c r="M542" i="16" s="1"/>
  <c r="O542" i="16" s="1"/>
  <c r="F41" i="18" l="1"/>
  <c r="L645" i="16"/>
  <c r="M645" i="16" s="1"/>
  <c r="O645" i="16" s="1"/>
  <c r="L644" i="16"/>
  <c r="M644" i="16" s="1"/>
  <c r="O644" i="16" s="1"/>
  <c r="L643" i="16"/>
  <c r="M643" i="16" s="1"/>
  <c r="O643" i="16" s="1"/>
  <c r="L642" i="16"/>
  <c r="M642" i="16" s="1"/>
  <c r="O642" i="16" s="1"/>
  <c r="L641" i="16"/>
  <c r="M641" i="16" s="1"/>
  <c r="O641" i="16" s="1"/>
  <c r="L640" i="16"/>
  <c r="M640" i="16" s="1"/>
  <c r="O640" i="16" s="1"/>
  <c r="L639" i="16"/>
  <c r="M639" i="16" s="1"/>
  <c r="O639" i="16" s="1"/>
  <c r="L638" i="16"/>
  <c r="M638" i="16" s="1"/>
  <c r="O638" i="16" s="1"/>
  <c r="L637" i="16"/>
  <c r="M637" i="16" s="1"/>
  <c r="O637" i="16" s="1"/>
  <c r="L636" i="16"/>
  <c r="M636" i="16" s="1"/>
  <c r="O636" i="16" s="1"/>
  <c r="L635" i="16"/>
  <c r="M635" i="16" s="1"/>
  <c r="O635" i="16" s="1"/>
  <c r="L634" i="16"/>
  <c r="M634" i="16" s="1"/>
  <c r="O634" i="16" s="1"/>
  <c r="L633" i="16"/>
  <c r="M633" i="16" s="1"/>
  <c r="O633" i="16" s="1"/>
  <c r="L632" i="16"/>
  <c r="M632" i="16" s="1"/>
  <c r="O632" i="16" s="1"/>
  <c r="L631" i="16"/>
  <c r="M631" i="16" s="1"/>
  <c r="O631" i="16" s="1"/>
  <c r="L630" i="16"/>
  <c r="M630" i="16" s="1"/>
  <c r="O630" i="16" s="1"/>
  <c r="L629" i="16"/>
  <c r="M629" i="16" s="1"/>
  <c r="O629" i="16" s="1"/>
  <c r="L628" i="16"/>
  <c r="M628" i="16" s="1"/>
  <c r="O628" i="16" s="1"/>
  <c r="L627" i="16"/>
  <c r="M627" i="16" s="1"/>
  <c r="O627" i="16" s="1"/>
  <c r="L626" i="16"/>
  <c r="M626" i="16" s="1"/>
  <c r="O626" i="16" s="1"/>
  <c r="L625" i="16"/>
  <c r="M625" i="16" s="1"/>
  <c r="O625" i="16" s="1"/>
  <c r="L624" i="16"/>
  <c r="M624" i="16" s="1"/>
  <c r="O624" i="16" s="1"/>
  <c r="L623" i="16"/>
  <c r="M623" i="16" s="1"/>
  <c r="O623" i="16" s="1"/>
  <c r="L622" i="16"/>
  <c r="M622" i="16" s="1"/>
  <c r="O622" i="16" s="1"/>
  <c r="L621" i="16"/>
  <c r="M621" i="16" s="1"/>
  <c r="O621" i="16" s="1"/>
  <c r="L615" i="16"/>
  <c r="M615" i="16" s="1"/>
  <c r="O615" i="16" s="1"/>
  <c r="L614" i="16"/>
  <c r="M614" i="16" s="1"/>
  <c r="O614" i="16" s="1"/>
  <c r="L613" i="16"/>
  <c r="M613" i="16" s="1"/>
  <c r="O613" i="16" s="1"/>
  <c r="L612" i="16"/>
  <c r="M612" i="16" s="1"/>
  <c r="O612" i="16" s="1"/>
  <c r="L611" i="16"/>
  <c r="M611" i="16" s="1"/>
  <c r="O611" i="16" s="1"/>
  <c r="L610" i="16"/>
  <c r="M610" i="16" s="1"/>
  <c r="O610" i="16" s="1"/>
  <c r="L609" i="16"/>
  <c r="M609" i="16" s="1"/>
  <c r="O609" i="16" s="1"/>
  <c r="L608" i="16"/>
  <c r="M608" i="16" s="1"/>
  <c r="O608" i="16" s="1"/>
  <c r="L607" i="16"/>
  <c r="M607" i="16" s="1"/>
  <c r="O607" i="16" s="1"/>
  <c r="L606" i="16"/>
  <c r="M606" i="16" s="1"/>
  <c r="O606" i="16" s="1"/>
  <c r="L605" i="16"/>
  <c r="M605" i="16" s="1"/>
  <c r="O605" i="16" s="1"/>
  <c r="L604" i="16"/>
  <c r="M604" i="16" s="1"/>
  <c r="O604" i="16" s="1"/>
  <c r="L603" i="16"/>
  <c r="M603" i="16" s="1"/>
  <c r="O603" i="16" s="1"/>
  <c r="L602" i="16"/>
  <c r="M602" i="16" s="1"/>
  <c r="O602" i="16" s="1"/>
  <c r="L601" i="16"/>
  <c r="M601" i="16" s="1"/>
  <c r="O601" i="16" s="1"/>
  <c r="L600" i="16"/>
  <c r="M600" i="16" s="1"/>
  <c r="O600" i="16" s="1"/>
  <c r="L599" i="16"/>
  <c r="M599" i="16" s="1"/>
  <c r="O599" i="16" s="1"/>
  <c r="L598" i="16"/>
  <c r="M598" i="16" s="1"/>
  <c r="O598" i="16" s="1"/>
  <c r="L597" i="16"/>
  <c r="M597" i="16" s="1"/>
  <c r="O597" i="16" s="1"/>
  <c r="L596" i="16"/>
  <c r="M596" i="16" s="1"/>
  <c r="O596" i="16" s="1"/>
  <c r="L595" i="16"/>
  <c r="M595" i="16" s="1"/>
  <c r="O595" i="16" s="1"/>
  <c r="L594" i="16"/>
  <c r="M594" i="16" s="1"/>
  <c r="O594" i="16" s="1"/>
  <c r="L593" i="16"/>
  <c r="M593" i="16" s="1"/>
  <c r="O593" i="16" s="1"/>
  <c r="L592" i="16"/>
  <c r="M592" i="16" s="1"/>
  <c r="O592" i="16" s="1"/>
  <c r="L587" i="16"/>
  <c r="M587" i="16" s="1"/>
  <c r="O587" i="16" s="1"/>
  <c r="L586" i="16"/>
  <c r="M586" i="16" s="1"/>
  <c r="O586" i="16" s="1"/>
  <c r="L585" i="16"/>
  <c r="M585" i="16" s="1"/>
  <c r="O585" i="16" s="1"/>
  <c r="L584" i="16"/>
  <c r="M584" i="16" s="1"/>
  <c r="O584" i="16" s="1"/>
  <c r="L583" i="16"/>
  <c r="M583" i="16" s="1"/>
  <c r="O583" i="16" s="1"/>
  <c r="L582" i="16"/>
  <c r="M582" i="16" s="1"/>
  <c r="O582" i="16" s="1"/>
  <c r="L581" i="16"/>
  <c r="M581" i="16" s="1"/>
  <c r="O581" i="16" s="1"/>
  <c r="L580" i="16"/>
  <c r="M580" i="16" s="1"/>
  <c r="O580" i="16" s="1"/>
  <c r="L579" i="16"/>
  <c r="M579" i="16" s="1"/>
  <c r="O579" i="16" s="1"/>
  <c r="L578" i="16"/>
  <c r="M578" i="16" s="1"/>
  <c r="O578" i="16" s="1"/>
  <c r="L577" i="16"/>
  <c r="M577" i="16" s="1"/>
  <c r="O577" i="16" s="1"/>
  <c r="L576" i="16"/>
  <c r="M576" i="16" s="1"/>
  <c r="O576" i="16" s="1"/>
  <c r="L575" i="16"/>
  <c r="M575" i="16" s="1"/>
  <c r="O575" i="16" s="1"/>
  <c r="L574" i="16"/>
  <c r="M574" i="16" s="1"/>
  <c r="O574" i="16" s="1"/>
  <c r="L573" i="16"/>
  <c r="M573" i="16" s="1"/>
  <c r="O573" i="16" s="1"/>
  <c r="L572" i="16"/>
  <c r="M572" i="16" s="1"/>
  <c r="O572" i="16" s="1"/>
  <c r="L571" i="16"/>
  <c r="M571" i="16" s="1"/>
  <c r="O571" i="16" s="1"/>
  <c r="L570" i="16"/>
  <c r="M570" i="16" s="1"/>
  <c r="O570" i="16" s="1"/>
  <c r="L566" i="16"/>
  <c r="M566" i="16" s="1"/>
  <c r="O566" i="16" s="1"/>
  <c r="L565" i="16"/>
  <c r="M565" i="16" s="1"/>
  <c r="O565" i="16" s="1"/>
  <c r="L564" i="16"/>
  <c r="M564" i="16" s="1"/>
  <c r="O564" i="16" s="1"/>
  <c r="L563" i="16"/>
  <c r="M563" i="16" s="1"/>
  <c r="O563" i="16" s="1"/>
  <c r="L562" i="16"/>
  <c r="M562" i="16" s="1"/>
  <c r="O562" i="16" s="1"/>
  <c r="L561" i="16"/>
  <c r="M561" i="16" s="1"/>
  <c r="O561" i="16" s="1"/>
  <c r="L560" i="16"/>
  <c r="M560" i="16" s="1"/>
  <c r="O560" i="16" s="1"/>
  <c r="L559" i="16"/>
  <c r="M559" i="16" s="1"/>
  <c r="O559" i="16" s="1"/>
  <c r="L558" i="16"/>
  <c r="M558" i="16" s="1"/>
  <c r="O558" i="16" s="1"/>
  <c r="L557" i="16"/>
  <c r="M557" i="16" s="1"/>
  <c r="O557" i="16" s="1"/>
  <c r="L556" i="16"/>
  <c r="M556" i="16" s="1"/>
  <c r="O556" i="16" s="1"/>
  <c r="L555" i="16"/>
  <c r="M555" i="16" s="1"/>
  <c r="O555" i="16" s="1"/>
  <c r="L554" i="16"/>
  <c r="M554" i="16" s="1"/>
  <c r="O554" i="16" s="1"/>
  <c r="L553" i="16"/>
  <c r="M553" i="16" s="1"/>
  <c r="O553" i="16" s="1"/>
  <c r="L552" i="16"/>
  <c r="M552" i="16" s="1"/>
  <c r="O552" i="16" s="1"/>
  <c r="L551" i="16"/>
  <c r="M551" i="16" s="1"/>
  <c r="O551" i="16" s="1"/>
  <c r="L550" i="16"/>
  <c r="M550" i="16" s="1"/>
  <c r="O550" i="16" s="1"/>
  <c r="L549" i="16"/>
  <c r="M549" i="16" s="1"/>
  <c r="O549" i="16" s="1"/>
  <c r="L548" i="16"/>
  <c r="M548" i="16" s="1"/>
  <c r="O548" i="16" s="1"/>
  <c r="L547" i="16"/>
  <c r="M547" i="16" s="1"/>
  <c r="O547" i="16" s="1"/>
  <c r="L546" i="16"/>
  <c r="M546" i="16" s="1"/>
  <c r="O546" i="16" s="1"/>
  <c r="L541" i="16"/>
  <c r="M541" i="16" s="1"/>
  <c r="O541" i="16" s="1"/>
  <c r="L540" i="16"/>
  <c r="M540" i="16" s="1"/>
  <c r="O540" i="16" s="1"/>
  <c r="L539" i="16"/>
  <c r="M539" i="16" s="1"/>
  <c r="O539" i="16" s="1"/>
  <c r="L538" i="16"/>
  <c r="M538" i="16" s="1"/>
  <c r="O538" i="16" s="1"/>
  <c r="L537" i="16"/>
  <c r="M537" i="16" s="1"/>
  <c r="O537" i="16" s="1"/>
  <c r="L536" i="16"/>
  <c r="M536" i="16" s="1"/>
  <c r="O536" i="16" s="1"/>
  <c r="L535" i="16"/>
  <c r="M535" i="16" s="1"/>
  <c r="O535" i="16" s="1"/>
  <c r="L534" i="16"/>
  <c r="M534" i="16" s="1"/>
  <c r="O534" i="16" s="1"/>
  <c r="L533" i="16"/>
  <c r="M533" i="16" s="1"/>
  <c r="O533" i="16" s="1"/>
  <c r="L532" i="16"/>
  <c r="M532" i="16" s="1"/>
  <c r="O532" i="16" s="1"/>
  <c r="L531" i="16"/>
  <c r="M531" i="16" s="1"/>
  <c r="O531" i="16" s="1"/>
  <c r="L530" i="16"/>
  <c r="M530" i="16" s="1"/>
  <c r="O530" i="16" s="1"/>
  <c r="L529" i="16"/>
  <c r="M529" i="16" s="1"/>
  <c r="O529" i="16" s="1"/>
  <c r="L528" i="16"/>
  <c r="M528" i="16" s="1"/>
  <c r="O528" i="16" s="1"/>
  <c r="L527" i="16"/>
  <c r="M527" i="16" s="1"/>
  <c r="O527" i="16" s="1"/>
  <c r="L526" i="16"/>
  <c r="M526" i="16" s="1"/>
  <c r="O526" i="16" s="1"/>
  <c r="L525" i="16"/>
  <c r="M525" i="16" s="1"/>
  <c r="O525" i="16" s="1"/>
  <c r="L524" i="16"/>
  <c r="M524" i="16" s="1"/>
  <c r="O524" i="16" s="1"/>
  <c r="L523" i="16"/>
  <c r="M523" i="16" s="1"/>
  <c r="O523" i="16" s="1"/>
  <c r="L522" i="16"/>
  <c r="M522" i="16" s="1"/>
  <c r="O522" i="16" s="1"/>
  <c r="L521" i="16"/>
  <c r="M521" i="16" s="1"/>
  <c r="O521" i="16" s="1"/>
  <c r="L520" i="16"/>
  <c r="M520" i="16" s="1"/>
  <c r="O520" i="16" s="1"/>
  <c r="L519" i="16"/>
  <c r="M519" i="16" s="1"/>
  <c r="O519" i="16" s="1"/>
  <c r="L518" i="16"/>
  <c r="M518" i="16" s="1"/>
  <c r="O518" i="16" s="1"/>
  <c r="L517" i="16"/>
  <c r="M517" i="16" s="1"/>
  <c r="O517" i="16" s="1"/>
  <c r="L516" i="16"/>
  <c r="M516" i="16" s="1"/>
  <c r="O516" i="16" s="1"/>
  <c r="L515" i="16"/>
  <c r="M515" i="16" s="1"/>
  <c r="O515" i="16" s="1"/>
  <c r="L514" i="16"/>
  <c r="M514" i="16" s="1"/>
  <c r="O514" i="16" s="1"/>
  <c r="L513" i="16"/>
  <c r="M513" i="16" s="1"/>
  <c r="O513" i="16" s="1"/>
  <c r="L512" i="16"/>
  <c r="M512" i="16" s="1"/>
  <c r="O512" i="16" s="1"/>
  <c r="L511" i="16"/>
  <c r="M511" i="16" s="1"/>
  <c r="O511" i="16" s="1"/>
  <c r="L510" i="16"/>
  <c r="M510" i="16" s="1"/>
  <c r="O510" i="16" s="1"/>
  <c r="L509" i="16"/>
  <c r="M509" i="16" s="1"/>
  <c r="O509" i="16" s="1"/>
  <c r="L508" i="16"/>
  <c r="M508" i="16" s="1"/>
  <c r="O508" i="16" s="1"/>
  <c r="L507" i="16"/>
  <c r="M507" i="16" s="1"/>
  <c r="O507" i="16" s="1"/>
  <c r="L506" i="16"/>
  <c r="M506" i="16" s="1"/>
  <c r="O506" i="16" s="1"/>
  <c r="L505" i="16"/>
  <c r="M505" i="16" s="1"/>
  <c r="O505" i="16" s="1"/>
  <c r="L504" i="16"/>
  <c r="M504" i="16" s="1"/>
  <c r="O504" i="16" s="1"/>
  <c r="L503" i="16"/>
  <c r="M503" i="16" s="1"/>
  <c r="O503" i="16" s="1"/>
  <c r="L502" i="16"/>
  <c r="M502" i="16" s="1"/>
  <c r="O502" i="16" s="1"/>
  <c r="L501" i="16"/>
  <c r="M501" i="16" s="1"/>
  <c r="O501" i="16" s="1"/>
  <c r="L500" i="16"/>
  <c r="M500" i="16" s="1"/>
  <c r="O500" i="16" s="1"/>
  <c r="L499" i="16"/>
  <c r="M499" i="16" s="1"/>
  <c r="O499" i="16" s="1"/>
  <c r="L498" i="16"/>
  <c r="M498" i="16" s="1"/>
  <c r="O498" i="16" s="1"/>
  <c r="L497" i="16"/>
  <c r="M497" i="16" s="1"/>
  <c r="O497" i="16" s="1"/>
  <c r="L496" i="16"/>
  <c r="M496" i="16" s="1"/>
  <c r="O496" i="16" s="1"/>
  <c r="L495" i="16"/>
  <c r="M495" i="16" s="1"/>
  <c r="O495" i="16" s="1"/>
  <c r="L494" i="16"/>
  <c r="M494" i="16" s="1"/>
  <c r="O494" i="16" s="1"/>
  <c r="L493" i="16"/>
  <c r="M493" i="16" s="1"/>
  <c r="O493" i="16" s="1"/>
  <c r="L492" i="16"/>
  <c r="M492" i="16" s="1"/>
  <c r="O492" i="16" s="1"/>
  <c r="L491" i="16"/>
  <c r="M491" i="16" s="1"/>
  <c r="O491" i="16" s="1"/>
  <c r="L490" i="16"/>
  <c r="M490" i="16" s="1"/>
  <c r="O490" i="16" s="1"/>
  <c r="L489" i="16"/>
  <c r="M489" i="16" s="1"/>
  <c r="O489" i="16" s="1"/>
  <c r="L488" i="16"/>
  <c r="M488" i="16" s="1"/>
  <c r="O488" i="16" s="1"/>
  <c r="L487" i="16"/>
  <c r="M487" i="16" s="1"/>
  <c r="O487" i="16" s="1"/>
  <c r="L486" i="16"/>
  <c r="M486" i="16" s="1"/>
  <c r="O486" i="16" s="1"/>
  <c r="L485" i="16"/>
  <c r="M485" i="16" s="1"/>
  <c r="O485" i="16" s="1"/>
  <c r="Q50" i="2"/>
  <c r="M51" i="2"/>
  <c r="S51" i="2" s="1"/>
  <c r="T51" i="2" s="1"/>
  <c r="H50" i="2"/>
  <c r="S50" i="2" l="1"/>
  <c r="T50" i="2" s="1"/>
  <c r="E78" i="14" l="1"/>
  <c r="F78" i="14"/>
  <c r="I78" i="14" l="1"/>
  <c r="L24" i="18" l="1"/>
  <c r="F40" i="18"/>
  <c r="K449" i="16" l="1"/>
  <c r="L449" i="16" s="1"/>
  <c r="M449" i="16" s="1"/>
  <c r="O449" i="16" s="1"/>
  <c r="K448" i="16"/>
  <c r="L448" i="16" s="1"/>
  <c r="M448" i="16" s="1"/>
  <c r="O448" i="16" s="1"/>
  <c r="K447" i="16"/>
  <c r="L447" i="16" s="1"/>
  <c r="M447" i="16" s="1"/>
  <c r="O447" i="16" s="1"/>
  <c r="K446" i="16"/>
  <c r="L446" i="16" s="1"/>
  <c r="M446" i="16" s="1"/>
  <c r="O446" i="16" s="1"/>
  <c r="K445" i="16"/>
  <c r="L445" i="16" s="1"/>
  <c r="M445" i="16" s="1"/>
  <c r="O445" i="16" s="1"/>
  <c r="K444" i="16"/>
  <c r="L444" i="16" s="1"/>
  <c r="M444" i="16" s="1"/>
  <c r="O444" i="16" s="1"/>
  <c r="K443" i="16"/>
  <c r="L443" i="16" s="1"/>
  <c r="M443" i="16" s="1"/>
  <c r="O443" i="16" s="1"/>
  <c r="K442" i="16"/>
  <c r="L442" i="16" s="1"/>
  <c r="M442" i="16" s="1"/>
  <c r="O442" i="16" s="1"/>
  <c r="K441" i="16"/>
  <c r="L441" i="16" s="1"/>
  <c r="M441" i="16" s="1"/>
  <c r="O441" i="16" s="1"/>
  <c r="K440" i="16"/>
  <c r="L440" i="16" s="1"/>
  <c r="M440" i="16" s="1"/>
  <c r="O440" i="16" s="1"/>
  <c r="K439" i="16"/>
  <c r="L439" i="16" s="1"/>
  <c r="M439" i="16" s="1"/>
  <c r="O439" i="16" s="1"/>
  <c r="K438" i="16"/>
  <c r="L438" i="16" s="1"/>
  <c r="M438" i="16" s="1"/>
  <c r="O438" i="16" s="1"/>
  <c r="K437" i="16"/>
  <c r="L437" i="16" s="1"/>
  <c r="M437" i="16" s="1"/>
  <c r="O437" i="16" s="1"/>
  <c r="K436" i="16"/>
  <c r="L436" i="16" s="1"/>
  <c r="M436" i="16" s="1"/>
  <c r="O436" i="16" s="1"/>
  <c r="K435" i="16"/>
  <c r="L435" i="16" s="1"/>
  <c r="M435" i="16" s="1"/>
  <c r="O435" i="16" s="1"/>
  <c r="K434" i="16"/>
  <c r="L434" i="16" s="1"/>
  <c r="M434" i="16" s="1"/>
  <c r="O434" i="16" s="1"/>
  <c r="K433" i="16"/>
  <c r="L433" i="16" s="1"/>
  <c r="M433" i="16" s="1"/>
  <c r="O433" i="16" s="1"/>
  <c r="K432" i="16"/>
  <c r="L432" i="16" s="1"/>
  <c r="M432" i="16" s="1"/>
  <c r="O432" i="16" s="1"/>
  <c r="K431" i="16"/>
  <c r="L431" i="16" s="1"/>
  <c r="M431" i="16" s="1"/>
  <c r="O431" i="16" s="1"/>
  <c r="K430" i="16"/>
  <c r="L430" i="16" s="1"/>
  <c r="M430" i="16" s="1"/>
  <c r="O430" i="16" s="1"/>
  <c r="K429" i="16"/>
  <c r="L429" i="16" s="1"/>
  <c r="M429" i="16" s="1"/>
  <c r="O429" i="16" s="1"/>
  <c r="K427" i="16" l="1"/>
  <c r="L427" i="16" s="1"/>
  <c r="M427" i="16" s="1"/>
  <c r="O427" i="16" s="1"/>
  <c r="K426" i="16"/>
  <c r="L426" i="16" s="1"/>
  <c r="M426" i="16" s="1"/>
  <c r="O426" i="16" s="1"/>
  <c r="K425" i="16"/>
  <c r="L425" i="16" s="1"/>
  <c r="M425" i="16" s="1"/>
  <c r="O425" i="16" s="1"/>
  <c r="K424" i="16"/>
  <c r="L424" i="16" s="1"/>
  <c r="M424" i="16" s="1"/>
  <c r="O424" i="16" s="1"/>
  <c r="K423" i="16"/>
  <c r="L423" i="16" s="1"/>
  <c r="M423" i="16" s="1"/>
  <c r="O423" i="16" s="1"/>
  <c r="K422" i="16"/>
  <c r="L422" i="16" s="1"/>
  <c r="M422" i="16" s="1"/>
  <c r="O422" i="16" s="1"/>
  <c r="K421" i="16"/>
  <c r="L421" i="16" s="1"/>
  <c r="M421" i="16" s="1"/>
  <c r="O421" i="16" s="1"/>
  <c r="K420" i="16"/>
  <c r="L420" i="16" s="1"/>
  <c r="M420" i="16" s="1"/>
  <c r="O420" i="16" s="1"/>
  <c r="K419" i="16"/>
  <c r="K418" i="16"/>
  <c r="L418" i="16" s="1"/>
  <c r="M418" i="16" s="1"/>
  <c r="O418" i="16" s="1"/>
  <c r="K417" i="16"/>
  <c r="L417" i="16" s="1"/>
  <c r="M417" i="16" s="1"/>
  <c r="O417" i="16" s="1"/>
  <c r="K416" i="16"/>
  <c r="L416" i="16" s="1"/>
  <c r="M416" i="16" s="1"/>
  <c r="O416" i="16" s="1"/>
  <c r="K415" i="16"/>
  <c r="L415" i="16" s="1"/>
  <c r="M415" i="16" s="1"/>
  <c r="O415" i="16" s="1"/>
  <c r="K414" i="16"/>
  <c r="L414" i="16" s="1"/>
  <c r="M414" i="16" s="1"/>
  <c r="O414" i="16" s="1"/>
  <c r="K413" i="16"/>
  <c r="L413" i="16" s="1"/>
  <c r="M413" i="16" s="1"/>
  <c r="O413" i="16" s="1"/>
  <c r="K412" i="16"/>
  <c r="L412" i="16" s="1"/>
  <c r="M412" i="16" s="1"/>
  <c r="O412" i="16" s="1"/>
  <c r="K411" i="16"/>
  <c r="L411" i="16" s="1"/>
  <c r="M411" i="16" s="1"/>
  <c r="O411" i="16" s="1"/>
  <c r="K410" i="16"/>
  <c r="L410" i="16" s="1"/>
  <c r="M410" i="16" s="1"/>
  <c r="O410" i="16" s="1"/>
  <c r="K409" i="16"/>
  <c r="L409" i="16" s="1"/>
  <c r="M409" i="16" s="1"/>
  <c r="O409" i="16" s="1"/>
  <c r="K408" i="16"/>
  <c r="L408" i="16" s="1"/>
  <c r="M408" i="16" s="1"/>
  <c r="O408" i="16" s="1"/>
  <c r="K407" i="16"/>
  <c r="L407" i="16" s="1"/>
  <c r="M407" i="16" s="1"/>
  <c r="O407" i="16" s="1"/>
  <c r="K406" i="16"/>
  <c r="K405" i="16"/>
  <c r="L405" i="16" s="1"/>
  <c r="M405" i="16" s="1"/>
  <c r="O405" i="16" s="1"/>
  <c r="K404" i="16"/>
  <c r="L404" i="16" s="1"/>
  <c r="M404" i="16" s="1"/>
  <c r="O404" i="16" s="1"/>
  <c r="K403" i="16"/>
  <c r="L403" i="16" s="1"/>
  <c r="M403" i="16" s="1"/>
  <c r="O403" i="16" s="1"/>
  <c r="K402" i="16"/>
  <c r="L402" i="16" s="1"/>
  <c r="M402" i="16" s="1"/>
  <c r="O402" i="16" s="1"/>
  <c r="K401" i="16"/>
  <c r="L401" i="16" s="1"/>
  <c r="M401" i="16" s="1"/>
  <c r="O401" i="16" s="1"/>
  <c r="K400" i="16"/>
  <c r="L400" i="16" s="1"/>
  <c r="M400" i="16" s="1"/>
  <c r="O400" i="16" s="1"/>
  <c r="K399" i="16"/>
  <c r="L399" i="16" s="1"/>
  <c r="M399" i="16" s="1"/>
  <c r="O399" i="16" s="1"/>
  <c r="K398" i="16"/>
  <c r="L398" i="16" s="1"/>
  <c r="M398" i="16" s="1"/>
  <c r="O398" i="16" s="1"/>
  <c r="K397" i="16"/>
  <c r="L397" i="16" s="1"/>
  <c r="M397" i="16" s="1"/>
  <c r="O397" i="16" s="1"/>
  <c r="K396" i="16"/>
  <c r="L396" i="16" s="1"/>
  <c r="M396" i="16" s="1"/>
  <c r="O396" i="16" s="1"/>
  <c r="K395" i="16"/>
  <c r="L395" i="16" s="1"/>
  <c r="M395" i="16" s="1"/>
  <c r="O395" i="16" s="1"/>
  <c r="K394" i="16"/>
  <c r="L394" i="16" s="1"/>
  <c r="M394" i="16" s="1"/>
  <c r="O394" i="16" s="1"/>
  <c r="K393" i="16"/>
  <c r="L393" i="16" s="1"/>
  <c r="M393" i="16" s="1"/>
  <c r="O393" i="16" s="1"/>
  <c r="K392" i="16"/>
  <c r="L392" i="16" s="1"/>
  <c r="M392" i="16" s="1"/>
  <c r="O392" i="16" s="1"/>
  <c r="K391" i="16"/>
  <c r="L391" i="16" s="1"/>
  <c r="M391" i="16" s="1"/>
  <c r="O391" i="16" s="1"/>
  <c r="K390" i="16"/>
  <c r="L390" i="16" s="1"/>
  <c r="M390" i="16" s="1"/>
  <c r="O390" i="16" s="1"/>
  <c r="K389" i="16"/>
  <c r="L389" i="16" s="1"/>
  <c r="M389" i="16" s="1"/>
  <c r="O389" i="16" s="1"/>
  <c r="K388" i="16"/>
  <c r="L388" i="16" s="1"/>
  <c r="M388" i="16" s="1"/>
  <c r="O388" i="16" s="1"/>
  <c r="K387" i="16"/>
  <c r="L387" i="16" s="1"/>
  <c r="M387" i="16" s="1"/>
  <c r="O387" i="16" s="1"/>
  <c r="K386" i="16"/>
  <c r="L386" i="16" s="1"/>
  <c r="M386" i="16" s="1"/>
  <c r="O386" i="16" s="1"/>
  <c r="K385" i="16"/>
  <c r="L385" i="16" s="1"/>
  <c r="M385" i="16" s="1"/>
  <c r="O385" i="16" s="1"/>
  <c r="K384" i="16"/>
  <c r="L384" i="16" s="1"/>
  <c r="M384" i="16" s="1"/>
  <c r="O384" i="16" s="1"/>
  <c r="K383" i="16"/>
  <c r="L383" i="16" s="1"/>
  <c r="M383" i="16" s="1"/>
  <c r="O383" i="16" s="1"/>
  <c r="K382" i="16"/>
  <c r="L382" i="16" s="1"/>
  <c r="M382" i="16" s="1"/>
  <c r="O382" i="16" s="1"/>
  <c r="F39" i="18" l="1"/>
  <c r="L366" i="16"/>
  <c r="M366" i="16" s="1"/>
  <c r="O366" i="16" s="1"/>
  <c r="L367" i="16"/>
  <c r="M367" i="16" s="1"/>
  <c r="O367" i="16" s="1"/>
  <c r="L368" i="16"/>
  <c r="M368" i="16" s="1"/>
  <c r="O368" i="16" s="1"/>
  <c r="L369" i="16"/>
  <c r="M369" i="16" s="1"/>
  <c r="O369" i="16" s="1"/>
  <c r="L370" i="16"/>
  <c r="M370" i="16" s="1"/>
  <c r="O370" i="16" s="1"/>
  <c r="L371" i="16"/>
  <c r="M371" i="16" s="1"/>
  <c r="O371" i="16" s="1"/>
  <c r="L372" i="16"/>
  <c r="M372" i="16" s="1"/>
  <c r="O372" i="16" s="1"/>
  <c r="L373" i="16"/>
  <c r="M373" i="16" s="1"/>
  <c r="O373" i="16" s="1"/>
  <c r="L374" i="16"/>
  <c r="M374" i="16" s="1"/>
  <c r="O374" i="16" s="1"/>
  <c r="L375" i="16"/>
  <c r="M375" i="16" s="1"/>
  <c r="O375" i="16" s="1"/>
  <c r="L376" i="16"/>
  <c r="M376" i="16" s="1"/>
  <c r="O376" i="16" s="1"/>
  <c r="L377" i="16"/>
  <c r="M377" i="16" s="1"/>
  <c r="O377" i="16" s="1"/>
  <c r="L378" i="16" l="1"/>
  <c r="M378" i="16" s="1"/>
  <c r="O378" i="16" s="1"/>
  <c r="L365" i="16" l="1"/>
  <c r="M365" i="16" s="1"/>
  <c r="O365" i="16" s="1"/>
  <c r="L364" i="16"/>
  <c r="M364" i="16" s="1"/>
  <c r="O364" i="16" s="1"/>
  <c r="L363" i="16"/>
  <c r="M363" i="16" s="1"/>
  <c r="O363" i="16" s="1"/>
  <c r="L362" i="16"/>
  <c r="M362" i="16" s="1"/>
  <c r="O362" i="16" s="1"/>
  <c r="L361" i="16"/>
  <c r="M361" i="16" s="1"/>
  <c r="O361" i="16" s="1"/>
  <c r="L360" i="16"/>
  <c r="M360" i="16" s="1"/>
  <c r="O360" i="16" s="1"/>
  <c r="L359" i="16"/>
  <c r="M359" i="16" s="1"/>
  <c r="O359" i="16" s="1"/>
  <c r="L358" i="16"/>
  <c r="M358" i="16" s="1"/>
  <c r="O358" i="16" s="1"/>
  <c r="L357" i="16"/>
  <c r="M357" i="16" s="1"/>
  <c r="O357" i="16" s="1"/>
  <c r="L356" i="16"/>
  <c r="M356" i="16" s="1"/>
  <c r="O356" i="16" s="1"/>
  <c r="L355" i="16"/>
  <c r="M355" i="16" s="1"/>
  <c r="O355" i="16" s="1"/>
  <c r="L354" i="16"/>
  <c r="M354" i="16" s="1"/>
  <c r="O354" i="16" s="1"/>
  <c r="K300" i="8" l="1"/>
  <c r="L300" i="8" s="1"/>
  <c r="N300" i="8" s="1"/>
  <c r="L343" i="16"/>
  <c r="M343" i="16" s="1"/>
  <c r="O343" i="16" s="1"/>
  <c r="L342" i="16"/>
  <c r="M342" i="16" s="1"/>
  <c r="O342" i="16" s="1"/>
  <c r="L341" i="16"/>
  <c r="M341" i="16" s="1"/>
  <c r="O341" i="16" s="1"/>
  <c r="L340" i="16"/>
  <c r="M340" i="16" s="1"/>
  <c r="O340" i="16" s="1"/>
  <c r="L339" i="16"/>
  <c r="M339" i="16" s="1"/>
  <c r="O339" i="16" s="1"/>
  <c r="L338" i="16"/>
  <c r="M338" i="16" s="1"/>
  <c r="O338" i="16" s="1"/>
  <c r="L337" i="16"/>
  <c r="M337" i="16" s="1"/>
  <c r="O337" i="16" s="1"/>
  <c r="L336" i="16"/>
  <c r="M336" i="16" s="1"/>
  <c r="O336" i="16" s="1"/>
  <c r="L335" i="16"/>
  <c r="M335" i="16" s="1"/>
  <c r="O335" i="16" s="1"/>
  <c r="L334" i="16"/>
  <c r="M334" i="16" s="1"/>
  <c r="O334" i="16" s="1"/>
  <c r="L333" i="16"/>
  <c r="M333" i="16" s="1"/>
  <c r="O333" i="16" s="1"/>
  <c r="L332" i="16"/>
  <c r="M332" i="16" s="1"/>
  <c r="O332" i="16" s="1"/>
  <c r="L331" i="16"/>
  <c r="M331" i="16" s="1"/>
  <c r="O331" i="16" s="1"/>
  <c r="L330" i="16"/>
  <c r="M330" i="16" s="1"/>
  <c r="O330" i="16" s="1"/>
  <c r="L329" i="16"/>
  <c r="M329" i="16" s="1"/>
  <c r="O329" i="16" s="1"/>
  <c r="L328" i="16"/>
  <c r="M328" i="16" s="1"/>
  <c r="O328" i="16" s="1"/>
  <c r="L327" i="16"/>
  <c r="M327" i="16" s="1"/>
  <c r="O327" i="16" s="1"/>
  <c r="L326" i="16"/>
  <c r="M326" i="16" s="1"/>
  <c r="O326" i="16" s="1"/>
  <c r="L325" i="16"/>
  <c r="M325" i="16" s="1"/>
  <c r="O325" i="16" s="1"/>
  <c r="L324" i="16"/>
  <c r="M324" i="16" s="1"/>
  <c r="O324" i="16" s="1"/>
  <c r="F38" i="18" l="1"/>
  <c r="J323" i="16" l="1"/>
  <c r="L323" i="16" s="1"/>
  <c r="M323" i="16" s="1"/>
  <c r="O323" i="16" s="1"/>
  <c r="J322" i="16"/>
  <c r="L322" i="16" s="1"/>
  <c r="M322" i="16" s="1"/>
  <c r="O322" i="16" s="1"/>
  <c r="J321" i="16"/>
  <c r="L321" i="16" s="1"/>
  <c r="M321" i="16" s="1"/>
  <c r="O321" i="16" s="1"/>
  <c r="J320" i="16"/>
  <c r="L320" i="16" s="1"/>
  <c r="M320" i="16" s="1"/>
  <c r="O320" i="16" s="1"/>
  <c r="J319" i="16"/>
  <c r="L319" i="16" s="1"/>
  <c r="M319" i="16" s="1"/>
  <c r="O319" i="16" s="1"/>
  <c r="J318" i="16"/>
  <c r="L318" i="16" s="1"/>
  <c r="M318" i="16" s="1"/>
  <c r="O318" i="16" s="1"/>
  <c r="J317" i="16"/>
  <c r="L317" i="16" s="1"/>
  <c r="M317" i="16" s="1"/>
  <c r="O317" i="16" s="1"/>
  <c r="J316" i="16"/>
  <c r="L316" i="16" s="1"/>
  <c r="M316" i="16" s="1"/>
  <c r="O316" i="16" s="1"/>
  <c r="J315" i="16"/>
  <c r="L315" i="16" s="1"/>
  <c r="M315" i="16" s="1"/>
  <c r="O315" i="16" s="1"/>
  <c r="J314" i="16"/>
  <c r="L314" i="16" s="1"/>
  <c r="M314" i="16" s="1"/>
  <c r="O314" i="16" s="1"/>
  <c r="J313" i="16"/>
  <c r="L313" i="16" s="1"/>
  <c r="M313" i="16" s="1"/>
  <c r="O313" i="16" s="1"/>
  <c r="J312" i="16"/>
  <c r="L312" i="16" s="1"/>
  <c r="M312" i="16" s="1"/>
  <c r="O312" i="16" s="1"/>
  <c r="J311" i="16"/>
  <c r="L311" i="16" s="1"/>
  <c r="M311" i="16" s="1"/>
  <c r="O311" i="16" s="1"/>
  <c r="J310" i="16"/>
  <c r="L310" i="16" s="1"/>
  <c r="M310" i="16" s="1"/>
  <c r="O310" i="16" s="1"/>
  <c r="O298" i="16" l="1"/>
  <c r="J297" i="16"/>
  <c r="L297" i="16" s="1"/>
  <c r="M297" i="16" s="1"/>
  <c r="O297" i="16" s="1"/>
  <c r="J296" i="16"/>
  <c r="L296" i="16" s="1"/>
  <c r="M296" i="16" s="1"/>
  <c r="O296" i="16" s="1"/>
  <c r="J295" i="16"/>
  <c r="L295" i="16" s="1"/>
  <c r="M295" i="16" s="1"/>
  <c r="O295" i="16" s="1"/>
  <c r="J294" i="16"/>
  <c r="L294" i="16" s="1"/>
  <c r="M294" i="16" s="1"/>
  <c r="O294" i="16" s="1"/>
  <c r="J293" i="16"/>
  <c r="L293" i="16" s="1"/>
  <c r="M293" i="16" s="1"/>
  <c r="O293" i="16" s="1"/>
  <c r="J292" i="16"/>
  <c r="L292" i="16" s="1"/>
  <c r="M292" i="16" s="1"/>
  <c r="O292" i="16" s="1"/>
  <c r="J291" i="16"/>
  <c r="L291" i="16" s="1"/>
  <c r="M291" i="16" s="1"/>
  <c r="O291" i="16" s="1"/>
  <c r="J290" i="16"/>
  <c r="L290" i="16" s="1"/>
  <c r="M290" i="16" s="1"/>
  <c r="O290" i="16" s="1"/>
  <c r="J289" i="16"/>
  <c r="L289" i="16" s="1"/>
  <c r="M289" i="16" s="1"/>
  <c r="O289" i="16" s="1"/>
  <c r="J288" i="16"/>
  <c r="L288" i="16" s="1"/>
  <c r="M288" i="16" s="1"/>
  <c r="O288" i="16" s="1"/>
  <c r="J287" i="16"/>
  <c r="L287" i="16" s="1"/>
  <c r="M287" i="16" s="1"/>
  <c r="O287" i="16" s="1"/>
  <c r="J286" i="16"/>
  <c r="L286" i="16" s="1"/>
  <c r="M286" i="16" s="1"/>
  <c r="O286" i="16" s="1"/>
  <c r="J285" i="16"/>
  <c r="L285" i="16" s="1"/>
  <c r="M285" i="16" s="1"/>
  <c r="O285" i="16" s="1"/>
  <c r="J284" i="16"/>
  <c r="L284" i="16" s="1"/>
  <c r="M284" i="16" s="1"/>
  <c r="O284" i="16" s="1"/>
  <c r="J283" i="16"/>
  <c r="L283" i="16" s="1"/>
  <c r="M283" i="16" s="1"/>
  <c r="O283" i="16" s="1"/>
  <c r="J298" i="8" l="1"/>
  <c r="K298" i="8" s="1"/>
  <c r="L298" i="8" s="1"/>
  <c r="N298" i="8" s="1"/>
  <c r="J297" i="8"/>
  <c r="K297" i="8" s="1"/>
  <c r="L297" i="8" s="1"/>
  <c r="N297" i="8" s="1"/>
  <c r="K1212" i="8"/>
  <c r="L1212" i="8" s="1"/>
  <c r="N1212" i="8" s="1"/>
  <c r="K1211" i="8"/>
  <c r="L1211" i="8" s="1"/>
  <c r="N1211" i="8" s="1"/>
  <c r="K1210" i="8"/>
  <c r="L1210" i="8" s="1"/>
  <c r="N1210" i="8" s="1"/>
  <c r="K1209" i="8"/>
  <c r="L1209" i="8" s="1"/>
  <c r="N1209" i="8" s="1"/>
  <c r="K1208" i="8"/>
  <c r="L1208" i="8" s="1"/>
  <c r="N1208" i="8" s="1"/>
  <c r="K1207" i="8"/>
  <c r="L1207" i="8" s="1"/>
  <c r="N1207" i="8" s="1"/>
  <c r="K1206" i="8"/>
  <c r="L1206" i="8" s="1"/>
  <c r="N1206" i="8" s="1"/>
  <c r="K1205" i="8"/>
  <c r="L1205" i="8" s="1"/>
  <c r="N1205" i="8" s="1"/>
  <c r="K1204" i="8"/>
  <c r="L1204" i="8" s="1"/>
  <c r="N1204" i="8" s="1"/>
  <c r="K1203" i="8"/>
  <c r="L1203" i="8" s="1"/>
  <c r="N1203" i="8" s="1"/>
  <c r="K1202" i="8"/>
  <c r="L1202" i="8" s="1"/>
  <c r="N1202" i="8" s="1"/>
  <c r="K1201" i="8"/>
  <c r="L1201" i="8" s="1"/>
  <c r="N1201" i="8" s="1"/>
  <c r="K1200" i="8"/>
  <c r="L1200" i="8" s="1"/>
  <c r="N1200" i="8" s="1"/>
  <c r="K1036" i="8"/>
  <c r="L1036" i="8" s="1"/>
  <c r="N1036" i="8" s="1"/>
  <c r="K1035" i="8"/>
  <c r="L1035" i="8" s="1"/>
  <c r="N1035" i="8" s="1"/>
  <c r="K1034" i="8"/>
  <c r="L1034" i="8" s="1"/>
  <c r="N1034" i="8" s="1"/>
  <c r="K1033" i="8"/>
  <c r="L1033" i="8" s="1"/>
  <c r="N1033" i="8" s="1"/>
  <c r="K1032" i="8"/>
  <c r="L1032" i="8" s="1"/>
  <c r="N1032" i="8" s="1"/>
  <c r="K291" i="8"/>
  <c r="L291" i="8" s="1"/>
  <c r="N291" i="8" s="1"/>
  <c r="K290" i="8"/>
  <c r="L290" i="8" s="1"/>
  <c r="N290" i="8" s="1"/>
  <c r="K289" i="8"/>
  <c r="L289" i="8" s="1"/>
  <c r="N289" i="8" s="1"/>
  <c r="K288" i="8"/>
  <c r="L288" i="8" s="1"/>
  <c r="N288" i="8" s="1"/>
  <c r="K287" i="8"/>
  <c r="L287" i="8" s="1"/>
  <c r="N287" i="8" s="1"/>
  <c r="K286" i="8"/>
  <c r="L286" i="8" s="1"/>
  <c r="N286" i="8" s="1"/>
  <c r="K285" i="8"/>
  <c r="L285" i="8" s="1"/>
  <c r="N285" i="8" s="1"/>
  <c r="K284" i="8"/>
  <c r="L284" i="8" s="1"/>
  <c r="N284" i="8" s="1"/>
  <c r="K45" i="8"/>
  <c r="L45" i="8" s="1"/>
  <c r="N45" i="8" s="1"/>
  <c r="K44" i="8"/>
  <c r="L44" i="8" s="1"/>
  <c r="N44" i="8" s="1"/>
  <c r="K43" i="8"/>
  <c r="L43" i="8" s="1"/>
  <c r="N43" i="8" s="1"/>
  <c r="K42" i="8"/>
  <c r="L42" i="8" s="1"/>
  <c r="N42" i="8" s="1"/>
  <c r="K41" i="8"/>
  <c r="L41" i="8" s="1"/>
  <c r="N41" i="8" s="1"/>
  <c r="K40" i="8"/>
  <c r="L40" i="8" s="1"/>
  <c r="N40" i="8" s="1"/>
  <c r="K282" i="16" l="1"/>
  <c r="L282" i="16" s="1"/>
  <c r="M282" i="16" s="1"/>
  <c r="O282" i="16" s="1"/>
  <c r="K281" i="16"/>
  <c r="L281" i="16" s="1"/>
  <c r="M281" i="16" s="1"/>
  <c r="O281" i="16" s="1"/>
  <c r="K280" i="16"/>
  <c r="L280" i="16" s="1"/>
  <c r="M280" i="16" s="1"/>
  <c r="O280" i="16" s="1"/>
  <c r="K279" i="16"/>
  <c r="L279" i="16" s="1"/>
  <c r="M279" i="16" s="1"/>
  <c r="O279" i="16" s="1"/>
  <c r="K278" i="16"/>
  <c r="L278" i="16" s="1"/>
  <c r="M278" i="16" s="1"/>
  <c r="O278" i="16" s="1"/>
  <c r="K277" i="16"/>
  <c r="L277" i="16" s="1"/>
  <c r="M277" i="16" s="1"/>
  <c r="O277" i="16" s="1"/>
  <c r="K276" i="16"/>
  <c r="L276" i="16" s="1"/>
  <c r="M276" i="16" s="1"/>
  <c r="O276" i="16" s="1"/>
  <c r="K275" i="16"/>
  <c r="L275" i="16" s="1"/>
  <c r="M275" i="16" s="1"/>
  <c r="O275" i="16" s="1"/>
  <c r="K274" i="16"/>
  <c r="L274" i="16" s="1"/>
  <c r="M274" i="16" s="1"/>
  <c r="O274" i="16" s="1"/>
  <c r="K273" i="16"/>
  <c r="L273" i="16" s="1"/>
  <c r="M273" i="16" s="1"/>
  <c r="O273" i="16" s="1"/>
  <c r="K272" i="16"/>
  <c r="L272" i="16" s="1"/>
  <c r="M272" i="16" s="1"/>
  <c r="O272" i="16" s="1"/>
  <c r="K271" i="16"/>
  <c r="L271" i="16" s="1"/>
  <c r="M271" i="16" s="1"/>
  <c r="O271" i="16" s="1"/>
  <c r="K270" i="16"/>
  <c r="L270" i="16" s="1"/>
  <c r="M270" i="16" s="1"/>
  <c r="O270" i="16" s="1"/>
  <c r="K269" i="16"/>
  <c r="L269" i="16" s="1"/>
  <c r="M269" i="16" s="1"/>
  <c r="O269" i="16" s="1"/>
  <c r="K268" i="16"/>
  <c r="L268" i="16" s="1"/>
  <c r="M268" i="16" s="1"/>
  <c r="O268" i="16" s="1"/>
  <c r="K267" i="16"/>
  <c r="L267" i="16" s="1"/>
  <c r="M267" i="16" s="1"/>
  <c r="O267" i="16" s="1"/>
  <c r="K266" i="16"/>
  <c r="L266" i="16" s="1"/>
  <c r="M266" i="16" s="1"/>
  <c r="O266" i="16" s="1"/>
  <c r="K265" i="16"/>
  <c r="L265" i="16" s="1"/>
  <c r="M265" i="16" s="1"/>
  <c r="O265" i="16" s="1"/>
  <c r="K264" i="16"/>
  <c r="L264" i="16" s="1"/>
  <c r="M264" i="16" s="1"/>
  <c r="O264" i="16" s="1"/>
  <c r="K263" i="16"/>
  <c r="L263" i="16" s="1"/>
  <c r="M263" i="16" s="1"/>
  <c r="O263" i="16" s="1"/>
  <c r="K262" i="16"/>
  <c r="L262" i="16" s="1"/>
  <c r="M262" i="16" s="1"/>
  <c r="O262" i="16" s="1"/>
  <c r="K261" i="16"/>
  <c r="L261" i="16" s="1"/>
  <c r="M261" i="16" s="1"/>
  <c r="O261" i="16" s="1"/>
  <c r="K260" i="16"/>
  <c r="L260" i="16" s="1"/>
  <c r="M260" i="16" s="1"/>
  <c r="O260" i="16" s="1"/>
  <c r="K259" i="16"/>
  <c r="L259" i="16" s="1"/>
  <c r="M259" i="16" s="1"/>
  <c r="O259" i="16" s="1"/>
  <c r="U14" i="16" l="1"/>
  <c r="U13" i="16"/>
  <c r="U12" i="16"/>
  <c r="U11" i="16"/>
  <c r="U7" i="16"/>
  <c r="U6" i="16"/>
  <c r="U5" i="16"/>
  <c r="U4" i="16"/>
  <c r="U3" i="16"/>
  <c r="U793" i="8"/>
  <c r="U38" i="16"/>
  <c r="U24" i="16"/>
  <c r="U112" i="16"/>
  <c r="U103" i="16"/>
  <c r="U101" i="16"/>
  <c r="U99" i="16"/>
  <c r="U123" i="16"/>
  <c r="U209" i="16" l="1"/>
  <c r="U208" i="16"/>
  <c r="U207" i="16"/>
  <c r="U109" i="16"/>
  <c r="U110" i="16"/>
  <c r="F37" i="18" l="1"/>
  <c r="U25" i="16" l="1"/>
  <c r="U111" i="16"/>
  <c r="U53" i="16"/>
  <c r="U59" i="16"/>
  <c r="U78" i="16"/>
  <c r="U60" i="16"/>
  <c r="U48" i="16"/>
  <c r="U126" i="16"/>
  <c r="U125" i="16"/>
  <c r="U29" i="16"/>
  <c r="O19" i="16" l="1"/>
  <c r="I19" i="16"/>
  <c r="U233" i="16"/>
  <c r="U232" i="16"/>
  <c r="U231" i="16"/>
  <c r="U243" i="16"/>
  <c r="U244" i="16"/>
  <c r="E35" i="18" l="1"/>
  <c r="E46" i="18" s="1"/>
  <c r="I873" i="16"/>
  <c r="U174" i="16"/>
  <c r="U173" i="16"/>
  <c r="U172" i="16"/>
  <c r="U171" i="16"/>
  <c r="U66" i="16"/>
  <c r="U196" i="16"/>
  <c r="U195" i="16"/>
  <c r="U136" i="16" l="1"/>
  <c r="U88" i="16"/>
  <c r="U86" i="16"/>
  <c r="L254" i="16" l="1"/>
  <c r="M254" i="16" s="1"/>
  <c r="O254" i="16" s="1"/>
  <c r="L253" i="16"/>
  <c r="M253" i="16" s="1"/>
  <c r="O253" i="16" s="1"/>
  <c r="L252" i="16"/>
  <c r="M252" i="16" s="1"/>
  <c r="O252" i="16" s="1"/>
  <c r="L251" i="16"/>
  <c r="M251" i="16" s="1"/>
  <c r="O251" i="16" s="1"/>
  <c r="L250" i="16"/>
  <c r="M250" i="16" s="1"/>
  <c r="O250" i="16" s="1"/>
  <c r="L249" i="16"/>
  <c r="M249" i="16" s="1"/>
  <c r="O249" i="16" s="1"/>
  <c r="L248" i="16"/>
  <c r="M248" i="16" s="1"/>
  <c r="O248" i="16" s="1"/>
  <c r="L247" i="16"/>
  <c r="M247" i="16" s="1"/>
  <c r="O247" i="16" s="1"/>
  <c r="L246" i="16"/>
  <c r="M246" i="16" s="1"/>
  <c r="O246" i="16" s="1"/>
  <c r="L245" i="16"/>
  <c r="M245" i="16" s="1"/>
  <c r="O245" i="16" s="1"/>
  <c r="L244" i="16"/>
  <c r="M244" i="16" s="1"/>
  <c r="O244" i="16" s="1"/>
  <c r="L243" i="16"/>
  <c r="M243" i="16" s="1"/>
  <c r="O243" i="16" s="1"/>
  <c r="L242" i="16"/>
  <c r="M242" i="16" s="1"/>
  <c r="O242" i="16" s="1"/>
  <c r="L241" i="16"/>
  <c r="M241" i="16" s="1"/>
  <c r="O241" i="16" s="1"/>
  <c r="L240" i="16"/>
  <c r="M240" i="16" s="1"/>
  <c r="O240" i="16" s="1"/>
  <c r="L239" i="16"/>
  <c r="M239" i="16" s="1"/>
  <c r="O239" i="16" s="1"/>
  <c r="L238" i="16"/>
  <c r="M238" i="16" s="1"/>
  <c r="O238" i="16" s="1"/>
  <c r="L237" i="16"/>
  <c r="M237" i="16" s="1"/>
  <c r="O237" i="16" s="1"/>
  <c r="L236" i="16"/>
  <c r="M236" i="16" s="1"/>
  <c r="O236" i="16" s="1"/>
  <c r="L235" i="16"/>
  <c r="M235" i="16" s="1"/>
  <c r="O235" i="16" s="1"/>
  <c r="L234" i="16"/>
  <c r="M234" i="16" s="1"/>
  <c r="O234" i="16" s="1"/>
  <c r="L233" i="16"/>
  <c r="M233" i="16" s="1"/>
  <c r="O233" i="16" s="1"/>
  <c r="L232" i="16"/>
  <c r="M232" i="16" s="1"/>
  <c r="O232" i="16" s="1"/>
  <c r="L231" i="16"/>
  <c r="M231" i="16" s="1"/>
  <c r="O231" i="16" s="1"/>
  <c r="L230" i="16"/>
  <c r="M230" i="16" s="1"/>
  <c r="O230" i="16" s="1"/>
  <c r="L229" i="16"/>
  <c r="M229" i="16" s="1"/>
  <c r="O229" i="16" s="1"/>
  <c r="L228" i="16"/>
  <c r="M228" i="16" s="1"/>
  <c r="O228" i="16" s="1"/>
  <c r="L227" i="16"/>
  <c r="M227" i="16" s="1"/>
  <c r="O227" i="16" s="1"/>
  <c r="L226" i="16"/>
  <c r="M226" i="16" s="1"/>
  <c r="O226" i="16" s="1"/>
  <c r="L225" i="16"/>
  <c r="M225" i="16" s="1"/>
  <c r="O225" i="16" s="1"/>
  <c r="L224" i="16"/>
  <c r="M224" i="16" s="1"/>
  <c r="O224" i="16" s="1"/>
  <c r="L223" i="16"/>
  <c r="M223" i="16" s="1"/>
  <c r="O223" i="16" s="1"/>
  <c r="L222" i="16"/>
  <c r="M222" i="16" s="1"/>
  <c r="O222" i="16" s="1"/>
  <c r="L221" i="16"/>
  <c r="M221" i="16" s="1"/>
  <c r="O221" i="16" s="1"/>
  <c r="L220" i="16"/>
  <c r="M220" i="16" s="1"/>
  <c r="O220" i="16" s="1"/>
  <c r="L219" i="16"/>
  <c r="M219" i="16" s="1"/>
  <c r="O219" i="16" s="1"/>
  <c r="L218" i="16"/>
  <c r="M218" i="16" s="1"/>
  <c r="O218" i="16" s="1"/>
  <c r="L217" i="16"/>
  <c r="M217" i="16" s="1"/>
  <c r="O217" i="16" s="1"/>
  <c r="L216" i="16"/>
  <c r="M216" i="16" s="1"/>
  <c r="O216" i="16" s="1"/>
  <c r="L215" i="16"/>
  <c r="M215" i="16" s="1"/>
  <c r="O215" i="16" s="1"/>
  <c r="L214" i="16"/>
  <c r="M214" i="16" s="1"/>
  <c r="O214" i="16" s="1"/>
  <c r="L213" i="16"/>
  <c r="M213" i="16" s="1"/>
  <c r="O213" i="16" s="1"/>
  <c r="L212" i="16"/>
  <c r="M212" i="16" s="1"/>
  <c r="O212" i="16" s="1"/>
  <c r="L211" i="16"/>
  <c r="M211" i="16" s="1"/>
  <c r="O211" i="16" s="1"/>
  <c r="L210" i="16"/>
  <c r="M210" i="16" s="1"/>
  <c r="O210" i="16" s="1"/>
  <c r="L209" i="16"/>
  <c r="M209" i="16" s="1"/>
  <c r="O209" i="16" s="1"/>
  <c r="L208" i="16"/>
  <c r="M208" i="16" s="1"/>
  <c r="O208" i="16" s="1"/>
  <c r="L207" i="16"/>
  <c r="M207" i="16" s="1"/>
  <c r="O207" i="16" s="1"/>
  <c r="L206" i="16"/>
  <c r="M206" i="16" s="1"/>
  <c r="O206" i="16" s="1"/>
  <c r="L205" i="16"/>
  <c r="M205" i="16" s="1"/>
  <c r="O205" i="16" s="1"/>
  <c r="L204" i="16"/>
  <c r="M204" i="16" s="1"/>
  <c r="O204" i="16" s="1"/>
  <c r="L203" i="16"/>
  <c r="M203" i="16" s="1"/>
  <c r="O203" i="16" s="1"/>
  <c r="L202" i="16"/>
  <c r="M202" i="16" s="1"/>
  <c r="O202" i="16" s="1"/>
  <c r="L201" i="16"/>
  <c r="M201" i="16" s="1"/>
  <c r="O201" i="16" s="1"/>
  <c r="L200" i="16"/>
  <c r="M200" i="16" s="1"/>
  <c r="O200" i="16" s="1"/>
  <c r="L199" i="16"/>
  <c r="M199" i="16" s="1"/>
  <c r="O199" i="16" s="1"/>
  <c r="L198" i="16"/>
  <c r="M198" i="16" s="1"/>
  <c r="O198" i="16" s="1"/>
  <c r="L197" i="16"/>
  <c r="M197" i="16" s="1"/>
  <c r="O197" i="16" s="1"/>
  <c r="L196" i="16"/>
  <c r="M196" i="16" s="1"/>
  <c r="O196" i="16" s="1"/>
  <c r="L195" i="16"/>
  <c r="M195" i="16" s="1"/>
  <c r="O195" i="16" s="1"/>
  <c r="L194" i="16"/>
  <c r="M194" i="16" s="1"/>
  <c r="O194" i="16" s="1"/>
  <c r="L193" i="16"/>
  <c r="M193" i="16" s="1"/>
  <c r="O193" i="16" s="1"/>
  <c r="L192" i="16"/>
  <c r="M192" i="16" s="1"/>
  <c r="O192" i="16" s="1"/>
  <c r="L191" i="16"/>
  <c r="M191" i="16" s="1"/>
  <c r="O191" i="16" s="1"/>
  <c r="L190" i="16"/>
  <c r="M190" i="16" s="1"/>
  <c r="O190" i="16" s="1"/>
  <c r="L189" i="16"/>
  <c r="M189" i="16" s="1"/>
  <c r="O189" i="16" s="1"/>
  <c r="L188" i="16"/>
  <c r="M188" i="16" s="1"/>
  <c r="O188" i="16" s="1"/>
  <c r="L187" i="16"/>
  <c r="M187" i="16" s="1"/>
  <c r="O187" i="16" s="1"/>
  <c r="L186" i="16"/>
  <c r="M186" i="16" s="1"/>
  <c r="O186" i="16" s="1"/>
  <c r="L185" i="16"/>
  <c r="M185" i="16" s="1"/>
  <c r="O185" i="16" s="1"/>
  <c r="L184" i="16"/>
  <c r="M184" i="16" s="1"/>
  <c r="O184" i="16" s="1"/>
  <c r="L183" i="16"/>
  <c r="M183" i="16" s="1"/>
  <c r="O183" i="16" s="1"/>
  <c r="L182" i="16"/>
  <c r="M182" i="16" s="1"/>
  <c r="O182" i="16" s="1"/>
  <c r="L181" i="16"/>
  <c r="M181" i="16" s="1"/>
  <c r="O181" i="16" s="1"/>
  <c r="L180" i="16"/>
  <c r="M180" i="16" s="1"/>
  <c r="O180" i="16" s="1"/>
  <c r="L179" i="16"/>
  <c r="M179" i="16" s="1"/>
  <c r="O179" i="16" s="1"/>
  <c r="L178" i="16"/>
  <c r="M178" i="16" s="1"/>
  <c r="O178" i="16" s="1"/>
  <c r="L177" i="16"/>
  <c r="M177" i="16" s="1"/>
  <c r="O177" i="16" s="1"/>
  <c r="L176" i="16"/>
  <c r="M176" i="16" s="1"/>
  <c r="O176" i="16" s="1"/>
  <c r="L175" i="16"/>
  <c r="M175" i="16" s="1"/>
  <c r="O175" i="16" s="1"/>
  <c r="L174" i="16"/>
  <c r="M174" i="16" s="1"/>
  <c r="O174" i="16" s="1"/>
  <c r="L173" i="16"/>
  <c r="M173" i="16" s="1"/>
  <c r="O173" i="16" s="1"/>
  <c r="L172" i="16"/>
  <c r="M172" i="16" s="1"/>
  <c r="O172" i="16" s="1"/>
  <c r="L171" i="16"/>
  <c r="M171" i="16" s="1"/>
  <c r="O171" i="16" s="1"/>
  <c r="L170" i="16"/>
  <c r="M170" i="16" s="1"/>
  <c r="O170" i="16" s="1"/>
  <c r="L169" i="16"/>
  <c r="M169" i="16" s="1"/>
  <c r="O169" i="16" s="1"/>
  <c r="L168" i="16"/>
  <c r="M168" i="16" s="1"/>
  <c r="O168" i="16" s="1"/>
  <c r="L167" i="16"/>
  <c r="M167" i="16" s="1"/>
  <c r="O167" i="16" s="1"/>
  <c r="L166" i="16"/>
  <c r="M166" i="16" s="1"/>
  <c r="O166" i="16" s="1"/>
  <c r="L165" i="16"/>
  <c r="M165" i="16" s="1"/>
  <c r="O165" i="16" s="1"/>
  <c r="L164" i="16"/>
  <c r="M164" i="16" s="1"/>
  <c r="O164" i="16" s="1"/>
  <c r="L163" i="16"/>
  <c r="M163" i="16" s="1"/>
  <c r="O163" i="16" s="1"/>
  <c r="L162" i="16"/>
  <c r="M162" i="16" s="1"/>
  <c r="O162" i="16" s="1"/>
  <c r="L161" i="16"/>
  <c r="M161" i="16" s="1"/>
  <c r="O161" i="16" s="1"/>
  <c r="L160" i="16"/>
  <c r="M160" i="16" s="1"/>
  <c r="O160" i="16" s="1"/>
  <c r="L159" i="16"/>
  <c r="M159" i="16" s="1"/>
  <c r="O159" i="16" s="1"/>
  <c r="L158" i="16"/>
  <c r="M158" i="16" s="1"/>
  <c r="O158" i="16" s="1"/>
  <c r="L157" i="16"/>
  <c r="M157" i="16" s="1"/>
  <c r="O157" i="16" s="1"/>
  <c r="L156" i="16"/>
  <c r="M156" i="16" s="1"/>
  <c r="O156" i="16" s="1"/>
  <c r="L155" i="16"/>
  <c r="M155" i="16" s="1"/>
  <c r="O155" i="16" s="1"/>
  <c r="L154" i="16"/>
  <c r="M154" i="16" s="1"/>
  <c r="O154" i="16" s="1"/>
  <c r="L153" i="16"/>
  <c r="M153" i="16" s="1"/>
  <c r="O153" i="16" s="1"/>
  <c r="L152" i="16"/>
  <c r="M152" i="16" s="1"/>
  <c r="O152" i="16" s="1"/>
  <c r="L151" i="16"/>
  <c r="M151" i="16" s="1"/>
  <c r="O151" i="16" s="1"/>
  <c r="L150" i="16"/>
  <c r="M150" i="16" s="1"/>
  <c r="O150" i="16" s="1"/>
  <c r="L149" i="16"/>
  <c r="M149" i="16" s="1"/>
  <c r="O149" i="16" s="1"/>
  <c r="L148" i="16"/>
  <c r="M148" i="16" s="1"/>
  <c r="O148" i="16" s="1"/>
  <c r="L147" i="16"/>
  <c r="M147" i="16" s="1"/>
  <c r="O147" i="16" s="1"/>
  <c r="L146" i="16"/>
  <c r="M146" i="16" s="1"/>
  <c r="O146" i="16" s="1"/>
  <c r="L145" i="16"/>
  <c r="M145" i="16" s="1"/>
  <c r="O145" i="16" s="1"/>
  <c r="L144" i="16"/>
  <c r="M144" i="16" s="1"/>
  <c r="O144" i="16" s="1"/>
  <c r="L143" i="16"/>
  <c r="M143" i="16" s="1"/>
  <c r="O143" i="16" s="1"/>
  <c r="L142" i="16"/>
  <c r="M142" i="16" s="1"/>
  <c r="O142" i="16" s="1"/>
  <c r="L141" i="16"/>
  <c r="M141" i="16" s="1"/>
  <c r="O141" i="16" s="1"/>
  <c r="L140" i="16"/>
  <c r="M140" i="16" s="1"/>
  <c r="O140" i="16" s="1"/>
  <c r="L139" i="16"/>
  <c r="M139" i="16" s="1"/>
  <c r="O139" i="16" s="1"/>
  <c r="L138" i="16"/>
  <c r="M138" i="16" s="1"/>
  <c r="O138" i="16" s="1"/>
  <c r="L137" i="16"/>
  <c r="M137" i="16" s="1"/>
  <c r="O137" i="16" s="1"/>
  <c r="L136" i="16"/>
  <c r="M136" i="16" s="1"/>
  <c r="O136" i="16" s="1"/>
  <c r="L135" i="16"/>
  <c r="M135" i="16" s="1"/>
  <c r="O135" i="16" s="1"/>
  <c r="L134" i="16"/>
  <c r="M134" i="16" s="1"/>
  <c r="O134" i="16" s="1"/>
  <c r="L133" i="16"/>
  <c r="M133" i="16" s="1"/>
  <c r="O133" i="16" s="1"/>
  <c r="L132" i="16"/>
  <c r="M132" i="16" s="1"/>
  <c r="O132" i="16" s="1"/>
  <c r="L131" i="16"/>
  <c r="M131" i="16" s="1"/>
  <c r="O131" i="16" s="1"/>
  <c r="L48" i="16"/>
  <c r="M48" i="16" s="1"/>
  <c r="O48" i="16" s="1"/>
  <c r="L49" i="16"/>
  <c r="M49" i="16" s="1"/>
  <c r="O49" i="16" s="1"/>
  <c r="L50" i="16"/>
  <c r="M50" i="16" s="1"/>
  <c r="O50" i="16" s="1"/>
  <c r="L51" i="16"/>
  <c r="M51" i="16" s="1"/>
  <c r="O51" i="16" s="1"/>
  <c r="L52" i="16"/>
  <c r="M52" i="16" s="1"/>
  <c r="O52" i="16" s="1"/>
  <c r="L53" i="16"/>
  <c r="M53" i="16" s="1"/>
  <c r="O53" i="16" s="1"/>
  <c r="L54" i="16"/>
  <c r="M54" i="16" s="1"/>
  <c r="O54" i="16" s="1"/>
  <c r="L55" i="16"/>
  <c r="M55" i="16" s="1"/>
  <c r="O55" i="16" s="1"/>
  <c r="L56" i="16"/>
  <c r="M56" i="16" s="1"/>
  <c r="O56" i="16" s="1"/>
  <c r="L57" i="16"/>
  <c r="M57" i="16" s="1"/>
  <c r="O57" i="16" s="1"/>
  <c r="L58" i="16"/>
  <c r="M58" i="16" s="1"/>
  <c r="O58" i="16" s="1"/>
  <c r="L59" i="16"/>
  <c r="M59" i="16" s="1"/>
  <c r="O59" i="16" s="1"/>
  <c r="L60" i="16"/>
  <c r="M60" i="16" s="1"/>
  <c r="O60" i="16" s="1"/>
  <c r="L61" i="16"/>
  <c r="M61" i="16" s="1"/>
  <c r="O61" i="16" s="1"/>
  <c r="L62" i="16"/>
  <c r="M62" i="16" s="1"/>
  <c r="O62" i="16" s="1"/>
  <c r="L63" i="16"/>
  <c r="M63" i="16" s="1"/>
  <c r="O63" i="16" s="1"/>
  <c r="L64" i="16"/>
  <c r="M64" i="16" s="1"/>
  <c r="O64" i="16" s="1"/>
  <c r="L65" i="16"/>
  <c r="M65" i="16" s="1"/>
  <c r="O65" i="16" s="1"/>
  <c r="L66" i="16"/>
  <c r="M66" i="16" s="1"/>
  <c r="O66" i="16" s="1"/>
  <c r="L67" i="16"/>
  <c r="M67" i="16" s="1"/>
  <c r="O67" i="16" s="1"/>
  <c r="L68" i="16"/>
  <c r="M68" i="16" s="1"/>
  <c r="O68" i="16" s="1"/>
  <c r="L69" i="16"/>
  <c r="M69" i="16" s="1"/>
  <c r="O69" i="16" s="1"/>
  <c r="L70" i="16"/>
  <c r="M70" i="16" s="1"/>
  <c r="O70" i="16" s="1"/>
  <c r="L71" i="16"/>
  <c r="M71" i="16" s="1"/>
  <c r="O71" i="16" s="1"/>
  <c r="L72" i="16"/>
  <c r="M72" i="16" s="1"/>
  <c r="O72" i="16" s="1"/>
  <c r="L73" i="16"/>
  <c r="M73" i="16" s="1"/>
  <c r="O73" i="16" s="1"/>
  <c r="L74" i="16"/>
  <c r="M74" i="16" s="1"/>
  <c r="O74" i="16" s="1"/>
  <c r="L75" i="16"/>
  <c r="M75" i="16" s="1"/>
  <c r="O75" i="16" s="1"/>
  <c r="L76" i="16"/>
  <c r="M76" i="16" s="1"/>
  <c r="O76" i="16" s="1"/>
  <c r="L77" i="16"/>
  <c r="M77" i="16" s="1"/>
  <c r="O77" i="16" s="1"/>
  <c r="L78" i="16"/>
  <c r="M78" i="16" s="1"/>
  <c r="O78" i="16" s="1"/>
  <c r="L79" i="16"/>
  <c r="M79" i="16" s="1"/>
  <c r="O79" i="16" s="1"/>
  <c r="L80" i="16"/>
  <c r="M80" i="16" s="1"/>
  <c r="O80" i="16" s="1"/>
  <c r="L81" i="16"/>
  <c r="M81" i="16" s="1"/>
  <c r="O81" i="16" s="1"/>
  <c r="L82" i="16"/>
  <c r="M82" i="16" s="1"/>
  <c r="O82" i="16" s="1"/>
  <c r="L83" i="16"/>
  <c r="M83" i="16" s="1"/>
  <c r="O83" i="16" s="1"/>
  <c r="L84" i="16"/>
  <c r="M84" i="16" s="1"/>
  <c r="O84" i="16" s="1"/>
  <c r="L85" i="16"/>
  <c r="M85" i="16" s="1"/>
  <c r="O85" i="16" s="1"/>
  <c r="L86" i="16"/>
  <c r="M86" i="16" s="1"/>
  <c r="O86" i="16" s="1"/>
  <c r="L87" i="16"/>
  <c r="M87" i="16" s="1"/>
  <c r="O87" i="16" s="1"/>
  <c r="L88" i="16"/>
  <c r="M88" i="16" s="1"/>
  <c r="O88" i="16" s="1"/>
  <c r="L89" i="16"/>
  <c r="M89" i="16" s="1"/>
  <c r="O89" i="16" s="1"/>
  <c r="L90" i="16"/>
  <c r="M90" i="16" s="1"/>
  <c r="O90" i="16" s="1"/>
  <c r="L91" i="16"/>
  <c r="M91" i="16" s="1"/>
  <c r="O91" i="16" s="1"/>
  <c r="L92" i="16"/>
  <c r="M92" i="16" s="1"/>
  <c r="O92" i="16" s="1"/>
  <c r="L93" i="16"/>
  <c r="M93" i="16" s="1"/>
  <c r="O93" i="16" s="1"/>
  <c r="L94" i="16"/>
  <c r="M94" i="16" s="1"/>
  <c r="O94" i="16" s="1"/>
  <c r="L95" i="16"/>
  <c r="M95" i="16" s="1"/>
  <c r="O95" i="16" s="1"/>
  <c r="L96" i="16"/>
  <c r="M96" i="16" s="1"/>
  <c r="O96" i="16" s="1"/>
  <c r="L97" i="16"/>
  <c r="M97" i="16" s="1"/>
  <c r="O97" i="16" s="1"/>
  <c r="L98" i="16"/>
  <c r="M98" i="16" s="1"/>
  <c r="O98" i="16" s="1"/>
  <c r="L99" i="16"/>
  <c r="M99" i="16" s="1"/>
  <c r="O99" i="16" s="1"/>
  <c r="L100" i="16"/>
  <c r="M100" i="16" s="1"/>
  <c r="O100" i="16" s="1"/>
  <c r="L101" i="16"/>
  <c r="M101" i="16" s="1"/>
  <c r="O101" i="16" s="1"/>
  <c r="L102" i="16"/>
  <c r="M102" i="16" s="1"/>
  <c r="O102" i="16" s="1"/>
  <c r="L103" i="16"/>
  <c r="M103" i="16" s="1"/>
  <c r="O103" i="16" s="1"/>
  <c r="L104" i="16"/>
  <c r="M104" i="16" s="1"/>
  <c r="O104" i="16" s="1"/>
  <c r="L105" i="16"/>
  <c r="M105" i="16" s="1"/>
  <c r="O105" i="16" s="1"/>
  <c r="L106" i="16"/>
  <c r="M106" i="16" s="1"/>
  <c r="O106" i="16" s="1"/>
  <c r="L107" i="16"/>
  <c r="M107" i="16" s="1"/>
  <c r="O107" i="16" s="1"/>
  <c r="L108" i="16"/>
  <c r="M108" i="16" s="1"/>
  <c r="O108" i="16" s="1"/>
  <c r="L109" i="16"/>
  <c r="M109" i="16" s="1"/>
  <c r="O109" i="16" s="1"/>
  <c r="L110" i="16"/>
  <c r="M110" i="16" s="1"/>
  <c r="O110" i="16" s="1"/>
  <c r="L111" i="16"/>
  <c r="M111" i="16" s="1"/>
  <c r="O111" i="16" s="1"/>
  <c r="L112" i="16"/>
  <c r="M112" i="16" s="1"/>
  <c r="O112" i="16" s="1"/>
  <c r="L113" i="16"/>
  <c r="M113" i="16" s="1"/>
  <c r="O113" i="16" s="1"/>
  <c r="L114" i="16"/>
  <c r="M114" i="16" s="1"/>
  <c r="O114" i="16" s="1"/>
  <c r="L115" i="16"/>
  <c r="M115" i="16" s="1"/>
  <c r="O115" i="16" s="1"/>
  <c r="L116" i="16"/>
  <c r="M116" i="16" s="1"/>
  <c r="O116" i="16" s="1"/>
  <c r="L117" i="16"/>
  <c r="M117" i="16" s="1"/>
  <c r="O117" i="16" s="1"/>
  <c r="L118" i="16"/>
  <c r="M118" i="16" s="1"/>
  <c r="O118" i="16" s="1"/>
  <c r="L119" i="16"/>
  <c r="M119" i="16" s="1"/>
  <c r="O119" i="16" s="1"/>
  <c r="L120" i="16"/>
  <c r="M120" i="16" s="1"/>
  <c r="O120" i="16" s="1"/>
  <c r="L121" i="16"/>
  <c r="M121" i="16" s="1"/>
  <c r="O121" i="16" s="1"/>
  <c r="L122" i="16"/>
  <c r="M122" i="16" s="1"/>
  <c r="O122" i="16" s="1"/>
  <c r="L123" i="16"/>
  <c r="M123" i="16" s="1"/>
  <c r="O123" i="16" s="1"/>
  <c r="L124" i="16"/>
  <c r="M124" i="16" s="1"/>
  <c r="O124" i="16" s="1"/>
  <c r="L125" i="16"/>
  <c r="M125" i="16" s="1"/>
  <c r="O125" i="16" s="1"/>
  <c r="L126" i="16"/>
  <c r="M126" i="16" s="1"/>
  <c r="O126" i="16" s="1"/>
  <c r="L127" i="16"/>
  <c r="M127" i="16" s="1"/>
  <c r="O127" i="16" s="1"/>
  <c r="L128" i="16"/>
  <c r="M128" i="16" s="1"/>
  <c r="O128" i="16" s="1"/>
  <c r="L129" i="16"/>
  <c r="M129" i="16" s="1"/>
  <c r="O129" i="16" s="1"/>
  <c r="L130" i="16"/>
  <c r="M130" i="16" s="1"/>
  <c r="O130" i="16" s="1"/>
  <c r="L47" i="16"/>
  <c r="M47" i="16" s="1"/>
  <c r="O47" i="16" s="1"/>
  <c r="L29" i="16"/>
  <c r="M29" i="16" s="1"/>
  <c r="O29" i="16" s="1"/>
  <c r="L27" i="16"/>
  <c r="M27" i="16" s="1"/>
  <c r="O27" i="16" s="1"/>
  <c r="L25" i="16"/>
  <c r="M25" i="16" s="1"/>
  <c r="O25" i="16" s="1"/>
  <c r="L23" i="16"/>
  <c r="M23" i="16" s="1"/>
  <c r="O23" i="16" s="1"/>
  <c r="L26" i="16"/>
  <c r="M26" i="16" s="1"/>
  <c r="O26" i="16" s="1"/>
  <c r="L24" i="16"/>
  <c r="M24" i="16" s="1"/>
  <c r="O24" i="16" s="1"/>
  <c r="L28" i="16"/>
  <c r="M28" i="16" s="1"/>
  <c r="O28" i="16" s="1"/>
  <c r="L30" i="16"/>
  <c r="M30" i="16" s="1"/>
  <c r="O30" i="16" s="1"/>
  <c r="L31" i="16"/>
  <c r="M31" i="16" s="1"/>
  <c r="O31" i="16" s="1"/>
  <c r="L32" i="16"/>
  <c r="M32" i="16" s="1"/>
  <c r="O32" i="16" s="1"/>
  <c r="L33" i="16"/>
  <c r="M33" i="16" s="1"/>
  <c r="O33" i="16" s="1"/>
  <c r="L34" i="16"/>
  <c r="M34" i="16" s="1"/>
  <c r="O34" i="16" s="1"/>
  <c r="L35" i="16"/>
  <c r="M35" i="16" s="1"/>
  <c r="O35" i="16" s="1"/>
  <c r="L36" i="16"/>
  <c r="M36" i="16" s="1"/>
  <c r="O36" i="16" s="1"/>
  <c r="L37" i="16"/>
  <c r="M37" i="16" s="1"/>
  <c r="O37" i="16" s="1"/>
  <c r="L38" i="16"/>
  <c r="M38" i="16" s="1"/>
  <c r="O38" i="16" s="1"/>
  <c r="L39" i="16"/>
  <c r="M39" i="16" s="1"/>
  <c r="O39" i="16" s="1"/>
  <c r="L40" i="16"/>
  <c r="M40" i="16" s="1"/>
  <c r="O40" i="16" s="1"/>
  <c r="L41" i="16"/>
  <c r="M41" i="16" s="1"/>
  <c r="O41" i="16" s="1"/>
  <c r="L42" i="16"/>
  <c r="M42" i="16" s="1"/>
  <c r="O42" i="16" s="1"/>
  <c r="L43" i="16"/>
  <c r="M43" i="16" s="1"/>
  <c r="O43" i="16" s="1"/>
  <c r="L44" i="16"/>
  <c r="M44" i="16" s="1"/>
  <c r="O44" i="16" s="1"/>
  <c r="L22" i="16"/>
  <c r="M22" i="16" s="1"/>
  <c r="O22" i="16" s="1"/>
  <c r="F36" i="18" l="1"/>
  <c r="K249" i="8" l="1"/>
  <c r="L249" i="8" s="1"/>
  <c r="N249" i="8" s="1"/>
  <c r="U239" i="8" l="1"/>
  <c r="F35" i="18" l="1"/>
  <c r="L23" i="18" l="1"/>
  <c r="L25" i="18"/>
  <c r="L17" i="18" l="1"/>
  <c r="L19" i="18" s="1"/>
  <c r="F34" i="18"/>
  <c r="F46" i="18" l="1"/>
  <c r="F49" i="18" s="1"/>
  <c r="L22" i="18"/>
  <c r="L27" i="18" s="1"/>
  <c r="L29" i="18" s="1"/>
  <c r="E126" i="8"/>
  <c r="K796" i="8" l="1"/>
  <c r="L796" i="8" s="1"/>
  <c r="N796" i="8" s="1"/>
  <c r="K996" i="8"/>
  <c r="L996" i="8" s="1"/>
  <c r="N996" i="8" s="1"/>
  <c r="S47" i="2" l="1"/>
  <c r="T47" i="2" s="1"/>
  <c r="K1028" i="8" l="1"/>
  <c r="L1028" i="8" s="1"/>
  <c r="N1028" i="8" s="1"/>
  <c r="I939" i="8" l="1"/>
  <c r="K939" i="8" s="1"/>
  <c r="L939" i="8" s="1"/>
  <c r="N939" i="8" s="1"/>
  <c r="I938" i="8"/>
  <c r="K938" i="8" s="1"/>
  <c r="L938" i="8" s="1"/>
  <c r="N938" i="8" s="1"/>
  <c r="I937" i="8"/>
  <c r="K937" i="8" s="1"/>
  <c r="L937" i="8" s="1"/>
  <c r="N937" i="8" s="1"/>
  <c r="K933" i="8"/>
  <c r="L933" i="8" s="1"/>
  <c r="N933" i="8" s="1"/>
  <c r="K932" i="8"/>
  <c r="L932" i="8" s="1"/>
  <c r="N932" i="8" s="1"/>
  <c r="K931" i="8"/>
  <c r="L931" i="8" s="1"/>
  <c r="N931" i="8" s="1"/>
  <c r="K930" i="8"/>
  <c r="L930" i="8" s="1"/>
  <c r="N930" i="8" s="1"/>
  <c r="U929" i="8"/>
  <c r="K929" i="8"/>
  <c r="L929" i="8" s="1"/>
  <c r="N929" i="8" s="1"/>
  <c r="J1012" i="8"/>
  <c r="K1012" i="8" s="1"/>
  <c r="L1012" i="8" s="1"/>
  <c r="N1012" i="8" s="1"/>
  <c r="K260" i="8" l="1"/>
  <c r="L260" i="8" s="1"/>
  <c r="N260" i="8" s="1"/>
  <c r="K38" i="8" l="1"/>
  <c r="L38" i="8" s="1"/>
  <c r="N38" i="8" s="1"/>
  <c r="K282" i="8" l="1"/>
  <c r="L282" i="8" s="1"/>
  <c r="N282" i="8" s="1"/>
  <c r="K281" i="8"/>
  <c r="L281" i="8" s="1"/>
  <c r="N281" i="8" s="1"/>
  <c r="K280" i="8"/>
  <c r="L280" i="8" s="1"/>
  <c r="N280" i="8" s="1"/>
  <c r="K279" i="8"/>
  <c r="L279" i="8" s="1"/>
  <c r="N279" i="8" s="1"/>
  <c r="K278" i="8"/>
  <c r="L278" i="8" s="1"/>
  <c r="N278" i="8" s="1"/>
  <c r="K277" i="8"/>
  <c r="L277" i="8" s="1"/>
  <c r="N277" i="8" s="1"/>
  <c r="K276" i="8"/>
  <c r="L276" i="8" s="1"/>
  <c r="N276" i="8" s="1"/>
  <c r="K275" i="8"/>
  <c r="L275" i="8" s="1"/>
  <c r="N275" i="8" s="1"/>
  <c r="K274" i="8"/>
  <c r="L274" i="8" s="1"/>
  <c r="N274" i="8" s="1"/>
  <c r="K273" i="8"/>
  <c r="L273" i="8" s="1"/>
  <c r="N273" i="8" s="1"/>
  <c r="K272" i="8"/>
  <c r="L272" i="8" s="1"/>
  <c r="N272" i="8" s="1"/>
  <c r="K271" i="8"/>
  <c r="L271" i="8" s="1"/>
  <c r="N271" i="8" s="1"/>
  <c r="M45" i="2" l="1"/>
  <c r="R44" i="2"/>
  <c r="H45" i="2" l="1"/>
  <c r="S45" i="2" s="1"/>
  <c r="T45" i="2" s="1"/>
  <c r="H44" i="2"/>
  <c r="S44" i="2" s="1"/>
  <c r="T44" i="2" s="1"/>
  <c r="J121" i="19" l="1"/>
  <c r="K269" i="8" l="1"/>
  <c r="L269" i="8" s="1"/>
  <c r="N269" i="8" s="1"/>
  <c r="K268" i="8"/>
  <c r="L268" i="8" s="1"/>
  <c r="N268" i="8" s="1"/>
  <c r="K267" i="8"/>
  <c r="L267" i="8" s="1"/>
  <c r="N267" i="8" s="1"/>
  <c r="K266" i="8"/>
  <c r="L266" i="8" s="1"/>
  <c r="N266" i="8" s="1"/>
  <c r="K37" i="8"/>
  <c r="L37" i="8" s="1"/>
  <c r="N37" i="8" s="1"/>
  <c r="K36" i="8"/>
  <c r="L36" i="8" s="1"/>
  <c r="N36" i="8" s="1"/>
  <c r="K35" i="8"/>
  <c r="L35" i="8" s="1"/>
  <c r="N35" i="8" s="1"/>
  <c r="K995" i="8"/>
  <c r="L995" i="8" s="1"/>
  <c r="N995" i="8" s="1"/>
  <c r="K264" i="8"/>
  <c r="L264" i="8" s="1"/>
  <c r="N264" i="8" s="1"/>
  <c r="K263" i="8"/>
  <c r="L263" i="8" s="1"/>
  <c r="N263" i="8" s="1"/>
  <c r="K262" i="8"/>
  <c r="L262" i="8" s="1"/>
  <c r="N262" i="8" s="1"/>
  <c r="K261" i="8"/>
  <c r="L261" i="8" s="1"/>
  <c r="N261" i="8" s="1"/>
  <c r="K259" i="8"/>
  <c r="L259" i="8" s="1"/>
  <c r="N259" i="8" s="1"/>
  <c r="K258" i="8"/>
  <c r="L258" i="8" s="1"/>
  <c r="N258" i="8" s="1"/>
  <c r="K257" i="8"/>
  <c r="L257" i="8" s="1"/>
  <c r="N257" i="8" s="1"/>
  <c r="K256" i="8"/>
  <c r="L256" i="8" s="1"/>
  <c r="N256" i="8" s="1"/>
  <c r="K255" i="8"/>
  <c r="L255" i="8" s="1"/>
  <c r="N255" i="8" s="1"/>
  <c r="K254" i="8"/>
  <c r="L254" i="8" s="1"/>
  <c r="N254" i="8" s="1"/>
  <c r="K253" i="8"/>
  <c r="L253" i="8" s="1"/>
  <c r="N253" i="8" s="1"/>
  <c r="K252" i="8"/>
  <c r="L252" i="8" s="1"/>
  <c r="N252" i="8" s="1"/>
  <c r="K251" i="8"/>
  <c r="L251" i="8" s="1"/>
  <c r="N251" i="8" s="1"/>
  <c r="K250" i="8"/>
  <c r="L250" i="8" s="1"/>
  <c r="N250" i="8" s="1"/>
  <c r="K248" i="8"/>
  <c r="L248" i="8" s="1"/>
  <c r="N248" i="8" s="1"/>
  <c r="K247" i="8"/>
  <c r="L247" i="8" s="1"/>
  <c r="N247" i="8" s="1"/>
  <c r="K246" i="8"/>
  <c r="L246" i="8" s="1"/>
  <c r="N246" i="8" s="1"/>
  <c r="K245" i="8"/>
  <c r="L245" i="8" s="1"/>
  <c r="N245" i="8" s="1"/>
  <c r="K1030" i="8"/>
  <c r="L1030" i="8" s="1"/>
  <c r="N1030" i="8" s="1"/>
  <c r="K1029" i="8"/>
  <c r="L1029" i="8" s="1"/>
  <c r="N1029" i="8" s="1"/>
  <c r="K1027" i="8"/>
  <c r="L1027" i="8" s="1"/>
  <c r="N1027" i="8" s="1"/>
  <c r="K1026" i="8"/>
  <c r="L1026" i="8" s="1"/>
  <c r="N1026" i="8" s="1"/>
  <c r="K1025" i="8"/>
  <c r="L1025" i="8" s="1"/>
  <c r="N1025" i="8" s="1"/>
  <c r="K1024" i="8"/>
  <c r="L1024" i="8" s="1"/>
  <c r="N1024" i="8" s="1"/>
  <c r="K1023" i="8"/>
  <c r="L1023" i="8" s="1"/>
  <c r="N1023" i="8" s="1"/>
  <c r="M37" i="2" l="1"/>
  <c r="M39" i="2" s="1"/>
  <c r="F39" i="2"/>
  <c r="G39" i="2"/>
  <c r="K39" i="2"/>
  <c r="O39" i="2"/>
  <c r="E39" i="2"/>
  <c r="S41" i="2" l="1"/>
  <c r="T41" i="2" s="1"/>
  <c r="L37" i="2"/>
  <c r="I37" i="2"/>
  <c r="I39" i="2" s="1"/>
  <c r="N37" i="2"/>
  <c r="N39" i="2" s="1"/>
  <c r="R37" i="2" l="1"/>
  <c r="Q37" i="2"/>
  <c r="P38" i="2"/>
  <c r="P39" i="2" s="1"/>
  <c r="L38" i="2"/>
  <c r="L39" i="2" s="1"/>
  <c r="J38" i="2"/>
  <c r="J37" i="2"/>
  <c r="H38" i="2"/>
  <c r="H37" i="2"/>
  <c r="J39" i="2" l="1"/>
  <c r="S37" i="2"/>
  <c r="H39" i="2"/>
  <c r="S38" i="2"/>
  <c r="T38" i="2" s="1"/>
  <c r="T37" i="2" l="1"/>
  <c r="T39" i="2" s="1"/>
  <c r="S39" i="2"/>
  <c r="J33" i="8" l="1"/>
  <c r="K33" i="8" s="1"/>
  <c r="L33" i="8" s="1"/>
  <c r="N33" i="8" s="1"/>
  <c r="U227" i="8" l="1"/>
  <c r="K243" i="8" l="1"/>
  <c r="L243" i="8" s="1"/>
  <c r="N243" i="8" s="1"/>
  <c r="K242" i="8"/>
  <c r="L242" i="8" s="1"/>
  <c r="N242" i="8" s="1"/>
  <c r="K241" i="8"/>
  <c r="L241" i="8" s="1"/>
  <c r="N241" i="8" s="1"/>
  <c r="K240" i="8"/>
  <c r="L240" i="8" s="1"/>
  <c r="N240" i="8" s="1"/>
  <c r="K239" i="8"/>
  <c r="L239" i="8" s="1"/>
  <c r="N239" i="8" s="1"/>
  <c r="K238" i="8"/>
  <c r="L238" i="8" s="1"/>
  <c r="N238" i="8" s="1"/>
  <c r="K235" i="8"/>
  <c r="L235" i="8" s="1"/>
  <c r="N235" i="8" s="1"/>
  <c r="K234" i="8"/>
  <c r="L234" i="8" s="1"/>
  <c r="N234" i="8" s="1"/>
  <c r="K233" i="8"/>
  <c r="L233" i="8" s="1"/>
  <c r="N233" i="8" s="1"/>
  <c r="K232" i="8"/>
  <c r="L232" i="8" s="1"/>
  <c r="N232" i="8" s="1"/>
  <c r="K231" i="8"/>
  <c r="L231" i="8" s="1"/>
  <c r="N231" i="8" s="1"/>
  <c r="K230" i="8"/>
  <c r="L230" i="8" s="1"/>
  <c r="N230" i="8" s="1"/>
  <c r="R34" i="2" l="1"/>
  <c r="Q34" i="2"/>
  <c r="J34" i="2"/>
  <c r="M34" i="2"/>
  <c r="L34" i="2"/>
  <c r="S34" i="2" l="1"/>
  <c r="T34" i="2" s="1"/>
  <c r="U215" i="8" l="1"/>
  <c r="K1391" i="8" l="1"/>
  <c r="L1391" i="8" s="1"/>
  <c r="N1391" i="8" s="1"/>
  <c r="K1198" i="8"/>
  <c r="L1198" i="8" s="1"/>
  <c r="N1198" i="8" s="1"/>
  <c r="K1182" i="8"/>
  <c r="L1182" i="8" s="1"/>
  <c r="N1182" i="8" s="1"/>
  <c r="K1181" i="8"/>
  <c r="L1181" i="8" s="1"/>
  <c r="N1181" i="8" s="1"/>
  <c r="K1180" i="8"/>
  <c r="L1180" i="8" s="1"/>
  <c r="N1180" i="8" s="1"/>
  <c r="K1179" i="8"/>
  <c r="L1179" i="8" s="1"/>
  <c r="N1179" i="8" s="1"/>
  <c r="K1178" i="8"/>
  <c r="L1178" i="8" s="1"/>
  <c r="N1178" i="8" s="1"/>
  <c r="K1177" i="8"/>
  <c r="L1177" i="8" s="1"/>
  <c r="N1177" i="8" s="1"/>
  <c r="K1176" i="8"/>
  <c r="L1176" i="8" s="1"/>
  <c r="N1176" i="8" s="1"/>
  <c r="K1175" i="8"/>
  <c r="L1175" i="8" s="1"/>
  <c r="N1175" i="8" s="1"/>
  <c r="K1174" i="8"/>
  <c r="L1174" i="8" s="1"/>
  <c r="N1174" i="8" s="1"/>
  <c r="K1173" i="8"/>
  <c r="L1173" i="8" s="1"/>
  <c r="N1173" i="8" s="1"/>
  <c r="K1172" i="8"/>
  <c r="L1172" i="8" s="1"/>
  <c r="N1172" i="8" s="1"/>
  <c r="K1410" i="8"/>
  <c r="L1410" i="8" s="1"/>
  <c r="N1410" i="8" s="1"/>
  <c r="K228" i="8"/>
  <c r="L228" i="8" s="1"/>
  <c r="N228" i="8" s="1"/>
  <c r="K227" i="8"/>
  <c r="L227" i="8" s="1"/>
  <c r="N227" i="8" s="1"/>
  <c r="K226" i="8"/>
  <c r="L226" i="8" s="1"/>
  <c r="N226" i="8" s="1"/>
  <c r="K225" i="8"/>
  <c r="L225" i="8" s="1"/>
  <c r="N225" i="8" s="1"/>
  <c r="K224" i="8"/>
  <c r="L224" i="8" s="1"/>
  <c r="N224" i="8" s="1"/>
  <c r="K223" i="8"/>
  <c r="L223" i="8" s="1"/>
  <c r="N223" i="8" s="1"/>
  <c r="K222" i="8"/>
  <c r="L222" i="8" s="1"/>
  <c r="N222" i="8" s="1"/>
  <c r="K221" i="8"/>
  <c r="L221" i="8" s="1"/>
  <c r="N221" i="8" s="1"/>
  <c r="K820" i="8"/>
  <c r="L820" i="8" s="1"/>
  <c r="N820" i="8" s="1"/>
  <c r="K819" i="8"/>
  <c r="L819" i="8" s="1"/>
  <c r="N819" i="8" s="1"/>
  <c r="K952" i="8"/>
  <c r="L952" i="8" s="1"/>
  <c r="N952" i="8" s="1"/>
  <c r="K951" i="8"/>
  <c r="L951" i="8" s="1"/>
  <c r="N951" i="8" s="1"/>
  <c r="K950" i="8"/>
  <c r="L950" i="8" s="1"/>
  <c r="N950" i="8" s="1"/>
  <c r="K949" i="8"/>
  <c r="L949" i="8" s="1"/>
  <c r="N949" i="8" s="1"/>
  <c r="K948" i="8"/>
  <c r="L948" i="8" s="1"/>
  <c r="N948" i="8" s="1"/>
  <c r="K947" i="8"/>
  <c r="L947" i="8" s="1"/>
  <c r="N947" i="8" s="1"/>
  <c r="K946" i="8"/>
  <c r="L946" i="8" s="1"/>
  <c r="N946" i="8" s="1"/>
  <c r="K945" i="8"/>
  <c r="L945" i="8" s="1"/>
  <c r="N945" i="8" s="1"/>
  <c r="H991" i="8"/>
  <c r="O991" i="8"/>
  <c r="U991" i="8"/>
  <c r="N998" i="8"/>
  <c r="N999" i="8"/>
  <c r="K1000" i="8"/>
  <c r="L1000" i="8" s="1"/>
  <c r="N1000" i="8" s="1"/>
  <c r="K1001" i="8"/>
  <c r="L1001" i="8" s="1"/>
  <c r="N1001" i="8" s="1"/>
  <c r="K1021" i="8"/>
  <c r="L1021" i="8" s="1"/>
  <c r="N1021" i="8" s="1"/>
  <c r="K1020" i="8"/>
  <c r="L1020" i="8" s="1"/>
  <c r="N1020" i="8" s="1"/>
  <c r="R26" i="2" l="1"/>
  <c r="Q26" i="2"/>
  <c r="N26" i="2"/>
  <c r="K26" i="2"/>
  <c r="J26" i="2"/>
  <c r="N28" i="2" l="1"/>
  <c r="L26" i="2"/>
  <c r="S26" i="2" s="1"/>
  <c r="T26" i="2" s="1"/>
  <c r="M28" i="2" l="1"/>
  <c r="N29" i="2" s="1"/>
  <c r="L28" i="2"/>
  <c r="L29" i="2" s="1"/>
  <c r="U911" i="8" l="1"/>
  <c r="I219" i="8" l="1"/>
  <c r="K219" i="8" s="1"/>
  <c r="L219" i="8" s="1"/>
  <c r="N219" i="8" s="1"/>
  <c r="I218" i="8"/>
  <c r="K218" i="8" s="1"/>
  <c r="L218" i="8" s="1"/>
  <c r="N218" i="8" s="1"/>
  <c r="I217" i="8"/>
  <c r="K217" i="8" s="1"/>
  <c r="L217" i="8" s="1"/>
  <c r="N217" i="8" s="1"/>
  <c r="I942" i="8"/>
  <c r="K942" i="8" s="1"/>
  <c r="L942" i="8" s="1"/>
  <c r="N942" i="8" s="1"/>
  <c r="I941" i="8"/>
  <c r="K941" i="8" s="1"/>
  <c r="L941" i="8" s="1"/>
  <c r="N941" i="8" s="1"/>
  <c r="I940" i="8"/>
  <c r="K940" i="8" s="1"/>
  <c r="L940" i="8" s="1"/>
  <c r="N940" i="8" s="1"/>
  <c r="I936" i="8"/>
  <c r="K936" i="8" s="1"/>
  <c r="L936" i="8" s="1"/>
  <c r="N936" i="8" s="1"/>
  <c r="I935" i="8"/>
  <c r="K935" i="8" s="1"/>
  <c r="L935" i="8" s="1"/>
  <c r="N935" i="8" s="1"/>
  <c r="K928" i="8" l="1"/>
  <c r="L928" i="8" s="1"/>
  <c r="N928" i="8" s="1"/>
  <c r="K927" i="8"/>
  <c r="L927" i="8" s="1"/>
  <c r="N927" i="8" s="1"/>
  <c r="K926" i="8"/>
  <c r="L926" i="8" s="1"/>
  <c r="N926" i="8" s="1"/>
  <c r="K925" i="8"/>
  <c r="L925" i="8" s="1"/>
  <c r="N925" i="8" s="1"/>
  <c r="K924" i="8"/>
  <c r="L924" i="8" s="1"/>
  <c r="N924" i="8" s="1"/>
  <c r="K1196" i="8"/>
  <c r="L1196" i="8" s="1"/>
  <c r="N1196" i="8" s="1"/>
  <c r="K1170" i="8"/>
  <c r="L1170" i="8" s="1"/>
  <c r="N1170" i="8" s="1"/>
  <c r="K1018" i="8"/>
  <c r="L1018" i="8" s="1"/>
  <c r="N1018" i="8" s="1"/>
  <c r="K1017" i="8"/>
  <c r="L1017" i="8" s="1"/>
  <c r="N1017" i="8" s="1"/>
  <c r="K1016" i="8"/>
  <c r="L1016" i="8" s="1"/>
  <c r="N1016" i="8" s="1"/>
  <c r="K1015" i="8"/>
  <c r="L1015" i="8" s="1"/>
  <c r="N1015" i="8" s="1"/>
  <c r="K1014" i="8"/>
  <c r="L1014" i="8" s="1"/>
  <c r="N1014" i="8" s="1"/>
  <c r="K215" i="8"/>
  <c r="L215" i="8" s="1"/>
  <c r="N215" i="8" s="1"/>
  <c r="K214" i="8"/>
  <c r="L214" i="8" s="1"/>
  <c r="N214" i="8" s="1"/>
  <c r="K213" i="8"/>
  <c r="L213" i="8" s="1"/>
  <c r="N213" i="8" s="1"/>
  <c r="K212" i="8"/>
  <c r="L212" i="8" s="1"/>
  <c r="N212" i="8" s="1"/>
  <c r="K211" i="8"/>
  <c r="L211" i="8" s="1"/>
  <c r="N211" i="8" s="1"/>
  <c r="S24" i="2" l="1"/>
  <c r="T24" i="2" s="1"/>
  <c r="Q23" i="2"/>
  <c r="L23" i="2"/>
  <c r="S23" i="2" l="1"/>
  <c r="T23" i="2" s="1"/>
  <c r="T25" i="2" s="1"/>
  <c r="C80" i="5" l="1"/>
  <c r="C75" i="5"/>
  <c r="C61" i="5"/>
  <c r="C59" i="5" s="1"/>
  <c r="C30" i="5"/>
  <c r="C22" i="5" s="1"/>
  <c r="K23" i="18" l="1"/>
  <c r="C20" i="5" l="1"/>
  <c r="C87" i="5" s="1"/>
  <c r="C91" i="5" s="1"/>
  <c r="F55" i="22" l="1"/>
  <c r="G55" i="22" s="1"/>
  <c r="F42" i="22"/>
  <c r="G42" i="22" s="1"/>
  <c r="F49" i="22"/>
  <c r="G49" i="22" s="1"/>
  <c r="F56" i="22"/>
  <c r="G56" i="22" s="1"/>
  <c r="F47" i="22"/>
  <c r="G47" i="22" s="1"/>
  <c r="F53" i="22"/>
  <c r="G53" i="22" s="1"/>
  <c r="F45" i="22"/>
  <c r="G45" i="22" s="1"/>
  <c r="F40" i="22"/>
  <c r="G40" i="22" s="1"/>
  <c r="F50" i="22"/>
  <c r="G50" i="22" s="1"/>
  <c r="F54" i="22"/>
  <c r="G54" i="22" s="1"/>
  <c r="F51" i="22"/>
  <c r="G51" i="22" s="1"/>
  <c r="F39" i="22"/>
  <c r="G39" i="22" s="1"/>
  <c r="F44" i="22"/>
  <c r="G44" i="22" s="1"/>
  <c r="F43" i="22"/>
  <c r="G43" i="22" s="1"/>
  <c r="F38" i="22"/>
  <c r="G38" i="22" s="1"/>
  <c r="F46" i="22"/>
  <c r="G46" i="22" s="1"/>
  <c r="F52" i="22"/>
  <c r="G52" i="22" s="1"/>
  <c r="F57" i="22"/>
  <c r="G57" i="22" s="1"/>
  <c r="F41" i="22"/>
  <c r="G41" i="22" s="1"/>
  <c r="F48" i="22"/>
  <c r="G48" i="22" s="1"/>
  <c r="C4" i="5" l="1"/>
  <c r="C6" i="5" s="1"/>
  <c r="C17" i="5" s="1"/>
  <c r="C90" i="5" s="1"/>
  <c r="C93" i="5" s="1"/>
  <c r="E125" i="8"/>
  <c r="K22" i="18" l="1"/>
  <c r="J922" i="8" l="1"/>
  <c r="K922" i="8" s="1"/>
  <c r="L922" i="8" s="1"/>
  <c r="N922" i="8" s="1"/>
  <c r="O889" i="8"/>
  <c r="H889" i="8"/>
  <c r="J1011" i="8"/>
  <c r="K1011" i="8" s="1"/>
  <c r="L1011" i="8" s="1"/>
  <c r="N1011" i="8" s="1"/>
  <c r="J209" i="8"/>
  <c r="K209" i="8" s="1"/>
  <c r="L209" i="8" s="1"/>
  <c r="N209" i="8" s="1"/>
  <c r="J208" i="8"/>
  <c r="K208" i="8" s="1"/>
  <c r="L208" i="8" s="1"/>
  <c r="N208" i="8" s="1"/>
  <c r="J207" i="8"/>
  <c r="K207" i="8" s="1"/>
  <c r="L207" i="8" s="1"/>
  <c r="N207" i="8" s="1"/>
  <c r="J206" i="8"/>
  <c r="K206" i="8" s="1"/>
  <c r="L206" i="8" s="1"/>
  <c r="N206" i="8" s="1"/>
  <c r="J205" i="8"/>
  <c r="K205" i="8" s="1"/>
  <c r="L205" i="8" s="1"/>
  <c r="N205" i="8" s="1"/>
  <c r="J204" i="8"/>
  <c r="K204" i="8" s="1"/>
  <c r="L204" i="8" s="1"/>
  <c r="N204" i="8" s="1"/>
  <c r="J203" i="8"/>
  <c r="K203" i="8" s="1"/>
  <c r="L203" i="8" s="1"/>
  <c r="N203" i="8" s="1"/>
  <c r="J14" i="8"/>
  <c r="L15" i="8"/>
  <c r="O124" i="8"/>
  <c r="H124" i="8"/>
  <c r="J31" i="8"/>
  <c r="K31" i="8" s="1"/>
  <c r="L31" i="8" s="1"/>
  <c r="N31" i="8" s="1"/>
  <c r="J30" i="8"/>
  <c r="K30" i="8" s="1"/>
  <c r="L30" i="8" s="1"/>
  <c r="N30" i="8" s="1"/>
  <c r="V19" i="2" l="1"/>
  <c r="S19" i="2" l="1"/>
  <c r="T19" i="2" l="1"/>
  <c r="W19" i="2"/>
  <c r="U19" i="2"/>
  <c r="I1420" i="8" l="1"/>
  <c r="J1420" i="8"/>
  <c r="M1420" i="8"/>
  <c r="O1420" i="8"/>
  <c r="H1420" i="8"/>
  <c r="I1385" i="8"/>
  <c r="J1385" i="8"/>
  <c r="M1385" i="8"/>
  <c r="O1385" i="8"/>
  <c r="H1385" i="8"/>
  <c r="I1166" i="8"/>
  <c r="M1166" i="8"/>
  <c r="O1166" i="8"/>
  <c r="H1166" i="8"/>
  <c r="K817" i="8" l="1"/>
  <c r="L817" i="8" s="1"/>
  <c r="N817" i="8" s="1"/>
  <c r="K816" i="8"/>
  <c r="L816" i="8" s="1"/>
  <c r="N816" i="8" s="1"/>
  <c r="K201" i="8"/>
  <c r="L201" i="8" s="1"/>
  <c r="N201" i="8" s="1"/>
  <c r="K200" i="8"/>
  <c r="L200" i="8" s="1"/>
  <c r="N200" i="8" s="1"/>
  <c r="K199" i="8"/>
  <c r="L199" i="8" s="1"/>
  <c r="N199" i="8" s="1"/>
  <c r="K198" i="8"/>
  <c r="L198" i="8" s="1"/>
  <c r="N198" i="8" s="1"/>
  <c r="K197" i="8"/>
  <c r="L197" i="8" s="1"/>
  <c r="N197" i="8" s="1"/>
  <c r="K196" i="8"/>
  <c r="L196" i="8" s="1"/>
  <c r="N196" i="8" s="1"/>
  <c r="K195" i="8"/>
  <c r="L195" i="8" s="1"/>
  <c r="N195" i="8" s="1"/>
  <c r="K194" i="8"/>
  <c r="L194" i="8" s="1"/>
  <c r="N194" i="8" s="1"/>
  <c r="K193" i="8"/>
  <c r="L193" i="8" s="1"/>
  <c r="N193" i="8" s="1"/>
  <c r="K192" i="8"/>
  <c r="L192" i="8" s="1"/>
  <c r="N192" i="8" s="1"/>
  <c r="K191" i="8"/>
  <c r="L191" i="8" s="1"/>
  <c r="N191" i="8" s="1"/>
  <c r="K28" i="8"/>
  <c r="L28" i="8" s="1"/>
  <c r="N28" i="8" s="1"/>
  <c r="K27" i="8"/>
  <c r="L27" i="8" s="1"/>
  <c r="N27" i="8" s="1"/>
  <c r="K26" i="8"/>
  <c r="L26" i="8" s="1"/>
  <c r="N26" i="8" s="1"/>
  <c r="K25" i="8"/>
  <c r="L25" i="8" s="1"/>
  <c r="N25" i="8" s="1"/>
  <c r="K24" i="8"/>
  <c r="L24" i="8" s="1"/>
  <c r="N24" i="8" s="1"/>
  <c r="K23" i="8"/>
  <c r="L23" i="8" s="1"/>
  <c r="N23" i="8" s="1"/>
  <c r="K22" i="8"/>
  <c r="L22" i="8" s="1"/>
  <c r="N22" i="8" s="1"/>
  <c r="K21" i="8"/>
  <c r="L21" i="8" s="1"/>
  <c r="N21" i="8" s="1"/>
  <c r="K20" i="8"/>
  <c r="L20" i="8" s="1"/>
  <c r="N20" i="8" s="1"/>
  <c r="K19" i="8"/>
  <c r="L19" i="8" s="1"/>
  <c r="N19" i="8" s="1"/>
  <c r="K18" i="8"/>
  <c r="L18" i="8" s="1"/>
  <c r="N18" i="8" s="1"/>
  <c r="K17" i="8"/>
  <c r="L17" i="8" s="1"/>
  <c r="N17" i="8" s="1"/>
  <c r="K16" i="8"/>
  <c r="L16" i="8" s="1"/>
  <c r="N16" i="8" s="1"/>
  <c r="P16" i="2" l="1"/>
  <c r="N16" i="2"/>
  <c r="L16" i="2"/>
  <c r="H16" i="2"/>
  <c r="G16" i="2"/>
  <c r="E16" i="2"/>
  <c r="T16" i="2" l="1"/>
  <c r="S16" i="2"/>
  <c r="K189" i="8" l="1"/>
  <c r="K188" i="8"/>
  <c r="K14" i="8" l="1"/>
  <c r="L14" i="8" s="1"/>
  <c r="N14" i="8" s="1"/>
  <c r="K794" i="8" l="1"/>
  <c r="L794" i="8" s="1"/>
  <c r="N794" i="8" s="1"/>
  <c r="K793" i="8"/>
  <c r="L793" i="8" s="1"/>
  <c r="N793" i="8" s="1"/>
  <c r="K797" i="8" l="1"/>
  <c r="L797" i="8" s="1"/>
  <c r="N797" i="8" s="1"/>
  <c r="K798" i="8"/>
  <c r="L798" i="8" s="1"/>
  <c r="N798" i="8" s="1"/>
  <c r="K799" i="8"/>
  <c r="L799" i="8" s="1"/>
  <c r="N799" i="8" s="1"/>
  <c r="N800" i="8"/>
  <c r="K801" i="8"/>
  <c r="L801" i="8" s="1"/>
  <c r="N801" i="8" s="1"/>
  <c r="K802" i="8"/>
  <c r="L802" i="8" s="1"/>
  <c r="N802" i="8" s="1"/>
  <c r="K803" i="8"/>
  <c r="L803" i="8" s="1"/>
  <c r="N803" i="8" s="1"/>
  <c r="N804" i="8"/>
  <c r="K805" i="8"/>
  <c r="L805" i="8" s="1"/>
  <c r="N805" i="8" s="1"/>
  <c r="K12" i="8" l="1"/>
  <c r="L12" i="8" s="1"/>
  <c r="N12" i="8" s="1"/>
  <c r="K11" i="8"/>
  <c r="L11" i="8" s="1"/>
  <c r="N11" i="8" s="1"/>
  <c r="K10" i="8"/>
  <c r="L10" i="8" s="1"/>
  <c r="N10" i="8" s="1"/>
  <c r="K9" i="8"/>
  <c r="L9" i="8" s="1"/>
  <c r="N9" i="8" s="1"/>
  <c r="K8" i="8"/>
  <c r="L8" i="8" s="1"/>
  <c r="N8" i="8" s="1"/>
  <c r="K7" i="8"/>
  <c r="L7" i="8" s="1"/>
  <c r="N7" i="8" s="1"/>
  <c r="K186" i="8" l="1"/>
  <c r="L186" i="8" s="1"/>
  <c r="N186" i="8" s="1"/>
  <c r="K185" i="8"/>
  <c r="L185" i="8" s="1"/>
  <c r="N185" i="8" s="1"/>
  <c r="E22" i="18" l="1"/>
  <c r="F22" i="18"/>
  <c r="G22" i="18"/>
  <c r="H22" i="18"/>
  <c r="I22" i="18"/>
  <c r="J22" i="18"/>
  <c r="E23" i="18"/>
  <c r="F23" i="18"/>
  <c r="G23" i="18"/>
  <c r="H23" i="18"/>
  <c r="I23" i="18"/>
  <c r="E24" i="18"/>
  <c r="F24" i="18"/>
  <c r="G24" i="18"/>
  <c r="H24" i="18"/>
  <c r="I24" i="18"/>
  <c r="J24" i="18"/>
  <c r="E25" i="18"/>
  <c r="F25" i="18"/>
  <c r="G25" i="18"/>
  <c r="H25" i="18"/>
  <c r="I25" i="18"/>
  <c r="J25" i="18"/>
  <c r="D25" i="18"/>
  <c r="D24" i="18"/>
  <c r="D23" i="18"/>
  <c r="D22" i="18"/>
  <c r="D27" i="18" l="1"/>
  <c r="D29" i="18" s="1"/>
  <c r="G27" i="18"/>
  <c r="G29" i="18" s="1"/>
  <c r="F27" i="18"/>
  <c r="F29" i="18" s="1"/>
  <c r="I27" i="18"/>
  <c r="I29" i="18" s="1"/>
  <c r="E27" i="18"/>
  <c r="E29" i="18" s="1"/>
  <c r="H27" i="18"/>
  <c r="H29" i="18" s="1"/>
  <c r="J23" i="18" l="1"/>
  <c r="J27" i="18" s="1"/>
  <c r="J29" i="18" s="1"/>
  <c r="K5" i="8" l="1"/>
  <c r="L5" i="8" s="1"/>
  <c r="N5" i="8" s="1"/>
  <c r="K1193" i="8"/>
  <c r="L1193" i="8" s="1"/>
  <c r="N1193" i="8" s="1"/>
  <c r="K1192" i="8"/>
  <c r="L1192" i="8" s="1"/>
  <c r="N1192" i="8" s="1"/>
  <c r="K1191" i="8"/>
  <c r="L1191" i="8" s="1"/>
  <c r="N1191" i="8" s="1"/>
  <c r="K1190" i="8"/>
  <c r="L1190" i="8" s="1"/>
  <c r="N1190" i="8" s="1"/>
  <c r="K1162" i="8"/>
  <c r="L1162" i="8" s="1"/>
  <c r="N1162" i="8" s="1"/>
  <c r="K1161" i="8"/>
  <c r="L1161" i="8" s="1"/>
  <c r="N1161" i="8" s="1"/>
  <c r="K1160" i="8"/>
  <c r="L1160" i="8" s="1"/>
  <c r="N1160" i="8" s="1"/>
  <c r="K920" i="8"/>
  <c r="L920" i="8" s="1"/>
  <c r="N920" i="8" s="1"/>
  <c r="K919" i="8"/>
  <c r="L919" i="8" s="1"/>
  <c r="N919" i="8" s="1"/>
  <c r="K918" i="8"/>
  <c r="L918" i="8" s="1"/>
  <c r="N918" i="8" s="1"/>
  <c r="K917" i="8"/>
  <c r="L917" i="8" s="1"/>
  <c r="N917" i="8" s="1"/>
  <c r="K916" i="8"/>
  <c r="L916" i="8" s="1"/>
  <c r="N916" i="8" s="1"/>
  <c r="K915" i="8"/>
  <c r="L915" i="8" s="1"/>
  <c r="N915" i="8" s="1"/>
  <c r="K183" i="8"/>
  <c r="L183" i="8" s="1"/>
  <c r="N183" i="8" s="1"/>
  <c r="K182" i="8"/>
  <c r="L182" i="8" s="1"/>
  <c r="N182" i="8" s="1"/>
  <c r="K4" i="8"/>
  <c r="L4" i="8" s="1"/>
  <c r="N4" i="8" s="1"/>
  <c r="N124" i="8" l="1"/>
  <c r="P13" i="2" l="1"/>
  <c r="N13" i="2"/>
  <c r="M13" i="2"/>
  <c r="L13" i="2"/>
  <c r="H13" i="2"/>
  <c r="O13" i="2" l="1"/>
  <c r="S13" i="2" s="1"/>
  <c r="J17" i="18" l="1"/>
  <c r="J19" i="18" s="1"/>
  <c r="N898" i="8" l="1"/>
  <c r="N127" i="8" l="1"/>
  <c r="N128" i="8"/>
  <c r="N129" i="8"/>
  <c r="N130" i="8"/>
  <c r="N133" i="8"/>
  <c r="N135" i="8"/>
  <c r="N140" i="8"/>
  <c r="N145" i="8"/>
  <c r="N147" i="8"/>
  <c r="N150" i="8"/>
  <c r="N155" i="8"/>
  <c r="N156" i="8"/>
  <c r="N157" i="8"/>
  <c r="N158" i="8"/>
  <c r="N159" i="8"/>
  <c r="N160" i="8"/>
  <c r="N161" i="8"/>
  <c r="N162" i="8"/>
  <c r="N164" i="8"/>
  <c r="N172" i="8"/>
  <c r="N806" i="8"/>
  <c r="N808" i="8"/>
  <c r="N890" i="8"/>
  <c r="N894" i="8"/>
  <c r="N897" i="8"/>
  <c r="N899" i="8"/>
  <c r="N903" i="8"/>
  <c r="N1002" i="8"/>
  <c r="N1156" i="8"/>
  <c r="N1157" i="8"/>
  <c r="N1158" i="8"/>
  <c r="N1167" i="8"/>
  <c r="N1187" i="8"/>
  <c r="N1188" i="8"/>
  <c r="N1375" i="8"/>
  <c r="N1376" i="8"/>
  <c r="N1377" i="8"/>
  <c r="N1378" i="8"/>
  <c r="N1379" i="8"/>
  <c r="N1380" i="8"/>
  <c r="N1381" i="8"/>
  <c r="N1382" i="8"/>
  <c r="N1383" i="8"/>
  <c r="N1384" i="8"/>
  <c r="N1386" i="8"/>
  <c r="N1389" i="8"/>
  <c r="N1392" i="8"/>
  <c r="N1406" i="8"/>
  <c r="K812" i="8" l="1"/>
  <c r="L812" i="8" s="1"/>
  <c r="N812" i="8" s="1"/>
  <c r="K813" i="8"/>
  <c r="L813" i="8" s="1"/>
  <c r="N813" i="8" s="1"/>
  <c r="K180" i="8" l="1"/>
  <c r="L180" i="8" s="1"/>
  <c r="N180" i="8" s="1"/>
  <c r="K179" i="8"/>
  <c r="L179" i="8" s="1"/>
  <c r="N179" i="8" s="1"/>
  <c r="K178" i="8"/>
  <c r="L178" i="8" s="1"/>
  <c r="N178" i="8" s="1"/>
  <c r="K177" i="8"/>
  <c r="L177" i="8" s="1"/>
  <c r="N177" i="8" s="1"/>
  <c r="K176" i="8"/>
  <c r="L176" i="8" s="1"/>
  <c r="N176" i="8" s="1"/>
  <c r="K175" i="8"/>
  <c r="L175" i="8" s="1"/>
  <c r="N175" i="8" s="1"/>
  <c r="K174" i="8"/>
  <c r="L174" i="8" s="1"/>
  <c r="N174" i="8" s="1"/>
  <c r="K173" i="8"/>
  <c r="L173" i="8" s="1"/>
  <c r="N173" i="8" s="1"/>
  <c r="F203" i="14" l="1"/>
  <c r="O10" i="2" l="1"/>
  <c r="I10" i="2" s="1"/>
  <c r="M10" i="2"/>
  <c r="S10" i="2" l="1"/>
  <c r="G17" i="18"/>
  <c r="H17" i="18"/>
  <c r="G19" i="18" l="1"/>
  <c r="H19" i="18"/>
  <c r="K1408" i="8" l="1"/>
  <c r="L1408" i="8" s="1"/>
  <c r="N1408" i="8" s="1"/>
  <c r="K1407" i="8"/>
  <c r="L1407" i="8" s="1"/>
  <c r="N1407" i="8" s="1"/>
  <c r="K171" i="8"/>
  <c r="L171" i="8" s="1"/>
  <c r="N171" i="8" s="1"/>
  <c r="K170" i="8"/>
  <c r="L170" i="8" s="1"/>
  <c r="N170" i="8" s="1"/>
  <c r="K169" i="8"/>
  <c r="L169" i="8" s="1"/>
  <c r="N169" i="8" s="1"/>
  <c r="K168" i="8"/>
  <c r="L168" i="8" s="1"/>
  <c r="N168" i="8" s="1"/>
  <c r="K167" i="8"/>
  <c r="L167" i="8" s="1"/>
  <c r="N167" i="8" s="1"/>
  <c r="K166" i="8"/>
  <c r="L166" i="8" s="1"/>
  <c r="N166" i="8" s="1"/>
  <c r="K165" i="8" l="1"/>
  <c r="L165" i="8" s="1"/>
  <c r="N165" i="8" s="1"/>
  <c r="N1420" i="8" l="1"/>
  <c r="L1420" i="8"/>
  <c r="K1420" i="8"/>
  <c r="G8" i="2"/>
  <c r="I8" i="2" l="1"/>
  <c r="H8" i="2"/>
  <c r="S8" i="2" l="1"/>
  <c r="K1008" i="8" l="1"/>
  <c r="L1008" i="8" s="1"/>
  <c r="N1008" i="8" s="1"/>
  <c r="K1007" i="8"/>
  <c r="L1007" i="8" s="1"/>
  <c r="N1007" i="8" s="1"/>
  <c r="K1006" i="8"/>
  <c r="L1006" i="8" s="1"/>
  <c r="N1006" i="8" s="1"/>
  <c r="K1005" i="8"/>
  <c r="L1005" i="8" s="1"/>
  <c r="N1005" i="8" s="1"/>
  <c r="K1004" i="8"/>
  <c r="L1004" i="8" s="1"/>
  <c r="N1004" i="8" s="1"/>
  <c r="K1003" i="8"/>
  <c r="L1003" i="8" s="1"/>
  <c r="N1003" i="8" s="1"/>
  <c r="K163" i="8"/>
  <c r="L163" i="8" s="1"/>
  <c r="N163" i="8" s="1"/>
  <c r="K913" i="8"/>
  <c r="L913" i="8" s="1"/>
  <c r="N913" i="8" s="1"/>
  <c r="K912" i="8"/>
  <c r="L912" i="8" s="1"/>
  <c r="N912" i="8" s="1"/>
  <c r="K911" i="8"/>
  <c r="L911" i="8" s="1"/>
  <c r="N911" i="8" s="1"/>
  <c r="K814" i="8"/>
  <c r="L814" i="8" s="1"/>
  <c r="N814" i="8" s="1"/>
  <c r="K811" i="8"/>
  <c r="L811" i="8" s="1"/>
  <c r="N811" i="8" s="1"/>
  <c r="K810" i="8"/>
  <c r="L810" i="8" s="1"/>
  <c r="N810" i="8" s="1"/>
  <c r="K809" i="8"/>
  <c r="L809" i="8" s="1"/>
  <c r="N809" i="8" s="1"/>
  <c r="M3" i="2" l="1"/>
  <c r="S3" i="2" l="1"/>
  <c r="J907" i="8" l="1"/>
  <c r="K907" i="8" s="1"/>
  <c r="L907" i="8" s="1"/>
  <c r="N907" i="8" s="1"/>
  <c r="J906" i="8"/>
  <c r="K906" i="8" s="1"/>
  <c r="L906" i="8" s="1"/>
  <c r="N906" i="8" s="1"/>
  <c r="J905" i="8"/>
  <c r="K905" i="8" s="1"/>
  <c r="L905" i="8" s="1"/>
  <c r="N905" i="8" s="1"/>
  <c r="J904" i="8"/>
  <c r="K904" i="8" s="1"/>
  <c r="L904" i="8" s="1"/>
  <c r="N904" i="8" s="1"/>
  <c r="J807" i="8"/>
  <c r="K807" i="8" s="1"/>
  <c r="L807" i="8" s="1"/>
  <c r="N807" i="8" s="1"/>
  <c r="I150" i="2" l="1"/>
  <c r="E158" i="2"/>
  <c r="I154" i="8" l="1"/>
  <c r="I153" i="8"/>
  <c r="I152" i="8"/>
  <c r="I151" i="8"/>
  <c r="J153" i="8" l="1"/>
  <c r="K153" i="8" s="1"/>
  <c r="L153" i="8" s="1"/>
  <c r="N153" i="8" s="1"/>
  <c r="J151" i="8"/>
  <c r="K151" i="8" s="1"/>
  <c r="L151" i="8" s="1"/>
  <c r="N151" i="8" s="1"/>
  <c r="J154" i="8"/>
  <c r="K154" i="8" s="1"/>
  <c r="L154" i="8" s="1"/>
  <c r="N154" i="8" s="1"/>
  <c r="J152" i="8"/>
  <c r="K152" i="8" s="1"/>
  <c r="L152" i="8" s="1"/>
  <c r="N152" i="8" s="1"/>
  <c r="E34" i="21" l="1"/>
  <c r="F34" i="21" s="1"/>
  <c r="E33" i="21"/>
  <c r="F33" i="21" s="1"/>
  <c r="E32" i="21"/>
  <c r="F32" i="21" s="1"/>
  <c r="E31" i="21"/>
  <c r="F31" i="21" s="1"/>
  <c r="E30" i="21"/>
  <c r="F30" i="21" s="1"/>
  <c r="E29" i="21"/>
  <c r="F29" i="21" s="1"/>
  <c r="E28" i="21"/>
  <c r="F28" i="21" s="1"/>
  <c r="E27" i="21"/>
  <c r="F27" i="21" s="1"/>
  <c r="E26" i="21"/>
  <c r="F26" i="21" s="1"/>
  <c r="E25" i="21"/>
  <c r="F25" i="21" s="1"/>
  <c r="E23" i="21"/>
  <c r="F23" i="21" s="1"/>
  <c r="E24" i="21"/>
  <c r="F24" i="21" s="1"/>
  <c r="E22" i="21"/>
  <c r="F22" i="21" s="1"/>
  <c r="E21" i="21" l="1"/>
  <c r="F21" i="21" s="1"/>
  <c r="F11" i="14" l="1"/>
  <c r="F65" i="14"/>
  <c r="G65" i="14" l="1"/>
  <c r="E58" i="14"/>
  <c r="E55" i="14"/>
  <c r="E11" i="14"/>
  <c r="E92" i="14"/>
  <c r="E93" i="14"/>
  <c r="E94" i="14"/>
  <c r="E4" i="14"/>
  <c r="I4" i="14" s="1"/>
  <c r="E65" i="14" l="1"/>
  <c r="I65" i="14" s="1"/>
  <c r="I11" i="14"/>
  <c r="D12" i="21" l="1"/>
  <c r="K149" i="8" l="1"/>
  <c r="L149" i="8" s="1"/>
  <c r="N149" i="8" s="1"/>
  <c r="K148" i="8"/>
  <c r="L148" i="8" s="1"/>
  <c r="N148" i="8" s="1"/>
  <c r="J1166" i="8" l="1"/>
  <c r="G73" i="14" l="1"/>
  <c r="E70" i="14"/>
  <c r="E73" i="14" s="1"/>
  <c r="E46" i="14"/>
  <c r="G47" i="14" l="1"/>
  <c r="E47" i="14"/>
  <c r="I47" i="14" l="1"/>
  <c r="I73" i="14"/>
  <c r="I86" i="14" l="1"/>
  <c r="K146" i="8"/>
  <c r="L146" i="8" s="1"/>
  <c r="N146" i="8" s="1"/>
  <c r="N889" i="8" l="1"/>
  <c r="O1403" i="8" l="1"/>
  <c r="K144" i="8" l="1"/>
  <c r="L144" i="8" s="1"/>
  <c r="N144" i="8" s="1"/>
  <c r="K143" i="8"/>
  <c r="L143" i="8" s="1"/>
  <c r="N143" i="8" s="1"/>
  <c r="K142" i="8"/>
  <c r="L142" i="8" s="1"/>
  <c r="N142" i="8" s="1"/>
  <c r="K141" i="8"/>
  <c r="L141" i="8" s="1"/>
  <c r="N141" i="8" s="1"/>
  <c r="K139" i="8"/>
  <c r="L139" i="8" s="1"/>
  <c r="N139" i="8" s="1"/>
  <c r="K138" i="8"/>
  <c r="L138" i="8" s="1"/>
  <c r="N138" i="8" s="1"/>
  <c r="K137" i="8"/>
  <c r="L137" i="8" s="1"/>
  <c r="N137" i="8" s="1"/>
  <c r="K136" i="8"/>
  <c r="L136" i="8" s="1"/>
  <c r="N136" i="8" s="1"/>
  <c r="E100" i="14"/>
  <c r="E138" i="14" s="1"/>
  <c r="K134" i="8" l="1"/>
  <c r="L134" i="8" s="1"/>
  <c r="N134" i="8" s="1"/>
  <c r="K902" i="8" l="1"/>
  <c r="L902" i="8" s="1"/>
  <c r="N902" i="8" s="1"/>
  <c r="K901" i="8"/>
  <c r="L901" i="8" s="1"/>
  <c r="N901" i="8" s="1"/>
  <c r="K900" i="8"/>
  <c r="L900" i="8" s="1"/>
  <c r="N900" i="8" s="1"/>
  <c r="K1166" i="8" l="1"/>
  <c r="K132" i="8"/>
  <c r="L132" i="8" s="1"/>
  <c r="N132" i="8" s="1"/>
  <c r="K131" i="8"/>
  <c r="L131" i="8" s="1"/>
  <c r="N131" i="8" s="1"/>
  <c r="N1166" i="8" l="1"/>
  <c r="L1166" i="8"/>
  <c r="E20" i="14" l="1"/>
  <c r="E19" i="14"/>
  <c r="E142" i="14" l="1"/>
  <c r="E15" i="14" l="1"/>
  <c r="E42" i="14" s="1"/>
  <c r="E141" i="14" l="1"/>
  <c r="E203" i="14" s="1"/>
  <c r="I203" i="14" l="1"/>
  <c r="I138" i="14"/>
  <c r="H1403" i="8" l="1"/>
  <c r="I1403" i="8"/>
  <c r="M1403" i="8"/>
  <c r="N1403" i="8" s="1"/>
  <c r="S36" i="5" l="1"/>
  <c r="K1384" i="8" l="1"/>
  <c r="K1383" i="8"/>
  <c r="K1382" i="8"/>
  <c r="R40" i="5" l="1"/>
  <c r="K1403" i="8" l="1"/>
  <c r="K896" i="8"/>
  <c r="L896" i="8" s="1"/>
  <c r="N896" i="8" s="1"/>
  <c r="K1385" i="8" l="1"/>
  <c r="L1385" i="8"/>
  <c r="D17" i="18" l="1"/>
  <c r="D19" i="18" s="1"/>
  <c r="E17" i="18"/>
  <c r="E19" i="18" s="1"/>
  <c r="F17" i="18"/>
  <c r="F19" i="18" s="1"/>
  <c r="C17" i="18"/>
  <c r="C19" i="18" s="1"/>
  <c r="K895" i="8" l="1"/>
  <c r="L895" i="8" s="1"/>
  <c r="N895" i="8" s="1"/>
  <c r="N991" i="8" s="1"/>
  <c r="D141" i="2" l="1"/>
  <c r="I17" i="18" l="1"/>
  <c r="I19" i="18" s="1"/>
  <c r="K24" i="18" l="1"/>
  <c r="I597" i="14" l="1"/>
  <c r="K25" i="18" l="1"/>
  <c r="K27" i="18" s="1"/>
  <c r="K29" i="18" s="1"/>
  <c r="K17" i="18" l="1"/>
  <c r="K19" i="18" l="1"/>
  <c r="M23" i="18" l="1"/>
  <c r="H38" i="18"/>
  <c r="H43" i="18" l="1"/>
  <c r="H46" i="18" s="1"/>
  <c r="B37" i="18" l="1"/>
  <c r="G49" i="18"/>
  <c r="M17" i="18" l="1"/>
  <c r="M19" i="18" s="1"/>
  <c r="H45" i="18"/>
  <c r="M25" i="18"/>
  <c r="M27" i="18" s="1"/>
  <c r="M29" i="18" s="1"/>
  <c r="I232" i="14"/>
  <c r="I592" i="14" s="1"/>
  <c r="B552" i="3"/>
  <c r="B593" i="3" s="1"/>
  <c r="B597" i="3" s="1"/>
  <c r="B598" i="3" s="1"/>
  <c r="B599" i="3" s="1"/>
  <c r="N7" i="18" l="1"/>
  <c r="N17" i="18" l="1"/>
  <c r="N19" i="18" s="1"/>
  <c r="N22" i="18"/>
  <c r="N27" i="18" s="1"/>
  <c r="B444" i="3"/>
  <c r="F44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Mrs Bosha</author>
    <author>Simukai Bosha</author>
    <author>CHIDO</author>
  </authors>
  <commentList>
    <comment ref="I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western union charges murray modakon</t>
        </r>
      </text>
    </comment>
    <comment ref="I3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purchase of bags suitcases required for the trip</t>
        </r>
      </text>
    </comment>
    <comment ref="I39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Simukai Bosha:</t>
        </r>
        <r>
          <rPr>
            <sz val="9"/>
            <color indexed="81"/>
            <rFont val="Tahoma"/>
            <family val="2"/>
          </rPr>
          <t xml:space="preserve">
kudzai pocket money</t>
        </r>
      </text>
    </comment>
    <comment ref="I53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CHIDO:</t>
        </r>
        <r>
          <rPr>
            <sz val="9"/>
            <color indexed="81"/>
            <rFont val="Tahoma"/>
            <family val="2"/>
          </rPr>
          <t xml:space="preserve">
zimra officer &amp; bags&amp; bag wrap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Simukai Bosha</author>
    <author>Mrs Bosha</author>
  </authors>
  <commentList>
    <comment ref="D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Simukai Bosha:</t>
        </r>
        <r>
          <rPr>
            <sz val="9"/>
            <color indexed="81"/>
            <rFont val="Tahoma"/>
            <family val="2"/>
          </rPr>
          <t xml:space="preserve">
fsbs round inflow</t>
        </r>
      </text>
    </comment>
    <comment ref="N4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staff christmas hampers &amp; kids christmas lunch</t>
        </r>
      </text>
    </comment>
    <comment ref="G49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netflix</t>
        </r>
      </text>
    </comment>
    <comment ref="J75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chido ticket fron ukraine</t>
        </r>
      </text>
    </comment>
    <comment ref="K75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ticket top up plus travel allowance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Mrs Bosha</author>
  </authors>
  <commentList>
    <comment ref="I40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Mrs Bosha:</t>
        </r>
        <r>
          <rPr>
            <sz val="9"/>
            <color indexed="81"/>
            <rFont val="Tahoma"/>
            <family val="2"/>
          </rPr>
          <t xml:space="preserve">
shamva church member funeral 17 jan</t>
        </r>
      </text>
    </comment>
  </commentList>
</comments>
</file>

<file path=xl/sharedStrings.xml><?xml version="1.0" encoding="utf-8"?>
<sst xmlns="http://schemas.openxmlformats.org/spreadsheetml/2006/main" count="14776" uniqueCount="3194">
  <si>
    <t>label</t>
  </si>
  <si>
    <t>Item</t>
  </si>
  <si>
    <t>purchase price / unit $</t>
  </si>
  <si>
    <t>total purchase price</t>
  </si>
  <si>
    <t>total cost</t>
  </si>
  <si>
    <t>Indirect Cost / unit</t>
  </si>
  <si>
    <t>Total Unit Cost</t>
  </si>
  <si>
    <t>Multiplier</t>
  </si>
  <si>
    <t>Rec Price</t>
  </si>
  <si>
    <t>Actual Price</t>
  </si>
  <si>
    <t>status</t>
  </si>
  <si>
    <t>SKIRTS</t>
  </si>
  <si>
    <t>cash</t>
  </si>
  <si>
    <t>DRESSES</t>
  </si>
  <si>
    <t>verda</t>
  </si>
  <si>
    <t>SHOES</t>
  </si>
  <si>
    <t>other</t>
  </si>
  <si>
    <t>xmeric</t>
  </si>
  <si>
    <t>lasiea</t>
  </si>
  <si>
    <t>last rose</t>
  </si>
  <si>
    <t>qnty</t>
  </si>
  <si>
    <t>sales</t>
  </si>
  <si>
    <t>date</t>
  </si>
  <si>
    <t>amount</t>
  </si>
  <si>
    <t>expenditure</t>
  </si>
  <si>
    <t>total</t>
  </si>
  <si>
    <t>TOTAL</t>
  </si>
  <si>
    <t>reduced 4 sale</t>
  </si>
  <si>
    <t>fuel</t>
  </si>
  <si>
    <t>trip</t>
  </si>
  <si>
    <t>destination</t>
  </si>
  <si>
    <t>ticket</t>
  </si>
  <si>
    <t>visa</t>
  </si>
  <si>
    <t>accomodation</t>
  </si>
  <si>
    <t>misc</t>
  </si>
  <si>
    <t>transport</t>
  </si>
  <si>
    <t>food</t>
  </si>
  <si>
    <t>extra kg</t>
  </si>
  <si>
    <t>cargo</t>
  </si>
  <si>
    <t>duty</t>
  </si>
  <si>
    <t>stock</t>
  </si>
  <si>
    <t>personal</t>
  </si>
  <si>
    <t>2 MONTHS RENTAL</t>
  </si>
  <si>
    <t>2 MONTHS SALARIES</t>
  </si>
  <si>
    <t xml:space="preserve">date - </t>
  </si>
  <si>
    <t>SALES</t>
  </si>
  <si>
    <t>Cash sales</t>
  </si>
  <si>
    <t>LOANS</t>
  </si>
  <si>
    <t>loan sharewealth</t>
  </si>
  <si>
    <t>loan ruwa ladies</t>
  </si>
  <si>
    <t>Total</t>
  </si>
  <si>
    <t>MONTHLY EXPENSES</t>
  </si>
  <si>
    <t>rentals</t>
  </si>
  <si>
    <t>electricity</t>
  </si>
  <si>
    <t>miscellaneous</t>
  </si>
  <si>
    <t>Business refreshments</t>
  </si>
  <si>
    <t>INVESTMENTS</t>
  </si>
  <si>
    <t>TOTAL INCOME</t>
  </si>
  <si>
    <t>TOTAL EXPENSES</t>
  </si>
  <si>
    <t>SURPLUS/DEFICIT</t>
  </si>
  <si>
    <t>NOTES</t>
  </si>
  <si>
    <t xml:space="preserve"> </t>
  </si>
  <si>
    <t>disc</t>
  </si>
  <si>
    <t>name</t>
  </si>
  <si>
    <t>TOTAL COST</t>
  </si>
  <si>
    <t>acc</t>
  </si>
  <si>
    <t>PANTIES</t>
  </si>
  <si>
    <t>GYPSY SOCKS</t>
  </si>
  <si>
    <t xml:space="preserve">MARCH TRIP  - </t>
  </si>
  <si>
    <t>FIND MANY CLEARANCE SALES, good opportunity for big margins</t>
  </si>
  <si>
    <t>buy outfits &amp; dresses for occassions then</t>
  </si>
  <si>
    <t>buy winter items and leave for may, can also do kapura</t>
  </si>
  <si>
    <t>if i buy winter things on layby i should not do a trip in June coz this coincides with layby final payments, cargo costs and duty.</t>
  </si>
  <si>
    <t>unless the trip is for going to collect the items on layby</t>
  </si>
  <si>
    <t>JACKETS ARE NOT PROFITABLE IF BOUGHT FOR MORE THAN $15 EACH</t>
  </si>
  <si>
    <t>sales graph since inception</t>
  </si>
  <si>
    <t>month</t>
  </si>
  <si>
    <t>expenses</t>
  </si>
  <si>
    <t>sept</t>
  </si>
  <si>
    <t>oct</t>
  </si>
  <si>
    <t>nov</t>
  </si>
  <si>
    <t>dec</t>
  </si>
  <si>
    <t>total recommende sales value</t>
  </si>
  <si>
    <t>total actual sales value</t>
  </si>
  <si>
    <t>profit</t>
  </si>
  <si>
    <t>winter items are bulky and heavy. Resulting in high cargo charges. Better to buy winter items all through out the year.</t>
  </si>
  <si>
    <t>debit card</t>
  </si>
  <si>
    <t>credit sale payment CASH</t>
  </si>
  <si>
    <t>credit sale payment DEBIT</t>
  </si>
  <si>
    <t>fascino</t>
  </si>
  <si>
    <t>beige</t>
  </si>
  <si>
    <t>airtime</t>
  </si>
  <si>
    <t>INFLOWS</t>
  </si>
  <si>
    <t>pos purchases</t>
  </si>
  <si>
    <t>stock purchases</t>
  </si>
  <si>
    <t>stock procurement costs</t>
  </si>
  <si>
    <t>refunds</t>
  </si>
  <si>
    <t>pos bank comission 2.5%</t>
  </si>
  <si>
    <t>allowance self</t>
  </si>
  <si>
    <t>formanta</t>
  </si>
  <si>
    <t>parking</t>
  </si>
  <si>
    <t>car running expenses</t>
  </si>
  <si>
    <t xml:space="preserve">LOAN REPAYMENT: </t>
  </si>
  <si>
    <t>black knee high low wedge boot</t>
  </si>
  <si>
    <t>jan</t>
  </si>
  <si>
    <t>feb</t>
  </si>
  <si>
    <t>mar</t>
  </si>
  <si>
    <t>apr</t>
  </si>
  <si>
    <t>may</t>
  </si>
  <si>
    <t>jun</t>
  </si>
  <si>
    <t>jul</t>
  </si>
  <si>
    <t>aug</t>
  </si>
  <si>
    <t>shop licence</t>
  </si>
  <si>
    <t>all layby &amp; credit sales instalments to be updated on invoice for audit purposes</t>
  </si>
  <si>
    <t>daily analysis to be completed daily &amp; check all transactions against receipts, invoices, pos &amp; zimra machine</t>
  </si>
  <si>
    <t>date of purchase</t>
  </si>
  <si>
    <t>paid to date</t>
  </si>
  <si>
    <t>sales discount</t>
  </si>
  <si>
    <t>zimra QPD</t>
  </si>
  <si>
    <t>stationery</t>
  </si>
  <si>
    <t>DRESS OUTFITS</t>
  </si>
  <si>
    <t>dancing queen</t>
  </si>
  <si>
    <t>silver &amp; black 2 piece</t>
  </si>
  <si>
    <t>femeny</t>
  </si>
  <si>
    <t>white dress &amp; jacket</t>
  </si>
  <si>
    <t>jf lefone</t>
  </si>
  <si>
    <t>airport fees</t>
  </si>
  <si>
    <t>bank fees &amp; charges</t>
  </si>
  <si>
    <t>le mirage</t>
  </si>
  <si>
    <t>TOTAL OUTFITS</t>
  </si>
  <si>
    <t>SHIRTS &amp; TOPS</t>
  </si>
  <si>
    <t>sales schedule</t>
  </si>
  <si>
    <t>marc</t>
  </si>
  <si>
    <t>april</t>
  </si>
  <si>
    <t>june</t>
  </si>
  <si>
    <t>july</t>
  </si>
  <si>
    <t>T &amp; S</t>
  </si>
  <si>
    <t>travel incidentals</t>
  </si>
  <si>
    <t>medical</t>
  </si>
  <si>
    <t>FASCINATORS</t>
  </si>
  <si>
    <t>hatunga</t>
  </si>
  <si>
    <t>TOTAL SKIRTS</t>
  </si>
  <si>
    <t>TOTAL TROUSERS &amp; JEGGINS</t>
  </si>
  <si>
    <t>COSERTS</t>
  </si>
  <si>
    <t>STOCK 2018</t>
  </si>
  <si>
    <t>loss on change of ticket</t>
  </si>
  <si>
    <t>staff transport allowance</t>
  </si>
  <si>
    <t>transportation charge for goods from a/port</t>
  </si>
  <si>
    <t>loans other</t>
  </si>
  <si>
    <t>other loans</t>
  </si>
  <si>
    <t>company fees</t>
  </si>
  <si>
    <t>membership fees</t>
  </si>
  <si>
    <t>ASHLEY STEWART</t>
  </si>
  <si>
    <t>white lace</t>
  </si>
  <si>
    <t>textport</t>
  </si>
  <si>
    <t>donations</t>
  </si>
  <si>
    <t>TOTAL SHOES</t>
  </si>
  <si>
    <t>TOTAL CLUTCHES</t>
  </si>
  <si>
    <t>TOTAL COSERTS</t>
  </si>
  <si>
    <t>CASHFLOW -2018</t>
  </si>
  <si>
    <t>stanbic bank loan</t>
  </si>
  <si>
    <t>stanbic business loan</t>
  </si>
  <si>
    <t>rates</t>
  </si>
  <si>
    <t>jan-dec 208m</t>
  </si>
  <si>
    <t>year 1 (sept-dec) 2015</t>
  </si>
  <si>
    <t>year 4 (2018)</t>
  </si>
  <si>
    <t>year 3 ( 2017)</t>
  </si>
  <si>
    <t>year 2 ( 2016)</t>
  </si>
  <si>
    <t>currency commission</t>
  </si>
  <si>
    <t>Allan Gray</t>
  </si>
  <si>
    <t>occassions</t>
  </si>
  <si>
    <t>pajamas</t>
  </si>
  <si>
    <t>TROUSERS</t>
  </si>
  <si>
    <t>devatex</t>
  </si>
  <si>
    <t>navy trousers</t>
  </si>
  <si>
    <t>sharewealth bricks loan to be classsified as home improvements</t>
  </si>
  <si>
    <t>gym subs &amp; training</t>
  </si>
  <si>
    <t>fascino cream/gold 2pc</t>
  </si>
  <si>
    <t>murray &amp; co</t>
  </si>
  <si>
    <t>oreya</t>
  </si>
  <si>
    <t>deposit</t>
  </si>
  <si>
    <t>inst</t>
  </si>
  <si>
    <t>invoice total</t>
  </si>
  <si>
    <t>inst dates</t>
  </si>
  <si>
    <t>inv no</t>
  </si>
  <si>
    <t>BGN</t>
  </si>
  <si>
    <t>OREYA</t>
  </si>
  <si>
    <t xml:space="preserve">profit in USD </t>
  </si>
  <si>
    <t>inv no.</t>
  </si>
  <si>
    <t>escarel</t>
  </si>
  <si>
    <t>CLUTCH PURSES</t>
  </si>
  <si>
    <t>item description</t>
  </si>
  <si>
    <t>small asset procurement</t>
  </si>
  <si>
    <t>licence fees and registrations</t>
  </si>
  <si>
    <t>jupiter</t>
  </si>
  <si>
    <t>sincere</t>
  </si>
  <si>
    <t>ALTIN YAK</t>
  </si>
  <si>
    <t>life stride</t>
  </si>
  <si>
    <t>black sandal low heel</t>
  </si>
  <si>
    <t>elegant line</t>
  </si>
  <si>
    <t>mutlu</t>
  </si>
  <si>
    <t>TOTAL CREDIT BALANCE</t>
  </si>
  <si>
    <t>WOOLEN TOPS</t>
  </si>
  <si>
    <t>TOTAL WOOLEN TOPS</t>
  </si>
  <si>
    <t>pauline gatsi</t>
  </si>
  <si>
    <t>mavis</t>
  </si>
  <si>
    <t>Tatenda</t>
  </si>
  <si>
    <t>pauline</t>
  </si>
  <si>
    <t xml:space="preserve">salaries </t>
  </si>
  <si>
    <t>Pauline</t>
  </si>
  <si>
    <t>staff commission</t>
  </si>
  <si>
    <t>salary</t>
  </si>
  <si>
    <t>Commission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</si>
  <si>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</si>
  <si>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</si>
  <si>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</si>
  <si>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</si>
  <si>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</si>
  <si>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</si>
  <si>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</si>
  <si>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</si>
  <si>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</si>
  <si>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</si>
  <si>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</si>
  <si>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</si>
  <si>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USD</t>
  </si>
  <si>
    <t>mai jordan</t>
  </si>
  <si>
    <t>IDEAL</t>
  </si>
  <si>
    <t>di mare</t>
  </si>
  <si>
    <t>navy/pink 3 piece</t>
  </si>
  <si>
    <t>gicca</t>
  </si>
  <si>
    <t>ideal</t>
  </si>
  <si>
    <t>HANDBAGS</t>
  </si>
  <si>
    <t>JERSEYS</t>
  </si>
  <si>
    <t>march 2019 stock</t>
  </si>
  <si>
    <t>channel</t>
  </si>
  <si>
    <t>TRACK SUITS</t>
  </si>
  <si>
    <t>mai chitindi</t>
  </si>
  <si>
    <t>cash USD</t>
  </si>
  <si>
    <t>Cash bond ecocash</t>
  </si>
  <si>
    <t>cash /DEBIT convert to USD</t>
  </si>
  <si>
    <t>black plain trousers w elastic waist</t>
  </si>
  <si>
    <t>altin yak</t>
  </si>
  <si>
    <t>bongo</t>
  </si>
  <si>
    <t>MAY 2019 STOCK</t>
  </si>
  <si>
    <t>trousers</t>
  </si>
  <si>
    <t>la gazelle</t>
  </si>
  <si>
    <t>JACKETS</t>
  </si>
  <si>
    <t>scotch w pocket design</t>
  </si>
  <si>
    <t>dimare</t>
  </si>
  <si>
    <t>red dress</t>
  </si>
  <si>
    <t>guzella</t>
  </si>
  <si>
    <t>balerina</t>
  </si>
  <si>
    <t>purple lace stretch dress long</t>
  </si>
  <si>
    <t>denim skirt</t>
  </si>
  <si>
    <t>denim skirt long</t>
  </si>
  <si>
    <t>whip design</t>
  </si>
  <si>
    <t>LV</t>
  </si>
  <si>
    <t>re dona</t>
  </si>
  <si>
    <t>haza</t>
  </si>
  <si>
    <t>ceber</t>
  </si>
  <si>
    <t>layby bal</t>
  </si>
  <si>
    <t>may 2019 stock</t>
  </si>
  <si>
    <t>TOTAL JACKETS</t>
  </si>
  <si>
    <t>PONCHOS</t>
  </si>
  <si>
    <t>black block heel</t>
  </si>
  <si>
    <t>CMA</t>
  </si>
  <si>
    <t>mustard w chiffon sleeves</t>
  </si>
  <si>
    <t>beethoven</t>
  </si>
  <si>
    <t>dans</t>
  </si>
  <si>
    <t>TURKEY SEPT 2019</t>
  </si>
  <si>
    <t>RM Richards</t>
  </si>
  <si>
    <t>royal blue satin gown w chiffon</t>
  </si>
  <si>
    <t>red dress w chiffon ruched sleeves</t>
  </si>
  <si>
    <t>Maroon lace w frilled hem</t>
  </si>
  <si>
    <t>catania</t>
  </si>
  <si>
    <t>blue stretch</t>
  </si>
  <si>
    <t>JM Studio</t>
  </si>
  <si>
    <t>blue sage</t>
  </si>
  <si>
    <t>lavous</t>
  </si>
  <si>
    <t>black sleeveless w grey satin skirt</t>
  </si>
  <si>
    <t>tights</t>
  </si>
  <si>
    <t>VIETNAM NOV 2019</t>
  </si>
  <si>
    <t>ISTANBUL NOV 2019</t>
  </si>
  <si>
    <t>SLNY</t>
  </si>
  <si>
    <t>red  gown w chiffon</t>
  </si>
  <si>
    <t xml:space="preserve">altin yak </t>
  </si>
  <si>
    <t>Transport ZWD</t>
  </si>
  <si>
    <t>WEEK 1</t>
  </si>
  <si>
    <t>WEEK 2</t>
  </si>
  <si>
    <t>WEEK 3</t>
  </si>
  <si>
    <t>WEEK 4</t>
  </si>
  <si>
    <t xml:space="preserve">DAILY SALES TO BE RECORDED AND RECONCILED   DAILY </t>
  </si>
  <si>
    <t>REGULAR STOCK SPOT CHECK ESP ON NEW STOCK</t>
  </si>
  <si>
    <t>year 5 (2019)</t>
  </si>
  <si>
    <t>lilac pleated skirt</t>
  </si>
  <si>
    <t>TOTAL SOCKS</t>
  </si>
  <si>
    <t>stock taken by clients home for fitting</t>
  </si>
  <si>
    <t>double check labels and quanity when going out</t>
  </si>
  <si>
    <t>double check labels and quanity when returned</t>
  </si>
  <si>
    <t>pauline Gatsi</t>
  </si>
  <si>
    <t>white dress w flowers &amp; shoulder strap</t>
  </si>
  <si>
    <t>NIDA</t>
  </si>
  <si>
    <t>scotch &amp; yellow 2 piece</t>
  </si>
  <si>
    <t>navy 2 pc w printed skirt</t>
  </si>
  <si>
    <t>mavellino</t>
  </si>
  <si>
    <t>striped blue dress suit</t>
  </si>
  <si>
    <t>lorient</t>
  </si>
  <si>
    <t>pink camisole</t>
  </si>
  <si>
    <t>beige camisole</t>
  </si>
  <si>
    <t>black 2 piece knit</t>
  </si>
  <si>
    <t>saffet</t>
  </si>
  <si>
    <t>setre</t>
  </si>
  <si>
    <t xml:space="preserve">n &amp; t </t>
  </si>
  <si>
    <t xml:space="preserve"> Bandage skirts various colours</t>
  </si>
  <si>
    <t>stock take 4</t>
  </si>
  <si>
    <t>big asset procurement</t>
  </si>
  <si>
    <t>loans personal</t>
  </si>
  <si>
    <t>loans others</t>
  </si>
  <si>
    <t>FEB 2020 STOCK</t>
  </si>
  <si>
    <t>bonnie musara</t>
  </si>
  <si>
    <t>money transfer charges</t>
  </si>
  <si>
    <t>white sleeveless long t shirt</t>
  </si>
  <si>
    <t>jersey maroon with fur neck &amp; sleeves 2020</t>
  </si>
  <si>
    <t>light throw red with glitter front</t>
  </si>
  <si>
    <t>light throw blue with glitter front</t>
  </si>
  <si>
    <t>antonella</t>
  </si>
  <si>
    <t xml:space="preserve">2 piece denim dress </t>
  </si>
  <si>
    <t>versarche grey trouser set</t>
  </si>
  <si>
    <t>versace</t>
  </si>
  <si>
    <t>JUNE 2020 STOCK</t>
  </si>
  <si>
    <t>gold 2 piece with front glitter</t>
  </si>
  <si>
    <t xml:space="preserve">pinema </t>
  </si>
  <si>
    <t>maroon dress w sheer sleeeves</t>
  </si>
  <si>
    <t>maroon wedge</t>
  </si>
  <si>
    <t>black wedge w elastic top</t>
  </si>
  <si>
    <t>F &amp; M</t>
  </si>
  <si>
    <t>green flat sandals w buckle</t>
  </si>
  <si>
    <t>AUG STOCK TURKEY</t>
  </si>
  <si>
    <t>MRP</t>
  </si>
  <si>
    <t>navy with front glitter design</t>
  </si>
  <si>
    <t>MISSING STOCK</t>
  </si>
  <si>
    <t>LABEL</t>
  </si>
  <si>
    <t>DESCRIPTION</t>
  </si>
  <si>
    <t>PURCHASE PRICE</t>
  </si>
  <si>
    <t>SALE PRICE</t>
  </si>
  <si>
    <t>STOCK TAKE  OCTOBER 2020</t>
  </si>
  <si>
    <t>burnt orage/white 2 piece</t>
  </si>
  <si>
    <t>Le  mirage</t>
  </si>
  <si>
    <t>yuxi fashion</t>
  </si>
  <si>
    <t>eastgate sales</t>
  </si>
  <si>
    <t>red wrap over dress</t>
  </si>
  <si>
    <t>ell shirt dress</t>
  </si>
  <si>
    <t>shirt dress</t>
  </si>
  <si>
    <t>green dress cotton multi colour</t>
  </si>
  <si>
    <t>maroon sude wedge shoe</t>
  </si>
  <si>
    <t>pinema</t>
  </si>
  <si>
    <t>home improvement/ construction</t>
  </si>
  <si>
    <t xml:space="preserve">% </t>
  </si>
  <si>
    <t>operating expenses</t>
  </si>
  <si>
    <t>white trouser set</t>
  </si>
  <si>
    <t>december 2020 stock</t>
  </si>
  <si>
    <t>cleaning &amp; packaging materials &amp; shop utilities</t>
  </si>
  <si>
    <t>major expenditure in 2020 included the construction and roofing of the house extension/cottage. Plumbing works and construction of the storm water drain,</t>
  </si>
  <si>
    <t>record in the stock out diary when stock leaves the shop</t>
  </si>
  <si>
    <t>tick and cancell returned stock</t>
  </si>
  <si>
    <t>record stock taken by client on the daily analysis and cash/credit invoice</t>
  </si>
  <si>
    <t>end of every week cross check if there is stock that went out which has not been returned</t>
  </si>
  <si>
    <t>discounts</t>
  </si>
  <si>
    <t>only given on cash purchases</t>
  </si>
  <si>
    <t>have a cash discount receipt stating discount amount and signed by the client</t>
  </si>
  <si>
    <t>max discount discretion is $5</t>
  </si>
  <si>
    <t>cash received allocation</t>
  </si>
  <si>
    <t>stock procurement</t>
  </si>
  <si>
    <t>weekly $100 savings</t>
  </si>
  <si>
    <t>working capital</t>
  </si>
  <si>
    <t>weekly $ 50 education fund savings</t>
  </si>
  <si>
    <t>balance to</t>
  </si>
  <si>
    <t>home improvement</t>
  </si>
  <si>
    <t>investment</t>
  </si>
  <si>
    <t>year 6 2020</t>
  </si>
  <si>
    <t>Pauline Gatsi</t>
  </si>
  <si>
    <t>school fees fund</t>
  </si>
  <si>
    <t>EDUCATION</t>
  </si>
  <si>
    <t>school fees.</t>
  </si>
  <si>
    <t>monthly allowance</t>
  </si>
  <si>
    <t>TOTAL EXPENDITURE</t>
  </si>
  <si>
    <t>STOCK</t>
  </si>
  <si>
    <t>2 PIECE OUTFITS</t>
  </si>
  <si>
    <t>SALES QNTY</t>
  </si>
  <si>
    <t>CLOSING  QNTY</t>
  </si>
  <si>
    <t>OPENING QNTY</t>
  </si>
  <si>
    <t>DIMARE</t>
  </si>
  <si>
    <t>TOPS</t>
  </si>
  <si>
    <t>SALES ANALYSIS BY CATGORY</t>
  </si>
  <si>
    <t>% SALE</t>
  </si>
  <si>
    <t>JERSEY</t>
  </si>
  <si>
    <t>CLUTCH</t>
  </si>
  <si>
    <t>COSERT</t>
  </si>
  <si>
    <t>PANTY</t>
  </si>
  <si>
    <t>SALES ANALYSIS 2016-2021</t>
  </si>
  <si>
    <t>musapatika</t>
  </si>
  <si>
    <t>size</t>
  </si>
  <si>
    <t>burgundy dress w decorated sleeves</t>
  </si>
  <si>
    <t>JAN 2021 STOCK TEMEL CARGO</t>
  </si>
  <si>
    <t>3xl</t>
  </si>
  <si>
    <t>20w</t>
  </si>
  <si>
    <t>L</t>
  </si>
  <si>
    <t>M</t>
  </si>
  <si>
    <t>XL</t>
  </si>
  <si>
    <t>2XL</t>
  </si>
  <si>
    <t>xl</t>
  </si>
  <si>
    <t>XXL</t>
  </si>
  <si>
    <t>other pulling socks</t>
  </si>
  <si>
    <t>aa</t>
  </si>
  <si>
    <t>ladies ankle socks black</t>
  </si>
  <si>
    <t>ankle socks navy</t>
  </si>
  <si>
    <t>ankle socks beige</t>
  </si>
  <si>
    <t>ankle socks cream</t>
  </si>
  <si>
    <t>CHINA STOCK MARCH 2021</t>
  </si>
  <si>
    <t>zara</t>
  </si>
  <si>
    <t>nude heel slip on</t>
  </si>
  <si>
    <t>orange heel slip on</t>
  </si>
  <si>
    <t>white heeled slip on with buckle</t>
  </si>
  <si>
    <t>gold  heel strappy sandal</t>
  </si>
  <si>
    <t>pink heel strappy sandal</t>
  </si>
  <si>
    <t>flat sandal</t>
  </si>
  <si>
    <t>black plaited flat  sandal</t>
  </si>
  <si>
    <t>gold plaited flat sandal</t>
  </si>
  <si>
    <t>royal blue plaited flat sandal</t>
  </si>
  <si>
    <t>charles &amp; keith</t>
  </si>
  <si>
    <t>white flat sandal</t>
  </si>
  <si>
    <t>BOOTS</t>
  </si>
  <si>
    <t>ZARA T</t>
  </si>
  <si>
    <t>Black high ankle w side mesh</t>
  </si>
  <si>
    <t xml:space="preserve">zara </t>
  </si>
  <si>
    <t>MARCH CASH BUDGET</t>
  </si>
  <si>
    <t>Rent</t>
  </si>
  <si>
    <t>round table</t>
  </si>
  <si>
    <t>visa insurance</t>
  </si>
  <si>
    <t>visa application</t>
  </si>
  <si>
    <t>kudzi refund</t>
  </si>
  <si>
    <t>china dresses</t>
  </si>
  <si>
    <t>turkey cargo</t>
  </si>
  <si>
    <t>carpenter shop shelving</t>
  </si>
  <si>
    <t xml:space="preserve">seke </t>
  </si>
  <si>
    <t>fence</t>
  </si>
  <si>
    <t>poles</t>
  </si>
  <si>
    <t>vida track suit</t>
  </si>
  <si>
    <t>fron daily sales</t>
  </si>
  <si>
    <t>per week for rent</t>
  </si>
  <si>
    <t>per week for client refund</t>
  </si>
  <si>
    <t>per week tete connie</t>
  </si>
  <si>
    <t>per week savings</t>
  </si>
  <si>
    <t>denim trousers</t>
  </si>
  <si>
    <t>denim jacket big size</t>
  </si>
  <si>
    <t>gossi</t>
  </si>
  <si>
    <t>la curuse</t>
  </si>
  <si>
    <t xml:space="preserve">denim skirt side design big size </t>
  </si>
  <si>
    <t>march  2021 turkey stock</t>
  </si>
  <si>
    <t>polo neck burgundy</t>
  </si>
  <si>
    <t>polo neck purple</t>
  </si>
  <si>
    <t>channel dresses china may 2021</t>
  </si>
  <si>
    <t>maroon</t>
  </si>
  <si>
    <t>navy</t>
  </si>
  <si>
    <t>APRIL 27 2021 STOCK</t>
  </si>
  <si>
    <t>FERAT</t>
  </si>
  <si>
    <t>La Gazelle</t>
  </si>
  <si>
    <t>navy scotch medium size</t>
  </si>
  <si>
    <t>white moon</t>
  </si>
  <si>
    <t>escarell</t>
  </si>
  <si>
    <t>black knit</t>
  </si>
  <si>
    <t>gumanize laleli</t>
  </si>
  <si>
    <t>black/cream w black overlay</t>
  </si>
  <si>
    <t>istanbul</t>
  </si>
  <si>
    <t>30 may-10 june 2021</t>
  </si>
  <si>
    <t xml:space="preserve">oreya </t>
  </si>
  <si>
    <t>big shawl</t>
  </si>
  <si>
    <t>scosta</t>
  </si>
  <si>
    <t>black/silver big size</t>
  </si>
  <si>
    <t>miss rose</t>
  </si>
  <si>
    <t>grey scotch small size</t>
  </si>
  <si>
    <t>black front pleat &amp; belt</t>
  </si>
  <si>
    <t>khakhi with scotch pleat</t>
  </si>
  <si>
    <t>green small size</t>
  </si>
  <si>
    <t>l</t>
  </si>
  <si>
    <t>blue/black2 piece w denim jeggins</t>
  </si>
  <si>
    <t>black long sleeve</t>
  </si>
  <si>
    <t>navy w lace hem</t>
  </si>
  <si>
    <t>vende</t>
  </si>
  <si>
    <t>JUNE 2021 STOCK</t>
  </si>
  <si>
    <t>STOCK JUNE 2021</t>
  </si>
  <si>
    <t>inc</t>
  </si>
  <si>
    <t>jersey red with leather zip</t>
  </si>
  <si>
    <t>navy / maroon short jersey</t>
  </si>
  <si>
    <t>nude block heel</t>
  </si>
  <si>
    <t>black leather tennis</t>
  </si>
  <si>
    <t>sept 2021 stock</t>
  </si>
  <si>
    <t>mutanho</t>
  </si>
  <si>
    <t>red flat strappy sandals</t>
  </si>
  <si>
    <t>black flat strappy sandals</t>
  </si>
  <si>
    <t>WHITE PEPPER</t>
  </si>
  <si>
    <t>red dress w chiffon sleeves</t>
  </si>
  <si>
    <t>ginzaro</t>
  </si>
  <si>
    <t>navy/siver ombre</t>
  </si>
  <si>
    <t>black</t>
  </si>
  <si>
    <t>scarfs</t>
  </si>
  <si>
    <t>all colours</t>
  </si>
  <si>
    <t>gold dress w belt</t>
  </si>
  <si>
    <t>phudra</t>
  </si>
  <si>
    <t>heresis</t>
  </si>
  <si>
    <t>navy formal dress w back zip</t>
  </si>
  <si>
    <t>cream dress w gold jacket</t>
  </si>
  <si>
    <t>paris</t>
  </si>
  <si>
    <t>black w elastic top</t>
  </si>
  <si>
    <t>istanbul november 2021 trip</t>
  </si>
  <si>
    <t>airport duty</t>
  </si>
  <si>
    <t>amored</t>
  </si>
  <si>
    <t>nude</t>
  </si>
  <si>
    <t>as life</t>
  </si>
  <si>
    <t>the zeymur</t>
  </si>
  <si>
    <t>estella</t>
  </si>
  <si>
    <t>nivola</t>
  </si>
  <si>
    <t>NOVEMBER 2021 STOCK</t>
  </si>
  <si>
    <t>black w buckle</t>
  </si>
  <si>
    <t>av monthly</t>
  </si>
  <si>
    <t>INC</t>
  </si>
  <si>
    <t>black w one arm</t>
  </si>
  <si>
    <t>black glitter body hugging w chiffon</t>
  </si>
  <si>
    <t>istanbul kapura Dec</t>
  </si>
  <si>
    <t>10 dc</t>
  </si>
  <si>
    <t>grey 2 piece w glitter neck</t>
  </si>
  <si>
    <t>december 2021 stock</t>
  </si>
  <si>
    <t>dec 2021 stock</t>
  </si>
  <si>
    <t>to</t>
  </si>
  <si>
    <t>PANTYHOSE</t>
  </si>
  <si>
    <t>TOTAL SCARFS</t>
  </si>
  <si>
    <t>red 2 piece w net outer</t>
  </si>
  <si>
    <t>leopard print  brown</t>
  </si>
  <si>
    <t>gossi/ trieste</t>
  </si>
  <si>
    <t>navy with front bead design</t>
  </si>
  <si>
    <t>navy suede ankle boot</t>
  </si>
  <si>
    <t>stable</t>
  </si>
  <si>
    <t>brown jeggins with back pockets</t>
  </si>
  <si>
    <t>91 skirts sold</t>
  </si>
  <si>
    <t>mahufe</t>
  </si>
  <si>
    <t>SHOP</t>
  </si>
  <si>
    <t>PAOLO ROSSI</t>
  </si>
  <si>
    <t>maroon w black side elastic</t>
  </si>
  <si>
    <t>black gloss court shoe</t>
  </si>
  <si>
    <t>black heels</t>
  </si>
  <si>
    <t>$10 daily savings</t>
  </si>
  <si>
    <t>$20 daily savings</t>
  </si>
  <si>
    <t>$600 round</t>
  </si>
  <si>
    <t>CHINA PUMPS FEBRUARY 16</t>
  </si>
  <si>
    <t>ANGEL SHOES</t>
  </si>
  <si>
    <t>Black flat pump</t>
  </si>
  <si>
    <t>maroon flat pump</t>
  </si>
  <si>
    <t>grey flat pump</t>
  </si>
  <si>
    <t>blue wedge</t>
  </si>
  <si>
    <t>grey wedge</t>
  </si>
  <si>
    <t>china</t>
  </si>
  <si>
    <t>Paris</t>
  </si>
  <si>
    <t>feb 2021 stock</t>
  </si>
  <si>
    <t>year 7 2021</t>
  </si>
  <si>
    <t>year 8 2022</t>
  </si>
  <si>
    <t>shoes</t>
  </si>
  <si>
    <t>recommended</t>
  </si>
  <si>
    <t>rose gold gown mermaid design</t>
  </si>
  <si>
    <t>rouge</t>
  </si>
  <si>
    <t>FREE</t>
  </si>
  <si>
    <t>kima</t>
  </si>
  <si>
    <t>rewita</t>
  </si>
  <si>
    <t>navy small size</t>
  </si>
  <si>
    <t>PINK/GOLD  BLACK 2 PIECE</t>
  </si>
  <si>
    <t>NAVY 3 PIECE</t>
  </si>
  <si>
    <t>handbags</t>
  </si>
  <si>
    <t>clutch bags</t>
  </si>
  <si>
    <t>white cape w rose design</t>
  </si>
  <si>
    <t>twin set black</t>
  </si>
  <si>
    <t>LV black handbag w single handle</t>
  </si>
  <si>
    <t>panties</t>
  </si>
  <si>
    <t>istanbul april2022</t>
  </si>
  <si>
    <t>legenda</t>
  </si>
  <si>
    <t>panas line</t>
  </si>
  <si>
    <t>hember</t>
  </si>
  <si>
    <t>maryland</t>
  </si>
  <si>
    <t>knit dress black w hooded jacket</t>
  </si>
  <si>
    <t>2xl</t>
  </si>
  <si>
    <t>4xl</t>
  </si>
  <si>
    <t>6xl</t>
  </si>
  <si>
    <t>bavinchi</t>
  </si>
  <si>
    <t>knit dress grey w hooded jacket</t>
  </si>
  <si>
    <t>knit dress green w striped jacket</t>
  </si>
  <si>
    <t>knit dress yellow w cream striped jacket</t>
  </si>
  <si>
    <t>rose gold ball gown mermaid style</t>
  </si>
  <si>
    <t>APRIL 2022 STOCK</t>
  </si>
  <si>
    <t>4XL</t>
  </si>
  <si>
    <t>5XL</t>
  </si>
  <si>
    <t>HEY</t>
  </si>
  <si>
    <t>APRIL 2020 STOCK</t>
  </si>
  <si>
    <t>BALL GOWNS</t>
  </si>
  <si>
    <t>APRIL 2022STOCK</t>
  </si>
  <si>
    <t>TOTAL GOWNS</t>
  </si>
  <si>
    <t>clutch bag green</t>
  </si>
  <si>
    <t>clutch bag lilac</t>
  </si>
  <si>
    <t>clutch bag mint green</t>
  </si>
  <si>
    <t>quarterly analysis</t>
  </si>
  <si>
    <t>1st</t>
  </si>
  <si>
    <t>2nd</t>
  </si>
  <si>
    <t>3rd</t>
  </si>
  <si>
    <t>4th</t>
  </si>
  <si>
    <t>returned</t>
  </si>
  <si>
    <t>black w black/white belt small size</t>
  </si>
  <si>
    <t>grey Jeggins w thick waistband &amp; belt</t>
  </si>
  <si>
    <t>t shirt jacket beige</t>
  </si>
  <si>
    <t>roda</t>
  </si>
  <si>
    <t>long versache jersey red</t>
  </si>
  <si>
    <t>xxl</t>
  </si>
  <si>
    <t>twin set navy</t>
  </si>
  <si>
    <t>t shirt jacket black</t>
  </si>
  <si>
    <t>t shirt jacket aqua blue</t>
  </si>
  <si>
    <t>crew neck navy</t>
  </si>
  <si>
    <t>may 2022 stock</t>
  </si>
  <si>
    <t>oreya jerseys and sweaters june 2022</t>
  </si>
  <si>
    <t>crew neck black</t>
  </si>
  <si>
    <t>crew neck red</t>
  </si>
  <si>
    <t>4 xl</t>
  </si>
  <si>
    <t>5xl</t>
  </si>
  <si>
    <t>green sleeveless ball gown</t>
  </si>
  <si>
    <t>pink with bow tie</t>
  </si>
  <si>
    <t>PASSPORT APPLICATION</t>
  </si>
  <si>
    <t>Luggage exess bags</t>
  </si>
  <si>
    <t>extra kgs - bags packed to 32kg</t>
  </si>
  <si>
    <t>temel cargo july 2022</t>
  </si>
  <si>
    <t>prosperity Tiana</t>
  </si>
  <si>
    <t xml:space="preserve">burgundy gown </t>
  </si>
  <si>
    <t>Tiana</t>
  </si>
  <si>
    <t>mint green lace dress maxi</t>
  </si>
  <si>
    <t>butterfly</t>
  </si>
  <si>
    <t>brown weave sandals</t>
  </si>
  <si>
    <t>yellow  weave sandals</t>
  </si>
  <si>
    <t>edit</t>
  </si>
  <si>
    <t>black cross sandal</t>
  </si>
  <si>
    <t>tiana</t>
  </si>
  <si>
    <t>green straight pleated gown</t>
  </si>
  <si>
    <t>green w short dress inside</t>
  </si>
  <si>
    <t>arizona</t>
  </si>
  <si>
    <t>leopard print dress w elastic waist</t>
  </si>
  <si>
    <t>peach multi colour w ruched bust</t>
  </si>
  <si>
    <t>black denim w colourful belt</t>
  </si>
  <si>
    <t>black chiffon gown w ruched bust</t>
  </si>
  <si>
    <t>favana</t>
  </si>
  <si>
    <t>lilac gown</t>
  </si>
  <si>
    <t>yellow casual dress</t>
  </si>
  <si>
    <t>clutches</t>
  </si>
  <si>
    <t>capone</t>
  </si>
  <si>
    <t>navy/white stripped w navy chiffon jacket</t>
  </si>
  <si>
    <t>black chiffon stepped w yellow flowers</t>
  </si>
  <si>
    <t>black w yellow flowers bare waist &amp; thick hem</t>
  </si>
  <si>
    <t>mari mar</t>
  </si>
  <si>
    <t>peach multi colour w gypsy hem</t>
  </si>
  <si>
    <t>westlife downtown</t>
  </si>
  <si>
    <t>dresses</t>
  </si>
  <si>
    <t>navy chiffon gown w pleated bust</t>
  </si>
  <si>
    <t>istanbulsept 2022</t>
  </si>
  <si>
    <t>10 -22 sept</t>
  </si>
  <si>
    <t>via Germany</t>
  </si>
  <si>
    <t>17-20 sept</t>
  </si>
  <si>
    <t>germany</t>
  </si>
  <si>
    <t>TOTAL overheads</t>
  </si>
  <si>
    <t>SARA</t>
  </si>
  <si>
    <t>pudra</t>
  </si>
  <si>
    <t>miss more</t>
  </si>
  <si>
    <t>black  formal w waistband brooch skirts</t>
  </si>
  <si>
    <t>dissa</t>
  </si>
  <si>
    <t>rumbi stock Sandals september</t>
  </si>
  <si>
    <t>mukuruva</t>
  </si>
  <si>
    <t>UK STOCK SHARON 15 OCT 2022</t>
  </si>
  <si>
    <t>fascinator green oval</t>
  </si>
  <si>
    <t>navy dress w pleated back</t>
  </si>
  <si>
    <t>adalyn</t>
  </si>
  <si>
    <t>volonte</t>
  </si>
  <si>
    <t>sept 2022 stock</t>
  </si>
  <si>
    <t>rose gold embroidered round</t>
  </si>
  <si>
    <t>black glossy medium heel</t>
  </si>
  <si>
    <t>rose fashion</t>
  </si>
  <si>
    <t>panties  black</t>
  </si>
  <si>
    <t xml:space="preserve">black lace </t>
  </si>
  <si>
    <t>ladies secret socks black</t>
  </si>
  <si>
    <t>OCTOBER STOCK TAKE 2022</t>
  </si>
  <si>
    <t>OVERS</t>
  </si>
  <si>
    <t>over</t>
  </si>
  <si>
    <t>under</t>
  </si>
  <si>
    <t>rouge grey knit dress 2 pc w hood</t>
  </si>
  <si>
    <t>green short jersey w black lines at the hem</t>
  </si>
  <si>
    <t>UNDER</t>
  </si>
  <si>
    <t>balance with the one addedback jan 2022 stock take</t>
  </si>
  <si>
    <t>TEMEL CARGO APRIL2021</t>
  </si>
  <si>
    <t>lagez</t>
  </si>
  <si>
    <t>To check amount actually bought</t>
  </si>
  <si>
    <t>TURKEY TRIP NOV 2022</t>
  </si>
  <si>
    <t>M/ROSE</t>
  </si>
  <si>
    <t>favouri</t>
  </si>
  <si>
    <t>Liza Line</t>
  </si>
  <si>
    <t>Donna Miranda</t>
  </si>
  <si>
    <t>gold fishtail</t>
  </si>
  <si>
    <t>cream loafers</t>
  </si>
  <si>
    <t>Maryland</t>
  </si>
  <si>
    <t>black trousers w belt</t>
  </si>
  <si>
    <t>paris order</t>
  </si>
  <si>
    <t>black flat shoes</t>
  </si>
  <si>
    <t>Form Easy</t>
  </si>
  <si>
    <t>Eudoxima fashion</t>
  </si>
  <si>
    <t>yellow maxi dress w elastic waist</t>
  </si>
  <si>
    <t>pole n pole</t>
  </si>
  <si>
    <t>green channel multi colour</t>
  </si>
  <si>
    <t>green / lilac chiffon multi colour</t>
  </si>
  <si>
    <t>polu collection</t>
  </si>
  <si>
    <t xml:space="preserve">ISTANBUL </t>
  </si>
  <si>
    <t>19-27 NOV</t>
  </si>
  <si>
    <t>ISTANBUL</t>
  </si>
  <si>
    <t>total cost excl stock</t>
  </si>
  <si>
    <t>liza line</t>
  </si>
  <si>
    <t>pink/blue chiffon maxi</t>
  </si>
  <si>
    <t>hira</t>
  </si>
  <si>
    <t>average quarterly</t>
  </si>
  <si>
    <t>NOV Turkey trip</t>
  </si>
  <si>
    <t>NOV 2022 TURKEY TRIP</t>
  </si>
  <si>
    <t>NOV 2022 TRIP</t>
  </si>
  <si>
    <t>TURKEY TRIP nov  2022</t>
  </si>
  <si>
    <t>tango</t>
  </si>
  <si>
    <t>69 skirts sold</t>
  </si>
  <si>
    <t>stock type</t>
  </si>
  <si>
    <t>amnt sold during the year</t>
  </si>
  <si>
    <t>% sale</t>
  </si>
  <si>
    <t>dress outfits</t>
  </si>
  <si>
    <t>gowns</t>
  </si>
  <si>
    <t>skirts</t>
  </si>
  <si>
    <t>tops &amp; blouses</t>
  </si>
  <si>
    <t>woolen tops</t>
  </si>
  <si>
    <t>jackets</t>
  </si>
  <si>
    <t>jerseys</t>
  </si>
  <si>
    <t>track suits</t>
  </si>
  <si>
    <t>coserts</t>
  </si>
  <si>
    <t>pantyhose</t>
  </si>
  <si>
    <t>fascinators</t>
  </si>
  <si>
    <t>shawlsponchos &amp; wrappers</t>
  </si>
  <si>
    <t>FASCINATOR</t>
  </si>
  <si>
    <t>handina</t>
  </si>
  <si>
    <t>year 9 2023</t>
  </si>
  <si>
    <t>beige track suit</t>
  </si>
  <si>
    <t>Vaida stock feb 2023</t>
  </si>
  <si>
    <t>moda Evi</t>
  </si>
  <si>
    <t>black formal w stripped top</t>
  </si>
  <si>
    <t>black w gold polka dot</t>
  </si>
  <si>
    <t>blue dress w puff sleeves</t>
  </si>
  <si>
    <t>Nesly</t>
  </si>
  <si>
    <t>navy skirt suit</t>
  </si>
  <si>
    <t>black bra cosert</t>
  </si>
  <si>
    <t>3XL</t>
  </si>
  <si>
    <t>SINCERE</t>
  </si>
  <si>
    <t>JEGGINGS</t>
  </si>
  <si>
    <t>maroon jegging</t>
  </si>
  <si>
    <t>cream pleated w front design</t>
  </si>
  <si>
    <t>black and gold pleated</t>
  </si>
  <si>
    <t>black skirt suit</t>
  </si>
  <si>
    <t>light blue with front button design</t>
  </si>
  <si>
    <t>dusty pink w front button design</t>
  </si>
  <si>
    <t>blue w high sleeves &amp; black back button design</t>
  </si>
  <si>
    <t>rosso osmanbey</t>
  </si>
  <si>
    <t>Fi &amp; BI</t>
  </si>
  <si>
    <t>ferrat</t>
  </si>
  <si>
    <t>black trousers</t>
  </si>
  <si>
    <t xml:space="preserve">royal blue </t>
  </si>
  <si>
    <t>istanbul March 2023</t>
  </si>
  <si>
    <t>5-12 mar</t>
  </si>
  <si>
    <t>28 feb-4 march</t>
  </si>
  <si>
    <t>TURKEY trip MARCH 2023</t>
  </si>
  <si>
    <t>lagazelle</t>
  </si>
  <si>
    <t>espoll</t>
  </si>
  <si>
    <t>cirna lala</t>
  </si>
  <si>
    <t>sadosa</t>
  </si>
  <si>
    <t>calino</t>
  </si>
  <si>
    <t>charcoal stripe skirt suit</t>
  </si>
  <si>
    <t>ariens</t>
  </si>
  <si>
    <t>COSERT mar 2023</t>
  </si>
  <si>
    <t>mar 2023stock</t>
  </si>
  <si>
    <t>MARYLAND</t>
  </si>
  <si>
    <t>aqua blue trousers</t>
  </si>
  <si>
    <t>light blue trousers</t>
  </si>
  <si>
    <t>NESLY</t>
  </si>
  <si>
    <t>black  w blue pinstripe</t>
  </si>
  <si>
    <t>light blue formal dress</t>
  </si>
  <si>
    <t>beige lace dress</t>
  </si>
  <si>
    <t>TEMEL CARGO 29 MAR '23</t>
  </si>
  <si>
    <t>from Exotic avondale</t>
  </si>
  <si>
    <t>march</t>
  </si>
  <si>
    <t>MAY</t>
  </si>
  <si>
    <t>layby eve mutsvangwa - returned</t>
  </si>
  <si>
    <t>army green bandage skirt</t>
  </si>
  <si>
    <t>ezgi</t>
  </si>
  <si>
    <t>pink satin skirt w pink top</t>
  </si>
  <si>
    <t>flowery skirt w  w black top</t>
  </si>
  <si>
    <t>TROUSER SET</t>
  </si>
  <si>
    <t>white w front zip</t>
  </si>
  <si>
    <t>FI &amp; BI</t>
  </si>
  <si>
    <t>GOWNS</t>
  </si>
  <si>
    <t>nesly</t>
  </si>
  <si>
    <t>coffee scotch small size</t>
  </si>
  <si>
    <t>stripe trouser suit</t>
  </si>
  <si>
    <t>grey/white houndstooth blazer</t>
  </si>
  <si>
    <t>black short velvet</t>
  </si>
  <si>
    <t>blue trouser set w blue white blouse</t>
  </si>
  <si>
    <t>sky blue ladies shirt</t>
  </si>
  <si>
    <t>7-13 march</t>
  </si>
  <si>
    <t>maroon polo neck</t>
  </si>
  <si>
    <t>black polo neck</t>
  </si>
  <si>
    <t>red polo neck</t>
  </si>
  <si>
    <t>pink polo neck</t>
  </si>
  <si>
    <t>navy .</t>
  </si>
  <si>
    <t>moons</t>
  </si>
  <si>
    <t>misi  Misia</t>
  </si>
  <si>
    <t>navy crew neck</t>
  </si>
  <si>
    <t>grey crew neck</t>
  </si>
  <si>
    <t>white crew neck</t>
  </si>
  <si>
    <t>ravir</t>
  </si>
  <si>
    <t>vende moda</t>
  </si>
  <si>
    <t>grey/navy  woolen</t>
  </si>
  <si>
    <t>moda</t>
  </si>
  <si>
    <t>tenim</t>
  </si>
  <si>
    <t>wool white /black</t>
  </si>
  <si>
    <t>Cosert upper</t>
  </si>
  <si>
    <t xml:space="preserve">bayker </t>
  </si>
  <si>
    <t>Beige</t>
  </si>
  <si>
    <t>MAROON TROUSER SET</t>
  </si>
  <si>
    <t>blue/white scotch blazer</t>
  </si>
  <si>
    <t>grey jeggins w thick waistband &amp; belt</t>
  </si>
  <si>
    <t>ARIENS</t>
  </si>
  <si>
    <t>TURKEY MAY 2023</t>
  </si>
  <si>
    <t>MAY 2023 TURKEY</t>
  </si>
  <si>
    <t>TURKEY MAY 2023 STOCK</t>
  </si>
  <si>
    <t>black trouser w black/white top</t>
  </si>
  <si>
    <t>may 2023 stock</t>
  </si>
  <si>
    <t>MAY 2023 STOCK</t>
  </si>
  <si>
    <t>mawango</t>
  </si>
  <si>
    <t>cash returned Boka</t>
  </si>
  <si>
    <t>JULY 2023 TURKET RIP</t>
  </si>
  <si>
    <t>Solar store</t>
  </si>
  <si>
    <t>pink chiffon/ lace maxi dress</t>
  </si>
  <si>
    <t>royal blue chiffon dress w sleeve detail</t>
  </si>
  <si>
    <t>lime green pannelled dress w front zip</t>
  </si>
  <si>
    <t xml:space="preserve">lime green/purple chiffon maxi dress </t>
  </si>
  <si>
    <t>Ajar</t>
  </si>
  <si>
    <t>red dress w queen sleeves</t>
  </si>
  <si>
    <t>NESLEY</t>
  </si>
  <si>
    <t>black 2 piece suit</t>
  </si>
  <si>
    <t>blue  pleated w overlay</t>
  </si>
  <si>
    <t>maroon/blue chiffon dress w elastic sleeves</t>
  </si>
  <si>
    <t>red with front buckle</t>
  </si>
  <si>
    <t>beige with front buckle</t>
  </si>
  <si>
    <t>Oreya</t>
  </si>
  <si>
    <t>silver moon</t>
  </si>
  <si>
    <t>LUMIENS</t>
  </si>
  <si>
    <t>mast fashion</t>
  </si>
  <si>
    <t>no name</t>
  </si>
  <si>
    <t>valentino</t>
  </si>
  <si>
    <t>small green. W diamond design</t>
  </si>
  <si>
    <t>ISTANBUL MAY 2023</t>
  </si>
  <si>
    <t>2-9 JULY 2023</t>
  </si>
  <si>
    <t>transport inc airport</t>
  </si>
  <si>
    <t>JULY 2023 STOCK</t>
  </si>
  <si>
    <t>AUGUST</t>
  </si>
  <si>
    <t>gold lace mermaid gown</t>
  </si>
  <si>
    <t>nude pleated flared gown</t>
  </si>
  <si>
    <t>9 Aug 2023 temel cargo</t>
  </si>
  <si>
    <t>solar store</t>
  </si>
  <si>
    <t>pink cotton dress</t>
  </si>
  <si>
    <t>20 sept '23 temel cargo</t>
  </si>
  <si>
    <t>black w front buckle &amp; sleeve design</t>
  </si>
  <si>
    <t>added  when we moved winter stock to avondale</t>
  </si>
  <si>
    <t>from avondale</t>
  </si>
  <si>
    <t>denim shirts</t>
  </si>
  <si>
    <t>white flared boob material</t>
  </si>
  <si>
    <t>green/ white one arm</t>
  </si>
  <si>
    <t>blue camisole</t>
  </si>
  <si>
    <t>black rose</t>
  </si>
  <si>
    <t>black/white trouser set</t>
  </si>
  <si>
    <t>black/beige dress</t>
  </si>
  <si>
    <t>white pepper</t>
  </si>
  <si>
    <t>orange/white 2 pc trouser set</t>
  </si>
  <si>
    <t>black stretch gown</t>
  </si>
  <si>
    <t>green satin pleated summer dress</t>
  </si>
  <si>
    <t xml:space="preserve">orange cotton dress </t>
  </si>
  <si>
    <t>pink pleated sain dress w high/low hem</t>
  </si>
  <si>
    <t>SHORTS</t>
  </si>
  <si>
    <t>DENIM FLOWERY SHORTS</t>
  </si>
  <si>
    <t>orange white blue  2 piece chiffon</t>
  </si>
  <si>
    <t>OCTOBER</t>
  </si>
  <si>
    <t>NEW YORK USA</t>
  </si>
  <si>
    <t>ESMERALDA</t>
  </si>
  <si>
    <t>CONNECTED</t>
  </si>
  <si>
    <t>green dress w side ruffle</t>
  </si>
  <si>
    <t>gold dress long</t>
  </si>
  <si>
    <t>benich</t>
  </si>
  <si>
    <t>navy/white party dress w white flowery bottom</t>
  </si>
  <si>
    <t>FT NY INC</t>
  </si>
  <si>
    <t>DENIM STRAP DRESS VLNT</t>
  </si>
  <si>
    <t>ross</t>
  </si>
  <si>
    <t>liberty</t>
  </si>
  <si>
    <t>report</t>
  </si>
  <si>
    <t>brown studded sandals</t>
  </si>
  <si>
    <t>istanbul sept/oct</t>
  </si>
  <si>
    <t>new york</t>
  </si>
  <si>
    <t>25-29 15-18</t>
  </si>
  <si>
    <t>30-14 oct</t>
  </si>
  <si>
    <t>new york/ florida</t>
  </si>
  <si>
    <t>Coco</t>
  </si>
  <si>
    <t>black dress w silver embroidery &amp;chiffon outer</t>
  </si>
  <si>
    <t>aqua dress w sleeve &amp;front glitter &amp; chiffon outer</t>
  </si>
  <si>
    <t>BABY WEAR</t>
  </si>
  <si>
    <t>lumiens</t>
  </si>
  <si>
    <t>sadossa</t>
  </si>
  <si>
    <t>zuvara casual</t>
  </si>
  <si>
    <t>SEPTEMBER . 2023</t>
  </si>
  <si>
    <t>sept. 2023</t>
  </si>
  <si>
    <t>via torino</t>
  </si>
  <si>
    <t>white/ silver  ball gown</t>
  </si>
  <si>
    <t>raviro returned cash</t>
  </si>
  <si>
    <t>TURKEY  NOV 2023</t>
  </si>
  <si>
    <t>evalorin</t>
  </si>
  <si>
    <t xml:space="preserve">white pleated dress </t>
  </si>
  <si>
    <t>white chiffon pleated dress w overlay</t>
  </si>
  <si>
    <t>green chiffon w lace design</t>
  </si>
  <si>
    <t>orange/ multi colour shirt dress</t>
  </si>
  <si>
    <t>gold pleated short gown</t>
  </si>
  <si>
    <t>zebra print dress w top</t>
  </si>
  <si>
    <t>baleno</t>
  </si>
  <si>
    <t xml:space="preserve">istanbul </t>
  </si>
  <si>
    <t>13-20nov</t>
  </si>
  <si>
    <t>platin</t>
  </si>
  <si>
    <t>fimas</t>
  </si>
  <si>
    <t>bagezza</t>
  </si>
  <si>
    <t>love me</t>
  </si>
  <si>
    <t>ladonatella</t>
  </si>
  <si>
    <t>NOV 2023 STOCK</t>
  </si>
  <si>
    <t>mint green gown</t>
  </si>
  <si>
    <t>narcisse</t>
  </si>
  <si>
    <t>stock not on stock sheet</t>
  </si>
  <si>
    <t>mardi</t>
  </si>
  <si>
    <t xml:space="preserve">green/beige floral flared dress repeat - </t>
  </si>
  <si>
    <t>mahufe returned</t>
  </si>
  <si>
    <t xml:space="preserve">versace </t>
  </si>
  <si>
    <t>grey 2 piece track suit from avondale</t>
  </si>
  <si>
    <t>oreya white t shirt w front glitter</t>
  </si>
  <si>
    <t>cash returned</t>
  </si>
  <si>
    <t>navy w leopard print design</t>
  </si>
  <si>
    <t>vannes syd</t>
  </si>
  <si>
    <t>added nov trip shop replacement</t>
  </si>
  <si>
    <t>added dec stock take</t>
  </si>
  <si>
    <t>shop under delivered - then replaced</t>
  </si>
  <si>
    <t>coffee suit</t>
  </si>
  <si>
    <t>nesly coffee suit</t>
  </si>
  <si>
    <t>TANGO EZGI</t>
  </si>
  <si>
    <t>PINK TOP/FLOWERY SKIRT</t>
  </si>
  <si>
    <t>pink top w flowery skirt 42/44</t>
  </si>
  <si>
    <t xml:space="preserve">FI &amp; BI </t>
  </si>
  <si>
    <t xml:space="preserve">black jeggin 46 </t>
  </si>
  <si>
    <t>sold but not on stocksheet</t>
  </si>
  <si>
    <t xml:space="preserve">baby wear omer </t>
  </si>
  <si>
    <t>grey/blue scotch big scotch no belt</t>
  </si>
  <si>
    <t>SIZE CHANGED FRON 44 TO 50</t>
  </si>
  <si>
    <t xml:space="preserve">clutch bag royal blue </t>
  </si>
  <si>
    <t>green clutch</t>
  </si>
  <si>
    <t>clutch red</t>
  </si>
  <si>
    <t>half moon  black broken clutch</t>
  </si>
  <si>
    <t>missing skirt</t>
  </si>
  <si>
    <t>payment for missing skirt</t>
  </si>
  <si>
    <t>81 skirts sold</t>
  </si>
  <si>
    <t>SCARVES</t>
  </si>
  <si>
    <t>PAJAMAS/ NIGHTIES</t>
  </si>
  <si>
    <t>hot pink band</t>
  </si>
  <si>
    <t>faint  pink band</t>
  </si>
  <si>
    <t>blush pink band</t>
  </si>
  <si>
    <t>turquoise band</t>
  </si>
  <si>
    <t>beige band</t>
  </si>
  <si>
    <t>returned in stock ruth tsopotsa</t>
  </si>
  <si>
    <t>self</t>
  </si>
  <si>
    <t>Q</t>
  </si>
  <si>
    <t>yr 10 2024</t>
  </si>
  <si>
    <t>home</t>
  </si>
  <si>
    <t>??????</t>
  </si>
  <si>
    <t>???</t>
  </si>
  <si>
    <t>SALE</t>
  </si>
  <si>
    <t>avondale loss</t>
  </si>
  <si>
    <t>confirm with home</t>
  </si>
  <si>
    <t>confirm w home</t>
  </si>
  <si>
    <t>nyadzi</t>
  </si>
  <si>
    <t>tete chipo</t>
  </si>
  <si>
    <t>COVID</t>
  </si>
  <si>
    <t xml:space="preserve">COVID/EASTGATE </t>
  </si>
  <si>
    <t>RECOVERY</t>
  </si>
  <si>
    <t>NORMAL</t>
  </si>
  <si>
    <t>GROWTH</t>
  </si>
  <si>
    <t>INITIAL ESTABLISHMENT</t>
  </si>
  <si>
    <t>NORMAL/ AVONDALE/CAR</t>
  </si>
  <si>
    <t>chidzenga</t>
  </si>
  <si>
    <t>declared sold oct s/take tariro</t>
  </si>
  <si>
    <t>STAFF LEAVE DAYS</t>
  </si>
  <si>
    <t>nyamakupi</t>
  </si>
  <si>
    <t>dates</t>
  </si>
  <si>
    <t>PAU # of days</t>
  </si>
  <si>
    <t>TATENDA # of days</t>
  </si>
  <si>
    <t>nyadzi # of days</t>
  </si>
  <si>
    <t>shop</t>
  </si>
  <si>
    <t>Tango</t>
  </si>
  <si>
    <t>green satin  wrap over w sheer sleeves</t>
  </si>
  <si>
    <t>gold satin  wrap over w sheer sleeves</t>
  </si>
  <si>
    <t>White pepper</t>
  </si>
  <si>
    <t>black dress w white stripe</t>
  </si>
  <si>
    <t>black rose volonte</t>
  </si>
  <si>
    <t>green pleated skirt &amp; blouse</t>
  </si>
  <si>
    <t>coffee pleated skirt &amp; blouse</t>
  </si>
  <si>
    <t>orange pleated skirt &amp; blouse</t>
  </si>
  <si>
    <t>green/white dress  net material w white belt</t>
  </si>
  <si>
    <t>denim shirt dress w white tie/dye design</t>
  </si>
  <si>
    <t>beige dress w black frill</t>
  </si>
  <si>
    <t>black/gold denim shirt dress w belt</t>
  </si>
  <si>
    <t>fervente</t>
  </si>
  <si>
    <t>hot pink pleated dress w waist design</t>
  </si>
  <si>
    <t>cream pleated dress w waist design</t>
  </si>
  <si>
    <t xml:space="preserve">gold gown </t>
  </si>
  <si>
    <t>rose gold gown</t>
  </si>
  <si>
    <t>SKIRT</t>
  </si>
  <si>
    <t>black satin skirt</t>
  </si>
  <si>
    <t>darkmen</t>
  </si>
  <si>
    <t>navy/maroon stretch top</t>
  </si>
  <si>
    <t>beige/black cotton dress</t>
  </si>
  <si>
    <t>denim look midi sleeveless dress</t>
  </si>
  <si>
    <t>green/black polka dot cotton dress</t>
  </si>
  <si>
    <t>modagun</t>
  </si>
  <si>
    <t>green chiffon short dress</t>
  </si>
  <si>
    <t>cream/hot pink chiffon dress</t>
  </si>
  <si>
    <t>army green flared chiffon dress w flower design</t>
  </si>
  <si>
    <t>cream chiffon multi colour straight dress</t>
  </si>
  <si>
    <t>orange pleated short dress</t>
  </si>
  <si>
    <t>black/beige w flared skirt</t>
  </si>
  <si>
    <t>gumanize</t>
  </si>
  <si>
    <t>orange/ zebra print dress</t>
  </si>
  <si>
    <t>orange pleated dress</t>
  </si>
  <si>
    <t>black w pink/yellow flowers</t>
  </si>
  <si>
    <t>fiero</t>
  </si>
  <si>
    <t>black /white sheer one arm gown</t>
  </si>
  <si>
    <t>rose gold gown w front slit &amp; sheer sleeve</t>
  </si>
  <si>
    <t>gold short gown</t>
  </si>
  <si>
    <t>passenger extreme</t>
  </si>
  <si>
    <t>gold pleated dress</t>
  </si>
  <si>
    <t>woolen</t>
  </si>
  <si>
    <t>beige trouser set</t>
  </si>
  <si>
    <t xml:space="preserve">black </t>
  </si>
  <si>
    <t>grey/pink</t>
  </si>
  <si>
    <t>baby</t>
  </si>
  <si>
    <t>KAPURA</t>
  </si>
  <si>
    <t>coffee scotch jacket &amp; coffee pleated skirt</t>
  </si>
  <si>
    <t>coffee scotch jacket &amp; coffee straight skirt</t>
  </si>
  <si>
    <t>aloha</t>
  </si>
  <si>
    <t>cream jacket  w winter lining inside</t>
  </si>
  <si>
    <t>wooled 2 piece skirt</t>
  </si>
  <si>
    <t>wooled 2 piece trouser</t>
  </si>
  <si>
    <t>wioma</t>
  </si>
  <si>
    <t>brown beige winter dress</t>
  </si>
  <si>
    <t>brown winter dress w beige sleeves</t>
  </si>
  <si>
    <t>black/white scotch w bottom pleats</t>
  </si>
  <si>
    <t>cash mai prudence</t>
  </si>
  <si>
    <t>macy tagwirei</t>
  </si>
  <si>
    <t>cash,</t>
  </si>
  <si>
    <t>cash mazanhi</t>
  </si>
  <si>
    <t>cash dr zezai</t>
  </si>
  <si>
    <t>layby zezai</t>
  </si>
  <si>
    <t>m</t>
  </si>
  <si>
    <t>Mutlu ertan</t>
  </si>
  <si>
    <t>navy/white/gold stretch golf shirt</t>
  </si>
  <si>
    <t>navy/white w lace sleeveless</t>
  </si>
  <si>
    <t>beige w lace collar sleeveless</t>
  </si>
  <si>
    <t>cash mahufe</t>
  </si>
  <si>
    <t>moda milla</t>
  </si>
  <si>
    <t>mandidzinga</t>
  </si>
  <si>
    <t>modafly</t>
  </si>
  <si>
    <t>orange pleated short dress exchanges w mai muti for s48</t>
  </si>
  <si>
    <t>edith</t>
  </si>
  <si>
    <t>elma</t>
  </si>
  <si>
    <t>miss havis</t>
  </si>
  <si>
    <t>my tenim</t>
  </si>
  <si>
    <t>F &amp; B girls</t>
  </si>
  <si>
    <t>bhomani</t>
  </si>
  <si>
    <t>layby manhambara</t>
  </si>
  <si>
    <t>credit mukuruva</t>
  </si>
  <si>
    <t>mutimodyo</t>
  </si>
  <si>
    <t>credit mutimodyo</t>
  </si>
  <si>
    <t>cash emilia</t>
  </si>
  <si>
    <t xml:space="preserve">black / white </t>
  </si>
  <si>
    <t>svesso</t>
  </si>
  <si>
    <t>navy w white lines</t>
  </si>
  <si>
    <t>cream/ army green pleated maxi</t>
  </si>
  <si>
    <t>noble lady</t>
  </si>
  <si>
    <t>cery textile</t>
  </si>
  <si>
    <t>black cotton casual dress w front design</t>
  </si>
  <si>
    <t>blue/multi colour dress w front glitter</t>
  </si>
  <si>
    <t>green jacket dress w double breast</t>
  </si>
  <si>
    <t xml:space="preserve"> OUTFITS &amp; SUITS</t>
  </si>
  <si>
    <t>APRIL 2024 KAPURA</t>
  </si>
  <si>
    <t>zvenyika</t>
  </si>
  <si>
    <t>from avondale to home to shop april</t>
  </si>
  <si>
    <t>navy scotch jacket (jacket collar) &amp; pleatedskirt</t>
  </si>
  <si>
    <t>navy scotch jacket (peter pan collar) &amp; pleated skirt</t>
  </si>
  <si>
    <t xml:space="preserve">yellow/black houndstooth </t>
  </si>
  <si>
    <t>grey/blue multi colour with piping</t>
  </si>
  <si>
    <t>black/blue multi colour w pockets</t>
  </si>
  <si>
    <t>black/gold multi colour w pockets</t>
  </si>
  <si>
    <t>another</t>
  </si>
  <si>
    <t>coffee 3/4 quilted sleeveless jacket</t>
  </si>
  <si>
    <t>muzenda</t>
  </si>
  <si>
    <t>cash zvinoera</t>
  </si>
  <si>
    <t>MATEMBA UK STOCK APRIL '24</t>
  </si>
  <si>
    <t>LAGEZ</t>
  </si>
  <si>
    <t>black winter shirt dress w yellow hoodie</t>
  </si>
  <si>
    <t>black winter shirt dress w army green hoodie</t>
  </si>
  <si>
    <t>blacklong dress w glitter design</t>
  </si>
  <si>
    <t>crew</t>
  </si>
  <si>
    <t xml:space="preserve">black short  quited jacket </t>
  </si>
  <si>
    <t>TRENDY</t>
  </si>
  <si>
    <t>red/black houndstooth</t>
  </si>
  <si>
    <t>VENDE</t>
  </si>
  <si>
    <t>showcase</t>
  </si>
  <si>
    <t>MAY '24</t>
  </si>
  <si>
    <t>coffee scotch dress w black lines</t>
  </si>
  <si>
    <t>black / white frilled cotton dress w black jacket</t>
  </si>
  <si>
    <t>trendy</t>
  </si>
  <si>
    <t>black / white cotton dress w lace hem</t>
  </si>
  <si>
    <t xml:space="preserve">brown scotch suit </t>
  </si>
  <si>
    <t>maroon scotch suit</t>
  </si>
  <si>
    <t>black suit</t>
  </si>
  <si>
    <t>JUNE 2024 STOCK</t>
  </si>
  <si>
    <t>black/white houndstooth</t>
  </si>
  <si>
    <t>beige/white houndstooth</t>
  </si>
  <si>
    <t>beige / black squares w fur neck</t>
  </si>
  <si>
    <t>Maroon w hoodie &amp; leather stripes</t>
  </si>
  <si>
    <t>grey w hoodie &amp; leather stripes</t>
  </si>
  <si>
    <t>black w hoodie and houndstooth edging</t>
  </si>
  <si>
    <t>tan/black long jersey  w belt</t>
  </si>
  <si>
    <t>maroon/black long jersey w belt</t>
  </si>
  <si>
    <t xml:space="preserve">crew neck beige </t>
  </si>
  <si>
    <t>coffee sleeveless puffer jacket</t>
  </si>
  <si>
    <t>coffee sleeveless puffer jacket w black collar</t>
  </si>
  <si>
    <t>RODA</t>
  </si>
  <si>
    <t>SIMODA</t>
  </si>
  <si>
    <t>maroon three quarter jacket w zip &amp; buttons</t>
  </si>
  <si>
    <t>navy three quarter jacket w zip &amp; buttons</t>
  </si>
  <si>
    <t>black  three quarter jacket w zip &amp; buttons</t>
  </si>
  <si>
    <t>maroon scotch jacket &amp; coffee straight skirt</t>
  </si>
  <si>
    <t>beige / brown w front slit design</t>
  </si>
  <si>
    <t>pink small handbag</t>
  </si>
  <si>
    <t>abiba</t>
  </si>
  <si>
    <t>JULY</t>
  </si>
  <si>
    <t>magwizi</t>
  </si>
  <si>
    <t>JUNE .2024</t>
  </si>
  <si>
    <t>august</t>
  </si>
  <si>
    <t>lizza line</t>
  </si>
  <si>
    <t>burnt orange gown</t>
  </si>
  <si>
    <t>august turkey trip</t>
  </si>
  <si>
    <t>leopard print chiffon 2 piece</t>
  </si>
  <si>
    <t>green/pink body con dress</t>
  </si>
  <si>
    <t>cery  textile</t>
  </si>
  <si>
    <t>blue short cotton dress</t>
  </si>
  <si>
    <t>army green cotton dress high low</t>
  </si>
  <si>
    <t>Pink silky short dress</t>
  </si>
  <si>
    <t>mint green short silky dress</t>
  </si>
  <si>
    <t>Pink silky long dress w ruffled sleeves</t>
  </si>
  <si>
    <t>mari &amp; mar</t>
  </si>
  <si>
    <t>khakhi cotton dress w black flower &amp; front pockets</t>
  </si>
  <si>
    <t>Jupiter</t>
  </si>
  <si>
    <t>beige/black pleated dress w beige jacket</t>
  </si>
  <si>
    <t>denim dress w pleated hem</t>
  </si>
  <si>
    <t>beige jacket dress w pleated sides</t>
  </si>
  <si>
    <t>green jacket dressw pleated bottom</t>
  </si>
  <si>
    <t>LEGENDA</t>
  </si>
  <si>
    <t>rose gold gown with lace upper</t>
  </si>
  <si>
    <t>green dress w crotchet jacket</t>
  </si>
  <si>
    <t>olive green dress w crotchet design</t>
  </si>
  <si>
    <t>gani</t>
  </si>
  <si>
    <t>beige chiffon dress w front overlay &amp; glitter</t>
  </si>
  <si>
    <t>mint green pleated dress w chiffon overlay</t>
  </si>
  <si>
    <t>blue / beige 2 step dress</t>
  </si>
  <si>
    <t>blue/white dress w zip front &amp; pleated bottom</t>
  </si>
  <si>
    <t>beige 2 step dress</t>
  </si>
  <si>
    <t>black dress w polka dot flared bottom</t>
  </si>
  <si>
    <t>black dress w white/black flared bottom</t>
  </si>
  <si>
    <t>black dress w black/white flared bottom</t>
  </si>
  <si>
    <t>black string top</t>
  </si>
  <si>
    <t>red/black sleeveless top</t>
  </si>
  <si>
    <t>lime green cotton dress w black flower &amp; front pockets</t>
  </si>
  <si>
    <t>beige pleated dress big size</t>
  </si>
  <si>
    <t>orange/white chiffon dress</t>
  </si>
  <si>
    <t>black dress w black and veige jacket</t>
  </si>
  <si>
    <t>moda ruj</t>
  </si>
  <si>
    <t>brown dress w lace design</t>
  </si>
  <si>
    <t>vals</t>
  </si>
  <si>
    <t>pink /floral pleated dress</t>
  </si>
  <si>
    <t>MENS SUITS</t>
  </si>
  <si>
    <t>Black 3 piece suit</t>
  </si>
  <si>
    <t>mens shirts</t>
  </si>
  <si>
    <t>presidential mens shirts</t>
  </si>
  <si>
    <t>turkey trip august</t>
  </si>
  <si>
    <t>exotic blossom</t>
  </si>
  <si>
    <t>beige chiffon gown with glitter</t>
  </si>
  <si>
    <t>navy/white sleeveless top</t>
  </si>
  <si>
    <t>t shirts pink w back buttons</t>
  </si>
  <si>
    <t>t shirts black/gold</t>
  </si>
  <si>
    <t>t shirts red with back buttons</t>
  </si>
  <si>
    <t>t shirts white red/ yellow</t>
  </si>
  <si>
    <t>t shirts white w black front design</t>
  </si>
  <si>
    <t>DE</t>
  </si>
  <si>
    <t>Turkey trip</t>
  </si>
  <si>
    <t>purple satin dress w drop shoulders</t>
  </si>
  <si>
    <t xml:space="preserve">navy satin dress with siver embroidery </t>
  </si>
  <si>
    <t>gold short gown w one arm</t>
  </si>
  <si>
    <t>JULY  '24</t>
  </si>
  <si>
    <t>august '24</t>
  </si>
  <si>
    <t>white linen/cotton lace dress</t>
  </si>
  <si>
    <t>orange linen/cotton lace dress</t>
  </si>
  <si>
    <t>lilac pleated short gown</t>
  </si>
  <si>
    <t>de fark</t>
  </si>
  <si>
    <t>moda 51</t>
  </si>
  <si>
    <t>sara</t>
  </si>
  <si>
    <t>amello life</t>
  </si>
  <si>
    <t>new collection</t>
  </si>
  <si>
    <t>gumanise</t>
  </si>
  <si>
    <t>paula richi</t>
  </si>
  <si>
    <t>rev mukwakwami</t>
  </si>
  <si>
    <t>rev juro</t>
  </si>
  <si>
    <t>layby ndlovu</t>
  </si>
  <si>
    <t>NYAMAKUPI</t>
  </si>
  <si>
    <t>ladies trousers  local</t>
  </si>
  <si>
    <t>beige scotch</t>
  </si>
  <si>
    <t>aug '24</t>
  </si>
  <si>
    <t>SEPTEMBER</t>
  </si>
  <si>
    <t>mario casas</t>
  </si>
  <si>
    <t>black/white polka dot 2pc dress</t>
  </si>
  <si>
    <t>gumanise black dress w white flowers</t>
  </si>
  <si>
    <t>army green/gold pleated dress</t>
  </si>
  <si>
    <t>maroon/gold  pleated dress</t>
  </si>
  <si>
    <t>moda 51 op</t>
  </si>
  <si>
    <t>green jacket dress w pleated bottom</t>
  </si>
  <si>
    <t>cash returned mabhiza</t>
  </si>
  <si>
    <t>black/gold t shirt</t>
  </si>
  <si>
    <t>hot pink t shirt</t>
  </si>
  <si>
    <t>pink t shirt w sleeve design</t>
  </si>
  <si>
    <t>navy spaghetti sleeveless t shirt</t>
  </si>
  <si>
    <t>layby maisiri returned</t>
  </si>
  <si>
    <t>YELLOW/BLACK polka dot 2pc dress</t>
  </si>
  <si>
    <t>PINK/WHITE STRIPE 2 PC DRESS</t>
  </si>
  <si>
    <t>FIERO</t>
  </si>
  <si>
    <t>brownsatin gown w lace upper</t>
  </si>
  <si>
    <t xml:space="preserve">navy 3pc suit </t>
  </si>
  <si>
    <t>red cotton dress w white mbroidery</t>
  </si>
  <si>
    <t>red flowery chiffon dress w elastic bust</t>
  </si>
  <si>
    <t>hot pink/white pleated  sleeveless dress</t>
  </si>
  <si>
    <t>hot pink/white  ombre pleated sleeveless dress</t>
  </si>
  <si>
    <t>green flowery dress</t>
  </si>
  <si>
    <t>pink dress flowery ( theresa stock)</t>
  </si>
  <si>
    <t>tango Transafrik cargo</t>
  </si>
  <si>
    <t>black satin wrap over gown</t>
  </si>
  <si>
    <t>black pleated dress w layers</t>
  </si>
  <si>
    <t>black cube</t>
  </si>
  <si>
    <t>royal blue wrap over dress w belt</t>
  </si>
  <si>
    <t>effective woman</t>
  </si>
  <si>
    <t>hot pink dress w chiffon top</t>
  </si>
  <si>
    <t>grey formal dress w belt</t>
  </si>
  <si>
    <t xml:space="preserve">gold satin wrap over gown </t>
  </si>
  <si>
    <t>roman</t>
  </si>
  <si>
    <t>debenhams</t>
  </si>
  <si>
    <t>22/24</t>
  </si>
  <si>
    <t>wallis</t>
  </si>
  <si>
    <t>uk - tete Theresa</t>
  </si>
  <si>
    <t>green dress with lace crotchet design</t>
  </si>
  <si>
    <t>gold dress with lace crotchet design</t>
  </si>
  <si>
    <t>nude shop teme cargo oct 2024</t>
  </si>
  <si>
    <t xml:space="preserve">inflows - 2024 </t>
  </si>
  <si>
    <t>inflows - 2025</t>
  </si>
  <si>
    <t>AUGUST TOTAL</t>
  </si>
  <si>
    <t>JULY TOTAL</t>
  </si>
  <si>
    <t>APRIL TOTAL</t>
  </si>
  <si>
    <t>FEBRUARY TOTAL</t>
  </si>
  <si>
    <t>MARCH .2024</t>
  </si>
  <si>
    <t>TOTAL MARCH 2024</t>
  </si>
  <si>
    <t>JUNE TOTAL</t>
  </si>
  <si>
    <t>avzem</t>
  </si>
  <si>
    <t>green satin dress w front pleats &amp; beading</t>
  </si>
  <si>
    <t>gold satin dress w front pleats &amp; beading</t>
  </si>
  <si>
    <t>black chiffon dress w belt</t>
  </si>
  <si>
    <t>senessa</t>
  </si>
  <si>
    <t>green chiffon dress w hem design</t>
  </si>
  <si>
    <t>Oct Temel cargo</t>
  </si>
  <si>
    <t>gold short wrap over dress w sheer sleeves</t>
  </si>
  <si>
    <t>moda51</t>
  </si>
  <si>
    <t>NOVEMBER</t>
  </si>
  <si>
    <t>layby tasaranarwo - exchanged</t>
  </si>
  <si>
    <t>anne</t>
  </si>
  <si>
    <t>tango.</t>
  </si>
  <si>
    <t>army green dress with lace crotchet design</t>
  </si>
  <si>
    <t>november le miss</t>
  </si>
  <si>
    <t>lime green dress with peplum</t>
  </si>
  <si>
    <t>mint green dress w peplum</t>
  </si>
  <si>
    <t>rose gold dress with matching belt</t>
  </si>
  <si>
    <t>airforce blue dress w matching belt</t>
  </si>
  <si>
    <t xml:space="preserve">nude long dress </t>
  </si>
  <si>
    <t>cluch purses</t>
  </si>
  <si>
    <t>black with metal handle</t>
  </si>
  <si>
    <t>silver w metal handle</t>
  </si>
  <si>
    <t>gold w metal handle</t>
  </si>
  <si>
    <t>rose gold,</t>
  </si>
  <si>
    <t>heart shaped w silver beads</t>
  </si>
  <si>
    <t>heart shaped w black beads</t>
  </si>
  <si>
    <t>red suede</t>
  </si>
  <si>
    <t>red suede damaged</t>
  </si>
  <si>
    <t>heart shaped w cream beads damaged</t>
  </si>
  <si>
    <t>gold w metal handle damaged</t>
  </si>
  <si>
    <t>cluch purses Jessie</t>
  </si>
  <si>
    <t xml:space="preserve">pole n pole </t>
  </si>
  <si>
    <t>black &amp; white  frilled bottom</t>
  </si>
  <si>
    <t>black lace maxi</t>
  </si>
  <si>
    <t>purple stretch w front zip</t>
  </si>
  <si>
    <t>gold pleated</t>
  </si>
  <si>
    <t>black pleated</t>
  </si>
  <si>
    <t>mint green pleated</t>
  </si>
  <si>
    <t>november .2024</t>
  </si>
  <si>
    <t>lemiss</t>
  </si>
  <si>
    <t>k</t>
  </si>
  <si>
    <t>salary advances</t>
  </si>
  <si>
    <t>October</t>
  </si>
  <si>
    <t>nyadzi nov</t>
  </si>
  <si>
    <t>USD Bal 2024</t>
  </si>
  <si>
    <t>layby mutema - returned</t>
  </si>
  <si>
    <t>whitemoon</t>
  </si>
  <si>
    <t>musapatika 2</t>
  </si>
  <si>
    <t>dec 2024.</t>
  </si>
  <si>
    <t>burnt orange dress w pleated bottom &amp; black dots</t>
  </si>
  <si>
    <t>sky blue dress w pleated bottom &amp; black dots</t>
  </si>
  <si>
    <t>China</t>
  </si>
  <si>
    <t>cream wrap over with flower design</t>
  </si>
  <si>
    <t>LINEN white 2 pc skirt/top w  flower design</t>
  </si>
  <si>
    <t>LINEN  beige  maxi w lace design</t>
  </si>
  <si>
    <t>BLACK laceflared dress w belt</t>
  </si>
  <si>
    <t>keinmay</t>
  </si>
  <si>
    <t>black dress w cream flared bottom</t>
  </si>
  <si>
    <t>rui</t>
  </si>
  <si>
    <t>beige/black winter dres w double button &amp; belt</t>
  </si>
  <si>
    <t>YCE</t>
  </si>
  <si>
    <t>purple flowery dress w front lace design</t>
  </si>
  <si>
    <t>YINA</t>
  </si>
  <si>
    <t xml:space="preserve">orange/ cream casual dress </t>
  </si>
  <si>
    <t>olive green /cream casual dress</t>
  </si>
  <si>
    <t>green/cream casual dress</t>
  </si>
  <si>
    <t>tory burch</t>
  </si>
  <si>
    <t xml:space="preserve">linen olive green maxi w lace design </t>
  </si>
  <si>
    <t>black/brown maxi dress w belt</t>
  </si>
  <si>
    <t xml:space="preserve">linen black maxi w lace design </t>
  </si>
  <si>
    <t xml:space="preserve">linen GREEN maxi w lace design </t>
  </si>
  <si>
    <t>sky blue short linen dress w lace design</t>
  </si>
  <si>
    <t>WHITE short linen dress w flowers &amp; lace design</t>
  </si>
  <si>
    <t>cotton flowery short fit and flare dress</t>
  </si>
  <si>
    <t xml:space="preserve">OLIVE green dress w elastic design </t>
  </si>
  <si>
    <t>MORE</t>
  </si>
  <si>
    <t>GOLD brocade gown</t>
  </si>
  <si>
    <t>navy/gold brocade dress</t>
  </si>
  <si>
    <t>black/ orange pleated dress w belt</t>
  </si>
  <si>
    <t xml:space="preserve">MAROON/BEIGE WRAP OVER DRESS </t>
  </si>
  <si>
    <t>BLOUSES</t>
  </si>
  <si>
    <t xml:space="preserve">NO NAME </t>
  </si>
  <si>
    <t>Black w elasticated</t>
  </si>
  <si>
    <t>ZOIYEN</t>
  </si>
  <si>
    <t>BEIGE/BLACL LONG SLEEVE  W FLOWER DESIGN</t>
  </si>
  <si>
    <t>3 XL</t>
  </si>
  <si>
    <t>NO NAME</t>
  </si>
  <si>
    <t>BEIGE W PLEATED SLEEVES &amp; BEADED NECK</t>
  </si>
  <si>
    <t>BEIGE/ORANGE LONG SLEEVE  W FLOWER DESIGN</t>
  </si>
  <si>
    <t>MINT GREEN W 3/4 SLEEVE</t>
  </si>
  <si>
    <t>BLUE W 3/4 SLEEVE</t>
  </si>
  <si>
    <t>Burnt orange w elasticated body</t>
  </si>
  <si>
    <t>CREAM W RUFFLED SHORT SLEEVE</t>
  </si>
  <si>
    <t>OLIVE GREEN W PLEATED NECK</t>
  </si>
  <si>
    <t>mustard COTTON casual dress</t>
  </si>
  <si>
    <t>ARMY GREEN COTTON CASUAL DRESS</t>
  </si>
  <si>
    <t>Black dress w white collar &amp; lines infront</t>
  </si>
  <si>
    <t>zimmermann</t>
  </si>
  <si>
    <t>BLACK/GREEN MAXI DRESS W BELT</t>
  </si>
  <si>
    <t>black/burnt orange maxi  dress w belt &amp; FRONT SLIT</t>
  </si>
  <si>
    <t>WHITE / PINK LINEN  W MATCHING LINING</t>
  </si>
  <si>
    <t>WHITE/BLUE LINEN  W MATCHING LINING</t>
  </si>
  <si>
    <t>WHITE/BROWN LINEN W MATCHING LINING</t>
  </si>
  <si>
    <t>BLACK  COTTON CASUAL DRESS</t>
  </si>
  <si>
    <t>black/GREEN maxi  dress w belt &amp; FRONT SLIT</t>
  </si>
  <si>
    <t>BLUE/WHITE MAXI CASUAL DRESS</t>
  </si>
  <si>
    <t>BLACK TOP / SKIRT SET W STEPS</t>
  </si>
  <si>
    <t>CREAM TOP / SKIRT SET W STEPS</t>
  </si>
  <si>
    <t xml:space="preserve">PURPLE </t>
  </si>
  <si>
    <t>beige / black w front bow tie design</t>
  </si>
  <si>
    <t>BLACK W WHITE STITCHING</t>
  </si>
  <si>
    <t>BLACK SMALL  crossover W weave design</t>
  </si>
  <si>
    <t>RED</t>
  </si>
  <si>
    <t>FENDI</t>
  </si>
  <si>
    <t>BLACK SMALL HANDBAG</t>
  </si>
  <si>
    <t>BALENCIAGA</t>
  </si>
  <si>
    <t>MARC JACOBS</t>
  </si>
  <si>
    <t>white 2pc linen lace blouse</t>
  </si>
  <si>
    <t>black short linen dress w lace design</t>
  </si>
  <si>
    <t>linen black 2 pc skirt/top w  lace design</t>
  </si>
  <si>
    <t>black  cotton dress w waistcoat</t>
  </si>
  <si>
    <t>coffee cotton dress w waistcoat</t>
  </si>
  <si>
    <t>blue/white stripe short flared casual dress</t>
  </si>
  <si>
    <t>grey/white stripe short flared casual dress</t>
  </si>
  <si>
    <t>black soft clutch</t>
  </si>
  <si>
    <t>cream peals clutch</t>
  </si>
  <si>
    <t>CLUTCH BAGS</t>
  </si>
  <si>
    <t>black w front fastening &amp; zip inbetween</t>
  </si>
  <si>
    <t>total value</t>
  </si>
  <si>
    <t xml:space="preserve">CHINA TRIP </t>
  </si>
  <si>
    <t>AUGUST 2024.</t>
  </si>
  <si>
    <t>3-12 JAN 2025.</t>
  </si>
  <si>
    <t>GUANGZHOU</t>
  </si>
  <si>
    <t>exotic babies</t>
  </si>
  <si>
    <t>december 2024.</t>
  </si>
  <si>
    <t>kapris</t>
  </si>
  <si>
    <t>leopard print dress</t>
  </si>
  <si>
    <t>black/whitechiffon dress w gypsy hem</t>
  </si>
  <si>
    <t>leopard print pleated dress</t>
  </si>
  <si>
    <t>purple handbag</t>
  </si>
  <si>
    <t>total stock purchase 2024</t>
  </si>
  <si>
    <t>pur price</t>
  </si>
  <si>
    <t>JANUARY 2025.</t>
  </si>
  <si>
    <t>JANUARY .2025</t>
  </si>
  <si>
    <t>1./01/25</t>
  </si>
  <si>
    <t>20.-26 JAN</t>
  </si>
  <si>
    <t>6-.12 JAN</t>
  </si>
  <si>
    <t>Angelica</t>
  </si>
  <si>
    <t>BIG BLACK BAG balenciaga</t>
  </si>
  <si>
    <t>black large  executive</t>
  </si>
  <si>
    <t>jan 2025. opening balance</t>
  </si>
  <si>
    <t>jan. 2025 bal b/d</t>
  </si>
  <si>
    <t>musesengwa</t>
  </si>
  <si>
    <t>tivavengi</t>
  </si>
  <si>
    <t>BLACK SMALL EXECUTIVE w outer pocket design</t>
  </si>
  <si>
    <t>RED SMALL EXECUTIVE w outer pocket design</t>
  </si>
  <si>
    <t>mrs ushe</t>
  </si>
  <si>
    <t>vogue design</t>
  </si>
  <si>
    <t>confirm</t>
  </si>
  <si>
    <t>yr 11 2025</t>
  </si>
  <si>
    <t>normal</t>
  </si>
  <si>
    <t>CHINA TRIP</t>
  </si>
  <si>
    <t>prisca</t>
  </si>
  <si>
    <t>avondale/car</t>
  </si>
  <si>
    <t>CAR/baby shop</t>
  </si>
  <si>
    <t>lilian hapanyengwi</t>
  </si>
  <si>
    <t>lilian</t>
  </si>
  <si>
    <t>matsika</t>
  </si>
  <si>
    <t>FEBRUARY 2025.</t>
  </si>
  <si>
    <t>S/T JAN '25</t>
  </si>
  <si>
    <t>min min</t>
  </si>
  <si>
    <t>orange small handbag</t>
  </si>
  <si>
    <t>beige small handbag</t>
  </si>
  <si>
    <t>black/grey small handbag</t>
  </si>
  <si>
    <t>beige w pleat design small handbag</t>
  </si>
  <si>
    <t>green soft clutch</t>
  </si>
  <si>
    <t>baoquina</t>
  </si>
  <si>
    <t>maroon executive handbag</t>
  </si>
  <si>
    <t>green w pleat design small handbag</t>
  </si>
  <si>
    <t>black executive handbag</t>
  </si>
  <si>
    <t>gold soft clutch</t>
  </si>
  <si>
    <t>black small handbag</t>
  </si>
  <si>
    <t>tan medium handbag</t>
  </si>
  <si>
    <t>black 2 zip with buckle</t>
  </si>
  <si>
    <t>gold hard clutch</t>
  </si>
  <si>
    <t>blue small handbag</t>
  </si>
  <si>
    <t>green small handbag</t>
  </si>
  <si>
    <t>brown w pleat design handbag</t>
  </si>
  <si>
    <t>black w pleat design small handbag</t>
  </si>
  <si>
    <t>brown 2 zip w buckle</t>
  </si>
  <si>
    <t>maroon/red  handbag w stitch design</t>
  </si>
  <si>
    <t>red/beige small handbag</t>
  </si>
  <si>
    <t>black executive w small buckle</t>
  </si>
  <si>
    <t>red hard clutch</t>
  </si>
  <si>
    <t>red hard clutch w glitter</t>
  </si>
  <si>
    <t>black hard clutch</t>
  </si>
  <si>
    <t>black hard clutch w glitter</t>
  </si>
  <si>
    <t>S</t>
  </si>
  <si>
    <t>BLACK SMALL BALENCIAGA DESIGN</t>
  </si>
  <si>
    <t>BROWN/CREAM</t>
  </si>
  <si>
    <t>BLACK/CREAM</t>
  </si>
  <si>
    <t>ORANGE/CREAM</t>
  </si>
  <si>
    <t>BURBERRY</t>
  </si>
  <si>
    <t>GREEN SMALL handbag</t>
  </si>
  <si>
    <t>nude low heel w top design</t>
  </si>
  <si>
    <t>black low heel w top design</t>
  </si>
  <si>
    <t>nude medium heel w top design</t>
  </si>
  <si>
    <t>nude sling back w medium heel</t>
  </si>
  <si>
    <t>brown flat w top bluckle</t>
  </si>
  <si>
    <t>maroon flat w top buckle</t>
  </si>
  <si>
    <t>pink low heel w top design</t>
  </si>
  <si>
    <t>pink medium heel w top design</t>
  </si>
  <si>
    <t>cash chipo</t>
  </si>
  <si>
    <t>angel</t>
  </si>
  <si>
    <t>mabhiza</t>
  </si>
  <si>
    <t>brown executive handbag</t>
  </si>
  <si>
    <t>cash mai poly</t>
  </si>
  <si>
    <t>mai poly</t>
  </si>
  <si>
    <t>mrs rev munikwa</t>
  </si>
  <si>
    <t>JANUARY 2025. CHINA</t>
  </si>
  <si>
    <t xml:space="preserve">NIDA </t>
  </si>
  <si>
    <t>BLACK/WHITE HOUNDSTOOTH DRESS</t>
  </si>
  <si>
    <t>GREEN DRESS W THICK FABRIC AND BLACK BUTTON DESIGN</t>
  </si>
  <si>
    <t>tsopotsa</t>
  </si>
  <si>
    <t>cash dr chipika</t>
  </si>
  <si>
    <t>chingosho</t>
  </si>
  <si>
    <t>angel shoes</t>
  </si>
  <si>
    <t>black slingback sandal</t>
  </si>
  <si>
    <t>nude sling back sandal</t>
  </si>
  <si>
    <t>maroon slingback sandal</t>
  </si>
  <si>
    <t>pink slingback sandal</t>
  </si>
  <si>
    <t>navy full shoe</t>
  </si>
  <si>
    <t>black full shoe</t>
  </si>
  <si>
    <t>TOTAL MARCH</t>
  </si>
  <si>
    <t>tatenda</t>
  </si>
  <si>
    <t>stock purchase outflow 2025</t>
  </si>
  <si>
    <t>stock purchase outflow 2024</t>
  </si>
  <si>
    <t>donated</t>
  </si>
  <si>
    <t>black w gold fing loop</t>
  </si>
  <si>
    <t>green w silver glitter ribbon</t>
  </si>
  <si>
    <t>green w leaf design</t>
  </si>
  <si>
    <t>red boxy shape</t>
  </si>
  <si>
    <t>pink boxy shape</t>
  </si>
  <si>
    <t>green boxy shape</t>
  </si>
  <si>
    <t>mint green boxy</t>
  </si>
  <si>
    <t>lavender/purple boxy</t>
  </si>
  <si>
    <t>1 april 2025.</t>
  </si>
  <si>
    <t>child sick</t>
  </si>
  <si>
    <t>pink scuba w glitter &amp; sheer sleeves</t>
  </si>
  <si>
    <t>pink lace w shoulder design</t>
  </si>
  <si>
    <t>piamo</t>
  </si>
  <si>
    <t>purple dress w double breast glitter buttons</t>
  </si>
  <si>
    <t>zezai</t>
  </si>
  <si>
    <t xml:space="preserve">including menswear </t>
  </si>
  <si>
    <t>mai abisha</t>
  </si>
  <si>
    <t>Adjustment</t>
  </si>
  <si>
    <t>denim 2 piece w maxi skirt</t>
  </si>
  <si>
    <t>april 2025.</t>
  </si>
  <si>
    <t xml:space="preserve">angelica </t>
  </si>
  <si>
    <t>14-15 april</t>
  </si>
  <si>
    <t>2 days but she covered for 1 day on easter Friday</t>
  </si>
  <si>
    <t>4/23/2025.</t>
  </si>
  <si>
    <t>CHINA</t>
  </si>
  <si>
    <t>BLUE/WHITE GOWN</t>
  </si>
  <si>
    <t>GOLD GOWN</t>
  </si>
  <si>
    <t>fascinator</t>
  </si>
  <si>
    <t>angel original</t>
  </si>
  <si>
    <t>1231-5.</t>
  </si>
  <si>
    <t>red glossy square heel</t>
  </si>
  <si>
    <t>maroon glossy square heel</t>
  </si>
  <si>
    <t>red kitten heel</t>
  </si>
  <si>
    <t>nude kitten heel</t>
  </si>
  <si>
    <t>8027-3</t>
  </si>
  <si>
    <t>1035b-3</t>
  </si>
  <si>
    <t>8541-1</t>
  </si>
  <si>
    <t>black heel w top buckle</t>
  </si>
  <si>
    <t>navy pump w glossy tip</t>
  </si>
  <si>
    <t>black pump w glossy tip</t>
  </si>
  <si>
    <t>black pump w bow tie</t>
  </si>
  <si>
    <t>TURKEY</t>
  </si>
  <si>
    <t>PERLA</t>
  </si>
  <si>
    <t>green scotch dress</t>
  </si>
  <si>
    <t>pink dress w pleated bottom</t>
  </si>
  <si>
    <t>denim dress w holes on hem</t>
  </si>
  <si>
    <t>creampleated dress w lace upper</t>
  </si>
  <si>
    <t>green dress w pleated hem</t>
  </si>
  <si>
    <t>denim skirt long w side pocket</t>
  </si>
  <si>
    <t>SUITS</t>
  </si>
  <si>
    <t>BLACK SKIRT SUIT W PLEATED JACKET</t>
  </si>
  <si>
    <t>NAVY SKIRT SUIT W ONE BUTTON JACKET</t>
  </si>
  <si>
    <t>beige scotch trouser suit</t>
  </si>
  <si>
    <t>GOWN</t>
  </si>
  <si>
    <t>NIVOLA</t>
  </si>
  <si>
    <t>gold gown w waist flower</t>
  </si>
  <si>
    <t>pink gown w waist flower</t>
  </si>
  <si>
    <t>blue/white</t>
  </si>
  <si>
    <t>pink</t>
  </si>
  <si>
    <t>grey winter w black collar</t>
  </si>
  <si>
    <t>black/green winter</t>
  </si>
  <si>
    <t>black w bottom pleats</t>
  </si>
  <si>
    <t>WND</t>
  </si>
  <si>
    <t>beige tracksuit</t>
  </si>
  <si>
    <t>blue denim tracksuit</t>
  </si>
  <si>
    <t>blue skirt tracksuit</t>
  </si>
  <si>
    <t>nolina</t>
  </si>
  <si>
    <t>NOLINA</t>
  </si>
  <si>
    <t>grey scotch skirt w piping</t>
  </si>
  <si>
    <t>black jeggins</t>
  </si>
  <si>
    <t>blue coudroy jeggins</t>
  </si>
  <si>
    <t>roza collection</t>
  </si>
  <si>
    <t>fibi</t>
  </si>
  <si>
    <t>black  coudroy jeggins</t>
  </si>
  <si>
    <t>black plain jeggins</t>
  </si>
  <si>
    <t>various big size</t>
  </si>
  <si>
    <t>bayker</t>
  </si>
  <si>
    <t>KAPURA LAY BY</t>
  </si>
  <si>
    <t>Gumanise</t>
  </si>
  <si>
    <t>orange/white cotton dress</t>
  </si>
  <si>
    <t>orange plain dress</t>
  </si>
  <si>
    <t>beige flowery dress w pleats</t>
  </si>
  <si>
    <t>peach skirt/top w pleated skirt</t>
  </si>
  <si>
    <t>black/beige houndstooth jacket</t>
  </si>
  <si>
    <t>burbery short jacket w double breast</t>
  </si>
  <si>
    <t>brownscotch suit w pleated skirt</t>
  </si>
  <si>
    <t>striped blue trouser suit</t>
  </si>
  <si>
    <t>stripped Black trouser suit</t>
  </si>
  <si>
    <t>piamor</t>
  </si>
  <si>
    <t>green short gown</t>
  </si>
  <si>
    <t>sage green short gown</t>
  </si>
  <si>
    <t>hot pink short gown</t>
  </si>
  <si>
    <t>marifel</t>
  </si>
  <si>
    <t>denim skirt long w front pleat</t>
  </si>
  <si>
    <t>denim skirt  long w back pleat</t>
  </si>
  <si>
    <t>denim skirt short black</t>
  </si>
  <si>
    <t>redona</t>
  </si>
  <si>
    <t>nexx life</t>
  </si>
  <si>
    <t>night dresse pink</t>
  </si>
  <si>
    <t>night dress - BLUE TROUSER &amp; TOP</t>
  </si>
  <si>
    <t>night dress W FLOWER DESIGN</t>
  </si>
  <si>
    <t>night dress MAROON</t>
  </si>
  <si>
    <t>ATIK</t>
  </si>
  <si>
    <t>warikandwa</t>
  </si>
  <si>
    <t>fascinator pink</t>
  </si>
  <si>
    <t>Green brocade gown w flowers</t>
  </si>
  <si>
    <t>hometo stock in may</t>
  </si>
  <si>
    <t>from avondale to home to shop april back in stock may</t>
  </si>
  <si>
    <t>may 2025.</t>
  </si>
  <si>
    <t>stock 2025.</t>
  </si>
  <si>
    <t>pink heel w top buckle</t>
  </si>
  <si>
    <t>fascinator green</t>
  </si>
  <si>
    <t>fascinator navy</t>
  </si>
  <si>
    <t>atik</t>
  </si>
  <si>
    <t>6-10. apr</t>
  </si>
  <si>
    <t>mai bosha</t>
  </si>
  <si>
    <t>mai maxwell</t>
  </si>
  <si>
    <t>denim casual dress</t>
  </si>
  <si>
    <t>china fascinator april 2025.</t>
  </si>
  <si>
    <t>26 april - 5 may</t>
  </si>
  <si>
    <t>bonita</t>
  </si>
  <si>
    <t>Beige/back polka dot</t>
  </si>
  <si>
    <t>zanessi</t>
  </si>
  <si>
    <t>grey scotch trousers</t>
  </si>
  <si>
    <t>grey trousers w maroon piping</t>
  </si>
  <si>
    <t>beige chiffon w leopard print upper</t>
  </si>
  <si>
    <t>beige w zip &amp; studs</t>
  </si>
  <si>
    <t>maroon w zip &amp; studs</t>
  </si>
  <si>
    <t>navy w zip &amp; studs</t>
  </si>
  <si>
    <t>black w zip &amp; studs</t>
  </si>
  <si>
    <t>maroon w black design &amp; hood</t>
  </si>
  <si>
    <t>tan w black design &amp; hood</t>
  </si>
  <si>
    <t>brown w black design &amp; hood</t>
  </si>
  <si>
    <t>black w white design &amp; hood</t>
  </si>
  <si>
    <t>black w white hem design &amp; fur neck</t>
  </si>
  <si>
    <t>black w white design long</t>
  </si>
  <si>
    <t>black w beige design long</t>
  </si>
  <si>
    <t>black w leather sleeves</t>
  </si>
  <si>
    <t>green cardigan w gold lines</t>
  </si>
  <si>
    <t>navy cardigan w gold lines</t>
  </si>
  <si>
    <t>CREW NECKS</t>
  </si>
  <si>
    <t>WHITE w black lines</t>
  </si>
  <si>
    <t xml:space="preserve"> black w white lines</t>
  </si>
  <si>
    <t>army green plain short sleeve</t>
  </si>
  <si>
    <t>maroon  green plain short sleeve</t>
  </si>
  <si>
    <t>cream plain short sleeve</t>
  </si>
  <si>
    <t>beige plain short sleeve</t>
  </si>
  <si>
    <t>navy plain short sleeve</t>
  </si>
  <si>
    <t>black plain short sleeve</t>
  </si>
  <si>
    <t>houndstooth navy/beige</t>
  </si>
  <si>
    <t>houndstooth black/white</t>
  </si>
  <si>
    <t>grey w hood &amp; front pocket</t>
  </si>
  <si>
    <t>red  w hood &amp; front pocket</t>
  </si>
  <si>
    <t>beige/black w fur collar giraffe design</t>
  </si>
  <si>
    <t>grey/black design &amp; fur collar</t>
  </si>
  <si>
    <t>cream/black design w fur collar</t>
  </si>
  <si>
    <t>black/white basket weave</t>
  </si>
  <si>
    <t>MAY 2025.</t>
  </si>
  <si>
    <t>damaris</t>
  </si>
  <si>
    <t>home shop may 2025 dr maulana</t>
  </si>
  <si>
    <t>navy black polo neck</t>
  </si>
  <si>
    <t>hometo stock in may 2025 dr maulana</t>
  </si>
  <si>
    <t>mrs govhati</t>
  </si>
  <si>
    <t>nyikadzino</t>
  </si>
  <si>
    <t>kambarami</t>
  </si>
  <si>
    <t>pastor lorraine</t>
  </si>
  <si>
    <t>$ 10 to baby</t>
  </si>
  <si>
    <t>$10 for baby</t>
  </si>
  <si>
    <t>mrs denhere</t>
  </si>
  <si>
    <t>bosha mildred</t>
  </si>
  <si>
    <t>tariro muchena</t>
  </si>
  <si>
    <t>orange/purple pleated dress</t>
  </si>
  <si>
    <t>mario woolens</t>
  </si>
  <si>
    <t>ahmed mode winter dress</t>
  </si>
  <si>
    <t>black 2 pc w leopard print edge</t>
  </si>
  <si>
    <t>beige woolen skirt &amp; top</t>
  </si>
  <si>
    <t>black woolen skirt &amp; top</t>
  </si>
  <si>
    <t>beige woolen dress w white stripes</t>
  </si>
  <si>
    <t>mint green woolen dress w white stripes</t>
  </si>
  <si>
    <t>long woolen jersey black</t>
  </si>
  <si>
    <t>long woolen jersey orange</t>
  </si>
  <si>
    <t>long woolen jersey coffee</t>
  </si>
  <si>
    <t>long woolen jersey beige</t>
  </si>
  <si>
    <t>beige woolen 2 pc</t>
  </si>
  <si>
    <t>cream  woolen 2 pc w black lines</t>
  </si>
  <si>
    <t>various woolen dresses</t>
  </si>
  <si>
    <t>grey/black winter dress w glitter</t>
  </si>
  <si>
    <t>orange/black winter dress w glitter</t>
  </si>
  <si>
    <t>mario</t>
  </si>
  <si>
    <t>rev muswakatira</t>
  </si>
  <si>
    <t>pastor lorraine returned</t>
  </si>
  <si>
    <t>roda layby may 2025.</t>
  </si>
  <si>
    <t>navy double breast trench coat</t>
  </si>
  <si>
    <t>black double breast trench coat</t>
  </si>
  <si>
    <t>beige double breast trench coat</t>
  </si>
  <si>
    <t>beige/black 3/4 trench coat with hood</t>
  </si>
  <si>
    <t>H &amp; M collection coffee reversible thick coat</t>
  </si>
  <si>
    <t>H &amp; M collection black reversible thick coat</t>
  </si>
  <si>
    <t>HSM textile burberry navy 3/4 quilted jacket</t>
  </si>
  <si>
    <t>HSM textile burberry black 3/4 quilted jacket</t>
  </si>
  <si>
    <t>HSM textile burberry BEIGE SHORT quilted jacket</t>
  </si>
  <si>
    <t>SHOWCASE black sleeveless quilted jkt w fur neck</t>
  </si>
  <si>
    <t>SHOWCASE beige sleeveless quilted jkt w fur neck</t>
  </si>
  <si>
    <t>green / white casual dress</t>
  </si>
  <si>
    <t>navy/white stripe casual dress</t>
  </si>
  <si>
    <t>june 2025.</t>
  </si>
  <si>
    <t>brown scotch suit w pleated skirt</t>
  </si>
  <si>
    <t>RODA/ SIMODA</t>
  </si>
  <si>
    <t>cashtook skirt and purple polo neck top remained</t>
  </si>
  <si>
    <t>macy</t>
  </si>
  <si>
    <t>dr chipika</t>
  </si>
  <si>
    <t>roza collection YCT</t>
  </si>
  <si>
    <t>coffee plain jeggins</t>
  </si>
  <si>
    <t>variouswinter scarfs</t>
  </si>
  <si>
    <t>various winter scarfs</t>
  </si>
  <si>
    <t>layby mercy</t>
  </si>
  <si>
    <t>cash eve mutsvangwa</t>
  </si>
  <si>
    <t>baby beige tracksuit 3pc</t>
  </si>
  <si>
    <t>16-21 june 2025</t>
  </si>
  <si>
    <t>monthly salary confirmation</t>
  </si>
  <si>
    <t>advance</t>
  </si>
  <si>
    <t>actual paid</t>
  </si>
  <si>
    <t>Rufaro</t>
  </si>
  <si>
    <t>abiba mashingaidze</t>
  </si>
  <si>
    <t>angelica</t>
  </si>
  <si>
    <t>30 june-5 july</t>
  </si>
  <si>
    <t>cash ushe</t>
  </si>
  <si>
    <t>exotic</t>
  </si>
  <si>
    <t>PRIVE</t>
  </si>
  <si>
    <t>green gown</t>
  </si>
  <si>
    <t>gold gown w glitter upper</t>
  </si>
  <si>
    <t>comm</t>
  </si>
  <si>
    <t>BLACK CLOSED SHOES</t>
  </si>
  <si>
    <t>UK soleflex</t>
  </si>
  <si>
    <t>greengown</t>
  </si>
  <si>
    <t>moss fashion</t>
  </si>
  <si>
    <t>green gown w tail</t>
  </si>
  <si>
    <t>gold short wrap over dress</t>
  </si>
  <si>
    <t>purple short wrap over dress</t>
  </si>
  <si>
    <t>gold long gown</t>
  </si>
  <si>
    <t>purple satin dress w elastic neck &amp; belt</t>
  </si>
  <si>
    <t>gold dress w lace upper &amp; belt</t>
  </si>
  <si>
    <t>new london</t>
  </si>
  <si>
    <t>cash rev magumise</t>
  </si>
  <si>
    <t>TROUSER SUITS</t>
  </si>
  <si>
    <t>jan 2025.</t>
  </si>
  <si>
    <t>july 2025.</t>
  </si>
  <si>
    <t>Golden woman - new london</t>
  </si>
  <si>
    <t>coffee/cream maxidress  w cream jacket</t>
  </si>
  <si>
    <t>pink floral pleated dress w pink jacket</t>
  </si>
  <si>
    <t>adbin</t>
  </si>
  <si>
    <t>black oganza w floral design</t>
  </si>
  <si>
    <t>missfire</t>
  </si>
  <si>
    <t>lolo</t>
  </si>
  <si>
    <t>everlorin</t>
  </si>
  <si>
    <t>lilac dress w slanted neckline</t>
  </si>
  <si>
    <t>ceteris paribus wedding/ uk university</t>
  </si>
  <si>
    <t>discount</t>
  </si>
  <si>
    <t>memory mugake</t>
  </si>
  <si>
    <t>payment for tomatoes</t>
  </si>
  <si>
    <t>16-22 aug</t>
  </si>
  <si>
    <t>stripped grey trouser suit</t>
  </si>
  <si>
    <t>layby chaniwa returned home</t>
  </si>
  <si>
    <t>maroon w leather zip &amp; black cuff</t>
  </si>
  <si>
    <t xml:space="preserve">home </t>
  </si>
  <si>
    <t>tan/mustard  w black design &amp; hood</t>
  </si>
  <si>
    <t>red with leather zip &amp; black cuff</t>
  </si>
  <si>
    <t xml:space="preserve">black long jersey </t>
  </si>
  <si>
    <t>jersey maroon w leather zip &amp; black cuff</t>
  </si>
  <si>
    <t>crew neck green</t>
  </si>
  <si>
    <t>deep pink polo neck</t>
  </si>
  <si>
    <t>home.</t>
  </si>
  <si>
    <t>MAY TOTAL</t>
  </si>
  <si>
    <t xml:space="preserve">BYEN </t>
  </si>
  <si>
    <t>lime green dress w pleated bottom</t>
  </si>
  <si>
    <t>coffee dress w pleated bottom</t>
  </si>
  <si>
    <t>pink dress w neck &amp; side jewel embroidery</t>
  </si>
  <si>
    <t>sky blue dress w neck &amp; side jewel embroidery</t>
  </si>
  <si>
    <t>peach floral dress w gypsy hem</t>
  </si>
  <si>
    <t>lilac floral dress w gypsy hem</t>
  </si>
  <si>
    <t>orange/green short dress dress</t>
  </si>
  <si>
    <t>lime green/purple short dress</t>
  </si>
  <si>
    <t>AUGUST 2025'</t>
  </si>
  <si>
    <t>denhere</t>
  </si>
  <si>
    <t>shumbayarerwa rcz</t>
  </si>
  <si>
    <t>CASH</t>
  </si>
  <si>
    <t>SEPT/ OCT</t>
  </si>
  <si>
    <t>black panty</t>
  </si>
  <si>
    <t>white</t>
  </si>
  <si>
    <t>pink/grey</t>
  </si>
  <si>
    <t>polka dot</t>
  </si>
  <si>
    <t>Denim skirt w side zip</t>
  </si>
  <si>
    <t>denim dress button down</t>
  </si>
  <si>
    <t>denim dungaree w white t shirt</t>
  </si>
  <si>
    <t>cream maxi dress w coffee lines</t>
  </si>
  <si>
    <t>orange chiffon maxi multi colour</t>
  </si>
  <si>
    <t>brown cream maxi w ruffled neck</t>
  </si>
  <si>
    <t>coffee w front pleat</t>
  </si>
  <si>
    <t>coffee w side pleat</t>
  </si>
  <si>
    <t>black w side pleat</t>
  </si>
  <si>
    <t>beige w small pleat</t>
  </si>
  <si>
    <t>navy box pleat / side button</t>
  </si>
  <si>
    <t>beige w side pleat long</t>
  </si>
  <si>
    <t>Green white stripe</t>
  </si>
  <si>
    <t>black/ white polka dot</t>
  </si>
  <si>
    <t>red / white</t>
  </si>
  <si>
    <t>brown/cream fancy dress</t>
  </si>
  <si>
    <t>ajar</t>
  </si>
  <si>
    <t>black gown</t>
  </si>
  <si>
    <t>beige flowery dress</t>
  </si>
  <si>
    <t>coffee/ cream/gold</t>
  </si>
  <si>
    <t>black stretchy</t>
  </si>
  <si>
    <t>black gown w pink polka dot sleeves</t>
  </si>
  <si>
    <t>Orhan</t>
  </si>
  <si>
    <t>black skirt suit w flared skirt</t>
  </si>
  <si>
    <t>nodilife</t>
  </si>
  <si>
    <t>black skirt suit w waistcoat</t>
  </si>
  <si>
    <t>IBRAHIM HAZAR</t>
  </si>
  <si>
    <t>DIAZZ</t>
  </si>
  <si>
    <t>maroon dress w jacket</t>
  </si>
  <si>
    <t>perla</t>
  </si>
  <si>
    <t>tango grande</t>
  </si>
  <si>
    <t>grande</t>
  </si>
  <si>
    <t>golden woman</t>
  </si>
  <si>
    <t>dejavu</t>
  </si>
  <si>
    <t>fervents</t>
  </si>
  <si>
    <t>K</t>
  </si>
  <si>
    <t>black short gown with boob top</t>
  </si>
  <si>
    <t>copper long gown</t>
  </si>
  <si>
    <t>brown lace dress w belt</t>
  </si>
  <si>
    <t>red flared dress  w baloon sleeves</t>
  </si>
  <si>
    <t>cream/purple pleated dress</t>
  </si>
  <si>
    <t>green trousers w white belt</t>
  </si>
  <si>
    <t>byen</t>
  </si>
  <si>
    <t>black dress w cream embroidery</t>
  </si>
  <si>
    <t>pammbu</t>
  </si>
  <si>
    <t>black dress w stitched black/cream shirt</t>
  </si>
  <si>
    <t>love comfort</t>
  </si>
  <si>
    <t>pink gown one arm</t>
  </si>
  <si>
    <t>nude/ brown  flowery dress</t>
  </si>
  <si>
    <t>mustero</t>
  </si>
  <si>
    <t>merter opp byen</t>
  </si>
  <si>
    <t>zeyna</t>
  </si>
  <si>
    <t>cream flowery maxi dress</t>
  </si>
  <si>
    <t>piyamor</t>
  </si>
  <si>
    <t xml:space="preserve">copper long gown </t>
  </si>
  <si>
    <t>copper gown w pleated sleeve</t>
  </si>
  <si>
    <t>tan w side pleat</t>
  </si>
  <si>
    <t>balicha</t>
  </si>
  <si>
    <t>elita line</t>
  </si>
  <si>
    <t>BEIGE MIXED COLOURS</t>
  </si>
  <si>
    <t>SHADES OF BEIGE</t>
  </si>
  <si>
    <t xml:space="preserve"> maroon w bow tie collar</t>
  </si>
  <si>
    <t>NAVY/ WHITE STRIPE</t>
  </si>
  <si>
    <t>CREAM W GLITTER FRONT</t>
  </si>
  <si>
    <t>CREAM/NAVY/RED STRIPE W RED CAMISOLE</t>
  </si>
  <si>
    <t>MINT GREEN W FRONT GLITTER DESIGN</t>
  </si>
  <si>
    <t>LEMON GREEN W FRONT  DESIGN</t>
  </si>
  <si>
    <t>WHITE W NAVY FRON DESIGN</t>
  </si>
  <si>
    <t>NAVY W WHITE FRONT DESIGN</t>
  </si>
  <si>
    <t>EARRINGS</t>
  </si>
  <si>
    <t>Earrings various designs</t>
  </si>
  <si>
    <t xml:space="preserve">nzambi </t>
  </si>
  <si>
    <t>modalux</t>
  </si>
  <si>
    <t>SEPTEMBER/OCTOBER</t>
  </si>
  <si>
    <t>TOTAL TRIP PURCHASE</t>
  </si>
  <si>
    <t>28 SEPT - 5 OCT</t>
  </si>
  <si>
    <t>black formal dress  w gold belt</t>
  </si>
  <si>
    <t>black skirt suit w long  flared skirt &amp; zip jacket</t>
  </si>
  <si>
    <t>earrings</t>
  </si>
  <si>
    <t xml:space="preserve">coffee long gown </t>
  </si>
  <si>
    <t>beauty nampala</t>
  </si>
  <si>
    <t>sewing job</t>
  </si>
  <si>
    <t>mukwakwami</t>
  </si>
  <si>
    <t>9 0ct</t>
  </si>
  <si>
    <t>october  transafrika</t>
  </si>
  <si>
    <t>nude - light pink short gown</t>
  </si>
  <si>
    <t>black - light pink short gown</t>
  </si>
  <si>
    <t>mint green/orange flowery pleated dress</t>
  </si>
  <si>
    <t>coffee pleated gown w silver brooch</t>
  </si>
  <si>
    <t>auGUST 2025' delayed cargo transafrika</t>
  </si>
  <si>
    <t>polen park</t>
  </si>
  <si>
    <t>6-12 october</t>
  </si>
  <si>
    <t>october</t>
  </si>
  <si>
    <t>glow</t>
  </si>
  <si>
    <t>beige /black polka dot w beige jacket</t>
  </si>
  <si>
    <t>blue/ beige  chiffon pleated w beige jacket</t>
  </si>
  <si>
    <t>october 2025 temel cargo</t>
  </si>
  <si>
    <t>October total</t>
  </si>
  <si>
    <t>beige flowery with frilled hem</t>
  </si>
  <si>
    <t>hot pink/ white dress</t>
  </si>
  <si>
    <t>army  green casual dress</t>
  </si>
  <si>
    <t>LEMON GREEN W FRONT collar  DESIGN</t>
  </si>
  <si>
    <t>USD cash SALE</t>
  </si>
  <si>
    <t>USD POS SALE</t>
  </si>
  <si>
    <t>livello</t>
  </si>
  <si>
    <t>blue flowery dress w black upper &amp; belt</t>
  </si>
  <si>
    <t>red flowery dress w black upper &amp; belt</t>
  </si>
  <si>
    <t>red  flowery dress w black upper &amp; belt</t>
  </si>
  <si>
    <t>maroon flowery maxi dress</t>
  </si>
  <si>
    <t>blue flowery maxi dress</t>
  </si>
  <si>
    <t>brown flowery maxi dress</t>
  </si>
  <si>
    <t>30 OCT 2025.</t>
  </si>
  <si>
    <t>GLOW</t>
  </si>
  <si>
    <t>blue/white pleated flowery dress w cream jacket</t>
  </si>
  <si>
    <t>maroon/white pleated flowery dress w maroon jacket</t>
  </si>
  <si>
    <t>black/white polka dot dress</t>
  </si>
  <si>
    <t>brown pleated dress w flowery jacket</t>
  </si>
  <si>
    <t>gold satin dress with pearl neck &amp; bow</t>
  </si>
  <si>
    <t>black satin dress with pearl neck &amp; bow</t>
  </si>
  <si>
    <t>black brocade dress w pink flowers</t>
  </si>
  <si>
    <t>black brocade dress w green flowers</t>
  </si>
  <si>
    <t>MORE liuha</t>
  </si>
  <si>
    <t>morning market</t>
  </si>
  <si>
    <t>yce</t>
  </si>
  <si>
    <t>yellow satin scotch dress</t>
  </si>
  <si>
    <t>hot pink satin dress w front buttons</t>
  </si>
  <si>
    <t>red/black short dress w gypsy</t>
  </si>
  <si>
    <t>pink flowery w steps</t>
  </si>
  <si>
    <t>green flowery w steps</t>
  </si>
  <si>
    <t xml:space="preserve"> cream linen short w v neck</t>
  </si>
  <si>
    <t>lilac flowery short dress w fancy hem&amp; sleeves</t>
  </si>
  <si>
    <t>lilac flowery long dress w fancy hem&amp; sleeves</t>
  </si>
  <si>
    <t>free</t>
  </si>
  <si>
    <t>blue short linen w steps</t>
  </si>
  <si>
    <t>white short linen w steps</t>
  </si>
  <si>
    <t>khakhi skirt/ top set</t>
  </si>
  <si>
    <t>big free</t>
  </si>
  <si>
    <t>beige /brown polka dot skirt w steps /top set</t>
  </si>
  <si>
    <t>blue trouser set w striped shirt</t>
  </si>
  <si>
    <t>CASUALS</t>
  </si>
  <si>
    <t>black formal dress w white pleatedcollar</t>
  </si>
  <si>
    <t>green formal dress w black collar / Double breast</t>
  </si>
  <si>
    <t>pleated casual dress</t>
  </si>
  <si>
    <t>coffee/ orange big dress w fur sleeves</t>
  </si>
  <si>
    <t>navy/beige pleated trouser set 2pc</t>
  </si>
  <si>
    <t xml:space="preserve">black satin dress w flower design </t>
  </si>
  <si>
    <t xml:space="preserve">gold satin dress w flower design </t>
  </si>
  <si>
    <t xml:space="preserve">white satin dress w flower design </t>
  </si>
  <si>
    <t>denim dress</t>
  </si>
  <si>
    <t>lace dress short white w butterfly design</t>
  </si>
  <si>
    <t>lihua</t>
  </si>
  <si>
    <t>NECKCHAINS</t>
  </si>
  <si>
    <t>FASCINATORS &amp; HATS</t>
  </si>
  <si>
    <t>Alice band fascinator - various colours</t>
  </si>
  <si>
    <t>various fascinators</t>
  </si>
  <si>
    <t>mother of the bride/groom hats</t>
  </si>
  <si>
    <t>pink lace big size</t>
  </si>
  <si>
    <t>GOLD BELT</t>
  </si>
  <si>
    <t>YINA CASUAL DRESS</t>
  </si>
  <si>
    <t>SCARFS</t>
  </si>
  <si>
    <t>various fascinators lilac</t>
  </si>
  <si>
    <t>black formal dress w white pleated collar</t>
  </si>
  <si>
    <t>ZARA</t>
  </si>
  <si>
    <t>HERMES</t>
  </si>
  <si>
    <t>YINA CASUAL DRESS PINK - w gypsy steps</t>
  </si>
  <si>
    <t>YINA CASUAL DRESS yellow / brown/wite stripe shirt dress</t>
  </si>
  <si>
    <t>YINA CASUAL DRESS - blue/brown/white streipe shirt dress</t>
  </si>
  <si>
    <t>YINA CASUAL DRESS navy stripe shirt dress</t>
  </si>
  <si>
    <t>YINA CASUAL DRESS army green casual dress</t>
  </si>
  <si>
    <t>YINA CASUAL DRESS navy w sleeve design</t>
  </si>
  <si>
    <t>YINA CASUAL DRESS lime green w sleeve design</t>
  </si>
  <si>
    <t>YINA CASUAL DRESS coffee w sleeve design</t>
  </si>
  <si>
    <t>black satin dress w beaded waist</t>
  </si>
  <si>
    <t>lina</t>
  </si>
  <si>
    <t xml:space="preserve">blue/ white maxi dress w peplum </t>
  </si>
  <si>
    <t>carolina</t>
  </si>
  <si>
    <t>white maxi dress w peplum</t>
  </si>
  <si>
    <t>EVEN</t>
  </si>
  <si>
    <t>black sleeveless gown offshoulder beaded</t>
  </si>
  <si>
    <t>CAROLINA</t>
  </si>
  <si>
    <t>cream 2pc trouser set</t>
  </si>
  <si>
    <t>black lace dress maxi w silver buttons</t>
  </si>
  <si>
    <t xml:space="preserve">navy/ orange maxi sleeveless dress w w flower design </t>
  </si>
  <si>
    <t xml:space="preserve">navy/ pink maxi sleeveless dress w w flower design </t>
  </si>
  <si>
    <t>orange /white ombre dress w MATCHING lining front buttons</t>
  </si>
  <si>
    <t>black / brown maxi dress long sleevew matching lining</t>
  </si>
  <si>
    <t>BLACK/WHITE BIG SIZE PLEATED DRESS</t>
  </si>
  <si>
    <t>Leopard print dress w matching lining</t>
  </si>
  <si>
    <t>VALENTINO</t>
  </si>
  <si>
    <t>NAVY/ SKY BLUE STRIPE 2 PC TROUSER SET</t>
  </si>
  <si>
    <t>YELLOW/CREAM STRIPE DRESS W SHOULDER STRAPS</t>
  </si>
  <si>
    <t>green/white short linen dress w gypsy hem</t>
  </si>
  <si>
    <t>white w steps same design</t>
  </si>
  <si>
    <t>black/white maxi w black knit top &amp; steps  black overlockig</t>
  </si>
  <si>
    <t>3 pc trouser camisole &amp; long top orange/beige</t>
  </si>
  <si>
    <t>3 pc trouser camisole &amp; long top cream/brown</t>
  </si>
  <si>
    <t>red/black long  dress w gypsy</t>
  </si>
  <si>
    <t>YINA CASUAL DRESS yellow plain/ stripe casual dress</t>
  </si>
  <si>
    <t>YINA CASUAL DRESS navy plain/ stripe casual dress</t>
  </si>
  <si>
    <t>YINA CASUAL DRESS yellow short plain casual dress</t>
  </si>
  <si>
    <t>YINA CASUAL DRESS yellow long casual dress</t>
  </si>
  <si>
    <t>black short sleeve gown w beaded design</t>
  </si>
  <si>
    <t>black/cream polka dot dress w hem design</t>
  </si>
  <si>
    <t>hermes orange black dress</t>
  </si>
  <si>
    <t>green satin kimono dress</t>
  </si>
  <si>
    <t>black/white track suit 2 pc</t>
  </si>
  <si>
    <t>yellow / black dress sleeveless</t>
  </si>
  <si>
    <t>brown weave design</t>
  </si>
  <si>
    <t>black weave design</t>
  </si>
  <si>
    <t>coffee weave design</t>
  </si>
  <si>
    <t>black w scotch design &amp; metal handles</t>
  </si>
  <si>
    <t>green/mustard small</t>
  </si>
  <si>
    <t>green/mustard big</t>
  </si>
  <si>
    <t>pombell</t>
  </si>
  <si>
    <t>fashion</t>
  </si>
  <si>
    <t>navy boxy</t>
  </si>
  <si>
    <t>green boxy</t>
  </si>
  <si>
    <t>red boxy</t>
  </si>
  <si>
    <t>black boxy</t>
  </si>
  <si>
    <t>coffee/brown executive bag</t>
  </si>
  <si>
    <t>black executive bag</t>
  </si>
  <si>
    <t>purple/lilac big</t>
  </si>
  <si>
    <t>2 xl</t>
  </si>
  <si>
    <t>black  lace big size</t>
  </si>
  <si>
    <t>black seamless</t>
  </si>
  <si>
    <t>GOLD BROCADE GOWN W OFF SHOULDER DESIGN</t>
  </si>
  <si>
    <t>YINA CASUAL DRESS yellow long  plain casual dress</t>
  </si>
  <si>
    <t>YINA CASUAL DRESS coffee beige/ orange yellow W SHOULDER STRAPS</t>
  </si>
  <si>
    <t>SILVER</t>
  </si>
  <si>
    <t>GOLD</t>
  </si>
  <si>
    <t>12-22 NOV</t>
  </si>
  <si>
    <t>BURNT ORANGE   w front buttons and belt</t>
  </si>
  <si>
    <t xml:space="preserve">cash mrs ushe returned </t>
  </si>
  <si>
    <t>wendy munjemu</t>
  </si>
  <si>
    <t>cash \ushe</t>
  </si>
  <si>
    <t>KAPRIS</t>
  </si>
  <si>
    <t>coffee / cream maxi dress</t>
  </si>
  <si>
    <t>black dress w embroidered pockets</t>
  </si>
  <si>
    <t>black dress w cream circle hem</t>
  </si>
  <si>
    <t>nov 2025..</t>
  </si>
  <si>
    <t>CHINA NOVEMBER 2025</t>
  </si>
  <si>
    <t>china nov 2025…</t>
  </si>
  <si>
    <t>still to come</t>
  </si>
  <si>
    <t>china nov 2025</t>
  </si>
  <si>
    <t>november 2025 china</t>
  </si>
  <si>
    <t>munodawafa present</t>
  </si>
  <si>
    <t>satin feel  designer label scarf</t>
  </si>
  <si>
    <t>china 2025…</t>
  </si>
  <si>
    <t>TURKEY  dec 2025..</t>
  </si>
  <si>
    <t>cream/brown boxy</t>
  </si>
  <si>
    <t>army green executive</t>
  </si>
  <si>
    <t>chamisa</t>
  </si>
  <si>
    <t>memory</t>
  </si>
  <si>
    <t>manyumwa</t>
  </si>
  <si>
    <t>irene</t>
  </si>
  <si>
    <t>munetsi</t>
  </si>
  <si>
    <t>4 de</t>
  </si>
  <si>
    <t>gwisai</t>
  </si>
  <si>
    <t>cathy juro</t>
  </si>
  <si>
    <t>various fascinators peach</t>
  </si>
  <si>
    <t>various fascinators black</t>
  </si>
  <si>
    <t>various fascinators gold</t>
  </si>
  <si>
    <t>various fascinators blush pink</t>
  </si>
  <si>
    <t>various fascinators mint green</t>
  </si>
  <si>
    <t>various hot pink</t>
  </si>
  <si>
    <t>various cream w pleats</t>
  </si>
  <si>
    <t>mai muti knot to nest</t>
  </si>
  <si>
    <t>multi colour summer dress</t>
  </si>
  <si>
    <t>multi colour 2 pc trouser set</t>
  </si>
  <si>
    <t>china ottie december 2025.</t>
  </si>
  <si>
    <t>yina</t>
  </si>
  <si>
    <t>elise</t>
  </si>
  <si>
    <t>dr zezai???? 10 apr</t>
  </si>
  <si>
    <t>TOTAL DECEMBER PURCHASE</t>
  </si>
  <si>
    <t>TOTAL NOVEMBER PUR</t>
  </si>
  <si>
    <t>GROSS ANNUAL PROFIT</t>
  </si>
  <si>
    <t>ZIG POS SALE</t>
  </si>
  <si>
    <t>TOTAL BAD DEBTS</t>
  </si>
  <si>
    <t>may 2025  bal bd</t>
  </si>
  <si>
    <t>JAN 2026 BAL B/D</t>
  </si>
  <si>
    <t>MAY 2025..</t>
  </si>
  <si>
    <t>SEPTEMBER 2025..</t>
  </si>
  <si>
    <t>TETE NYARADZO GIFT</t>
  </si>
  <si>
    <t>opening level</t>
  </si>
  <si>
    <t>closing level</t>
  </si>
  <si>
    <t>adds in the year</t>
  </si>
  <si>
    <t>POS</t>
  </si>
  <si>
    <t>DISC</t>
  </si>
  <si>
    <t>LAYBY INST MANYUMWA</t>
  </si>
  <si>
    <t>china coffee/orange  chiffon 2pc dress w fur sleeves</t>
  </si>
  <si>
    <t>layby Eve Mutsvangwa</t>
  </si>
  <si>
    <t>layby inst/ deposit   final pmnt DEBIT</t>
  </si>
  <si>
    <t>elise china 2pc linen trouser set</t>
  </si>
  <si>
    <t>china red/black maxi w black lining</t>
  </si>
  <si>
    <t>credit sale cost</t>
  </si>
  <si>
    <t>layby  sale cost</t>
  </si>
  <si>
    <t>china daisy brown/beige 3 pc linen set</t>
  </si>
  <si>
    <t>layby eve mutsvangwa</t>
  </si>
  <si>
    <t>confirm which one</t>
  </si>
  <si>
    <t xml:space="preserve"> JANUARY 2026..</t>
  </si>
  <si>
    <t>Eve Mutsvangwa</t>
  </si>
  <si>
    <t>POS/ECOCASH</t>
  </si>
  <si>
    <t>total Cash USD</t>
  </si>
  <si>
    <t>total debit/swipe</t>
  </si>
  <si>
    <t>total ecocash zipit</t>
  </si>
  <si>
    <t>ZAR conversion</t>
  </si>
  <si>
    <t>total sales</t>
  </si>
  <si>
    <t>commissionable sales</t>
  </si>
  <si>
    <t>staff commission Pauline</t>
  </si>
  <si>
    <t>JANUARY 2026..</t>
  </si>
  <si>
    <t>JANUARY</t>
  </si>
  <si>
    <t>ANGEL</t>
  </si>
  <si>
    <t>black sandal</t>
  </si>
  <si>
    <t>tan sandals</t>
  </si>
  <si>
    <t>green sandal</t>
  </si>
  <si>
    <t>brown sandal</t>
  </si>
  <si>
    <t>china black 2pc tracksuit w white line</t>
  </si>
  <si>
    <t>angel original nude shoe on sale</t>
  </si>
  <si>
    <t>bayker black panties s4</t>
  </si>
  <si>
    <t>cr inst mrs muzenda</t>
  </si>
  <si>
    <t>layby inst eve mutsvangwa</t>
  </si>
  <si>
    <t>cr inst nampala</t>
  </si>
  <si>
    <t>china yellow stripe shirt dress</t>
  </si>
  <si>
    <t>cr pur lydia shoe shop -round fascinator</t>
  </si>
  <si>
    <t>china gold belt</t>
  </si>
  <si>
    <t>black heel w top buckle NUDE BLOCK HEEL</t>
  </si>
  <si>
    <t>NAMPALA RECONCILIATION  pur 7 oct</t>
  </si>
  <si>
    <t>7 oct 2025…</t>
  </si>
  <si>
    <t>lydia shoe shop</t>
  </si>
  <si>
    <t>lydia</t>
  </si>
  <si>
    <t>Transport Pau</t>
  </si>
  <si>
    <t>Transport  Tatenda</t>
  </si>
  <si>
    <t>packaging plastics</t>
  </si>
  <si>
    <t>salaries &amp; transport</t>
  </si>
  <si>
    <t>rentals &amp; opc</t>
  </si>
  <si>
    <t>travel</t>
  </si>
  <si>
    <t>stock procurement cost</t>
  </si>
  <si>
    <t>stock distribution cost</t>
  </si>
  <si>
    <t>cleaning &amp; refreshment</t>
  </si>
  <si>
    <t>TD freight &amp; duty - angel sandals</t>
  </si>
  <si>
    <t>hairband fascinator</t>
  </si>
  <si>
    <t xml:space="preserve">cr pur mrs musapatika </t>
  </si>
  <si>
    <t>wioma black/grey winter dress</t>
  </si>
  <si>
    <t>angel brown sandals 39</t>
  </si>
  <si>
    <t>bayker black panty xl</t>
  </si>
  <si>
    <t>angel red heel 40</t>
  </si>
  <si>
    <t>angel black heel w top buckle 10</t>
  </si>
  <si>
    <t>angel maroon block heel 10</t>
  </si>
  <si>
    <t>cr pur tete nyaradzo</t>
  </si>
  <si>
    <t>x2 china seamless panties xl</t>
  </si>
  <si>
    <t>china lace panty 3xl</t>
  </si>
  <si>
    <t>x2 bayker black panty xxl</t>
  </si>
  <si>
    <t>x2 bayker colourful panty 2xl</t>
  </si>
  <si>
    <t>channel maroon track dress on sale</t>
  </si>
  <si>
    <t>cr inst Wendy</t>
  </si>
  <si>
    <t>cr inst zvenyika</t>
  </si>
  <si>
    <t>cr inst lydia</t>
  </si>
  <si>
    <t>x5 bayker black xl</t>
  </si>
  <si>
    <t>oreya t shirt lime green</t>
  </si>
  <si>
    <t>oreya pink t shirt</t>
  </si>
  <si>
    <t>catania black top w bottom silver glitter</t>
  </si>
  <si>
    <t>ashley steward white lace dress on sale</t>
  </si>
  <si>
    <t>s/take jan2026</t>
  </si>
  <si>
    <t>tete nyaradzo</t>
  </si>
  <si>
    <t>dr zezai  cash</t>
  </si>
  <si>
    <t>black headband fascinator</t>
  </si>
  <si>
    <t>angel brown sandals 10</t>
  </si>
  <si>
    <t>x1 bayker beige panty 3xl</t>
  </si>
  <si>
    <t>livello red/black satin dress 44</t>
  </si>
  <si>
    <t>balenciaga black big bag</t>
  </si>
  <si>
    <t>layby mhonde</t>
  </si>
  <si>
    <t>layby inst/ deposit / fnl pyment cash</t>
  </si>
  <si>
    <t>brown hanbag weave design</t>
  </si>
  <si>
    <t>angel  brown sandal 12M</t>
  </si>
  <si>
    <t>TURKY JAN 2026..</t>
  </si>
  <si>
    <t>FORMANTA</t>
  </si>
  <si>
    <t>coffee skirt/waistcoat</t>
  </si>
  <si>
    <t>black jacket w black pleated skirt w button design</t>
  </si>
  <si>
    <t>black jacket w pleat design &amp; black straight skirt</t>
  </si>
  <si>
    <t>black skirt/jacket big size</t>
  </si>
  <si>
    <t>navy skirt/jacket big size</t>
  </si>
  <si>
    <t>navy w chinese jacket</t>
  </si>
  <si>
    <t>charcoal trouser suit big size</t>
  </si>
  <si>
    <t>beige trouser suit</t>
  </si>
  <si>
    <t>nordlife</t>
  </si>
  <si>
    <t>gold winter dress w short jacket</t>
  </si>
  <si>
    <t>coffee lace pleated dress</t>
  </si>
  <si>
    <t>green chiffon big size</t>
  </si>
  <si>
    <t>black flared dress w black/white beilt</t>
  </si>
  <si>
    <t>cream dress w double breast</t>
  </si>
  <si>
    <t>green flared chiffon dress</t>
  </si>
  <si>
    <t>blackstretch dress w green/white chiffon top</t>
  </si>
  <si>
    <t>creampleated w overlay &amp; coffee design</t>
  </si>
  <si>
    <t>Navy long pleated skirt w side buttons</t>
  </si>
  <si>
    <t>black short pleated skirt</t>
  </si>
  <si>
    <t>coffee/cream multi colour</t>
  </si>
  <si>
    <t>white w blue edge</t>
  </si>
  <si>
    <t>cream w coffee flowers &amp; neck design</t>
  </si>
  <si>
    <t>biege/blue big size</t>
  </si>
  <si>
    <t>blue stripe</t>
  </si>
  <si>
    <t>white/mint green design big size</t>
  </si>
  <si>
    <t>BYEN</t>
  </si>
  <si>
    <t>navy trousers w white design &amp; belt</t>
  </si>
  <si>
    <t>black twinset w white design</t>
  </si>
  <si>
    <t>black throw t shirt material</t>
  </si>
  <si>
    <t>yellow throw t shirt material</t>
  </si>
  <si>
    <t>TOTAL STOCK TURKEY JAN 12-17 2026</t>
  </si>
  <si>
    <t>2026…</t>
  </si>
  <si>
    <t>11-18 JAN 2026..</t>
  </si>
  <si>
    <t>Cream/coffee stepped dress with belt</t>
  </si>
  <si>
    <t>cr inst musapatika</t>
  </si>
  <si>
    <t>cr pur musapatika</t>
  </si>
  <si>
    <t>perla maroon dress w jacket 50</t>
  </si>
  <si>
    <t>angel maroon shoes w square heels</t>
  </si>
  <si>
    <t>china chiffon 2pc dress w fur sleeves</t>
  </si>
  <si>
    <t>china cream/polka dot skirt /blous set</t>
  </si>
  <si>
    <t>ezgi pink scuba dress w glitter &amp; sheer sleeves 38</t>
  </si>
  <si>
    <t>cr inst kambarami</t>
  </si>
  <si>
    <t>china hairband fascinator</t>
  </si>
  <si>
    <t>layby pur mr banda - nolina scatch skirt 50</t>
  </si>
  <si>
    <t>layby inst irene</t>
  </si>
  <si>
    <t>layby inst chidzenga</t>
  </si>
  <si>
    <t>more green/black brocade dress layby</t>
  </si>
  <si>
    <t xml:space="preserve"> layby mrs mapotsa</t>
  </si>
  <si>
    <t>mint green boxy clutch</t>
  </si>
  <si>
    <t>jupiter coffee pleated dress w top 52</t>
  </si>
  <si>
    <t xml:space="preserve">yina navy blue shirt dress </t>
  </si>
  <si>
    <t>china black/white pleated dress</t>
  </si>
  <si>
    <t xml:space="preserve">cr inst memory ndava </t>
  </si>
  <si>
    <t>cr inst mai poly</t>
  </si>
  <si>
    <t>cr pur mai poly - formanta black suit s42</t>
  </si>
  <si>
    <t>city of harare licence 2026</t>
  </si>
  <si>
    <t>turkey stock pur</t>
  </si>
  <si>
    <t>accomodation momento</t>
  </si>
  <si>
    <t>turkey stock stock freight &amp; duty</t>
  </si>
  <si>
    <t>musapa</t>
  </si>
  <si>
    <t>kakor pink /cream chiffon dress</t>
  </si>
  <si>
    <t>mhonde</t>
  </si>
  <si>
    <t>babancing</t>
  </si>
  <si>
    <t>mr banda</t>
  </si>
  <si>
    <t>layby banda</t>
  </si>
  <si>
    <t>layby mapotsa</t>
  </si>
  <si>
    <t>mapotsa</t>
  </si>
  <si>
    <t>layby inst mhonde</t>
  </si>
  <si>
    <t>21 jab</t>
  </si>
  <si>
    <t>credit inst matsika</t>
  </si>
  <si>
    <t>cr inst nyamakupi</t>
  </si>
  <si>
    <t>taxation</t>
  </si>
  <si>
    <t xml:space="preserve">zimra quarterly tax </t>
  </si>
  <si>
    <t>green executive</t>
  </si>
  <si>
    <t>brown/coffee executive</t>
  </si>
  <si>
    <t>SA</t>
  </si>
  <si>
    <t>black  soft no name former mai matsika</t>
  </si>
  <si>
    <t>black gucci w wooden handles</t>
  </si>
  <si>
    <t>red hard case</t>
  </si>
  <si>
    <t>small dusty pink. W diamond design</t>
  </si>
  <si>
    <t>birthday present babamunini Tatenda wife</t>
  </si>
  <si>
    <t>S/T JAN 2026</t>
  </si>
  <si>
    <t>heart shaped w PEARL beads</t>
  </si>
  <si>
    <t>WHITE COTTON</t>
  </si>
  <si>
    <t>mazanhi</t>
  </si>
  <si>
    <t>fascinator peach</t>
  </si>
  <si>
    <t>part salary</t>
  </si>
  <si>
    <t>panas line beige lace dress</t>
  </si>
  <si>
    <t>cr inst abiba</t>
  </si>
  <si>
    <t>layby insy mapotsa</t>
  </si>
  <si>
    <t>textport beige/black polka dot 52</t>
  </si>
  <si>
    <t>angel black sandals slip on 12m</t>
  </si>
  <si>
    <t>dejavu brown lace dress 44</t>
  </si>
  <si>
    <t>yna yellow/white shirt dress</t>
  </si>
  <si>
    <t>layby inst banda</t>
  </si>
  <si>
    <t>china black polka dot dress - mrs nguni</t>
  </si>
  <si>
    <t>mrs kambarami set aside</t>
  </si>
  <si>
    <t>winter dresses</t>
  </si>
  <si>
    <t>cash noddy</t>
  </si>
  <si>
    <t>added check stock</t>
  </si>
  <si>
    <t>layby mrs shambira - yna yellow casual dress long</t>
  </si>
  <si>
    <t>layby shambira</t>
  </si>
  <si>
    <t>shambira</t>
  </si>
  <si>
    <t>cash swipre mrs mataranyika</t>
  </si>
  <si>
    <t>angel red square heels 12</t>
  </si>
  <si>
    <t>cash mrs nguni</t>
  </si>
  <si>
    <t>yr 12 2026</t>
  </si>
  <si>
    <t>perla maroon dress w jacket 56</t>
  </si>
  <si>
    <t>perla biege w black polka dot 56</t>
  </si>
  <si>
    <t>yina hot pink casual dress</t>
  </si>
  <si>
    <t>golden woman coffee/crem maxi 54</t>
  </si>
  <si>
    <t>jupiter coffee/cream/gold dress 56</t>
  </si>
  <si>
    <t xml:space="preserve">mrs nguni bal </t>
  </si>
  <si>
    <t>brown pleated  w pleated flowery overlay big size</t>
  </si>
  <si>
    <t>black/rust pleated polka dot</t>
  </si>
  <si>
    <t>hezra collection</t>
  </si>
  <si>
    <t>dress up</t>
  </si>
  <si>
    <t>fason line</t>
  </si>
  <si>
    <t>black w white front design</t>
  </si>
  <si>
    <t>navy  w front  stripe</t>
  </si>
  <si>
    <t>black plain</t>
  </si>
  <si>
    <t>beige plain</t>
  </si>
  <si>
    <t xml:space="preserve">M </t>
  </si>
  <si>
    <t>rust plain</t>
  </si>
  <si>
    <t>beige twinset w black design</t>
  </si>
  <si>
    <t>coffee plain long sleeve</t>
  </si>
  <si>
    <t>peach plain</t>
  </si>
  <si>
    <t>yellow plain long sleeve</t>
  </si>
  <si>
    <t>red w collar design</t>
  </si>
  <si>
    <t>credit inst mrs denhere</t>
  </si>
  <si>
    <t>cr noddy - gumanise orange/white chiffon 48</t>
  </si>
  <si>
    <t>roda black /green 2pc dress 48</t>
  </si>
  <si>
    <t>oreya mustard throw L</t>
  </si>
  <si>
    <t>angel green sandals 10</t>
  </si>
  <si>
    <t>china black/beige top</t>
  </si>
  <si>
    <t>turkey stock 2 freight &amp; AWB</t>
  </si>
  <si>
    <t>turkey stock 2 duty</t>
  </si>
  <si>
    <t>coffee/cream multi colour short</t>
  </si>
  <si>
    <t>credit inst  Noddy</t>
  </si>
  <si>
    <t>cr inst mrs nampala</t>
  </si>
  <si>
    <t>january 2026..</t>
  </si>
  <si>
    <t>JANUARY 2026…</t>
  </si>
  <si>
    <t>JAN 2026…</t>
  </si>
  <si>
    <t>JANUARY .2026</t>
  </si>
  <si>
    <t>CASH NODDY</t>
  </si>
  <si>
    <t>NODDY</t>
  </si>
  <si>
    <t>bal bd jan 2025..</t>
  </si>
  <si>
    <t>taken home</t>
  </si>
  <si>
    <t>brown   fur flat sandal</t>
  </si>
  <si>
    <t>mens sandals</t>
  </si>
  <si>
    <t>nude block heel with bow on top</t>
  </si>
  <si>
    <t>navy block heel w top strap</t>
  </si>
  <si>
    <t>black gloss pattened medium heels</t>
  </si>
  <si>
    <t>navy  pump w glossy tip</t>
  </si>
  <si>
    <t>black flat w top buckle</t>
  </si>
  <si>
    <t>taken by tatenda</t>
  </si>
  <si>
    <t>nude slingback sandal</t>
  </si>
  <si>
    <t>UK,</t>
  </si>
  <si>
    <t>black FLAT SHOE W STUDS</t>
  </si>
  <si>
    <t>china - black/orange 2 pc dress w matching lining</t>
  </si>
  <si>
    <t>cr inst mukuruva</t>
  </si>
  <si>
    <t>formanta coffee suit w waistcoat 48</t>
  </si>
  <si>
    <t xml:space="preserve">nesly black suit w packet pleat </t>
  </si>
  <si>
    <t>oreya plain beige t shirt xl</t>
  </si>
  <si>
    <t>roda white/navy top 48</t>
  </si>
  <si>
    <t>byen bavy trousers 48</t>
  </si>
  <si>
    <t>cr pur mai prudence - kapris coffee/cream dress s4</t>
  </si>
  <si>
    <t>loan repayments</t>
  </si>
  <si>
    <t>viano loan repayment - paid ruwa local board</t>
  </si>
  <si>
    <t>cr pur rev muswakatira  - formanta black sit w pleated skirt 44</t>
  </si>
  <si>
    <t>oreya beige t shirt</t>
  </si>
  <si>
    <t>oreya peach t shirt</t>
  </si>
  <si>
    <t>alice band fascinator</t>
  </si>
  <si>
    <t>belt china</t>
  </si>
  <si>
    <t>cr inst mawango</t>
  </si>
  <si>
    <t>cr pur mawango - livello blue/black dress 50</t>
  </si>
  <si>
    <t>gumanise green dress flared chiffon 58</t>
  </si>
  <si>
    <t>cr mawango</t>
  </si>
  <si>
    <t>mai prudence</t>
  </si>
  <si>
    <t>muswakatira</t>
  </si>
  <si>
    <t>back belt</t>
  </si>
  <si>
    <t>layby mrs tivavenge</t>
  </si>
  <si>
    <t>cr pur mrs kambarami</t>
  </si>
  <si>
    <t>nesley 2pc coffee w pleated skirt</t>
  </si>
  <si>
    <t>fasion line navy/white stripped blouse 44</t>
  </si>
  <si>
    <t>oreya coffee plain t shirt 2xl</t>
  </si>
  <si>
    <t>oreya black t shirt w front design 2xl</t>
  </si>
  <si>
    <t>oreya black/white twinset 2xl</t>
  </si>
  <si>
    <t>oreya beige/black twinset 2xl</t>
  </si>
  <si>
    <t>payment bal mrs shambira</t>
  </si>
  <si>
    <t>oreya black plain t shirt xl</t>
  </si>
  <si>
    <t>redonna navy denim skirt w side pockets 44</t>
  </si>
  <si>
    <t>dans maroon lace dress on sale</t>
  </si>
  <si>
    <t>pudra black multi colour chiffon w steps</t>
  </si>
  <si>
    <t>mrs mawango 2025 purchase reconciliation</t>
  </si>
  <si>
    <t>red  gloss square heel</t>
  </si>
  <si>
    <t>24 dec 2025..</t>
  </si>
  <si>
    <t>BEIGE/GREY LONG SLEEVE  W FLOWER DESIGN</t>
  </si>
  <si>
    <t>ADDED JAN '26</t>
  </si>
  <si>
    <t xml:space="preserve"> ladies formal PRINTED shirt  short sleeve</t>
  </si>
  <si>
    <t>OLIVE GREEN w high sleeves &amp; black back button design</t>
  </si>
  <si>
    <t>bes&amp;se</t>
  </si>
  <si>
    <t>white sleeveless top</t>
  </si>
  <si>
    <t>tete pau uniform</t>
  </si>
  <si>
    <t>navy with beaded neck</t>
  </si>
  <si>
    <t>tivavenge</t>
  </si>
  <si>
    <t>beige/blue big size</t>
  </si>
  <si>
    <t>tracksuits</t>
  </si>
  <si>
    <t>carlino purple satin dress w belt</t>
  </si>
  <si>
    <t>FEBRUARY</t>
  </si>
  <si>
    <t>CR inst zvenyika</t>
  </si>
  <si>
    <t>cr pur mrs zvenyika</t>
  </si>
  <si>
    <t>angel brown flat sandals s11</t>
  </si>
  <si>
    <t>jan 2026. opening bal</t>
  </si>
  <si>
    <t>angel red glossy heels  41</t>
  </si>
  <si>
    <t>angel red kitten heels 41</t>
  </si>
  <si>
    <t>formanta black suit w pleated skirt 46</t>
  </si>
  <si>
    <t>mavellino navy 2pc w chinese jacket 46</t>
  </si>
  <si>
    <t>china green/mustard handbag</t>
  </si>
  <si>
    <t>cr pur mrs zengeya</t>
  </si>
  <si>
    <t>dr zezai</t>
  </si>
  <si>
    <t>formanta suit w pleated skirt 50</t>
  </si>
  <si>
    <t>formanta coffee 2 piece w waistcoat 50</t>
  </si>
  <si>
    <t>byen navy trousers 50</t>
  </si>
  <si>
    <t>catania coffee/cream blouse w flower design 42</t>
  </si>
  <si>
    <t>roda white top w blue design 44</t>
  </si>
  <si>
    <t>china carolina  gold satin dress w flower design</t>
  </si>
  <si>
    <t>clutch green boxy</t>
  </si>
  <si>
    <t>angel  original red kitten heels 40</t>
  </si>
  <si>
    <t>credit inst mrs mutimodyo</t>
  </si>
  <si>
    <t>layby inst mrs tivavenge</t>
  </si>
  <si>
    <t>layby pur tivavenge</t>
  </si>
  <si>
    <t>oreya black jersey w hood and zip / white stripe</t>
  </si>
  <si>
    <t>yellow throw</t>
  </si>
  <si>
    <t>black throw</t>
  </si>
  <si>
    <t>white stripe crew neck</t>
  </si>
  <si>
    <t>china multi colour trouser suit</t>
  </si>
  <si>
    <t>china blue stripe tracksuit</t>
  </si>
  <si>
    <t>oreya black thow</t>
  </si>
  <si>
    <t>cash pur dr zezai</t>
  </si>
  <si>
    <t>cash pur Shami - china white short cotton dress</t>
  </si>
  <si>
    <t>cash tivavenge</t>
  </si>
  <si>
    <t>LAPF jan rentals and opc</t>
  </si>
  <si>
    <t>Jan salary Pau</t>
  </si>
  <si>
    <t>Jan salary Tatenda</t>
  </si>
  <si>
    <t>kapris stock</t>
  </si>
  <si>
    <t>kapris sending charges</t>
  </si>
  <si>
    <t>biker charges</t>
  </si>
  <si>
    <t>other staff costs</t>
  </si>
  <si>
    <t>medical aid</t>
  </si>
  <si>
    <t>funeral cover</t>
  </si>
  <si>
    <t>rounds</t>
  </si>
  <si>
    <t>1k round</t>
  </si>
  <si>
    <t>fsbs</t>
  </si>
  <si>
    <t>200 round monthly</t>
  </si>
  <si>
    <t>200 twice a month</t>
  </si>
  <si>
    <t>sharewealth</t>
  </si>
  <si>
    <t>roundtable</t>
  </si>
  <si>
    <t>cr inst mai prudence</t>
  </si>
  <si>
    <t>credit inst mai shumba</t>
  </si>
  <si>
    <t>la donatella nude gown w one arm</t>
  </si>
  <si>
    <t xml:space="preserve"> kapris cream/coffee stepped dress s2</t>
  </si>
  <si>
    <t>china coffee/ brown executive handbag</t>
  </si>
  <si>
    <t>x2 baker colourful 2xl</t>
  </si>
  <si>
    <t>mrs zvenyika</t>
  </si>
  <si>
    <t>cash rev mutisi</t>
  </si>
  <si>
    <t xml:space="preserve">zengeya </t>
  </si>
  <si>
    <t>zengeya</t>
  </si>
  <si>
    <t>fasion line blue striped top 52</t>
  </si>
  <si>
    <t xml:space="preserve">white / gold satin dress w flower design </t>
  </si>
  <si>
    <t>fascinator green oval UK</t>
  </si>
  <si>
    <t>Tivavenge</t>
  </si>
  <si>
    <t>home mrs tivavenge</t>
  </si>
  <si>
    <t>home cash tivavenge</t>
  </si>
  <si>
    <t>cash shami</t>
  </si>
  <si>
    <t>gown w one arm</t>
  </si>
  <si>
    <t>added 2026</t>
  </si>
  <si>
    <t xml:space="preserve"> cash </t>
  </si>
  <si>
    <t>credit pur mrs shumba hre</t>
  </si>
  <si>
    <t>mai shumba hre</t>
  </si>
  <si>
    <t>mai shumba</t>
  </si>
  <si>
    <t>china beige brown skirt/top w steps</t>
  </si>
  <si>
    <t>formanta coffee skirt/waistcoat suit 48</t>
  </si>
  <si>
    <t>nordlife gold winter dress w jacket</t>
  </si>
  <si>
    <t>roda navy pleted skirt w side buttons s46</t>
  </si>
  <si>
    <t>roda white top w navy edge</t>
  </si>
  <si>
    <t>kapris cream coffee dress w steps/belt s2</t>
  </si>
  <si>
    <t>cr pur tete chipo</t>
  </si>
  <si>
    <t xml:space="preserve">china hermes burnt orange sress </t>
  </si>
  <si>
    <t>china denim dress xl</t>
  </si>
  <si>
    <t>nodlife black skirt suit w flared skirt 40</t>
  </si>
  <si>
    <t>cash matambanadzo mutare</t>
  </si>
  <si>
    <t>cash mazorodze mutare</t>
  </si>
  <si>
    <t>ferat layby</t>
  </si>
  <si>
    <t>roda credit payment</t>
  </si>
  <si>
    <t>mahmut baby part paymnt</t>
  </si>
  <si>
    <t>turkey payments sending charges</t>
  </si>
  <si>
    <t>z</t>
  </si>
  <si>
    <t>chidakwa</t>
  </si>
  <si>
    <t>cr inst mai \poly</t>
  </si>
  <si>
    <t>zara white sandals</t>
  </si>
  <si>
    <t>cr inst mutanho</t>
  </si>
  <si>
    <t>gumanise nude/brown dress short 46</t>
  </si>
  <si>
    <t>mari &amp; mar khakhi dress w black flower infront</t>
  </si>
  <si>
    <t>china black/orange pleated dress</t>
  </si>
  <si>
    <t>roda beige skirt w small pleats 50</t>
  </si>
  <si>
    <t>cr pur mrs chidakwa</t>
  </si>
  <si>
    <t>kapris beige coffee  dress w steps</t>
  </si>
  <si>
    <t>china navy/pink flowery dress</t>
  </si>
  <si>
    <t>roda burnt orange/black polka dot skirt 46</t>
  </si>
  <si>
    <t>oreya burnt orange top xl</t>
  </si>
  <si>
    <t xml:space="preserve">fervent  cream/coffee pleated dress </t>
  </si>
  <si>
    <t>altin yak black block heels</t>
  </si>
  <si>
    <t>jakachira</t>
  </si>
  <si>
    <t>credit chidhakwa</t>
  </si>
  <si>
    <t>taken home mai poly cash</t>
  </si>
  <si>
    <t>baby shop stock cargo omer stock</t>
  </si>
  <si>
    <t>exotic blossom stock cargo kapris</t>
  </si>
  <si>
    <t>paid by ct</t>
  </si>
  <si>
    <t>lumiens red dress w queen sleeves</t>
  </si>
  <si>
    <t>whip design red dress on sale</t>
  </si>
  <si>
    <t>ezgi grey formal dress winter</t>
  </si>
  <si>
    <t>cr pur mai rev mazenenga - maryland black skirt/waistcoat suit 46</t>
  </si>
  <si>
    <t>cr inst rev muswakatira</t>
  </si>
  <si>
    <t>cr pur rev muswakatira - nodlife black long skirt suit 44</t>
  </si>
  <si>
    <t>cr pur rev mutimodyo - mavellono navy suit w chinese collar 42</t>
  </si>
  <si>
    <t>cr pur mai mandidzinga</t>
  </si>
  <si>
    <t>wioma grey winter dress 44</t>
  </si>
  <si>
    <t>china yellow /white stripe maxi dress</t>
  </si>
  <si>
    <t>inc black dress w one arm 48</t>
  </si>
  <si>
    <t>arizona navy dresss w ruffled sleeves 48</t>
  </si>
  <si>
    <t>trendy black/green dress winter 46</t>
  </si>
  <si>
    <t>trendy grey winter dress 44</t>
  </si>
  <si>
    <t>pastor lorraine returned cash</t>
  </si>
  <si>
    <t>mazenenga</t>
  </si>
  <si>
    <t>mai rev mazenenga</t>
  </si>
  <si>
    <t>rev mutimodyo</t>
  </si>
  <si>
    <t>yellow/white stripe summer dress</t>
  </si>
  <si>
    <t>returned by -------- purchased by mai mandidzinga</t>
  </si>
  <si>
    <t>x4 bayker panties black xxl beige xl 2 polka dot 2xl</t>
  </si>
  <si>
    <t>bayker black panty xxl</t>
  </si>
  <si>
    <t>variuos fascinators</t>
  </si>
  <si>
    <t>ideal payment</t>
  </si>
  <si>
    <t xml:space="preserve">ahmed winter </t>
  </si>
  <si>
    <t>mavellino instalment 1</t>
  </si>
  <si>
    <t>sending charges 852* 0.045</t>
  </si>
  <si>
    <t>love comfort black lace dress 44</t>
  </si>
  <si>
    <t>panas line blue dress on sale</t>
  </si>
  <si>
    <t>cr pur mrs komichi</t>
  </si>
  <si>
    <t>roda navy pleated skirt w side buttons</t>
  </si>
  <si>
    <t>catania beige /navy top 56</t>
  </si>
  <si>
    <t>cr inst mrs komichi</t>
  </si>
  <si>
    <t>cr pur Rev Zibako - formanta black suit w pleated skirt</t>
  </si>
  <si>
    <t>calino purple wrap over dress 40</t>
  </si>
  <si>
    <t>Green brocade sleeveless gown w flowers</t>
  </si>
  <si>
    <t>gold brocade gown w sleeves &amp;flowers</t>
  </si>
  <si>
    <t>gold brocade gown w flowers sleeveless</t>
  </si>
  <si>
    <t>green gown  w  lace sleeve &amp; tail</t>
  </si>
  <si>
    <t>green gown w sheer sleeves</t>
  </si>
  <si>
    <t>gold gown fancy sleeves</t>
  </si>
  <si>
    <t>rose gold gown w fancy sleeves</t>
  </si>
  <si>
    <t>nude/ brown  flowery dress short dress</t>
  </si>
  <si>
    <t>tex woman</t>
  </si>
  <si>
    <t>la fonte</t>
  </si>
  <si>
    <t>lapf opc arrear as feb statement - exotic</t>
  </si>
  <si>
    <t>lapf opc arrear as feb statement - baby shop</t>
  </si>
  <si>
    <t>fervente cream/ brown pleated  dress 44 - kanjere</t>
  </si>
  <si>
    <t>angel black sandals 40</t>
  </si>
  <si>
    <t>black - short gown</t>
  </si>
  <si>
    <t xml:space="preserve">cream/maroon lines </t>
  </si>
  <si>
    <t>added feb '26</t>
  </si>
  <si>
    <t>layby kanjere</t>
  </si>
  <si>
    <t>cash Hon Zhanda</t>
  </si>
  <si>
    <t>mustero brown/cream dress 46</t>
  </si>
  <si>
    <t>cr inst tete Nyaradzo</t>
  </si>
  <si>
    <t>yina yellow cotton dress</t>
  </si>
  <si>
    <t>white short linen w steps 2 pc</t>
  </si>
  <si>
    <t xml:space="preserve">white w steps same design 2pc </t>
  </si>
  <si>
    <t xml:space="preserve">white short lace linen w steps </t>
  </si>
  <si>
    <t xml:space="preserve"> cream flowery linen short w v neck</t>
  </si>
  <si>
    <t xml:space="preserve"> cream flowery linen short w V neck</t>
  </si>
  <si>
    <t>YINA CASUAL DRESS army green short casual dress</t>
  </si>
  <si>
    <t>black/white chiffon dress w gypsy hem</t>
  </si>
  <si>
    <t>korakor</t>
  </si>
  <si>
    <t>double second</t>
  </si>
  <si>
    <t>feb 2026…</t>
  </si>
  <si>
    <t xml:space="preserve">kapris </t>
  </si>
  <si>
    <t>coffee beige/ blue winter dress w blue half jacket</t>
  </si>
  <si>
    <t>hermes</t>
  </si>
  <si>
    <t>waryant line</t>
  </si>
  <si>
    <t>black dress w front button design</t>
  </si>
  <si>
    <t>black flared dress w black/white belt</t>
  </si>
  <si>
    <t>black formal dress  w gold belt pleated sleeve</t>
  </si>
  <si>
    <t>black formal dress  w gold belt w pleated sleeve</t>
  </si>
  <si>
    <t xml:space="preserve">gucci black stretch winter dress </t>
  </si>
  <si>
    <t>lina life</t>
  </si>
  <si>
    <t>zimmerman</t>
  </si>
  <si>
    <t>YINA CASUAL DRESS yellow stripe army green casual dress</t>
  </si>
  <si>
    <t>daisy</t>
  </si>
  <si>
    <t>doganer</t>
  </si>
  <si>
    <t>blue dress / long jacket set</t>
  </si>
  <si>
    <t>YINA CASUAL DRESS navy stripe  army green casual dress</t>
  </si>
  <si>
    <t>added</t>
  </si>
  <si>
    <t xml:space="preserve"> black gown w white beads</t>
  </si>
  <si>
    <t>added feb s/t</t>
  </si>
  <si>
    <t>green short gown changed from sage green</t>
  </si>
  <si>
    <t>oreya - navy tshirt w white stripe 2xl</t>
  </si>
  <si>
    <t>gold brocade dress</t>
  </si>
  <si>
    <t>LINEN  olive green  maxi big size w lace design</t>
  </si>
  <si>
    <t>miss maria</t>
  </si>
  <si>
    <t xml:space="preserve">blue/white/ yellow palazzo / kimono 2 pc set </t>
  </si>
  <si>
    <t>added feb26 s/t</t>
  </si>
  <si>
    <t>cream/peachjacket w peach skirt skirt</t>
  </si>
  <si>
    <t>blush pink 3pc wlong pencil skirt</t>
  </si>
  <si>
    <t>separate skirt &amp; jacket</t>
  </si>
  <si>
    <t>to pela mapeza</t>
  </si>
  <si>
    <t>YINA CASUAL DRESS green short  plain casual dress</t>
  </si>
  <si>
    <t xml:space="preserve">white short linen w steps </t>
  </si>
  <si>
    <t>YINA CASUAL DRESS army green long casual dress</t>
  </si>
  <si>
    <t>gucci</t>
  </si>
  <si>
    <t>long woolen jersey dress blue</t>
  </si>
  <si>
    <t>sara pink maxi dress - one arm</t>
  </si>
  <si>
    <t>ferat</t>
  </si>
  <si>
    <t>brown scotch winter formal trousers</t>
  </si>
  <si>
    <t>brown winter formal trousers</t>
  </si>
  <si>
    <t>packaging china duty &amp; freight</t>
  </si>
  <si>
    <t>cleaning agents</t>
  </si>
  <si>
    <t>sarah white scuba dress</t>
  </si>
  <si>
    <t>china black satin dress w flower design</t>
  </si>
  <si>
    <t>roda navy pleated skirt w side buttons 52</t>
  </si>
  <si>
    <t>butterfly brown sandal</t>
  </si>
  <si>
    <t>x3 bayker black s6, shades of beige xl, 2xl</t>
  </si>
  <si>
    <t>cr inst tatenda</t>
  </si>
  <si>
    <t>komichi</t>
  </si>
  <si>
    <t>rev zibako for muswakatira</t>
  </si>
  <si>
    <t>rev zibako/ muswakatira</t>
  </si>
  <si>
    <t>RETURNED</t>
  </si>
  <si>
    <t>kanjere</t>
  </si>
  <si>
    <t>more black shortgown w silver neck 3xl</t>
  </si>
  <si>
    <t>FEBRUARY 2026..</t>
  </si>
  <si>
    <t>black formal trouser big size</t>
  </si>
  <si>
    <t>layby mrs shambira - more gold short gown w pealrs 3xl</t>
  </si>
  <si>
    <t>bayker panties</t>
  </si>
  <si>
    <t>black cube royal blue dress 44</t>
  </si>
  <si>
    <t>waryant line black dress 45</t>
  </si>
  <si>
    <t>angel pink heels s7</t>
  </si>
  <si>
    <t>cr instmrs zengeya</t>
  </si>
  <si>
    <t>nesly beige 2pc 40 w double breast</t>
  </si>
  <si>
    <t>more black brocade dress w green flowers 3xl</t>
  </si>
  <si>
    <t>layby mrs ndachi agel maroon heels s12</t>
  </si>
  <si>
    <t>yina army green short casual dress</t>
  </si>
  <si>
    <t>layby mrs chidzenga</t>
  </si>
  <si>
    <t>layby chidzenga</t>
  </si>
  <si>
    <t>nesley black 2pc s40 old stock</t>
  </si>
  <si>
    <t>beige 2 pc suit former avondale</t>
  </si>
  <si>
    <t>swipe</t>
  </si>
  <si>
    <t>ndachi</t>
  </si>
  <si>
    <t>layby ndachi</t>
  </si>
  <si>
    <t>brown scarf</t>
  </si>
  <si>
    <t>x2 bayker panties black s4</t>
  </si>
  <si>
    <t xml:space="preserve">returned in stock nodlife black 2pc suit w lon skirt exchange for </t>
  </si>
  <si>
    <t>formanta black suit  w pleated skirt s48  rev muswakatira</t>
  </si>
  <si>
    <t>cr pur tete chipo - fervente cream coffee pleated dress 42</t>
  </si>
  <si>
    <t>layby mrs njagu</t>
  </si>
  <si>
    <t>nivola gold gown w flower 50</t>
  </si>
  <si>
    <t>army green executive handbag</t>
  </si>
  <si>
    <t>fervente coffee long gown 36</t>
  </si>
  <si>
    <t>was missing at last stock take</t>
  </si>
  <si>
    <t>was alredy over counted at delivery</t>
  </si>
  <si>
    <t>feb salary Pau</t>
  </si>
  <si>
    <t>feb salary Tatenda</t>
  </si>
  <si>
    <t>commission</t>
  </si>
  <si>
    <t>mavellino instalment 2</t>
  </si>
  <si>
    <t>fervent stock mai muti</t>
  </si>
  <si>
    <t>mavellino sending charges</t>
  </si>
  <si>
    <t xml:space="preserve">FEBRUARY </t>
  </si>
  <si>
    <t>Mrs Zvenyika for Lilian</t>
  </si>
  <si>
    <t>grey area</t>
  </si>
  <si>
    <t>available - my wedding dress</t>
  </si>
  <si>
    <t>mai komichi</t>
  </si>
  <si>
    <t>2025 sale</t>
  </si>
  <si>
    <t xml:space="preserve">perla </t>
  </si>
  <si>
    <t>MARCH</t>
  </si>
  <si>
    <t>LAYBY INST MRS NJAGU</t>
  </si>
  <si>
    <t>cr inst mandidzinga</t>
  </si>
  <si>
    <t>angel  maroon gloss heels 39</t>
  </si>
  <si>
    <t>layby  murembeni  - byen navy trousers 44</t>
  </si>
  <si>
    <t>cr inst tete chipo</t>
  </si>
  <si>
    <t>laby inst tivavengi</t>
  </si>
  <si>
    <t>CARGO  ideal &amp; others</t>
  </si>
  <si>
    <t>china visa</t>
  </si>
  <si>
    <t>cr inst mrs shumba</t>
  </si>
  <si>
    <t>layby inst mrs ndachi</t>
  </si>
  <si>
    <t>cr pur pastor komichi</t>
  </si>
  <si>
    <t>diaz black long dress s</t>
  </si>
  <si>
    <t>angel maroon strap sandal s8</t>
  </si>
  <si>
    <t>coffee pleated dress big size</t>
  </si>
  <si>
    <t>brown dress w lace sleeve design</t>
  </si>
  <si>
    <t>amed moda</t>
  </si>
  <si>
    <t>vensi moda</t>
  </si>
  <si>
    <t>black suit w pleated skirt</t>
  </si>
  <si>
    <t>black suit w pleated jacket</t>
  </si>
  <si>
    <t>black skirt/top w leopard glitter design</t>
  </si>
  <si>
    <t>march 2026..</t>
  </si>
  <si>
    <t>ferventmint green .orange pleated dress</t>
  </si>
  <si>
    <t>x2 belts - silver / gold</t>
  </si>
  <si>
    <t>nivola gold ball gown w waist flower 52</t>
  </si>
  <si>
    <t>angel navy pump w top gloss</t>
  </si>
  <si>
    <t>gift- oreya black jersey w for neck and white hem design - mai rev Ishemunyoro</t>
  </si>
  <si>
    <t>cr pur rev muswakatira</t>
  </si>
  <si>
    <t>mavellino black suit w jacket pleat 44</t>
  </si>
  <si>
    <t>present rev muswakatira</t>
  </si>
  <si>
    <t>be &amp; se white sleeveless top</t>
  </si>
  <si>
    <t>CHINA  cream wrap over dress w flower design</t>
  </si>
  <si>
    <t>china black elasticated top on sale</t>
  </si>
  <si>
    <t>vensi moda black 3pc w leopard print design</t>
  </si>
  <si>
    <t>china sky  blue  maxi dress w peplum 2xl</t>
  </si>
  <si>
    <t>cr pur mai  Gibbs vesi moda black 2pc w lepard print 46</t>
  </si>
  <si>
    <t>jupiter beige flowery dress w frilled hem 52</t>
  </si>
  <si>
    <t>vesi moda black 2pc w lepard print 47</t>
  </si>
  <si>
    <t>vesi moda black 2pc w lepard print 50</t>
  </si>
  <si>
    <t>oreya yellow sleeveless throw</t>
  </si>
  <si>
    <t>roda black stretch dress w  green/white chiffon top 54</t>
  </si>
  <si>
    <t>yina green casual dress long</t>
  </si>
  <si>
    <t>x4 bayker panties 2xl  -  pink x3, beige x1</t>
  </si>
  <si>
    <t>yce yellow black dress</t>
  </si>
  <si>
    <t>dress up  -  sage green chiffon dress 44</t>
  </si>
  <si>
    <t>cr inst mrs zvenyika</t>
  </si>
  <si>
    <t>r inst musapatika</t>
  </si>
  <si>
    <t>cr pur mai zvenyika  - yina shirt dress  yellow striped</t>
  </si>
  <si>
    <t>roda black short pleated skirt</t>
  </si>
  <si>
    <t>masvingo</t>
  </si>
  <si>
    <t>mavellino final inst</t>
  </si>
  <si>
    <t>mavellino 2nd suit seri</t>
  </si>
  <si>
    <t>ahmed moda repeat</t>
  </si>
  <si>
    <t>ajar purple gown</t>
  </si>
  <si>
    <t>ajar &amp; ahmed moda sending charges</t>
  </si>
  <si>
    <t>cr pur nyamakupi - nodilife god gold winter dress 46</t>
  </si>
  <si>
    <t>china round pink fascinator</t>
  </si>
  <si>
    <t>oreya beige t shirt short/ sleeve</t>
  </si>
  <si>
    <t>oreya coffee t shirt long</t>
  </si>
  <si>
    <t>x2 bayker panties 3xl beige</t>
  </si>
  <si>
    <t>kapris beige/coffee winter dress/jacket s4</t>
  </si>
  <si>
    <t>stock purchase</t>
  </si>
  <si>
    <t>oreya debt payment</t>
  </si>
  <si>
    <t>oreya sending charges</t>
  </si>
  <si>
    <t>rev muswakatira returned</t>
  </si>
  <si>
    <t>mrs njagu</t>
  </si>
  <si>
    <t>layby njagu</t>
  </si>
  <si>
    <t>cr pur mrs zvenyika  - china channel black dress w white frill</t>
  </si>
  <si>
    <t>cash chingosho</t>
  </si>
  <si>
    <t>credit mai gibbs</t>
  </si>
  <si>
    <t>mai gibbs</t>
  </si>
  <si>
    <t>murembeni</t>
  </si>
  <si>
    <t>muembeni layby</t>
  </si>
  <si>
    <t>layby njagu from home</t>
  </si>
  <si>
    <t>pastor komichi</t>
  </si>
  <si>
    <t>china various fascinator green</t>
  </si>
  <si>
    <t>home pesent mai Rev \ishemunhyoro</t>
  </si>
  <si>
    <t>exchange long skirt for pleated skirt suit</t>
  </si>
  <si>
    <t>added dec s/take present rev muswakatira</t>
  </si>
  <si>
    <t>paula richi mint green dress w peplum s44</t>
  </si>
  <si>
    <t>layby inst mrs kanjere</t>
  </si>
  <si>
    <t>inc black one arm dress</t>
  </si>
  <si>
    <t>piyamor copper gown w pleated sleeves 48 mrs mabhiza</t>
  </si>
  <si>
    <t xml:space="preserve">layby jaricha more gold brocade gown </t>
  </si>
  <si>
    <t>fervent stock cargo</t>
  </si>
  <si>
    <t>MARCH 2026..</t>
  </si>
  <si>
    <t>FERVENT</t>
  </si>
  <si>
    <t>FERVENTE</t>
  </si>
  <si>
    <t>cream/brown  pleated dress w pleated top overlay</t>
  </si>
  <si>
    <t>white flowery  pleated dress w pleated top overlay</t>
  </si>
  <si>
    <t>cr pur mandidzinga - fervente cream pleated dress 46</t>
  </si>
  <si>
    <t>cr pur mutimodyo</t>
  </si>
  <si>
    <t>china green boxy handbag</t>
  </si>
  <si>
    <t>legenda gold short pleated dress 46</t>
  </si>
  <si>
    <t>cr inst mrs musapatika</t>
  </si>
  <si>
    <t>moss fashion green ball gown 48</t>
  </si>
  <si>
    <t>gold wedding hat</t>
  </si>
  <si>
    <t>local kudzai wedding</t>
  </si>
  <si>
    <t>china orange small handbag</t>
  </si>
  <si>
    <t>sept 2025..</t>
  </si>
  <si>
    <t>opening</t>
  </si>
  <si>
    <t>cash mar '26 stock take reconciliation</t>
  </si>
  <si>
    <t>22 novemner 2025..</t>
  </si>
  <si>
    <t>march 2026.. CHINA SEA CARGO</t>
  </si>
  <si>
    <t>CHRISTIAN &amp; OLK</t>
  </si>
  <si>
    <t>pink w pleat design</t>
  </si>
  <si>
    <t>black w pleat design</t>
  </si>
  <si>
    <t>beige  w pleat design</t>
  </si>
  <si>
    <t>beige w chain belt</t>
  </si>
  <si>
    <t>black  w chain belt</t>
  </si>
  <si>
    <t>coffee  w chain belt</t>
  </si>
  <si>
    <t>cr pur  mrs matsika noble lady cream dress w duble breast s46</t>
  </si>
  <si>
    <t>edit black sandals crossover</t>
  </si>
  <si>
    <t>cr pur rev shandu</t>
  </si>
  <si>
    <t>cr inst rev shandu</t>
  </si>
  <si>
    <t>formanta  black pleated skirt suit 44</t>
  </si>
  <si>
    <t>moss fashion green gown w tail s48</t>
  </si>
  <si>
    <t>china handbags cargo freigh &amp; duty</t>
  </si>
  <si>
    <t>china white maxi dress w peplum xl</t>
  </si>
  <si>
    <t>angel original tan sandals</t>
  </si>
  <si>
    <t>noble lady cream dress w double breast s48</t>
  </si>
  <si>
    <t>china brown weave handbag - chido</t>
  </si>
  <si>
    <t>black handbag w scotch design &amp; metal hanndles</t>
  </si>
  <si>
    <t>gumanise green chiffon dress 52</t>
  </si>
  <si>
    <t>polen park pink dress w neck beads</t>
  </si>
  <si>
    <t>no edit in stock</t>
  </si>
  <si>
    <t>cash mecy zim ceo</t>
  </si>
  <si>
    <t>cash chido</t>
  </si>
  <si>
    <t>christian wallet  maroon</t>
  </si>
  <si>
    <t>wallet various colours</t>
  </si>
  <si>
    <t>cash mrs bhomani</t>
  </si>
  <si>
    <t>gumanise green chiffon dress w double breast  56 winnie</t>
  </si>
  <si>
    <t>cash winnie</t>
  </si>
  <si>
    <t>TRAVEL EXPENSES - stock procurement</t>
  </si>
  <si>
    <t>china ticket part pymnt - 1498-500</t>
  </si>
  <si>
    <t>cr inst mrs mutimodyo</t>
  </si>
  <si>
    <t>cr inst mrs mukuruva</t>
  </si>
  <si>
    <t>kapris dress w half jacket</t>
  </si>
  <si>
    <t>daisy 3pc trouser set orange/ beige</t>
  </si>
  <si>
    <t>roda black stretch dress with green chiffon top</t>
  </si>
  <si>
    <t>layby inst mrs jaricha</t>
  </si>
  <si>
    <t>estella brown /cream dress</t>
  </si>
  <si>
    <t>textport maroon dress w silver sleeves</t>
  </si>
  <si>
    <t>gumanise brown flowery pleated dress  52</t>
  </si>
  <si>
    <t>perla blue/cream flowery pleated w cream jacket 50</t>
  </si>
  <si>
    <t>gift rev shandu zara  black sandals</t>
  </si>
  <si>
    <t>gift rev shandu</t>
  </si>
  <si>
    <t>layby inst  mrs shambira</t>
  </si>
  <si>
    <t>bayker panties black s4</t>
  </si>
  <si>
    <t xml:space="preserve">showcase green/white casual </t>
  </si>
  <si>
    <t>my tenim white dress w zip sale</t>
  </si>
  <si>
    <t>china moccasin green w buckle 42</t>
  </si>
  <si>
    <t>yce red /cream wrap over dress</t>
  </si>
  <si>
    <t>yce lemon green dress</t>
  </si>
  <si>
    <t>cr inst kambarmi</t>
  </si>
  <si>
    <t xml:space="preserve">china black handbag w pleat design </t>
  </si>
  <si>
    <t>cr inst gwisai</t>
  </si>
  <si>
    <t>kapris winter dress w half jacket</t>
  </si>
  <si>
    <t>layby matumhu roda coffee/cream multi coloured skirt 44</t>
  </si>
  <si>
    <t>jaricha</t>
  </si>
  <si>
    <t>jaricha layby</t>
  </si>
  <si>
    <t>prims purchase</t>
  </si>
  <si>
    <t>cash mrs madziire</t>
  </si>
  <si>
    <t>matumhu</t>
  </si>
  <si>
    <t>layby matumhu</t>
  </si>
  <si>
    <t>21 ma</t>
  </si>
  <si>
    <t>beige moccasin w chain buckle</t>
  </si>
  <si>
    <t>green moccasin w top buckle</t>
  </si>
  <si>
    <t>cream flat sandal</t>
  </si>
  <si>
    <t>beige flat sandal</t>
  </si>
  <si>
    <t>brown flat sandal</t>
  </si>
  <si>
    <t>black flat sandal</t>
  </si>
  <si>
    <t>xiangly</t>
  </si>
  <si>
    <t>china closed shoes green 41</t>
  </si>
  <si>
    <t>china closed shoes nude 42</t>
  </si>
  <si>
    <t>tapiwanyasha</t>
  </si>
  <si>
    <t>simoda beige scotch blazer</t>
  </si>
  <si>
    <t>ahmend moda/ajar stock cargo/ duty</t>
  </si>
  <si>
    <t>march rentals and opc</t>
  </si>
  <si>
    <t>balancing</t>
  </si>
  <si>
    <t>cr pur abiba - hairband fascinator</t>
  </si>
  <si>
    <t>vensi moda repeat</t>
  </si>
  <si>
    <t>purple gown w front glitter</t>
  </si>
  <si>
    <t>turkey mar 2026.</t>
  </si>
  <si>
    <t>oreya plai n t shirt - rust</t>
  </si>
  <si>
    <t>more green brocade gown sleeveless 5xl</t>
  </si>
  <si>
    <t>moss green satin gown w tail s48</t>
  </si>
  <si>
    <t xml:space="preserve">returned - china black dress w floer design exchange for roda </t>
  </si>
  <si>
    <t>peach polka dot skirt&amp; angel black sandal s42 top up $5</t>
  </si>
  <si>
    <t>formanta black suit w pleated skirt s42</t>
  </si>
  <si>
    <t>capone black glossy heels 39</t>
  </si>
  <si>
    <t>more pink/black gown 3xl</t>
  </si>
  <si>
    <t>mistero brown satin dress  50</t>
  </si>
  <si>
    <t>legenda gold pleated short gown 48</t>
  </si>
  <si>
    <t>credit inst bertha</t>
  </si>
  <si>
    <t>vegas moda green long outfit</t>
  </si>
  <si>
    <t>ajar gold dress &amp; denim trouser set</t>
  </si>
  <si>
    <t>vegas moda / ajar stock</t>
  </si>
  <si>
    <t>taxation/ licences</t>
  </si>
  <si>
    <t>formanta black suit w pleated jacket 48</t>
  </si>
  <si>
    <t>gamu viano returned too small - cash</t>
  </si>
  <si>
    <t>oreya beige plain t shirt L</t>
  </si>
  <si>
    <t>china olive green linen dress big size</t>
  </si>
  <si>
    <t xml:space="preserve">exchange </t>
  </si>
  <si>
    <t>exchange</t>
  </si>
  <si>
    <t>rev shandu</t>
  </si>
  <si>
    <t>mai Rev  Gumbo kadoma pymt receivd prior</t>
  </si>
  <si>
    <t>formanta black suit w pleated skirt s44 mai Rev Gumbo</t>
  </si>
  <si>
    <t>added dec '23 stock take cash</t>
  </si>
  <si>
    <t>redonna denim skirt 38</t>
  </si>
  <si>
    <t>purple gown w front gitter</t>
  </si>
  <si>
    <t>calino gold wrap over short dress 38</t>
  </si>
  <si>
    <t xml:space="preserve"> fire licences</t>
  </si>
  <si>
    <t>7xl</t>
  </si>
  <si>
    <t>long houndstooth jacket</t>
  </si>
  <si>
    <t>short houndstooth jacket</t>
  </si>
  <si>
    <t>long brown scotch jacket</t>
  </si>
  <si>
    <t>black short jersey w fur neck</t>
  </si>
  <si>
    <t>beige short jersey w fur neck</t>
  </si>
  <si>
    <t>maroon short jersey w fur neck</t>
  </si>
  <si>
    <t>free size</t>
  </si>
  <si>
    <t>china sea cargo march 2026</t>
  </si>
  <si>
    <t>china sea cargo mar 2026</t>
  </si>
  <si>
    <t>cr inst matsika</t>
  </si>
  <si>
    <t>cr pur matsika</t>
  </si>
  <si>
    <t>china cream loafers s40</t>
  </si>
  <si>
    <t>china black flat sandals</t>
  </si>
  <si>
    <t>cr pur matsika sister  - china cream wrap over dress w sheer sleeves</t>
  </si>
  <si>
    <t>calino gold dress w sheer sleeves s40</t>
  </si>
  <si>
    <t>layby greta jere - angel original maroon sandals s7</t>
  </si>
  <si>
    <t>ezgi grey grey formal dress w belt 48</t>
  </si>
  <si>
    <t>moda 51 black formal dress w white belt s46</t>
  </si>
  <si>
    <t>formanta black suit w pleated skirt s50</t>
  </si>
  <si>
    <t>oreya cream short sleeve crew neck</t>
  </si>
  <si>
    <t>moda ruj gown s48</t>
  </si>
  <si>
    <t>elita purple long dress s48</t>
  </si>
  <si>
    <t>cr pur susan</t>
  </si>
  <si>
    <t>kapris black dress w gold circles s3</t>
  </si>
  <si>
    <t>china elis 2pc multicolour trouser set</t>
  </si>
  <si>
    <t>vensi moda 2pc black leopaerd set</t>
  </si>
  <si>
    <t>fasion line blue striped shirt s50</t>
  </si>
  <si>
    <t>china blue short linen dress w steps xl</t>
  </si>
  <si>
    <t>china blue 2pc trouser set lounger</t>
  </si>
  <si>
    <t>roda black velvet short jacket w buttons /zip</t>
  </si>
  <si>
    <t>cr inst mahufe</t>
  </si>
  <si>
    <t>cr inst chidakwa</t>
  </si>
  <si>
    <t>APRIL</t>
  </si>
  <si>
    <t>ajar GOLD gown</t>
  </si>
  <si>
    <t>lemis &amp; ajar sending charges</t>
  </si>
  <si>
    <t>biker</t>
  </si>
  <si>
    <t>staff lunch</t>
  </si>
  <si>
    <t>collection for payment made 16 march</t>
  </si>
  <si>
    <t>cash received - mai rev Gumbo - formanta suit collected 26 mar</t>
  </si>
  <si>
    <t>CHINA short houndstooth jacket 4xl</t>
  </si>
  <si>
    <t>roda coffee/peach pleated skirt s50</t>
  </si>
  <si>
    <t>christian &amp; olk beige pleated handbag</t>
  </si>
  <si>
    <t>x2 china black short fur jerseys w zip</t>
  </si>
  <si>
    <t>CHINA short houndstooth jacket 7xl</t>
  </si>
  <si>
    <t>china brown scotch long jacket 6xl</t>
  </si>
  <si>
    <t>china brown scotch long jacket 5xl</t>
  </si>
  <si>
    <t>china maroon jersey w fur neck</t>
  </si>
  <si>
    <t>cr inst nyikadzino</t>
  </si>
  <si>
    <t>gold fascinator</t>
  </si>
  <si>
    <t xml:space="preserve">china black fur jersey </t>
  </si>
  <si>
    <t>oreya rust t shirt 2xl</t>
  </si>
  <si>
    <t>black fascinator</t>
  </si>
  <si>
    <t>x3 black bayker s4</t>
  </si>
  <si>
    <t>x1 polka dot xl</t>
  </si>
  <si>
    <t>x5 black 2xl</t>
  </si>
  <si>
    <t>returned mrs shumba gweru</t>
  </si>
  <si>
    <t>white china lace dress excha w ceber brown dress w sleeve lace details 42</t>
  </si>
  <si>
    <t>cr pur mrs shumba gweru</t>
  </si>
  <si>
    <t>angel slip on sandals</t>
  </si>
  <si>
    <t>sincere denim dress w pocket design deposit $30 from returned sandals</t>
  </si>
  <si>
    <t>x2 bayker  beige xl</t>
  </si>
  <si>
    <t>vensi moda 2pc black /leopard prit s44</t>
  </si>
  <si>
    <t>ex mai muti</t>
  </si>
  <si>
    <t>CHINA SEA LOT 2</t>
  </si>
  <si>
    <t>christina &amp; OLK</t>
  </si>
  <si>
    <t>black small handbag  w side pocket</t>
  </si>
  <si>
    <t>beige small handbag  w side pocket</t>
  </si>
  <si>
    <t>coffee small handbag  w side pocket</t>
  </si>
  <si>
    <t>coffee big executive handbag w label</t>
  </si>
  <si>
    <t>beige big executive handbag w label</t>
  </si>
  <si>
    <t>black big executive handbag w label</t>
  </si>
  <si>
    <t>beige big handbag  w weave design</t>
  </si>
  <si>
    <t>coffee big handbag  w weave design</t>
  </si>
  <si>
    <t>holiday</t>
  </si>
  <si>
    <t>cr pur zvenyika</t>
  </si>
  <si>
    <t>china cream sandals s40</t>
  </si>
  <si>
    <t>gold mother of the bride hat</t>
  </si>
  <si>
    <t>perla nude /blue floral suit 46</t>
  </si>
  <si>
    <t>christina ol  beige w chain design</t>
  </si>
  <si>
    <t>china black/white houndstooth long jacket 6xl</t>
  </si>
  <si>
    <t>formanta black 2pc w pleated skirt s46</t>
  </si>
  <si>
    <t>china white  satin dress w flower design</t>
  </si>
  <si>
    <t>oreya beige t/shirt 2xl</t>
  </si>
  <si>
    <t>simoda scotch   beige blazer s50</t>
  </si>
  <si>
    <t>cr pur edith</t>
  </si>
  <si>
    <t>roda navy pleated skirts48</t>
  </si>
  <si>
    <t>roda white top w blue edges</t>
  </si>
  <si>
    <t>yina navy blue striped shirt dress</t>
  </si>
  <si>
    <t>cr pur elma</t>
  </si>
  <si>
    <t>vensi moda black 2 pc w leopard design 48</t>
  </si>
  <si>
    <t>maryland brown scotch trousers 54</t>
  </si>
  <si>
    <t>cr inst mai mutanho</t>
  </si>
  <si>
    <t>CHRISTINA&amp; OLK</t>
  </si>
  <si>
    <t>coffee small handbag w outer pouch</t>
  </si>
  <si>
    <t>black small handbag w outer pouch</t>
  </si>
  <si>
    <t>beige small handbag w outer pouch</t>
  </si>
  <si>
    <t>black executive handbag w label tag</t>
  </si>
  <si>
    <t>coffee executive handbag w label tag</t>
  </si>
  <si>
    <t>beige executive handbag w label tag</t>
  </si>
  <si>
    <t>cream w weave design</t>
  </si>
  <si>
    <t>coffee w weave design</t>
  </si>
  <si>
    <t>APRIL 2026… sea cargo lot 2</t>
  </si>
  <si>
    <t>moda 51 black dress w white belt</t>
  </si>
  <si>
    <t>matsika sister</t>
  </si>
  <si>
    <t>Greta Jere</t>
  </si>
  <si>
    <t>jere</t>
  </si>
  <si>
    <t>hsm burberry short cream quilted jacket 2xl</t>
  </si>
  <si>
    <t>home - cash</t>
  </si>
  <si>
    <t>ellita</t>
  </si>
  <si>
    <t>total bill</t>
  </si>
  <si>
    <t>susan</t>
  </si>
  <si>
    <t>oreya black/white polka dot 2pc top xl</t>
  </si>
  <si>
    <t>roda black/white polka dot top s50</t>
  </si>
  <si>
    <t>china brown scotch long jacket 7xl</t>
  </si>
  <si>
    <t>christian olk grey scotch bag w chain handle</t>
  </si>
  <si>
    <t>cash mrs shumba gweru</t>
  </si>
  <si>
    <t>cash zvenyika</t>
  </si>
  <si>
    <t>cash rev chinhoyi</t>
  </si>
  <si>
    <t>reported missing s/t</t>
  </si>
  <si>
    <t>maryland brown/ scotch  trousers 50</t>
  </si>
  <si>
    <t>edith dube</t>
  </si>
  <si>
    <t>elma  dube</t>
  </si>
  <si>
    <t>zeyma blue chiffon maxi dress s1</t>
  </si>
  <si>
    <t>more green   brocade gown 3xl</t>
  </si>
  <si>
    <t>maroon jersey w fur neck</t>
  </si>
  <si>
    <t>china black jersey w fur neck</t>
  </si>
  <si>
    <t>alice band fascinator black</t>
  </si>
  <si>
    <t>cash.</t>
  </si>
  <si>
    <t>china black/white short houndstooth jacket 3xl</t>
  </si>
  <si>
    <t>china beige lace panty 3xl</t>
  </si>
  <si>
    <t>check stock</t>
  </si>
  <si>
    <t>cr pur jaricha  - beige short jacket w zip / black pockets</t>
  </si>
  <si>
    <t>cr pur baba abisha - christina olk - black with chain</t>
  </si>
  <si>
    <t>cr inst lolo</t>
  </si>
  <si>
    <t>x4 bayker panties 3xl pink, white 2 beige</t>
  </si>
  <si>
    <t>x3 bayker panties xl black, polka dot beige</t>
  </si>
  <si>
    <t>x2 bayker panties s6 black,</t>
  </si>
  <si>
    <t>cr inst pastor komichi</t>
  </si>
  <si>
    <t>cr inst baba abisha</t>
  </si>
  <si>
    <t>china beige small fur jersey</t>
  </si>
  <si>
    <t>china beige scotch jersey w pockets</t>
  </si>
  <si>
    <t>donatella</t>
  </si>
  <si>
    <t>burnt orange satin dress w glitter top</t>
  </si>
  <si>
    <t>gold satin dress w glitter top</t>
  </si>
  <si>
    <t>lilac satin gown w flared short sleeve</t>
  </si>
  <si>
    <t>gold pleated gown w  front design</t>
  </si>
  <si>
    <t>pretty woman</t>
  </si>
  <si>
    <t>black dress w zip pockets &amp;button down</t>
  </si>
  <si>
    <t>black dress w side button &amp; belt</t>
  </si>
  <si>
    <t>black 2 pc suit w pleated skirt</t>
  </si>
  <si>
    <t>coffe dress w pleated scotch bottom</t>
  </si>
  <si>
    <t>APRIL 2026…</t>
  </si>
  <si>
    <t>ELLITA</t>
  </si>
  <si>
    <t>gold gown</t>
  </si>
  <si>
    <t>soft denim 2pc top &amp; trouser set</t>
  </si>
  <si>
    <t>March April 2026…</t>
  </si>
  <si>
    <t xml:space="preserve">april sea cargo - </t>
  </si>
  <si>
    <t>cream/black long jersey w cream fur collar</t>
  </si>
  <si>
    <t>cream/black long jersey w beige fur collar</t>
  </si>
  <si>
    <t>black/white long jersey w thick collar &amp; jewel fastener</t>
  </si>
  <si>
    <t>lilac/white long jersey w thick collar &amp; jewel fastener</t>
  </si>
  <si>
    <t>beige/black long jersey w thick collar &amp; jewel fastener</t>
  </si>
  <si>
    <t>black/white  long jersey w black fur collar</t>
  </si>
  <si>
    <t>cream/black long jersey wblack line  no buttons</t>
  </si>
  <si>
    <t>brown/beige long jersey channel w no buttons</t>
  </si>
  <si>
    <t>black/white short jersey w white fur collar</t>
  </si>
  <si>
    <t>beige/black scotch short jersey w fur collar &amp;front pockets</t>
  </si>
  <si>
    <t>cream/black scotch short jersey w fur collar &amp;front pockets</t>
  </si>
  <si>
    <t>black/grey poncho w grey fur edge</t>
  </si>
  <si>
    <t>black/white poncho w black fur edge</t>
  </si>
  <si>
    <t>beige cardigan w black lines on pockets &amp; zip</t>
  </si>
  <si>
    <t>black hoodie  w zip and back buttons</t>
  </si>
  <si>
    <t>coffee hoodie  w zip and back buttons</t>
  </si>
  <si>
    <t>black short poncho</t>
  </si>
  <si>
    <t>cr pur tariro</t>
  </si>
  <si>
    <t>catania blue/beige top 54</t>
  </si>
  <si>
    <t>oreya light throw - black L</t>
  </si>
  <si>
    <t>cr inst jaricha</t>
  </si>
  <si>
    <t>april rentals and opc</t>
  </si>
  <si>
    <t>formanta black pleated suit</t>
  </si>
  <si>
    <t>glow pleated dress</t>
  </si>
  <si>
    <t>ideal 2 seri black dress</t>
  </si>
  <si>
    <t>china jersey sea cargo duty</t>
  </si>
  <si>
    <t>cargo vegas moda</t>
  </si>
  <si>
    <t>cargo lemiss</t>
  </si>
  <si>
    <t>cargo ideal stock</t>
  </si>
  <si>
    <t>chema lydia</t>
  </si>
  <si>
    <t>daily</t>
  </si>
  <si>
    <t>nyasha school fees</t>
  </si>
  <si>
    <t>cr inst matsika sister</t>
  </si>
  <si>
    <t>china black fur poncho</t>
  </si>
  <si>
    <t>china black fur poncho 35</t>
  </si>
  <si>
    <t>cr pur chingosho</t>
  </si>
  <si>
    <t>oreya black/white 2pc</t>
  </si>
  <si>
    <t>tanzania denim set</t>
  </si>
  <si>
    <t>emmanuel chibaya</t>
  </si>
  <si>
    <t>china green flowery frilled pleated dress2xl</t>
  </si>
  <si>
    <t>china beige cardigan w black pockets</t>
  </si>
  <si>
    <t>tariro</t>
  </si>
  <si>
    <t>cr inst edith dube</t>
  </si>
  <si>
    <t>donation - tete pau husband medication</t>
  </si>
  <si>
    <t>china black walet</t>
  </si>
  <si>
    <t>more gold sleeveless gown  tete nyaradzo</t>
  </si>
  <si>
    <t>tete pau assistance</t>
  </si>
  <si>
    <t>kapris black dress w embroidered pockets s4</t>
  </si>
  <si>
    <t>hezra coffee dress w lace pleats</t>
  </si>
  <si>
    <t>fervente pink short dres s38</t>
  </si>
  <si>
    <t>china black linen 2 pc skirt /top M</t>
  </si>
  <si>
    <t>atik pink night dress 5xl</t>
  </si>
  <si>
    <t>china cream /black long jersey w thick collar</t>
  </si>
  <si>
    <t>byen navy trousers s48</t>
  </si>
  <si>
    <t>china green slip on sandals s39</t>
  </si>
  <si>
    <t>christina &amp; olk coffee executive bag w bow</t>
  </si>
  <si>
    <t>tithe</t>
  </si>
  <si>
    <t>transfer charges</t>
  </si>
  <si>
    <t>layby inst jere</t>
  </si>
  <si>
    <t>layby inst greta</t>
  </si>
  <si>
    <t>cr pur matsika china black/white short jersey</t>
  </si>
  <si>
    <t>dress up mint green chiffon dress s50</t>
  </si>
  <si>
    <t>cr pur makaita</t>
  </si>
  <si>
    <t>china black/white  short jersey</t>
  </si>
  <si>
    <t>oreya grey crew neck</t>
  </si>
  <si>
    <t>cr pur mrs handina - china cream top &amp; skirt w seps</t>
  </si>
  <si>
    <t>china brown/beige long jersey channel no buttons</t>
  </si>
  <si>
    <t>china long brown scotch jacket  6xl</t>
  </si>
  <si>
    <t>christina &amp; olk black small handbag</t>
  </si>
  <si>
    <t>redonna denim long skirt w front slit s48</t>
  </si>
  <si>
    <t>redonna denim long skirt w back slit s54</t>
  </si>
  <si>
    <t>white lace dress china</t>
  </si>
  <si>
    <t>yina multi colour summer dress - mrs manyowa</t>
  </si>
  <si>
    <t>china round fascinator - gold</t>
  </si>
  <si>
    <t>winter scarf ex abiba</t>
  </si>
  <si>
    <t>christina &amp; olk coffee handbag w chain belt</t>
  </si>
  <si>
    <t>cr matsika</t>
  </si>
  <si>
    <t>cr makaita</t>
  </si>
  <si>
    <t>oreya navy crew neck</t>
  </si>
  <si>
    <t>makaita</t>
  </si>
  <si>
    <t>home cash</t>
  </si>
  <si>
    <t>home makaita</t>
  </si>
  <si>
    <t>23 aprl</t>
  </si>
  <si>
    <t>layby pur greta angel original maroon sandals</t>
  </si>
  <si>
    <t>greta jere</t>
  </si>
  <si>
    <t>cash chipi gym</t>
  </si>
  <si>
    <t>china blue short linen  with steps dress xl</t>
  </si>
  <si>
    <t>oreya red top  t shirt w collar design</t>
  </si>
  <si>
    <t>aftermath april rent</t>
  </si>
  <si>
    <t>cr inst rev zibako - black suit w pleated skirt 54</t>
  </si>
  <si>
    <t>mai rev zibako</t>
  </si>
  <si>
    <t>cr inst mrs handina</t>
  </si>
  <si>
    <t>cr pur mrs handina</t>
  </si>
  <si>
    <t>china green short casual linen dress</t>
  </si>
  <si>
    <t>love comfort army green casual dress</t>
  </si>
  <si>
    <t>cr pur mai prudence - china flat sandals black s41</t>
  </si>
  <si>
    <t>fervente beige /brown pleated dress 44</t>
  </si>
  <si>
    <t>layby  mrs magutsa - gumanise short flowery dress 44</t>
  </si>
  <si>
    <t>layby mrs magutsa</t>
  </si>
  <si>
    <t>magutsa</t>
  </si>
  <si>
    <t>china houndstooth long jacket 5xl</t>
  </si>
  <si>
    <t>christina olk khakhi wallet</t>
  </si>
  <si>
    <t xml:space="preserve"> china black/beige long jersey w beige  fur neck</t>
  </si>
  <si>
    <t>returned in stock. Purchase made by mai Ushe 2025</t>
  </si>
  <si>
    <t>credit pur norah RETURNED</t>
  </si>
  <si>
    <t>CR mrs kambarami</t>
  </si>
  <si>
    <t xml:space="preserve">home cash </t>
  </si>
  <si>
    <t>cr pur mrs govhati</t>
  </si>
  <si>
    <t>china cream/black long jersey w thick collar</t>
  </si>
  <si>
    <t>china black and white short jersey</t>
  </si>
  <si>
    <t>mai govhati</t>
  </si>
  <si>
    <t>china short houndstooth jacket 3xl</t>
  </si>
  <si>
    <t>vannes dissa  green top w high sleeves and black button design s40</t>
  </si>
  <si>
    <t>china cream skirt set w ruffled skirt</t>
  </si>
  <si>
    <t>sara pink one arm dress s40</t>
  </si>
  <si>
    <t>exchange mai chidanho  -took yina summer multi colour maxi dress</t>
  </si>
  <si>
    <t>cr inst rev mutimodyo</t>
  </si>
  <si>
    <t>cr pur baba abisha  - china black/white houndstooth long jacket 3xl</t>
  </si>
  <si>
    <t>chidanho exchange and top up</t>
  </si>
  <si>
    <t>baba abisha</t>
  </si>
  <si>
    <t>cr inst mai musapa</t>
  </si>
  <si>
    <t>cr pur mai musapa - china cream moccasin s42</t>
  </si>
  <si>
    <t>cr pur - kunashe musapa</t>
  </si>
  <si>
    <t>christina olk cream small handbag</t>
  </si>
  <si>
    <t>christina olk cream wallet</t>
  </si>
  <si>
    <t>kunashe musapatika</t>
  </si>
  <si>
    <t>kunashe musapa</t>
  </si>
  <si>
    <t>CR INST MANDIDZINGA</t>
  </si>
  <si>
    <t>mavellino black suit w pleated jacket 48</t>
  </si>
  <si>
    <t>china black small executive bag</t>
  </si>
  <si>
    <t>layby mrs marufu- my tenim denim dress w pleated hen 48</t>
  </si>
  <si>
    <t>returned in stock - orey red t shirt exchange w oreya green t shirt</t>
  </si>
  <si>
    <t>green small wallet</t>
  </si>
  <si>
    <t>credit inst susan</t>
  </si>
  <si>
    <t>cr inst kunashe</t>
  </si>
  <si>
    <t>cr inst mrs shumba harare</t>
  </si>
  <si>
    <t>pretty woman black dress w front buttons 48 &amp; zip pockets</t>
  </si>
  <si>
    <t>cr inst tariro</t>
  </si>
  <si>
    <t>56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</si>
</sst>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  <numFmt numFmtId="167" formatCode="m/d/yyyy;@"/>
    <numFmt numFmtId="168" formatCode="[$-409]d\-mmm;@"/>
    <numFmt numFmtId="169" formatCode="[$-409]d\-mmm\-yy;@"/>
    <numFmt numFmtId="170" formatCode="#,##0.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name val="Calibri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C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rgb="FFFFC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i/>
      <sz val="16"/>
      <color rgb="FFFFC000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4">
    <xf numFmtId="0" fontId="0" fillId="0" borderId="0" xfId="0"/>
    <xf numFmtId="0" fontId="0" fillId="0" borderId="0" xfId="0" applyAlignment="1">
      <alignment wrapText="1"/>
    </xf>
    <xf numFmtId="166" fontId="0" fillId="0" borderId="0" xfId="1" applyNumberFormat="1" applyFont="1"/>
    <xf numFmtId="0" fontId="2" fillId="0" borderId="0" xfId="0" applyFont="1"/>
    <xf numFmtId="166" fontId="0" fillId="0" borderId="0" xfId="0" applyNumberFormat="1"/>
    <xf numFmtId="0" fontId="4" fillId="0" borderId="0" xfId="0" applyFont="1"/>
    <xf numFmtId="16" fontId="0" fillId="0" borderId="0" xfId="0" applyNumberFormat="1"/>
    <xf numFmtId="0" fontId="2" fillId="0" borderId="8" xfId="0" applyFont="1" applyBorder="1"/>
    <xf numFmtId="0" fontId="2" fillId="0" borderId="9" xfId="0" applyFont="1" applyBorder="1"/>
    <xf numFmtId="0" fontId="5" fillId="0" borderId="8" xfId="0" applyFont="1" applyBorder="1"/>
    <xf numFmtId="0" fontId="6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  <xf numFmtId="166" fontId="4" fillId="0" borderId="11" xfId="1" applyNumberFormat="1" applyFont="1" applyBorder="1"/>
    <xf numFmtId="0" fontId="2" fillId="0" borderId="11" xfId="0" applyFont="1" applyBorder="1"/>
    <xf numFmtId="166" fontId="2" fillId="0" borderId="14" xfId="1" applyNumberFormat="1" applyFont="1" applyBorder="1"/>
    <xf numFmtId="166" fontId="2" fillId="0" borderId="2" xfId="1" applyNumberFormat="1" applyFont="1" applyBorder="1"/>
    <xf numFmtId="166" fontId="0" fillId="0" borderId="11" xfId="1" applyNumberFormat="1" applyFont="1" applyBorder="1"/>
    <xf numFmtId="0" fontId="5" fillId="0" borderId="4" xfId="0" applyFont="1" applyBorder="1"/>
    <xf numFmtId="166" fontId="6" fillId="0" borderId="11" xfId="1" applyNumberFormat="1" applyFont="1" applyBorder="1"/>
    <xf numFmtId="166" fontId="6" fillId="0" borderId="0" xfId="1" applyNumberFormat="1" applyFont="1"/>
    <xf numFmtId="0" fontId="6" fillId="0" borderId="4" xfId="0" applyFont="1" applyBorder="1"/>
    <xf numFmtId="166" fontId="6" fillId="0" borderId="15" xfId="1" applyNumberFormat="1" applyFont="1" applyBorder="1"/>
    <xf numFmtId="166" fontId="6" fillId="0" borderId="7" xfId="1" applyNumberFormat="1" applyFont="1" applyBorder="1"/>
    <xf numFmtId="166" fontId="5" fillId="0" borderId="15" xfId="1" applyNumberFormat="1" applyFont="1" applyBorder="1"/>
    <xf numFmtId="0" fontId="9" fillId="0" borderId="0" xfId="0" applyFont="1"/>
    <xf numFmtId="166" fontId="5" fillId="0" borderId="0" xfId="1" applyNumberFormat="1" applyFont="1"/>
    <xf numFmtId="166" fontId="10" fillId="0" borderId="11" xfId="1" applyNumberFormat="1" applyFont="1" applyBorder="1"/>
    <xf numFmtId="166" fontId="10" fillId="0" borderId="0" xfId="1" applyNumberFormat="1" applyFont="1"/>
    <xf numFmtId="166" fontId="5" fillId="0" borderId="9" xfId="1" applyNumberFormat="1" applyFont="1" applyBorder="1"/>
    <xf numFmtId="166" fontId="5" fillId="0" borderId="12" xfId="1" applyNumberFormat="1" applyFont="1" applyBorder="1"/>
    <xf numFmtId="166" fontId="11" fillId="0" borderId="0" xfId="1" applyNumberFormat="1" applyFont="1"/>
    <xf numFmtId="0" fontId="10" fillId="0" borderId="0" xfId="0" applyFont="1"/>
    <xf numFmtId="166" fontId="5" fillId="0" borderId="11" xfId="1" applyNumberFormat="1" applyFont="1" applyBorder="1"/>
    <xf numFmtId="0" fontId="12" fillId="0" borderId="0" xfId="0" applyFont="1"/>
    <xf numFmtId="166" fontId="8" fillId="0" borderId="16" xfId="1" applyNumberFormat="1" applyFont="1" applyBorder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14" fontId="0" fillId="0" borderId="0" xfId="0" applyNumberFormat="1"/>
    <xf numFmtId="166" fontId="0" fillId="0" borderId="5" xfId="1" applyNumberFormat="1" applyFont="1" applyBorder="1"/>
    <xf numFmtId="0" fontId="0" fillId="0" borderId="17" xfId="0" applyBorder="1"/>
    <xf numFmtId="166" fontId="2" fillId="0" borderId="0" xfId="0" applyNumberFormat="1" applyFont="1"/>
    <xf numFmtId="17" fontId="0" fillId="0" borderId="0" xfId="0" applyNumberFormat="1"/>
    <xf numFmtId="0" fontId="0" fillId="0" borderId="18" xfId="0" applyBorder="1"/>
    <xf numFmtId="0" fontId="4" fillId="0" borderId="16" xfId="0" applyFont="1" applyBorder="1"/>
    <xf numFmtId="0" fontId="0" fillId="0" borderId="16" xfId="0" applyBorder="1"/>
    <xf numFmtId="0" fontId="4" fillId="0" borderId="19" xfId="0" applyFont="1" applyBorder="1"/>
    <xf numFmtId="0" fontId="0" fillId="0" borderId="20" xfId="0" applyBorder="1"/>
    <xf numFmtId="166" fontId="5" fillId="0" borderId="0" xfId="0" applyNumberFormat="1" applyFont="1"/>
    <xf numFmtId="0" fontId="0" fillId="0" borderId="11" xfId="0" applyBorder="1"/>
    <xf numFmtId="166" fontId="2" fillId="0" borderId="9" xfId="1" applyNumberFormat="1" applyFont="1" applyBorder="1"/>
    <xf numFmtId="0" fontId="11" fillId="0" borderId="0" xfId="0" applyFont="1" applyAlignment="1">
      <alignment wrapText="1"/>
    </xf>
    <xf numFmtId="166" fontId="0" fillId="0" borderId="0" xfId="1" applyNumberFormat="1" applyFont="1" applyAlignment="1">
      <alignment wrapText="1"/>
    </xf>
    <xf numFmtId="166" fontId="13" fillId="0" borderId="0" xfId="1" applyNumberFormat="1" applyFont="1" applyAlignment="1">
      <alignment wrapText="1"/>
    </xf>
    <xf numFmtId="166" fontId="11" fillId="0" borderId="0" xfId="1" applyNumberFormat="1" applyFont="1" applyAlignment="1">
      <alignment wrapText="1"/>
    </xf>
    <xf numFmtId="166" fontId="6" fillId="0" borderId="0" xfId="0" applyNumberFormat="1" applyFont="1"/>
    <xf numFmtId="0" fontId="11" fillId="0" borderId="0" xfId="0" applyFont="1"/>
    <xf numFmtId="166" fontId="2" fillId="0" borderId="0" xfId="1" applyNumberFormat="1" applyFont="1"/>
    <xf numFmtId="166" fontId="0" fillId="3" borderId="0" xfId="1" applyNumberFormat="1" applyFont="1" applyFill="1"/>
    <xf numFmtId="166" fontId="11" fillId="3" borderId="0" xfId="1" applyNumberFormat="1" applyFont="1" applyFill="1"/>
    <xf numFmtId="166" fontId="14" fillId="0" borderId="0" xfId="1" applyNumberFormat="1" applyFont="1" applyAlignment="1">
      <alignment wrapText="1"/>
    </xf>
    <xf numFmtId="0" fontId="6" fillId="0" borderId="6" xfId="0" applyFont="1" applyBorder="1"/>
    <xf numFmtId="0" fontId="10" fillId="0" borderId="0" xfId="0" applyFont="1" applyAlignment="1">
      <alignment wrapText="1"/>
    </xf>
    <xf numFmtId="166" fontId="10" fillId="0" borderId="0" xfId="1" applyNumberFormat="1" applyFont="1" applyAlignment="1">
      <alignment wrapText="1"/>
    </xf>
    <xf numFmtId="166" fontId="11" fillId="0" borderId="0" xfId="0" applyNumberFormat="1" applyFont="1"/>
    <xf numFmtId="0" fontId="11" fillId="2" borderId="0" xfId="0" applyFont="1" applyFill="1"/>
    <xf numFmtId="0" fontId="11" fillId="3" borderId="0" xfId="0" applyFont="1" applyFill="1"/>
    <xf numFmtId="166" fontId="11" fillId="3" borderId="0" xfId="0" applyNumberFormat="1" applyFont="1" applyFill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3" fillId="3" borderId="0" xfId="0" applyFont="1" applyFill="1" applyAlignment="1">
      <alignment vertical="justify" wrapText="1"/>
    </xf>
    <xf numFmtId="0" fontId="3" fillId="0" borderId="0" xfId="0" applyFont="1" applyAlignment="1">
      <alignment vertical="justify" wrapText="1"/>
    </xf>
    <xf numFmtId="0" fontId="16" fillId="0" borderId="0" xfId="0" applyFont="1" applyAlignment="1">
      <alignment vertical="justify" wrapText="1"/>
    </xf>
    <xf numFmtId="0" fontId="13" fillId="3" borderId="0" xfId="0" applyFont="1" applyFill="1" applyAlignment="1">
      <alignment wrapText="1"/>
    </xf>
    <xf numFmtId="0" fontId="10" fillId="4" borderId="0" xfId="0" applyFont="1" applyFill="1"/>
    <xf numFmtId="0" fontId="10" fillId="2" borderId="0" xfId="0" applyFont="1" applyFill="1"/>
    <xf numFmtId="0" fontId="17" fillId="0" borderId="0" xfId="0" applyFont="1"/>
    <xf numFmtId="0" fontId="18" fillId="0" borderId="0" xfId="0" applyFont="1"/>
    <xf numFmtId="166" fontId="14" fillId="0" borderId="0" xfId="0" applyNumberFormat="1" applyFont="1" applyAlignment="1">
      <alignment wrapText="1"/>
    </xf>
    <xf numFmtId="17" fontId="10" fillId="0" borderId="0" xfId="0" applyNumberFormat="1" applyFont="1"/>
    <xf numFmtId="0" fontId="15" fillId="0" borderId="0" xfId="0" applyFont="1" applyAlignment="1">
      <alignment vertical="justify" wrapText="1"/>
    </xf>
    <xf numFmtId="166" fontId="10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165" fontId="11" fillId="0" borderId="0" xfId="0" applyNumberFormat="1" applyFont="1"/>
    <xf numFmtId="16" fontId="11" fillId="0" borderId="0" xfId="0" applyNumberFormat="1" applyFont="1"/>
    <xf numFmtId="0" fontId="0" fillId="0" borderId="25" xfId="0" applyBorder="1"/>
    <xf numFmtId="0" fontId="0" fillId="0" borderId="27" xfId="0" applyBorder="1"/>
    <xf numFmtId="0" fontId="4" fillId="0" borderId="0" xfId="0" applyFont="1" applyAlignment="1">
      <alignment horizontal="center"/>
    </xf>
    <xf numFmtId="9" fontId="0" fillId="0" borderId="0" xfId="0" applyNumberFormat="1"/>
    <xf numFmtId="0" fontId="4" fillId="0" borderId="22" xfId="0" applyFont="1" applyBorder="1"/>
    <xf numFmtId="0" fontId="0" fillId="2" borderId="0" xfId="0" applyFill="1"/>
    <xf numFmtId="166" fontId="11" fillId="2" borderId="0" xfId="1" applyNumberFormat="1" applyFont="1" applyFill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/>
    <xf numFmtId="0" fontId="2" fillId="0" borderId="1" xfId="0" applyFont="1" applyBorder="1"/>
    <xf numFmtId="17" fontId="2" fillId="0" borderId="24" xfId="0" applyNumberFormat="1" applyFont="1" applyBorder="1"/>
    <xf numFmtId="17" fontId="2" fillId="0" borderId="26" xfId="0" applyNumberFormat="1" applyFont="1" applyBorder="1"/>
    <xf numFmtId="17" fontId="2" fillId="0" borderId="28" xfId="0" applyNumberFormat="1" applyFont="1" applyBorder="1"/>
    <xf numFmtId="0" fontId="4" fillId="0" borderId="8" xfId="0" applyFont="1" applyBorder="1"/>
    <xf numFmtId="166" fontId="4" fillId="0" borderId="9" xfId="1" applyNumberFormat="1" applyFont="1" applyBorder="1"/>
    <xf numFmtId="0" fontId="10" fillId="0" borderId="8" xfId="0" applyFont="1" applyBorder="1"/>
    <xf numFmtId="0" fontId="10" fillId="0" borderId="9" xfId="0" applyFont="1" applyBorder="1"/>
    <xf numFmtId="0" fontId="0" fillId="0" borderId="0" xfId="0" applyAlignment="1">
      <alignment horizontal="center"/>
    </xf>
    <xf numFmtId="166" fontId="6" fillId="7" borderId="0" xfId="1" applyNumberFormat="1" applyFont="1" applyFill="1"/>
    <xf numFmtId="166" fontId="6" fillId="7" borderId="11" xfId="1" applyNumberFormat="1" applyFont="1" applyFill="1" applyBorder="1"/>
    <xf numFmtId="0" fontId="2" fillId="0" borderId="10" xfId="0" applyFont="1" applyBorder="1"/>
    <xf numFmtId="0" fontId="0" fillId="0" borderId="13" xfId="0" applyBorder="1"/>
    <xf numFmtId="0" fontId="6" fillId="4" borderId="0" xfId="0" applyFont="1" applyFill="1"/>
    <xf numFmtId="0" fontId="2" fillId="0" borderId="13" xfId="0" applyFont="1" applyBorder="1"/>
    <xf numFmtId="166" fontId="0" fillId="0" borderId="18" xfId="1" applyNumberFormat="1" applyFont="1" applyBorder="1"/>
    <xf numFmtId="166" fontId="10" fillId="0" borderId="19" xfId="1" applyNumberFormat="1" applyFont="1" applyBorder="1" applyAlignment="1">
      <alignment wrapText="1"/>
    </xf>
    <xf numFmtId="0" fontId="27" fillId="0" borderId="0" xfId="0" applyFont="1" applyAlignment="1">
      <alignment vertical="justify" wrapText="1"/>
    </xf>
    <xf numFmtId="0" fontId="26" fillId="0" borderId="0" xfId="0" applyFont="1"/>
    <xf numFmtId="0" fontId="27" fillId="0" borderId="0" xfId="0" applyFont="1" applyAlignment="1">
      <alignment vertical="justify"/>
    </xf>
    <xf numFmtId="0" fontId="26" fillId="3" borderId="0" xfId="0" applyFont="1" applyFill="1"/>
    <xf numFmtId="0" fontId="28" fillId="0" borderId="0" xfId="0" applyFont="1" applyAlignment="1">
      <alignment wrapText="1"/>
    </xf>
    <xf numFmtId="0" fontId="28" fillId="3" borderId="0" xfId="0" applyFont="1" applyFill="1" applyAlignment="1">
      <alignment wrapText="1"/>
    </xf>
    <xf numFmtId="0" fontId="27" fillId="3" borderId="0" xfId="0" applyFont="1" applyFill="1" applyAlignment="1">
      <alignment vertical="justify"/>
    </xf>
    <xf numFmtId="166" fontId="26" fillId="0" borderId="0" xfId="1" applyNumberFormat="1" applyFont="1"/>
    <xf numFmtId="0" fontId="26" fillId="0" borderId="0" xfId="0" applyFont="1" applyAlignment="1">
      <alignment wrapText="1"/>
    </xf>
    <xf numFmtId="166" fontId="4" fillId="0" borderId="0" xfId="1" applyNumberFormat="1" applyFont="1"/>
    <xf numFmtId="0" fontId="10" fillId="0" borderId="13" xfId="0" applyFont="1" applyBorder="1"/>
    <xf numFmtId="166" fontId="10" fillId="0" borderId="13" xfId="1" applyNumberFormat="1" applyFont="1" applyBorder="1"/>
    <xf numFmtId="0" fontId="26" fillId="0" borderId="9" xfId="0" applyFont="1" applyBorder="1"/>
    <xf numFmtId="166" fontId="10" fillId="0" borderId="9" xfId="1" applyNumberFormat="1" applyFont="1" applyBorder="1" applyAlignment="1">
      <alignment wrapText="1"/>
    </xf>
    <xf numFmtId="0" fontId="10" fillId="0" borderId="9" xfId="0" applyFont="1" applyBorder="1" applyAlignment="1">
      <alignment wrapText="1"/>
    </xf>
    <xf numFmtId="165" fontId="5" fillId="0" borderId="0" xfId="0" applyNumberFormat="1" applyFont="1"/>
    <xf numFmtId="0" fontId="25" fillId="0" borderId="0" xfId="0" applyFont="1"/>
    <xf numFmtId="2" fontId="4" fillId="0" borderId="0" xfId="0" applyNumberFormat="1" applyFont="1" applyAlignment="1">
      <alignment wrapText="1"/>
    </xf>
    <xf numFmtId="2" fontId="4" fillId="0" borderId="16" xfId="0" applyNumberFormat="1" applyFont="1" applyBorder="1" applyAlignment="1">
      <alignment wrapText="1"/>
    </xf>
    <xf numFmtId="2" fontId="4" fillId="0" borderId="11" xfId="1" applyNumberFormat="1" applyFont="1" applyBorder="1" applyAlignment="1">
      <alignment wrapText="1"/>
    </xf>
    <xf numFmtId="166" fontId="2" fillId="0" borderId="16" xfId="1" applyNumberFormat="1" applyFont="1" applyBorder="1"/>
    <xf numFmtId="166" fontId="4" fillId="0" borderId="16" xfId="1" applyNumberFormat="1" applyFont="1" applyBorder="1" applyAlignment="1">
      <alignment wrapText="1"/>
    </xf>
    <xf numFmtId="166" fontId="0" fillId="0" borderId="0" xfId="1" applyNumberFormat="1" applyFont="1" applyFill="1"/>
    <xf numFmtId="166" fontId="5" fillId="0" borderId="0" xfId="1" applyNumberFormat="1" applyFont="1" applyBorder="1"/>
    <xf numFmtId="166" fontId="6" fillId="0" borderId="0" xfId="1" applyNumberFormat="1" applyFont="1" applyFill="1"/>
    <xf numFmtId="1" fontId="6" fillId="0" borderId="0" xfId="0" applyNumberFormat="1" applyFont="1"/>
    <xf numFmtId="166" fontId="0" fillId="0" borderId="0" xfId="1" applyNumberFormat="1" applyFont="1" applyBorder="1"/>
    <xf numFmtId="166" fontId="6" fillId="0" borderId="0" xfId="1" applyNumberFormat="1" applyFont="1" applyFill="1" applyBorder="1"/>
    <xf numFmtId="166" fontId="5" fillId="0" borderId="0" xfId="1" applyNumberFormat="1" applyFont="1" applyFill="1" applyBorder="1"/>
    <xf numFmtId="16" fontId="17" fillId="0" borderId="0" xfId="0" applyNumberFormat="1" applyFont="1"/>
    <xf numFmtId="166" fontId="10" fillId="0" borderId="0" xfId="1" applyNumberFormat="1" applyFont="1" applyFill="1" applyBorder="1"/>
    <xf numFmtId="166" fontId="4" fillId="0" borderId="0" xfId="1" applyNumberFormat="1" applyFont="1" applyFill="1"/>
    <xf numFmtId="166" fontId="1" fillId="0" borderId="0" xfId="1" applyNumberFormat="1" applyFont="1" applyFill="1" applyBorder="1"/>
    <xf numFmtId="166" fontId="2" fillId="0" borderId="0" xfId="1" applyNumberFormat="1" applyFont="1" applyFill="1" applyBorder="1"/>
    <xf numFmtId="166" fontId="11" fillId="0" borderId="0" xfId="1" applyNumberFormat="1" applyFont="1" applyFill="1" applyBorder="1"/>
    <xf numFmtId="0" fontId="0" fillId="5" borderId="0" xfId="0" applyFill="1"/>
    <xf numFmtId="0" fontId="2" fillId="5" borderId="0" xfId="0" applyFont="1" applyFill="1"/>
    <xf numFmtId="0" fontId="6" fillId="5" borderId="0" xfId="0" applyFont="1" applyFill="1"/>
    <xf numFmtId="0" fontId="26" fillId="5" borderId="0" xfId="0" applyFont="1" applyFill="1"/>
    <xf numFmtId="166" fontId="0" fillId="5" borderId="0" xfId="1" applyNumberFormat="1" applyFont="1" applyFill="1" applyAlignment="1"/>
    <xf numFmtId="0" fontId="33" fillId="0" borderId="0" xfId="0" applyFont="1"/>
    <xf numFmtId="0" fontId="17" fillId="0" borderId="0" xfId="0" applyFont="1" applyAlignment="1">
      <alignment wrapText="1"/>
    </xf>
    <xf numFmtId="0" fontId="18" fillId="0" borderId="8" xfId="0" applyFont="1" applyBorder="1"/>
    <xf numFmtId="0" fontId="13" fillId="0" borderId="0" xfId="0" applyFont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wrapText="1"/>
    </xf>
    <xf numFmtId="166" fontId="5" fillId="0" borderId="8" xfId="1" applyNumberFormat="1" applyFont="1" applyFill="1" applyBorder="1"/>
    <xf numFmtId="166" fontId="5" fillId="0" borderId="9" xfId="1" applyNumberFormat="1" applyFont="1" applyFill="1" applyBorder="1"/>
    <xf numFmtId="166" fontId="5" fillId="0" borderId="10" xfId="1" applyNumberFormat="1" applyFont="1" applyFill="1" applyBorder="1"/>
    <xf numFmtId="16" fontId="11" fillId="2" borderId="0" xfId="0" applyNumberFormat="1" applyFont="1" applyFill="1"/>
    <xf numFmtId="0" fontId="26" fillId="2" borderId="0" xfId="0" applyFont="1" applyFill="1"/>
    <xf numFmtId="166" fontId="5" fillId="0" borderId="15" xfId="1" applyNumberFormat="1" applyFont="1" applyFill="1" applyBorder="1"/>
    <xf numFmtId="166" fontId="5" fillId="0" borderId="12" xfId="1" applyNumberFormat="1" applyFont="1" applyFill="1" applyBorder="1"/>
    <xf numFmtId="166" fontId="5" fillId="0" borderId="23" xfId="1" applyNumberFormat="1" applyFont="1" applyFill="1" applyBorder="1"/>
    <xf numFmtId="166" fontId="10" fillId="0" borderId="11" xfId="1" applyNumberFormat="1" applyFont="1" applyFill="1" applyBorder="1"/>
    <xf numFmtId="0" fontId="15" fillId="0" borderId="0" xfId="0" applyFont="1" applyAlignment="1">
      <alignment horizontal="right" vertical="justify" wrapText="1"/>
    </xf>
    <xf numFmtId="166" fontId="10" fillId="0" borderId="0" xfId="1" applyNumberFormat="1" applyFont="1" applyBorder="1" applyAlignment="1">
      <alignment wrapText="1"/>
    </xf>
    <xf numFmtId="10" fontId="10" fillId="0" borderId="0" xfId="0" applyNumberFormat="1" applyFont="1" applyAlignment="1">
      <alignment wrapText="1"/>
    </xf>
    <xf numFmtId="168" fontId="14" fillId="0" borderId="0" xfId="0" applyNumberFormat="1" applyFont="1" applyAlignment="1">
      <alignment wrapText="1"/>
    </xf>
    <xf numFmtId="166" fontId="10" fillId="0" borderId="0" xfId="1" applyNumberFormat="1" applyFont="1" applyFill="1" applyBorder="1" applyAlignment="1">
      <alignment wrapText="1"/>
    </xf>
    <xf numFmtId="166" fontId="0" fillId="0" borderId="0" xfId="1" applyNumberFormat="1" applyFont="1" applyFill="1" applyBorder="1"/>
    <xf numFmtId="9" fontId="0" fillId="0" borderId="0" xfId="2" applyFont="1" applyFill="1" applyBorder="1"/>
    <xf numFmtId="166" fontId="19" fillId="0" borderId="0" xfId="1" applyNumberFormat="1" applyFont="1" applyFill="1" applyBorder="1"/>
    <xf numFmtId="166" fontId="0" fillId="3" borderId="0" xfId="1" applyNumberFormat="1" applyFont="1" applyFill="1" applyBorder="1"/>
    <xf numFmtId="0" fontId="10" fillId="2" borderId="8" xfId="0" applyFont="1" applyFill="1" applyBorder="1"/>
    <xf numFmtId="0" fontId="4" fillId="0" borderId="4" xfId="0" applyFont="1" applyBorder="1"/>
    <xf numFmtId="0" fontId="2" fillId="0" borderId="12" xfId="0" applyFont="1" applyBorder="1"/>
    <xf numFmtId="166" fontId="6" fillId="0" borderId="11" xfId="1" applyNumberFormat="1" applyFont="1" applyFill="1" applyBorder="1"/>
    <xf numFmtId="16" fontId="2" fillId="0" borderId="0" xfId="0" applyNumberFormat="1" applyFont="1"/>
    <xf numFmtId="0" fontId="18" fillId="0" borderId="0" xfId="0" applyFont="1" applyAlignment="1">
      <alignment wrapText="1"/>
    </xf>
    <xf numFmtId="166" fontId="17" fillId="0" borderId="0" xfId="0" applyNumberFormat="1" applyFont="1"/>
    <xf numFmtId="0" fontId="18" fillId="0" borderId="13" xfId="0" applyFont="1" applyBorder="1"/>
    <xf numFmtId="166" fontId="18" fillId="0" borderId="13" xfId="0" applyNumberFormat="1" applyFont="1" applyBorder="1"/>
    <xf numFmtId="166" fontId="10" fillId="0" borderId="0" xfId="1" applyNumberFormat="1" applyFont="1" applyBorder="1"/>
    <xf numFmtId="16" fontId="10" fillId="0" borderId="0" xfId="0" applyNumberFormat="1" applyFont="1"/>
    <xf numFmtId="0" fontId="23" fillId="0" borderId="0" xfId="0" applyFont="1"/>
    <xf numFmtId="166" fontId="6" fillId="0" borderId="0" xfId="1" applyNumberFormat="1" applyFont="1" applyBorder="1"/>
    <xf numFmtId="166" fontId="6" fillId="0" borderId="12" xfId="1" applyNumberFormat="1" applyFont="1" applyBorder="1"/>
    <xf numFmtId="166" fontId="6" fillId="0" borderId="9" xfId="1" applyNumberFormat="1" applyFont="1" applyBorder="1"/>
    <xf numFmtId="166" fontId="8" fillId="0" borderId="0" xfId="1" applyNumberFormat="1" applyFont="1" applyBorder="1"/>
    <xf numFmtId="0" fontId="7" fillId="0" borderId="1" xfId="0" applyFont="1" applyBorder="1"/>
    <xf numFmtId="166" fontId="2" fillId="0" borderId="14" xfId="1" applyNumberFormat="1" applyFont="1" applyFill="1" applyBorder="1"/>
    <xf numFmtId="166" fontId="0" fillId="0" borderId="11" xfId="1" applyNumberFormat="1" applyFont="1" applyFill="1" applyBorder="1"/>
    <xf numFmtId="166" fontId="5" fillId="0" borderId="11" xfId="1" applyNumberFormat="1" applyFont="1" applyFill="1" applyBorder="1"/>
    <xf numFmtId="166" fontId="6" fillId="0" borderId="15" xfId="1" applyNumberFormat="1" applyFont="1" applyFill="1" applyBorder="1"/>
    <xf numFmtId="166" fontId="6" fillId="0" borderId="12" xfId="1" applyNumberFormat="1" applyFont="1" applyFill="1" applyBorder="1"/>
    <xf numFmtId="166" fontId="5" fillId="0" borderId="29" xfId="1" applyNumberFormat="1" applyFont="1" applyFill="1" applyBorder="1"/>
    <xf numFmtId="166" fontId="5" fillId="0" borderId="7" xfId="1" applyNumberFormat="1" applyFont="1" applyBorder="1"/>
    <xf numFmtId="166" fontId="6" fillId="7" borderId="0" xfId="1" applyNumberFormat="1" applyFont="1" applyFill="1" applyBorder="1"/>
    <xf numFmtId="166" fontId="8" fillId="0" borderId="14" xfId="1" applyNumberFormat="1" applyFont="1" applyBorder="1"/>
    <xf numFmtId="166" fontId="8" fillId="0" borderId="11" xfId="1" applyNumberFormat="1" applyFont="1" applyBorder="1"/>
    <xf numFmtId="166" fontId="4" fillId="0" borderId="12" xfId="1" applyNumberFormat="1" applyFont="1" applyFill="1" applyBorder="1"/>
    <xf numFmtId="166" fontId="4" fillId="0" borderId="12" xfId="1" applyNumberFormat="1" applyFont="1" applyBorder="1"/>
    <xf numFmtId="0" fontId="6" fillId="0" borderId="0" xfId="0" applyFont="1" applyAlignment="1">
      <alignment horizontal="left"/>
    </xf>
    <xf numFmtId="0" fontId="10" fillId="9" borderId="8" xfId="0" applyFont="1" applyFill="1" applyBorder="1"/>
    <xf numFmtId="166" fontId="2" fillId="0" borderId="0" xfId="1" applyNumberFormat="1" applyFont="1" applyFill="1" applyBorder="1" applyAlignment="1">
      <alignment wrapText="1"/>
    </xf>
    <xf numFmtId="166" fontId="1" fillId="0" borderId="0" xfId="1" applyNumberFormat="1" applyFont="1" applyFill="1" applyBorder="1" applyAlignment="1">
      <alignment wrapText="1"/>
    </xf>
    <xf numFmtId="0" fontId="2" fillId="0" borderId="19" xfId="0" applyFont="1" applyBorder="1" applyAlignment="1">
      <alignment wrapText="1"/>
    </xf>
    <xf numFmtId="14" fontId="2" fillId="0" borderId="0" xfId="0" applyNumberFormat="1" applyFont="1" applyAlignment="1">
      <alignment wrapText="1"/>
    </xf>
    <xf numFmtId="166" fontId="0" fillId="0" borderId="0" xfId="0" applyNumberFormat="1" applyAlignment="1">
      <alignment wrapText="1"/>
    </xf>
    <xf numFmtId="14" fontId="5" fillId="0" borderId="0" xfId="0" applyNumberFormat="1" applyFont="1"/>
    <xf numFmtId="166" fontId="1" fillId="0" borderId="0" xfId="1" applyNumberFormat="1" applyFill="1" applyBorder="1"/>
    <xf numFmtId="0" fontId="24" fillId="0" borderId="0" xfId="0" applyFont="1"/>
    <xf numFmtId="14" fontId="23" fillId="0" borderId="0" xfId="0" applyNumberFormat="1" applyFont="1"/>
    <xf numFmtId="0" fontId="23" fillId="0" borderId="0" xfId="0" applyFont="1" applyAlignment="1">
      <alignment horizontal="left"/>
    </xf>
    <xf numFmtId="166" fontId="23" fillId="0" borderId="0" xfId="1" applyNumberFormat="1" applyFont="1" applyFill="1" applyBorder="1"/>
    <xf numFmtId="14" fontId="25" fillId="0" borderId="0" xfId="0" applyNumberFormat="1" applyFont="1"/>
    <xf numFmtId="166" fontId="25" fillId="0" borderId="0" xfId="1" applyNumberFormat="1" applyFont="1" applyFill="1" applyBorder="1"/>
    <xf numFmtId="0" fontId="2" fillId="0" borderId="2" xfId="0" applyFont="1" applyBorder="1"/>
    <xf numFmtId="0" fontId="2" fillId="0" borderId="3" xfId="0" applyFont="1" applyBorder="1"/>
    <xf numFmtId="166" fontId="0" fillId="3" borderId="0" xfId="0" applyNumberFormat="1" applyFill="1"/>
    <xf numFmtId="166" fontId="18" fillId="2" borderId="0" xfId="1" applyNumberFormat="1" applyFont="1" applyFill="1"/>
    <xf numFmtId="166" fontId="10" fillId="2" borderId="13" xfId="1" applyNumberFormat="1" applyFont="1" applyFill="1" applyBorder="1"/>
    <xf numFmtId="166" fontId="10" fillId="2" borderId="0" xfId="1" applyNumberFormat="1" applyFont="1" applyFill="1" applyBorder="1"/>
    <xf numFmtId="165" fontId="10" fillId="2" borderId="10" xfId="1" applyFont="1" applyFill="1" applyBorder="1"/>
    <xf numFmtId="166" fontId="14" fillId="2" borderId="0" xfId="1" applyNumberFormat="1" applyFont="1" applyFill="1" applyAlignment="1">
      <alignment wrapText="1"/>
    </xf>
    <xf numFmtId="166" fontId="10" fillId="2" borderId="0" xfId="1" applyNumberFormat="1" applyFont="1" applyFill="1" applyAlignment="1">
      <alignment wrapText="1"/>
    </xf>
    <xf numFmtId="0" fontId="2" fillId="0" borderId="22" xfId="0" applyFont="1" applyBorder="1"/>
    <xf numFmtId="164" fontId="0" fillId="0" borderId="0" xfId="0" applyNumberFormat="1"/>
    <xf numFmtId="0" fontId="35" fillId="0" borderId="0" xfId="0" applyFont="1"/>
    <xf numFmtId="0" fontId="32" fillId="0" borderId="0" xfId="0" applyFont="1"/>
    <xf numFmtId="166" fontId="0" fillId="0" borderId="32" xfId="1" applyNumberFormat="1" applyFont="1" applyBorder="1"/>
    <xf numFmtId="166" fontId="19" fillId="0" borderId="32" xfId="1" applyNumberFormat="1" applyFont="1" applyBorder="1"/>
    <xf numFmtId="166" fontId="0" fillId="0" borderId="33" xfId="1" applyNumberFormat="1" applyFont="1" applyBorder="1"/>
    <xf numFmtId="166" fontId="19" fillId="0" borderId="34" xfId="1" applyNumberFormat="1" applyFont="1" applyBorder="1"/>
    <xf numFmtId="0" fontId="0" fillId="0" borderId="33" xfId="0" applyBorder="1"/>
    <xf numFmtId="0" fontId="0" fillId="8" borderId="0" xfId="0" applyFill="1"/>
    <xf numFmtId="166" fontId="11" fillId="0" borderId="0" xfId="1" applyNumberFormat="1" applyFont="1" applyBorder="1" applyAlignment="1">
      <alignment wrapText="1"/>
    </xf>
    <xf numFmtId="0" fontId="36" fillId="0" borderId="0" xfId="0" applyFont="1"/>
    <xf numFmtId="166" fontId="26" fillId="0" borderId="31" xfId="1" applyNumberFormat="1" applyFont="1" applyBorder="1" applyAlignment="1">
      <alignment wrapText="1"/>
    </xf>
    <xf numFmtId="0" fontId="23" fillId="0" borderId="35" xfId="0" applyFont="1" applyBorder="1"/>
    <xf numFmtId="0" fontId="13" fillId="0" borderId="0" xfId="0" applyFont="1"/>
    <xf numFmtId="0" fontId="0" fillId="0" borderId="0" xfId="0" applyAlignment="1">
      <alignment horizontal="left"/>
    </xf>
    <xf numFmtId="0" fontId="10" fillId="2" borderId="0" xfId="0" applyFont="1" applyFill="1" applyAlignment="1">
      <alignment wrapText="1"/>
    </xf>
    <xf numFmtId="166" fontId="2" fillId="2" borderId="0" xfId="1" applyNumberFormat="1" applyFont="1" applyFill="1" applyAlignment="1">
      <alignment wrapText="1"/>
    </xf>
    <xf numFmtId="166" fontId="2" fillId="2" borderId="0" xfId="1" applyNumberFormat="1" applyFont="1" applyFill="1" applyAlignment="1"/>
    <xf numFmtId="166" fontId="5" fillId="2" borderId="0" xfId="1" applyNumberFormat="1" applyFont="1" applyFill="1" applyAlignment="1">
      <alignment wrapText="1"/>
    </xf>
    <xf numFmtId="0" fontId="0" fillId="2" borderId="20" xfId="0" applyFill="1" applyBorder="1"/>
    <xf numFmtId="0" fontId="2" fillId="2" borderId="13" xfId="0" applyFont="1" applyFill="1" applyBorder="1"/>
    <xf numFmtId="0" fontId="11" fillId="4" borderId="0" xfId="0" applyFont="1" applyFill="1"/>
    <xf numFmtId="3" fontId="0" fillId="0" borderId="32" xfId="0" applyNumberFormat="1" applyBorder="1"/>
    <xf numFmtId="0" fontId="0" fillId="0" borderId="34" xfId="0" applyBorder="1"/>
    <xf numFmtId="166" fontId="11" fillId="0" borderId="0" xfId="1" applyNumberFormat="1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66" fontId="2" fillId="0" borderId="8" xfId="0" applyNumberFormat="1" applyFont="1" applyBorder="1"/>
    <xf numFmtId="166" fontId="2" fillId="0" borderId="9" xfId="0" applyNumberFormat="1" applyFont="1" applyBorder="1"/>
    <xf numFmtId="166" fontId="2" fillId="0" borderId="10" xfId="0" applyNumberFormat="1" applyFont="1" applyBorder="1"/>
    <xf numFmtId="166" fontId="10" fillId="2" borderId="0" xfId="1" applyNumberFormat="1" applyFont="1" applyFill="1"/>
    <xf numFmtId="166" fontId="11" fillId="0" borderId="0" xfId="1" applyNumberFormat="1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166" fontId="0" fillId="0" borderId="0" xfId="1" applyNumberFormat="1" applyFont="1" applyAlignment="1">
      <alignment horizontal="left" wrapText="1"/>
    </xf>
    <xf numFmtId="166" fontId="0" fillId="5" borderId="0" xfId="1" applyNumberFormat="1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9" xfId="0" applyFont="1" applyBorder="1" applyAlignment="1">
      <alignment horizontal="left" wrapText="1"/>
    </xf>
    <xf numFmtId="166" fontId="11" fillId="0" borderId="0" xfId="1" applyNumberFormat="1" applyFont="1" applyAlignment="1">
      <alignment horizontal="left"/>
    </xf>
    <xf numFmtId="166" fontId="10" fillId="0" borderId="0" xfId="1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13" fillId="0" borderId="0" xfId="1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66" fontId="14" fillId="0" borderId="0" xfId="1" applyNumberFormat="1" applyFont="1" applyAlignment="1">
      <alignment horizontal="left" wrapText="1"/>
    </xf>
    <xf numFmtId="0" fontId="5" fillId="4" borderId="0" xfId="0" applyFont="1" applyFill="1"/>
    <xf numFmtId="0" fontId="29" fillId="0" borderId="0" xfId="0" applyFont="1"/>
    <xf numFmtId="0" fontId="37" fillId="0" borderId="0" xfId="0" applyFont="1" applyAlignment="1">
      <alignment horizontal="center"/>
    </xf>
    <xf numFmtId="0" fontId="2" fillId="0" borderId="18" xfId="0" applyFont="1" applyBorder="1"/>
    <xf numFmtId="14" fontId="20" fillId="0" borderId="18" xfId="0" applyNumberFormat="1" applyFont="1" applyBorder="1"/>
    <xf numFmtId="166" fontId="0" fillId="0" borderId="18" xfId="1" applyNumberFormat="1" applyFont="1" applyFill="1" applyBorder="1"/>
    <xf numFmtId="166" fontId="2" fillId="0" borderId="18" xfId="1" applyNumberFormat="1" applyFont="1" applyFill="1" applyBorder="1" applyAlignment="1">
      <alignment wrapText="1"/>
    </xf>
    <xf numFmtId="166" fontId="0" fillId="0" borderId="18" xfId="0" applyNumberFormat="1" applyBorder="1"/>
    <xf numFmtId="14" fontId="0" fillId="0" borderId="18" xfId="0" applyNumberFormat="1" applyBorder="1"/>
    <xf numFmtId="0" fontId="2" fillId="0" borderId="37" xfId="0" applyFont="1" applyBorder="1"/>
    <xf numFmtId="14" fontId="2" fillId="0" borderId="38" xfId="0" applyNumberFormat="1" applyFont="1" applyBorder="1"/>
    <xf numFmtId="0" fontId="2" fillId="0" borderId="38" xfId="0" applyFont="1" applyBorder="1"/>
    <xf numFmtId="166" fontId="2" fillId="0" borderId="38" xfId="1" applyNumberFormat="1" applyFont="1" applyFill="1" applyBorder="1"/>
    <xf numFmtId="166" fontId="39" fillId="0" borderId="38" xfId="1" applyNumberFormat="1" applyFont="1" applyFill="1" applyBorder="1"/>
    <xf numFmtId="166" fontId="2" fillId="0" borderId="38" xfId="1" applyNumberFormat="1" applyFont="1" applyFill="1" applyBorder="1" applyAlignment="1">
      <alignment wrapText="1"/>
    </xf>
    <xf numFmtId="166" fontId="2" fillId="0" borderId="38" xfId="0" applyNumberFormat="1" applyFont="1" applyBorder="1"/>
    <xf numFmtId="0" fontId="2" fillId="0" borderId="39" xfId="0" applyFont="1" applyBorder="1"/>
    <xf numFmtId="0" fontId="2" fillId="0" borderId="24" xfId="0" applyFont="1" applyBorder="1"/>
    <xf numFmtId="0" fontId="2" fillId="0" borderId="26" xfId="0" applyFont="1" applyBorder="1"/>
    <xf numFmtId="14" fontId="0" fillId="0" borderId="17" xfId="0" applyNumberFormat="1" applyBorder="1"/>
    <xf numFmtId="166" fontId="0" fillId="0" borderId="17" xfId="1" applyNumberFormat="1" applyFont="1" applyFill="1" applyBorder="1"/>
    <xf numFmtId="166" fontId="2" fillId="0" borderId="17" xfId="1" applyNumberFormat="1" applyFont="1" applyFill="1" applyBorder="1" applyAlignment="1">
      <alignment wrapText="1"/>
    </xf>
    <xf numFmtId="166" fontId="0" fillId="0" borderId="17" xfId="0" applyNumberFormat="1" applyBorder="1"/>
    <xf numFmtId="0" fontId="38" fillId="0" borderId="0" xfId="0" applyFont="1"/>
    <xf numFmtId="0" fontId="4" fillId="3" borderId="8" xfId="0" applyFont="1" applyFill="1" applyBorder="1"/>
    <xf numFmtId="166" fontId="4" fillId="3" borderId="9" xfId="1" applyNumberFormat="1" applyFont="1" applyFill="1" applyBorder="1"/>
    <xf numFmtId="166" fontId="4" fillId="3" borderId="10" xfId="0" applyNumberFormat="1" applyFont="1" applyFill="1" applyBorder="1"/>
    <xf numFmtId="166" fontId="38" fillId="0" borderId="0" xfId="1" applyNumberFormat="1" applyFont="1" applyFill="1" applyBorder="1"/>
    <xf numFmtId="9" fontId="38" fillId="0" borderId="0" xfId="2" applyFont="1" applyFill="1" applyBorder="1"/>
    <xf numFmtId="166" fontId="4" fillId="0" borderId="0" xfId="1" applyNumberFormat="1" applyFont="1" applyFill="1" applyBorder="1"/>
    <xf numFmtId="166" fontId="38" fillId="0" borderId="0" xfId="0" applyNumberFormat="1" applyFont="1"/>
    <xf numFmtId="166" fontId="4" fillId="0" borderId="10" xfId="1" applyNumberFormat="1" applyFont="1" applyFill="1" applyBorder="1"/>
    <xf numFmtId="166" fontId="4" fillId="0" borderId="13" xfId="0" applyNumberFormat="1" applyFont="1" applyBorder="1"/>
    <xf numFmtId="16" fontId="38" fillId="0" borderId="0" xfId="0" applyNumberFormat="1" applyFont="1"/>
    <xf numFmtId="166" fontId="4" fillId="0" borderId="0" xfId="0" applyNumberFormat="1" applyFont="1"/>
    <xf numFmtId="0" fontId="4" fillId="3" borderId="9" xfId="0" applyFont="1" applyFill="1" applyBorder="1"/>
    <xf numFmtId="0" fontId="4" fillId="3" borderId="10" xfId="0" applyFont="1" applyFill="1" applyBorder="1"/>
    <xf numFmtId="166" fontId="4" fillId="0" borderId="9" xfId="1" applyNumberFormat="1" applyFont="1" applyFill="1" applyBorder="1"/>
    <xf numFmtId="166" fontId="4" fillId="0" borderId="10" xfId="0" applyNumberFormat="1" applyFont="1" applyBorder="1"/>
    <xf numFmtId="166" fontId="4" fillId="0" borderId="9" xfId="0" applyNumberFormat="1" applyFont="1" applyBorder="1"/>
    <xf numFmtId="165" fontId="38" fillId="0" borderId="0" xfId="1" applyFont="1" applyFill="1" applyBorder="1"/>
    <xf numFmtId="9" fontId="4" fillId="0" borderId="0" xfId="0" applyNumberFormat="1" applyFont="1"/>
    <xf numFmtId="9" fontId="38" fillId="0" borderId="0" xfId="0" applyNumberFormat="1" applyFont="1"/>
    <xf numFmtId="49" fontId="4" fillId="0" borderId="0" xfId="0" applyNumberFormat="1" applyFont="1" applyAlignment="1">
      <alignment horizontal="center" wrapText="1"/>
    </xf>
    <xf numFmtId="49" fontId="4" fillId="0" borderId="0" xfId="1" applyNumberFormat="1" applyFont="1" applyFill="1" applyBorder="1" applyAlignment="1">
      <alignment horizontal="center" wrapText="1"/>
    </xf>
    <xf numFmtId="49" fontId="4" fillId="0" borderId="0" xfId="2" applyNumberFormat="1" applyFont="1" applyFill="1" applyBorder="1" applyAlignment="1">
      <alignment horizontal="center" wrapText="1"/>
    </xf>
    <xf numFmtId="16" fontId="6" fillId="0" borderId="0" xfId="0" applyNumberFormat="1" applyFont="1"/>
    <xf numFmtId="166" fontId="6" fillId="4" borderId="0" xfId="1" applyNumberFormat="1" applyFont="1" applyFill="1" applyBorder="1"/>
    <xf numFmtId="166" fontId="0" fillId="0" borderId="34" xfId="1" applyNumberFormat="1" applyFont="1" applyBorder="1"/>
    <xf numFmtId="3" fontId="0" fillId="0" borderId="20" xfId="0" applyNumberFormat="1" applyBorder="1"/>
    <xf numFmtId="166" fontId="5" fillId="0" borderId="30" xfId="1" applyNumberFormat="1" applyFont="1" applyBorder="1"/>
    <xf numFmtId="0" fontId="23" fillId="0" borderId="30" xfId="0" applyFont="1" applyBorder="1"/>
    <xf numFmtId="0" fontId="14" fillId="0" borderId="0" xfId="0" applyFont="1"/>
    <xf numFmtId="0" fontId="0" fillId="0" borderId="8" xfId="0" applyBorder="1"/>
    <xf numFmtId="0" fontId="2" fillId="0" borderId="23" xfId="0" applyFont="1" applyBorder="1"/>
    <xf numFmtId="0" fontId="2" fillId="0" borderId="30" xfId="0" applyFont="1" applyBorder="1"/>
    <xf numFmtId="0" fontId="0" fillId="2" borderId="13" xfId="0" applyFill="1" applyBorder="1"/>
    <xf numFmtId="0" fontId="0" fillId="0" borderId="12" xfId="0" applyBorder="1"/>
    <xf numFmtId="0" fontId="0" fillId="0" borderId="30" xfId="0" applyBorder="1"/>
    <xf numFmtId="1" fontId="11" fillId="0" borderId="0" xfId="0" applyNumberFormat="1" applyFont="1"/>
    <xf numFmtId="3" fontId="0" fillId="0" borderId="0" xfId="0" applyNumberForma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wrapText="1"/>
    </xf>
    <xf numFmtId="166" fontId="1" fillId="3" borderId="0" xfId="1" applyNumberFormat="1" applyFont="1" applyFill="1" applyBorder="1"/>
    <xf numFmtId="0" fontId="0" fillId="6" borderId="0" xfId="0" applyFill="1"/>
    <xf numFmtId="166" fontId="0" fillId="4" borderId="0" xfId="1" applyNumberFormat="1" applyFont="1" applyFill="1" applyBorder="1"/>
    <xf numFmtId="0" fontId="13" fillId="4" borderId="0" xfId="0" applyFont="1" applyFill="1"/>
    <xf numFmtId="0" fontId="5" fillId="0" borderId="23" xfId="0" applyFont="1" applyBorder="1"/>
    <xf numFmtId="0" fontId="5" fillId="0" borderId="12" xfId="0" applyFont="1" applyBorder="1"/>
    <xf numFmtId="14" fontId="0" fillId="0" borderId="12" xfId="0" applyNumberFormat="1" applyBorder="1"/>
    <xf numFmtId="166" fontId="1" fillId="0" borderId="12" xfId="1" applyNumberFormat="1" applyFill="1" applyBorder="1"/>
    <xf numFmtId="166" fontId="2" fillId="0" borderId="12" xfId="1" applyNumberFormat="1" applyFont="1" applyFill="1" applyBorder="1" applyAlignment="1">
      <alignment wrapText="1"/>
    </xf>
    <xf numFmtId="166" fontId="2" fillId="0" borderId="30" xfId="1" applyNumberFormat="1" applyFont="1" applyFill="1" applyBorder="1" applyAlignment="1">
      <alignment wrapText="1"/>
    </xf>
    <xf numFmtId="0" fontId="5" fillId="0" borderId="37" xfId="0" applyFont="1" applyBorder="1"/>
    <xf numFmtId="0" fontId="5" fillId="0" borderId="38" xfId="0" applyFont="1" applyBorder="1"/>
    <xf numFmtId="14" fontId="0" fillId="0" borderId="38" xfId="0" applyNumberFormat="1" applyBorder="1"/>
    <xf numFmtId="166" fontId="1" fillId="0" borderId="38" xfId="1" applyNumberFormat="1" applyFill="1" applyBorder="1"/>
    <xf numFmtId="166" fontId="5" fillId="0" borderId="38" xfId="1" applyNumberFormat="1" applyFont="1" applyFill="1" applyBorder="1"/>
    <xf numFmtId="166" fontId="2" fillId="0" borderId="39" xfId="1" applyNumberFormat="1" applyFont="1" applyFill="1" applyBorder="1" applyAlignment="1">
      <alignment wrapText="1"/>
    </xf>
    <xf numFmtId="0" fontId="5" fillId="0" borderId="26" xfId="0" applyFont="1" applyBorder="1"/>
    <xf numFmtId="0" fontId="5" fillId="0" borderId="17" xfId="0" applyFont="1" applyBorder="1"/>
    <xf numFmtId="166" fontId="1" fillId="0" borderId="17" xfId="1" applyNumberFormat="1" applyFill="1" applyBorder="1"/>
    <xf numFmtId="166" fontId="5" fillId="0" borderId="17" xfId="1" applyNumberFormat="1" applyFont="1" applyFill="1" applyBorder="1"/>
    <xf numFmtId="166" fontId="2" fillId="0" borderId="27" xfId="1" applyNumberFormat="1" applyFont="1" applyFill="1" applyBorder="1" applyAlignment="1">
      <alignment wrapText="1"/>
    </xf>
    <xf numFmtId="0" fontId="34" fillId="0" borderId="0" xfId="0" applyFont="1" applyAlignment="1">
      <alignment wrapText="1"/>
    </xf>
    <xf numFmtId="17" fontId="2" fillId="0" borderId="0" xfId="0" applyNumberFormat="1" applyFont="1"/>
    <xf numFmtId="17" fontId="35" fillId="0" borderId="0" xfId="0" applyNumberFormat="1" applyFont="1"/>
    <xf numFmtId="0" fontId="0" fillId="0" borderId="0" xfId="0" applyAlignment="1">
      <alignment horizontal="right"/>
    </xf>
    <xf numFmtId="166" fontId="18" fillId="0" borderId="0" xfId="0" applyNumberFormat="1" applyFont="1"/>
    <xf numFmtId="0" fontId="32" fillId="4" borderId="0" xfId="0" applyFont="1" applyFill="1"/>
    <xf numFmtId="0" fontId="2" fillId="4" borderId="0" xfId="0" applyFont="1" applyFill="1"/>
    <xf numFmtId="166" fontId="2" fillId="3" borderId="0" xfId="1" applyNumberFormat="1" applyFont="1" applyFill="1" applyBorder="1"/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166" fontId="0" fillId="6" borderId="0" xfId="1" applyNumberFormat="1" applyFont="1" applyFill="1" applyBorder="1"/>
    <xf numFmtId="3" fontId="0" fillId="0" borderId="4" xfId="0" applyNumberFormat="1" applyBorder="1"/>
    <xf numFmtId="166" fontId="0" fillId="0" borderId="4" xfId="0" applyNumberFormat="1" applyBorder="1"/>
    <xf numFmtId="166" fontId="0" fillId="0" borderId="36" xfId="1" applyNumberFormat="1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166" fontId="0" fillId="0" borderId="43" xfId="1" applyNumberFormat="1" applyFont="1" applyBorder="1"/>
    <xf numFmtId="166" fontId="0" fillId="0" borderId="44" xfId="1" applyNumberFormat="1" applyFont="1" applyBorder="1"/>
    <xf numFmtId="166" fontId="0" fillId="0" borderId="45" xfId="1" applyNumberFormat="1" applyFont="1" applyBorder="1"/>
    <xf numFmtId="0" fontId="0" fillId="0" borderId="44" xfId="0" applyBorder="1"/>
    <xf numFmtId="3" fontId="0" fillId="0" borderId="45" xfId="0" applyNumberFormat="1" applyBorder="1"/>
    <xf numFmtId="0" fontId="11" fillId="0" borderId="8" xfId="0" applyFont="1" applyBorder="1"/>
    <xf numFmtId="0" fontId="11" fillId="0" borderId="10" xfId="0" applyFont="1" applyBorder="1"/>
    <xf numFmtId="0" fontId="2" fillId="0" borderId="0" xfId="0" applyFont="1" applyAlignment="1">
      <alignment horizontal="center"/>
    </xf>
    <xf numFmtId="0" fontId="2" fillId="0" borderId="21" xfId="0" applyFont="1" applyBorder="1"/>
    <xf numFmtId="0" fontId="2" fillId="0" borderId="46" xfId="0" applyFont="1" applyBorder="1"/>
    <xf numFmtId="0" fontId="2" fillId="0" borderId="15" xfId="0" applyFont="1" applyBorder="1"/>
    <xf numFmtId="0" fontId="2" fillId="0" borderId="47" xfId="0" applyFont="1" applyBorder="1"/>
    <xf numFmtId="166" fontId="2" fillId="0" borderId="47" xfId="1" applyNumberFormat="1" applyFont="1" applyBorder="1"/>
    <xf numFmtId="0" fontId="2" fillId="0" borderId="6" xfId="0" applyFont="1" applyBorder="1"/>
    <xf numFmtId="0" fontId="0" fillId="2" borderId="12" xfId="0" applyFill="1" applyBorder="1"/>
    <xf numFmtId="0" fontId="0" fillId="4" borderId="12" xfId="0" applyFill="1" applyBorder="1"/>
    <xf numFmtId="166" fontId="0" fillId="5" borderId="12" xfId="1" applyNumberFormat="1" applyFont="1" applyFill="1" applyBorder="1"/>
    <xf numFmtId="0" fontId="6" fillId="3" borderId="0" xfId="0" applyFont="1" applyFill="1"/>
    <xf numFmtId="17" fontId="32" fillId="0" borderId="0" xfId="0" applyNumberFormat="1" applyFont="1"/>
    <xf numFmtId="0" fontId="0" fillId="4" borderId="0" xfId="0" applyFill="1" applyAlignment="1">
      <alignment horizontal="right"/>
    </xf>
    <xf numFmtId="165" fontId="2" fillId="0" borderId="0" xfId="1" applyFont="1" applyFill="1" applyBorder="1"/>
    <xf numFmtId="165" fontId="1" fillId="0" borderId="0" xfId="1" applyFont="1" applyFill="1" applyBorder="1"/>
    <xf numFmtId="165" fontId="0" fillId="0" borderId="0" xfId="1" applyFont="1" applyFill="1" applyBorder="1"/>
    <xf numFmtId="17" fontId="34" fillId="0" borderId="0" xfId="0" applyNumberFormat="1" applyFont="1" applyAlignment="1">
      <alignment wrapText="1"/>
    </xf>
    <xf numFmtId="169" fontId="6" fillId="0" borderId="0" xfId="0" applyNumberFormat="1" applyFont="1"/>
    <xf numFmtId="166" fontId="13" fillId="0" borderId="0" xfId="1" applyNumberFormat="1" applyFont="1" applyBorder="1" applyAlignment="1">
      <alignment wrapText="1"/>
    </xf>
    <xf numFmtId="169" fontId="13" fillId="0" borderId="0" xfId="1" applyNumberFormat="1" applyFont="1" applyBorder="1" applyAlignment="1">
      <alignment wrapText="1"/>
    </xf>
    <xf numFmtId="165" fontId="0" fillId="6" borderId="0" xfId="1" applyFont="1" applyFill="1" applyBorder="1"/>
    <xf numFmtId="9" fontId="0" fillId="6" borderId="0" xfId="2" applyFont="1" applyFill="1" applyBorder="1"/>
    <xf numFmtId="0" fontId="2" fillId="3" borderId="0" xfId="0" applyFont="1" applyFill="1"/>
    <xf numFmtId="165" fontId="0" fillId="3" borderId="0" xfId="1" applyFont="1" applyFill="1" applyBorder="1"/>
    <xf numFmtId="9" fontId="0" fillId="3" borderId="0" xfId="2" applyFont="1" applyFill="1" applyBorder="1"/>
    <xf numFmtId="10" fontId="10" fillId="0" borderId="9" xfId="0" applyNumberFormat="1" applyFont="1" applyBorder="1" applyAlignment="1">
      <alignment wrapText="1"/>
    </xf>
    <xf numFmtId="166" fontId="10" fillId="0" borderId="10" xfId="1" applyNumberFormat="1" applyFont="1" applyBorder="1" applyAlignment="1">
      <alignment wrapText="1"/>
    </xf>
    <xf numFmtId="166" fontId="10" fillId="0" borderId="8" xfId="1" applyNumberFormat="1" applyFont="1" applyBorder="1" applyAlignment="1">
      <alignment wrapText="1"/>
    </xf>
    <xf numFmtId="166" fontId="2" fillId="6" borderId="0" xfId="1" applyNumberFormat="1" applyFont="1" applyFill="1" applyBorder="1"/>
    <xf numFmtId="1" fontId="10" fillId="0" borderId="0" xfId="1" applyNumberFormat="1" applyFont="1" applyBorder="1" applyAlignment="1">
      <alignment wrapText="1"/>
    </xf>
    <xf numFmtId="1" fontId="11" fillId="0" borderId="0" xfId="1" applyNumberFormat="1" applyFont="1" applyBorder="1" applyAlignment="1">
      <alignment wrapText="1"/>
    </xf>
    <xf numFmtId="1" fontId="6" fillId="0" borderId="0" xfId="1" applyNumberFormat="1" applyFont="1" applyFill="1" applyBorder="1"/>
    <xf numFmtId="1" fontId="6" fillId="0" borderId="0" xfId="1" applyNumberFormat="1" applyFont="1" applyBorder="1"/>
    <xf numFmtId="1" fontId="0" fillId="0" borderId="0" xfId="0" applyNumberFormat="1"/>
    <xf numFmtId="1" fontId="5" fillId="0" borderId="0" xfId="1" applyNumberFormat="1" applyFont="1" applyBorder="1"/>
    <xf numFmtId="1" fontId="2" fillId="0" borderId="0" xfId="0" applyNumberFormat="1" applyFont="1"/>
    <xf numFmtId="1" fontId="6" fillId="4" borderId="0" xfId="0" applyNumberFormat="1" applyFont="1" applyFill="1"/>
    <xf numFmtId="1" fontId="11" fillId="4" borderId="0" xfId="0" applyNumberFormat="1" applyFont="1" applyFill="1"/>
    <xf numFmtId="1" fontId="5" fillId="0" borderId="0" xfId="0" applyNumberFormat="1" applyFont="1"/>
    <xf numFmtId="1" fontId="10" fillId="0" borderId="0" xfId="1" applyNumberFormat="1" applyFont="1" applyBorder="1"/>
    <xf numFmtId="1" fontId="11" fillId="0" borderId="0" xfId="1" applyNumberFormat="1" applyFont="1" applyBorder="1"/>
    <xf numFmtId="1" fontId="10" fillId="0" borderId="0" xfId="0" applyNumberFormat="1" applyFont="1"/>
    <xf numFmtId="1" fontId="5" fillId="0" borderId="0" xfId="1" applyNumberFormat="1" applyFont="1" applyFill="1" applyBorder="1"/>
    <xf numFmtId="0" fontId="19" fillId="0" borderId="0" xfId="0" applyFont="1"/>
    <xf numFmtId="16" fontId="19" fillId="0" borderId="0" xfId="0" applyNumberFormat="1" applyFont="1"/>
    <xf numFmtId="0" fontId="43" fillId="0" borderId="35" xfId="0" applyFont="1" applyBorder="1"/>
    <xf numFmtId="0" fontId="19" fillId="0" borderId="20" xfId="0" applyFont="1" applyBorder="1"/>
    <xf numFmtId="0" fontId="19" fillId="0" borderId="13" xfId="0" applyFont="1" applyBorder="1"/>
    <xf numFmtId="0" fontId="0" fillId="4" borderId="0" xfId="0" applyFill="1" applyAlignment="1">
      <alignment horizontal="left"/>
    </xf>
    <xf numFmtId="0" fontId="32" fillId="6" borderId="0" xfId="0" applyFont="1" applyFill="1"/>
    <xf numFmtId="0" fontId="0" fillId="6" borderId="0" xfId="0" applyFill="1" applyAlignment="1">
      <alignment horizontal="right"/>
    </xf>
    <xf numFmtId="0" fontId="0" fillId="12" borderId="0" xfId="0" applyFill="1" applyAlignment="1">
      <alignment horizontal="left"/>
    </xf>
    <xf numFmtId="166" fontId="0" fillId="12" borderId="0" xfId="1" applyNumberFormat="1" applyFont="1" applyFill="1" applyBorder="1"/>
    <xf numFmtId="0" fontId="0" fillId="12" borderId="0" xfId="0" applyFill="1"/>
    <xf numFmtId="165" fontId="0" fillId="12" borderId="0" xfId="1" applyFont="1" applyFill="1" applyBorder="1"/>
    <xf numFmtId="9" fontId="0" fillId="12" borderId="0" xfId="2" applyFont="1" applyFill="1" applyBorder="1"/>
    <xf numFmtId="165" fontId="0" fillId="4" borderId="0" xfId="1" applyFont="1" applyFill="1" applyBorder="1"/>
    <xf numFmtId="9" fontId="0" fillId="4" borderId="0" xfId="2" applyFont="1" applyFill="1" applyBorder="1"/>
    <xf numFmtId="0" fontId="30" fillId="0" borderId="0" xfId="0" applyFont="1"/>
    <xf numFmtId="0" fontId="11" fillId="0" borderId="0" xfId="0" applyFont="1" applyAlignment="1">
      <alignment horizontal="right" vertical="justify" wrapText="1"/>
    </xf>
    <xf numFmtId="166" fontId="10" fillId="4" borderId="0" xfId="1" applyNumberFormat="1" applyFont="1" applyFill="1" applyBorder="1" applyAlignment="1">
      <alignment wrapText="1"/>
    </xf>
    <xf numFmtId="169" fontId="11" fillId="0" borderId="0" xfId="0" applyNumberFormat="1" applyFont="1" applyAlignment="1">
      <alignment wrapText="1"/>
    </xf>
    <xf numFmtId="0" fontId="11" fillId="4" borderId="0" xfId="0" applyFont="1" applyFill="1" applyAlignment="1">
      <alignment wrapText="1"/>
    </xf>
    <xf numFmtId="166" fontId="6" fillId="3" borderId="0" xfId="1" applyNumberFormat="1" applyFont="1" applyFill="1" applyBorder="1"/>
    <xf numFmtId="0" fontId="6" fillId="2" borderId="0" xfId="0" applyFont="1" applyFill="1"/>
    <xf numFmtId="9" fontId="6" fillId="0" borderId="0" xfId="0" applyNumberFormat="1" applyFont="1"/>
    <xf numFmtId="9" fontId="6" fillId="0" borderId="0" xfId="2" applyFont="1" applyFill="1" applyBorder="1"/>
    <xf numFmtId="0" fontId="6" fillId="0" borderId="0" xfId="0" applyFont="1" applyAlignment="1">
      <alignment horizontal="right"/>
    </xf>
    <xf numFmtId="9" fontId="6" fillId="0" borderId="0" xfId="2" applyFont="1" applyBorder="1"/>
    <xf numFmtId="166" fontId="6" fillId="3" borderId="0" xfId="0" applyNumberFormat="1" applyFont="1" applyFill="1"/>
    <xf numFmtId="9" fontId="6" fillId="3" borderId="0" xfId="0" applyNumberFormat="1" applyFont="1" applyFill="1"/>
    <xf numFmtId="165" fontId="6" fillId="0" borderId="0" xfId="1" applyFont="1" applyFill="1" applyBorder="1"/>
    <xf numFmtId="166" fontId="13" fillId="0" borderId="0" xfId="1" applyNumberFormat="1" applyFont="1" applyFill="1" applyBorder="1"/>
    <xf numFmtId="166" fontId="13" fillId="0" borderId="0" xfId="0" applyNumberFormat="1" applyFont="1"/>
    <xf numFmtId="9" fontId="13" fillId="0" borderId="0" xfId="2" applyFont="1" applyFill="1" applyBorder="1"/>
    <xf numFmtId="166" fontId="14" fillId="0" borderId="0" xfId="1" applyNumberFormat="1" applyFont="1" applyFill="1" applyBorder="1"/>
    <xf numFmtId="166" fontId="14" fillId="4" borderId="0" xfId="1" applyNumberFormat="1" applyFont="1" applyFill="1" applyBorder="1"/>
    <xf numFmtId="169" fontId="13" fillId="0" borderId="0" xfId="0" applyNumberFormat="1" applyFont="1"/>
    <xf numFmtId="0" fontId="34" fillId="0" borderId="0" xfId="0" applyFont="1"/>
    <xf numFmtId="166" fontId="2" fillId="4" borderId="0" xfId="1" applyNumberFormat="1" applyFont="1" applyFill="1" applyBorder="1"/>
    <xf numFmtId="169" fontId="0" fillId="0" borderId="0" xfId="0" applyNumberFormat="1"/>
    <xf numFmtId="9" fontId="1" fillId="0" borderId="0" xfId="2" applyFont="1" applyFill="1" applyBorder="1"/>
    <xf numFmtId="166" fontId="1" fillId="4" borderId="0" xfId="1" applyNumberFormat="1" applyFont="1" applyFill="1" applyBorder="1"/>
    <xf numFmtId="9" fontId="1" fillId="3" borderId="0" xfId="2" applyFont="1" applyFill="1" applyBorder="1"/>
    <xf numFmtId="166" fontId="13" fillId="0" borderId="0" xfId="2" applyNumberFormat="1" applyFont="1" applyFill="1" applyBorder="1"/>
    <xf numFmtId="17" fontId="2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66" fontId="5" fillId="4" borderId="0" xfId="1" applyNumberFormat="1" applyFont="1" applyFill="1" applyBorder="1"/>
    <xf numFmtId="169" fontId="5" fillId="0" borderId="0" xfId="0" applyNumberFormat="1" applyFont="1"/>
    <xf numFmtId="17" fontId="5" fillId="0" borderId="0" xfId="0" applyNumberFormat="1" applyFont="1"/>
    <xf numFmtId="17" fontId="6" fillId="0" borderId="0" xfId="0" applyNumberFormat="1" applyFont="1"/>
    <xf numFmtId="9" fontId="11" fillId="0" borderId="0" xfId="2" applyFont="1" applyFill="1" applyBorder="1"/>
    <xf numFmtId="166" fontId="10" fillId="4" borderId="0" xfId="1" applyNumberFormat="1" applyFont="1" applyFill="1" applyBorder="1"/>
    <xf numFmtId="169" fontId="11" fillId="0" borderId="0" xfId="0" applyNumberFormat="1" applyFont="1"/>
    <xf numFmtId="9" fontId="2" fillId="0" borderId="0" xfId="2" applyFont="1" applyFill="1" applyBorder="1"/>
    <xf numFmtId="169" fontId="2" fillId="0" borderId="0" xfId="0" applyNumberFormat="1" applyFont="1"/>
    <xf numFmtId="0" fontId="2" fillId="3" borderId="0" xfId="0" applyFont="1" applyFill="1" applyAlignment="1">
      <alignment horizontal="left"/>
    </xf>
    <xf numFmtId="0" fontId="41" fillId="0" borderId="0" xfId="0" applyFont="1" applyAlignment="1">
      <alignment horizontal="center"/>
    </xf>
    <xf numFmtId="9" fontId="5" fillId="0" borderId="0" xfId="0" applyNumberFormat="1" applyFont="1"/>
    <xf numFmtId="0" fontId="5" fillId="10" borderId="0" xfId="0" applyFont="1" applyFill="1"/>
    <xf numFmtId="0" fontId="6" fillId="6" borderId="0" xfId="0" applyFont="1" applyFill="1"/>
    <xf numFmtId="166" fontId="6" fillId="6" borderId="0" xfId="1" applyNumberFormat="1" applyFont="1" applyFill="1" applyBorder="1"/>
    <xf numFmtId="169" fontId="6" fillId="4" borderId="0" xfId="0" applyNumberFormat="1" applyFont="1" applyFill="1"/>
    <xf numFmtId="166" fontId="11" fillId="4" borderId="0" xfId="1" applyNumberFormat="1" applyFont="1" applyFill="1" applyBorder="1"/>
    <xf numFmtId="0" fontId="6" fillId="11" borderId="0" xfId="0" applyFont="1" applyFill="1"/>
    <xf numFmtId="0" fontId="40" fillId="0" borderId="0" xfId="0" applyFont="1"/>
    <xf numFmtId="0" fontId="5" fillId="0" borderId="0" xfId="0" applyFont="1" applyAlignment="1">
      <alignment horizontal="center"/>
    </xf>
    <xf numFmtId="166" fontId="6" fillId="4" borderId="0" xfId="0" applyNumberFormat="1" applyFont="1" applyFill="1"/>
    <xf numFmtId="9" fontId="6" fillId="4" borderId="0" xfId="2" applyFont="1" applyFill="1" applyBorder="1"/>
    <xf numFmtId="0" fontId="31" fillId="0" borderId="0" xfId="0" applyFont="1"/>
    <xf numFmtId="166" fontId="13" fillId="4" borderId="0" xfId="1" applyNumberFormat="1" applyFont="1" applyFill="1" applyBorder="1"/>
    <xf numFmtId="166" fontId="13" fillId="4" borderId="0" xfId="0" applyNumberFormat="1" applyFont="1" applyFill="1"/>
    <xf numFmtId="9" fontId="13" fillId="4" borderId="0" xfId="2" applyFont="1" applyFill="1" applyBorder="1"/>
    <xf numFmtId="169" fontId="13" fillId="4" borderId="0" xfId="0" applyNumberFormat="1" applyFont="1" applyFill="1"/>
    <xf numFmtId="9" fontId="1" fillId="4" borderId="0" xfId="2" applyFont="1" applyFill="1" applyBorder="1"/>
    <xf numFmtId="0" fontId="2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5" fontId="6" fillId="4" borderId="0" xfId="1" applyFont="1" applyFill="1" applyBorder="1"/>
    <xf numFmtId="16" fontId="6" fillId="4" borderId="0" xfId="0" applyNumberFormat="1" applyFont="1" applyFill="1"/>
    <xf numFmtId="9" fontId="10" fillId="0" borderId="0" xfId="0" applyNumberFormat="1" applyFont="1" applyAlignment="1">
      <alignment wrapText="1"/>
    </xf>
    <xf numFmtId="167" fontId="10" fillId="0" borderId="0" xfId="0" applyNumberFormat="1" applyFont="1"/>
    <xf numFmtId="169" fontId="10" fillId="0" borderId="0" xfId="0" applyNumberFormat="1" applyFont="1"/>
    <xf numFmtId="0" fontId="31" fillId="6" borderId="0" xfId="0" applyFont="1" applyFill="1"/>
    <xf numFmtId="167" fontId="31" fillId="0" borderId="0" xfId="0" applyNumberFormat="1" applyFont="1"/>
    <xf numFmtId="0" fontId="11" fillId="4" borderId="0" xfId="0" applyFont="1" applyFill="1" applyAlignment="1">
      <alignment horizontal="right"/>
    </xf>
    <xf numFmtId="166" fontId="14" fillId="0" borderId="0" xfId="0" applyNumberFormat="1" applyFont="1"/>
    <xf numFmtId="9" fontId="14" fillId="0" borderId="0" xfId="2" applyFont="1" applyFill="1" applyBorder="1"/>
    <xf numFmtId="169" fontId="14" fillId="0" borderId="0" xfId="0" applyNumberFormat="1" applyFont="1"/>
    <xf numFmtId="165" fontId="5" fillId="0" borderId="0" xfId="1" applyFont="1" applyBorder="1"/>
    <xf numFmtId="165" fontId="5" fillId="4" borderId="0" xfId="1" applyFont="1" applyFill="1" applyBorder="1"/>
    <xf numFmtId="17" fontId="14" fillId="0" borderId="0" xfId="0" applyNumberFormat="1" applyFont="1"/>
    <xf numFmtId="0" fontId="5" fillId="11" borderId="0" xfId="0" applyFont="1" applyFill="1"/>
    <xf numFmtId="0" fontId="11" fillId="11" borderId="0" xfId="0" applyFont="1" applyFill="1" applyAlignment="1">
      <alignment wrapText="1"/>
    </xf>
    <xf numFmtId="0" fontId="11" fillId="11" borderId="0" xfId="0" applyFont="1" applyFill="1" applyAlignment="1">
      <alignment horizontal="right" vertical="justify" wrapText="1"/>
    </xf>
    <xf numFmtId="0" fontId="2" fillId="11" borderId="0" xfId="0" applyFont="1" applyFill="1"/>
    <xf numFmtId="0" fontId="32" fillId="11" borderId="0" xfId="0" applyFont="1" applyFill="1"/>
    <xf numFmtId="0" fontId="0" fillId="11" borderId="0" xfId="0" applyFill="1"/>
    <xf numFmtId="0" fontId="13" fillId="11" borderId="0" xfId="0" applyFont="1" applyFill="1"/>
    <xf numFmtId="17" fontId="35" fillId="0" borderId="0" xfId="0" applyNumberFormat="1" applyFont="1" applyAlignment="1">
      <alignment horizontal="center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left"/>
    </xf>
    <xf numFmtId="0" fontId="24" fillId="2" borderId="0" xfId="0" applyFont="1" applyFill="1"/>
    <xf numFmtId="169" fontId="5" fillId="0" borderId="0" xfId="1" applyNumberFormat="1" applyFont="1" applyFill="1" applyBorder="1"/>
    <xf numFmtId="165" fontId="5" fillId="0" borderId="0" xfId="1" applyFont="1" applyFill="1" applyBorder="1"/>
    <xf numFmtId="0" fontId="6" fillId="11" borderId="0" xfId="0" applyFont="1" applyFill="1" applyAlignment="1">
      <alignment horizontal="left"/>
    </xf>
    <xf numFmtId="0" fontId="40" fillId="11" borderId="0" xfId="0" applyFont="1" applyFill="1"/>
    <xf numFmtId="15" fontId="40" fillId="0" borderId="0" xfId="0" applyNumberFormat="1" applyFont="1"/>
    <xf numFmtId="169" fontId="5" fillId="0" borderId="0" xfId="1" applyNumberFormat="1" applyFont="1" applyBorder="1"/>
    <xf numFmtId="0" fontId="11" fillId="0" borderId="0" xfId="0" applyFont="1" applyAlignment="1">
      <alignment horizontal="right" vertical="justify"/>
    </xf>
    <xf numFmtId="169" fontId="10" fillId="0" borderId="0" xfId="1" applyNumberFormat="1" applyFont="1" applyBorder="1"/>
    <xf numFmtId="165" fontId="2" fillId="0" borderId="21" xfId="1" applyFont="1" applyBorder="1" applyAlignment="1">
      <alignment wrapText="1"/>
    </xf>
    <xf numFmtId="165" fontId="39" fillId="0" borderId="7" xfId="1" applyFont="1" applyBorder="1" applyAlignment="1">
      <alignment wrapText="1"/>
    </xf>
    <xf numFmtId="0" fontId="2" fillId="0" borderId="46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47" xfId="0" applyFont="1" applyBorder="1" applyAlignment="1">
      <alignment wrapText="1"/>
    </xf>
    <xf numFmtId="166" fontId="2" fillId="0" borderId="47" xfId="1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21" xfId="0" applyFont="1" applyBorder="1" applyAlignment="1">
      <alignment wrapText="1"/>
    </xf>
    <xf numFmtId="165" fontId="2" fillId="0" borderId="42" xfId="1" applyFont="1" applyBorder="1"/>
    <xf numFmtId="166" fontId="19" fillId="0" borderId="43" xfId="1" applyNumberFormat="1" applyFont="1" applyBorder="1"/>
    <xf numFmtId="165" fontId="2" fillId="0" borderId="40" xfId="1" applyFont="1" applyBorder="1"/>
    <xf numFmtId="166" fontId="19" fillId="0" borderId="36" xfId="1" applyNumberFormat="1" applyFont="1" applyBorder="1"/>
    <xf numFmtId="165" fontId="2" fillId="0" borderId="41" xfId="1" applyFont="1" applyBorder="1"/>
    <xf numFmtId="166" fontId="19" fillId="0" borderId="48" xfId="1" applyNumberFormat="1" applyFont="1" applyBorder="1"/>
    <xf numFmtId="165" fontId="2" fillId="0" borderId="13" xfId="1" applyFont="1" applyBorder="1"/>
    <xf numFmtId="165" fontId="39" fillId="0" borderId="9" xfId="1" applyFont="1" applyBorder="1"/>
    <xf numFmtId="165" fontId="2" fillId="0" borderId="23" xfId="1" applyFont="1" applyFill="1" applyBorder="1"/>
    <xf numFmtId="165" fontId="39" fillId="0" borderId="29" xfId="1" applyFont="1" applyFill="1" applyBorder="1"/>
    <xf numFmtId="0" fontId="19" fillId="0" borderId="12" xfId="0" applyFont="1" applyBorder="1"/>
    <xf numFmtId="166" fontId="0" fillId="0" borderId="12" xfId="1" applyNumberFormat="1" applyFont="1" applyFill="1" applyBorder="1"/>
    <xf numFmtId="0" fontId="0" fillId="0" borderId="29" xfId="0" applyBorder="1"/>
    <xf numFmtId="165" fontId="39" fillId="0" borderId="46" xfId="1" applyFont="1" applyBorder="1" applyAlignment="1">
      <alignment wrapText="1"/>
    </xf>
    <xf numFmtId="166" fontId="39" fillId="0" borderId="43" xfId="1" applyNumberFormat="1" applyFont="1" applyBorder="1"/>
    <xf numFmtId="166" fontId="39" fillId="0" borderId="36" xfId="1" applyNumberFormat="1" applyFont="1" applyBorder="1"/>
    <xf numFmtId="166" fontId="39" fillId="0" borderId="49" xfId="1" applyNumberFormat="1" applyFont="1" applyBorder="1"/>
    <xf numFmtId="165" fontId="2" fillId="0" borderId="0" xfId="1" applyFont="1" applyBorder="1"/>
    <xf numFmtId="165" fontId="39" fillId="0" borderId="0" xfId="1" applyFont="1" applyBorder="1"/>
    <xf numFmtId="166" fontId="2" fillId="0" borderId="0" xfId="1" applyNumberFormat="1" applyFont="1" applyBorder="1"/>
    <xf numFmtId="166" fontId="19" fillId="0" borderId="0" xfId="1" applyNumberFormat="1" applyFont="1" applyBorder="1"/>
    <xf numFmtId="17" fontId="0" fillId="0" borderId="0" xfId="0" applyNumberFormat="1" applyAlignment="1">
      <alignment horizontal="left"/>
    </xf>
    <xf numFmtId="0" fontId="2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0" borderId="18" xfId="0" applyFont="1" applyBorder="1"/>
    <xf numFmtId="14" fontId="5" fillId="0" borderId="18" xfId="0" applyNumberFormat="1" applyFont="1" applyBorder="1"/>
    <xf numFmtId="0" fontId="24" fillId="0" borderId="18" xfId="0" applyFont="1" applyBorder="1"/>
    <xf numFmtId="166" fontId="5" fillId="0" borderId="18" xfId="1" applyNumberFormat="1" applyFont="1" applyFill="1" applyBorder="1"/>
    <xf numFmtId="166" fontId="1" fillId="0" borderId="18" xfId="1" applyNumberFormat="1" applyFill="1" applyBorder="1"/>
    <xf numFmtId="166" fontId="24" fillId="0" borderId="18" xfId="1" applyNumberFormat="1" applyFont="1" applyFill="1" applyBorder="1"/>
    <xf numFmtId="166" fontId="1" fillId="0" borderId="32" xfId="1" applyNumberFormat="1" applyFill="1" applyBorder="1"/>
    <xf numFmtId="166" fontId="5" fillId="0" borderId="26" xfId="1" applyNumberFormat="1" applyFont="1" applyFill="1" applyBorder="1"/>
    <xf numFmtId="0" fontId="24" fillId="0" borderId="44" xfId="0" applyFont="1" applyBorder="1"/>
    <xf numFmtId="14" fontId="5" fillId="0" borderId="12" xfId="0" applyNumberFormat="1" applyFont="1" applyBorder="1"/>
    <xf numFmtId="0" fontId="44" fillId="0" borderId="12" xfId="0" applyFont="1" applyBorder="1"/>
    <xf numFmtId="166" fontId="2" fillId="0" borderId="12" xfId="1" applyNumberFormat="1" applyFont="1" applyFill="1" applyBorder="1"/>
    <xf numFmtId="166" fontId="2" fillId="0" borderId="51" xfId="1" applyNumberFormat="1" applyFont="1" applyFill="1" applyBorder="1"/>
    <xf numFmtId="166" fontId="2" fillId="4" borderId="12" xfId="1" applyNumberFormat="1" applyFont="1" applyFill="1" applyBorder="1"/>
    <xf numFmtId="165" fontId="0" fillId="0" borderId="0" xfId="0" applyNumberFormat="1"/>
    <xf numFmtId="9" fontId="6" fillId="3" borderId="0" xfId="2" applyFont="1" applyFill="1" applyBorder="1"/>
    <xf numFmtId="166" fontId="13" fillId="3" borderId="0" xfId="1" applyNumberFormat="1" applyFont="1" applyFill="1" applyBorder="1"/>
    <xf numFmtId="166" fontId="13" fillId="3" borderId="0" xfId="2" applyNumberFormat="1" applyFont="1" applyFill="1" applyBorder="1"/>
    <xf numFmtId="0" fontId="10" fillId="0" borderId="10" xfId="0" applyFont="1" applyBorder="1"/>
    <xf numFmtId="0" fontId="13" fillId="3" borderId="0" xfId="0" applyFont="1" applyFill="1"/>
    <xf numFmtId="166" fontId="13" fillId="3" borderId="0" xfId="0" applyNumberFormat="1" applyFont="1" applyFill="1"/>
    <xf numFmtId="9" fontId="13" fillId="3" borderId="0" xfId="2" applyFont="1" applyFill="1" applyBorder="1"/>
    <xf numFmtId="166" fontId="14" fillId="3" borderId="0" xfId="1" applyNumberFormat="1" applyFont="1" applyFill="1" applyBorder="1"/>
    <xf numFmtId="0" fontId="0" fillId="5" borderId="51" xfId="0" applyFill="1" applyBorder="1"/>
    <xf numFmtId="165" fontId="6" fillId="3" borderId="0" xfId="1" applyFont="1" applyFill="1" applyBorder="1"/>
    <xf numFmtId="0" fontId="2" fillId="2" borderId="0" xfId="0" applyFont="1" applyFill="1"/>
    <xf numFmtId="166" fontId="5" fillId="2" borderId="0" xfId="1" applyNumberFormat="1" applyFont="1" applyFill="1" applyBorder="1"/>
    <xf numFmtId="0" fontId="32" fillId="3" borderId="0" xfId="0" applyFont="1" applyFill="1"/>
    <xf numFmtId="0" fontId="32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5" borderId="0" xfId="0" applyFill="1" applyAlignment="1">
      <alignment horizontal="left"/>
    </xf>
    <xf numFmtId="0" fontId="6" fillId="0" borderId="44" xfId="0" applyFont="1" applyBorder="1"/>
    <xf numFmtId="14" fontId="6" fillId="0" borderId="44" xfId="0" applyNumberFormat="1" applyFont="1" applyBorder="1"/>
    <xf numFmtId="166" fontId="6" fillId="0" borderId="44" xfId="1" applyNumberFormat="1" applyFont="1" applyFill="1" applyBorder="1"/>
    <xf numFmtId="166" fontId="1" fillId="0" borderId="44" xfId="1" applyNumberFormat="1" applyFont="1" applyFill="1" applyBorder="1"/>
    <xf numFmtId="166" fontId="1" fillId="0" borderId="45" xfId="1" applyNumberFormat="1" applyFont="1" applyFill="1" applyBorder="1"/>
    <xf numFmtId="166" fontId="6" fillId="0" borderId="50" xfId="1" applyNumberFormat="1" applyFont="1" applyFill="1" applyBorder="1"/>
    <xf numFmtId="166" fontId="1" fillId="0" borderId="44" xfId="1" applyNumberFormat="1" applyFont="1" applyFill="1" applyBorder="1" applyAlignment="1">
      <alignment wrapText="1"/>
    </xf>
    <xf numFmtId="166" fontId="1" fillId="0" borderId="39" xfId="1" applyNumberFormat="1" applyFont="1" applyFill="1" applyBorder="1" applyAlignment="1">
      <alignment wrapText="1"/>
    </xf>
    <xf numFmtId="0" fontId="6" fillId="0" borderId="18" xfId="0" applyFont="1" applyBorder="1"/>
    <xf numFmtId="14" fontId="6" fillId="0" borderId="18" xfId="0" applyNumberFormat="1" applyFont="1" applyBorder="1"/>
    <xf numFmtId="166" fontId="6" fillId="0" borderId="18" xfId="1" applyNumberFormat="1" applyFont="1" applyFill="1" applyBorder="1"/>
    <xf numFmtId="166" fontId="1" fillId="0" borderId="18" xfId="1" applyNumberFormat="1" applyFont="1" applyFill="1" applyBorder="1"/>
    <xf numFmtId="166" fontId="1" fillId="0" borderId="32" xfId="1" applyNumberFormat="1" applyFont="1" applyFill="1" applyBorder="1"/>
    <xf numFmtId="166" fontId="6" fillId="0" borderId="24" xfId="1" applyNumberFormat="1" applyFont="1" applyFill="1" applyBorder="1"/>
    <xf numFmtId="168" fontId="5" fillId="5" borderId="0" xfId="0" applyNumberFormat="1" applyFont="1" applyFill="1"/>
    <xf numFmtId="166" fontId="0" fillId="11" borderId="0" xfId="1" applyNumberFormat="1" applyFont="1" applyFill="1" applyBorder="1"/>
    <xf numFmtId="166" fontId="13" fillId="11" borderId="0" xfId="1" applyNumberFormat="1" applyFont="1" applyFill="1" applyBorder="1"/>
    <xf numFmtId="166" fontId="13" fillId="11" borderId="0" xfId="2" applyNumberFormat="1" applyFont="1" applyFill="1" applyBorder="1"/>
    <xf numFmtId="9" fontId="1" fillId="11" borderId="0" xfId="2" applyFont="1" applyFill="1" applyBorder="1"/>
    <xf numFmtId="166" fontId="1" fillId="11" borderId="0" xfId="1" applyNumberFormat="1" applyFont="1" applyFill="1" applyBorder="1"/>
    <xf numFmtId="0" fontId="10" fillId="0" borderId="23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1" fillId="0" borderId="12" xfId="0" applyFont="1" applyBorder="1" applyAlignment="1">
      <alignment horizontal="right" vertical="justify" wrapText="1"/>
    </xf>
    <xf numFmtId="0" fontId="10" fillId="0" borderId="12" xfId="0" applyFont="1" applyBorder="1" applyAlignment="1">
      <alignment horizontal="right" vertical="justify" wrapText="1"/>
    </xf>
    <xf numFmtId="166" fontId="10" fillId="0" borderId="12" xfId="1" applyNumberFormat="1" applyFont="1" applyBorder="1" applyAlignment="1">
      <alignment wrapText="1"/>
    </xf>
    <xf numFmtId="10" fontId="10" fillId="0" borderId="12" xfId="0" applyNumberFormat="1" applyFont="1" applyBorder="1" applyAlignment="1">
      <alignment wrapText="1"/>
    </xf>
    <xf numFmtId="166" fontId="10" fillId="0" borderId="12" xfId="1" applyNumberFormat="1" applyFont="1" applyFill="1" applyBorder="1" applyAlignment="1">
      <alignment wrapText="1"/>
    </xf>
    <xf numFmtId="166" fontId="10" fillId="4" borderId="12" xfId="1" applyNumberFormat="1" applyFont="1" applyFill="1" applyBorder="1" applyAlignment="1">
      <alignment wrapText="1"/>
    </xf>
    <xf numFmtId="169" fontId="10" fillId="0" borderId="12" xfId="0" applyNumberFormat="1" applyFont="1" applyBorder="1" applyAlignment="1">
      <alignment wrapText="1"/>
    </xf>
    <xf numFmtId="1" fontId="10" fillId="0" borderId="30" xfId="1" applyNumberFormat="1" applyFont="1" applyBorder="1" applyAlignment="1">
      <alignment wrapText="1"/>
    </xf>
    <xf numFmtId="169" fontId="10" fillId="0" borderId="30" xfId="0" applyNumberFormat="1" applyFont="1" applyBorder="1" applyAlignment="1">
      <alignment wrapText="1"/>
    </xf>
    <xf numFmtId="0" fontId="2" fillId="8" borderId="9" xfId="0" applyFont="1" applyFill="1" applyBorder="1"/>
    <xf numFmtId="0" fontId="2" fillId="8" borderId="10" xfId="0" applyFont="1" applyFill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24" xfId="0" applyBorder="1"/>
    <xf numFmtId="0" fontId="0" fillId="0" borderId="26" xfId="0" applyBorder="1"/>
    <xf numFmtId="0" fontId="0" fillId="0" borderId="50" xfId="0" applyBorder="1"/>
    <xf numFmtId="0" fontId="0" fillId="0" borderId="52" xfId="0" applyBorder="1"/>
    <xf numFmtId="165" fontId="0" fillId="11" borderId="0" xfId="1" applyFont="1" applyFill="1" applyBorder="1"/>
    <xf numFmtId="9" fontId="0" fillId="11" borderId="0" xfId="2" applyFont="1" applyFill="1" applyBorder="1"/>
    <xf numFmtId="16" fontId="0" fillId="11" borderId="0" xfId="0" applyNumberFormat="1" applyFill="1"/>
    <xf numFmtId="166" fontId="0" fillId="11" borderId="0" xfId="0" applyNumberFormat="1" applyFill="1"/>
    <xf numFmtId="166" fontId="2" fillId="11" borderId="0" xfId="1" applyNumberFormat="1" applyFont="1" applyFill="1" applyBorder="1"/>
    <xf numFmtId="0" fontId="24" fillId="11" borderId="0" xfId="0" applyFont="1" applyFill="1"/>
    <xf numFmtId="169" fontId="0" fillId="11" borderId="0" xfId="0" applyNumberFormat="1" applyFill="1"/>
    <xf numFmtId="1" fontId="0" fillId="11" borderId="0" xfId="0" applyNumberFormat="1" applyFill="1"/>
    <xf numFmtId="166" fontId="6" fillId="11" borderId="0" xfId="1" applyNumberFormat="1" applyFont="1" applyFill="1" applyBorder="1"/>
    <xf numFmtId="166" fontId="6" fillId="11" borderId="0" xfId="0" applyNumberFormat="1" applyFont="1" applyFill="1"/>
    <xf numFmtId="9" fontId="6" fillId="11" borderId="0" xfId="2" applyFont="1" applyFill="1" applyBorder="1"/>
    <xf numFmtId="169" fontId="6" fillId="11" borderId="0" xfId="0" applyNumberFormat="1" applyFont="1" applyFill="1"/>
    <xf numFmtId="1" fontId="6" fillId="11" borderId="0" xfId="0" applyNumberFormat="1" applyFont="1" applyFill="1"/>
    <xf numFmtId="166" fontId="5" fillId="11" borderId="0" xfId="1" applyNumberFormat="1" applyFont="1" applyFill="1" applyBorder="1"/>
    <xf numFmtId="0" fontId="31" fillId="11" borderId="0" xfId="0" applyFont="1" applyFill="1"/>
    <xf numFmtId="166" fontId="11" fillId="11" borderId="0" xfId="1" applyNumberFormat="1" applyFont="1" applyFill="1" applyBorder="1" applyAlignment="1">
      <alignment wrapText="1"/>
    </xf>
    <xf numFmtId="169" fontId="11" fillId="11" borderId="0" xfId="1" applyNumberFormat="1" applyFont="1" applyFill="1" applyBorder="1" applyAlignment="1">
      <alignment wrapText="1"/>
    </xf>
    <xf numFmtId="1" fontId="11" fillId="11" borderId="0" xfId="1" applyNumberFormat="1" applyFont="1" applyFill="1" applyBorder="1" applyAlignment="1">
      <alignment wrapText="1"/>
    </xf>
    <xf numFmtId="168" fontId="11" fillId="11" borderId="0" xfId="0" applyNumberFormat="1" applyFont="1" applyFill="1" applyAlignment="1">
      <alignment wrapText="1"/>
    </xf>
    <xf numFmtId="169" fontId="2" fillId="11" borderId="0" xfId="1" applyNumberFormat="1" applyFont="1" applyFill="1" applyBorder="1"/>
    <xf numFmtId="1" fontId="2" fillId="11" borderId="0" xfId="1" applyNumberFormat="1" applyFont="1" applyFill="1" applyBorder="1"/>
    <xf numFmtId="0" fontId="29" fillId="0" borderId="0" xfId="0" applyFont="1" applyAlignment="1">
      <alignment horizontal="right"/>
    </xf>
    <xf numFmtId="0" fontId="29" fillId="0" borderId="0" xfId="0" applyFont="1" applyAlignment="1">
      <alignment horizontal="left"/>
    </xf>
    <xf numFmtId="166" fontId="29" fillId="0" borderId="0" xfId="1" applyNumberFormat="1" applyFont="1" applyFill="1" applyBorder="1"/>
    <xf numFmtId="17" fontId="23" fillId="0" borderId="0" xfId="0" applyNumberFormat="1" applyFont="1" applyAlignment="1">
      <alignment horizontal="left"/>
    </xf>
    <xf numFmtId="17" fontId="4" fillId="0" borderId="0" xfId="0" applyNumberFormat="1" applyFont="1"/>
    <xf numFmtId="166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left"/>
    </xf>
    <xf numFmtId="0" fontId="4" fillId="0" borderId="13" xfId="0" applyFont="1" applyBorder="1"/>
    <xf numFmtId="0" fontId="0" fillId="2" borderId="0" xfId="0" applyFill="1" applyAlignment="1">
      <alignment horizontal="left"/>
    </xf>
    <xf numFmtId="0" fontId="35" fillId="13" borderId="0" xfId="0" applyFont="1" applyFill="1"/>
    <xf numFmtId="166" fontId="4" fillId="0" borderId="0" xfId="1" applyNumberFormat="1" applyFont="1" applyAlignment="1">
      <alignment horizontal="left"/>
    </xf>
    <xf numFmtId="166" fontId="5" fillId="5" borderId="0" xfId="1" applyNumberFormat="1" applyFont="1" applyFill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0" xfId="0" applyFont="1" applyAlignment="1">
      <alignment horizontal="left"/>
    </xf>
    <xf numFmtId="0" fontId="17" fillId="0" borderId="8" xfId="0" applyFont="1" applyBorder="1"/>
    <xf numFmtId="0" fontId="17" fillId="0" borderId="10" xfId="0" applyFont="1" applyBorder="1"/>
    <xf numFmtId="0" fontId="19" fillId="0" borderId="8" xfId="0" applyFont="1" applyBorder="1"/>
    <xf numFmtId="17" fontId="5" fillId="0" borderId="0" xfId="0" applyNumberFormat="1" applyFont="1" applyAlignment="1">
      <alignment horizontal="left"/>
    </xf>
    <xf numFmtId="3" fontId="5" fillId="5" borderId="19" xfId="0" applyNumberFormat="1" applyFont="1" applyFill="1" applyBorder="1" applyAlignment="1">
      <alignment wrapText="1"/>
    </xf>
    <xf numFmtId="3" fontId="5" fillId="0" borderId="20" xfId="0" applyNumberFormat="1" applyFont="1" applyBorder="1"/>
    <xf numFmtId="3" fontId="5" fillId="0" borderId="13" xfId="0" applyNumberFormat="1" applyFont="1" applyBorder="1"/>
    <xf numFmtId="168" fontId="5" fillId="0" borderId="0" xfId="0" applyNumberFormat="1" applyFont="1"/>
    <xf numFmtId="166" fontId="5" fillId="0" borderId="8" xfId="1" applyNumberFormat="1" applyFont="1" applyBorder="1"/>
    <xf numFmtId="166" fontId="46" fillId="0" borderId="9" xfId="1" applyNumberFormat="1" applyFont="1" applyBorder="1"/>
    <xf numFmtId="0" fontId="5" fillId="3" borderId="0" xfId="0" applyFont="1" applyFill="1" applyAlignment="1">
      <alignment horizontal="left"/>
    </xf>
    <xf numFmtId="16" fontId="0" fillId="2" borderId="0" xfId="0" applyNumberFormat="1" applyFill="1"/>
    <xf numFmtId="0" fontId="23" fillId="2" borderId="35" xfId="0" applyFont="1" applyFill="1" applyBorder="1"/>
    <xf numFmtId="0" fontId="0" fillId="2" borderId="8" xfId="0" applyFill="1" applyBorder="1"/>
    <xf numFmtId="0" fontId="6" fillId="3" borderId="0" xfId="0" applyFont="1" applyFill="1" applyAlignment="1">
      <alignment horizontal="left"/>
    </xf>
    <xf numFmtId="3" fontId="5" fillId="4" borderId="20" xfId="0" applyNumberFormat="1" applyFont="1" applyFill="1" applyBorder="1"/>
    <xf numFmtId="16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3" fillId="5" borderId="35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5" fontId="0" fillId="0" borderId="0" xfId="1" applyFont="1" applyBorder="1" applyProtection="1"/>
    <xf numFmtId="168" fontId="48" fillId="0" borderId="0" xfId="0" applyNumberFormat="1" applyFont="1"/>
    <xf numFmtId="168" fontId="49" fillId="0" borderId="0" xfId="0" applyNumberFormat="1" applyFont="1"/>
    <xf numFmtId="170" fontId="48" fillId="0" borderId="20" xfId="0" applyNumberFormat="1" applyFont="1" applyBorder="1"/>
    <xf numFmtId="3" fontId="50" fillId="0" borderId="20" xfId="0" applyNumberFormat="1" applyFont="1" applyBorder="1"/>
    <xf numFmtId="0" fontId="0" fillId="0" borderId="20" xfId="0" applyBorder="1" applyAlignment="1">
      <alignment horizontal="left"/>
    </xf>
    <xf numFmtId="3" fontId="5" fillId="5" borderId="13" xfId="0" applyNumberFormat="1" applyFont="1" applyFill="1" applyBorder="1" applyAlignment="1">
      <alignment wrapText="1"/>
    </xf>
    <xf numFmtId="0" fontId="47" fillId="0" borderId="20" xfId="0" applyFont="1" applyBorder="1"/>
    <xf numFmtId="3" fontId="48" fillId="0" borderId="20" xfId="0" applyNumberFormat="1" applyFont="1" applyBorder="1"/>
    <xf numFmtId="0" fontId="29" fillId="5" borderId="0" xfId="0" applyFont="1" applyFill="1" applyAlignment="1">
      <alignment horizontal="center"/>
    </xf>
    <xf numFmtId="0" fontId="51" fillId="5" borderId="0" xfId="0" applyFont="1" applyFill="1" applyAlignment="1">
      <alignment horizontal="center"/>
    </xf>
    <xf numFmtId="166" fontId="51" fillId="5" borderId="0" xfId="1" applyNumberFormat="1" applyFont="1" applyFill="1" applyBorder="1" applyAlignment="1">
      <alignment horizontal="center"/>
    </xf>
    <xf numFmtId="166" fontId="6" fillId="0" borderId="8" xfId="1" applyNumberFormat="1" applyFont="1" applyBorder="1"/>
    <xf numFmtId="0" fontId="31" fillId="0" borderId="9" xfId="0" applyFont="1" applyBorder="1"/>
    <xf numFmtId="0" fontId="6" fillId="0" borderId="9" xfId="0" applyFont="1" applyBorder="1"/>
    <xf numFmtId="0" fontId="6" fillId="0" borderId="10" xfId="0" applyFont="1" applyBorder="1"/>
    <xf numFmtId="0" fontId="10" fillId="5" borderId="0" xfId="0" applyFont="1" applyFill="1" applyAlignment="1">
      <alignment wrapText="1"/>
    </xf>
    <xf numFmtId="166" fontId="10" fillId="0" borderId="9" xfId="1" applyNumberFormat="1" applyFont="1" applyBorder="1"/>
    <xf numFmtId="166" fontId="11" fillId="0" borderId="9" xfId="1" applyNumberFormat="1" applyFont="1" applyBorder="1"/>
    <xf numFmtId="0" fontId="11" fillId="2" borderId="8" xfId="0" applyFont="1" applyFill="1" applyBorder="1"/>
    <xf numFmtId="0" fontId="11" fillId="2" borderId="10" xfId="0" applyFont="1" applyFill="1" applyBorder="1"/>
    <xf numFmtId="0" fontId="0" fillId="5" borderId="0" xfId="0" applyFill="1" applyAlignment="1">
      <alignment horizontal="center"/>
    </xf>
    <xf numFmtId="0" fontId="0" fillId="5" borderId="16" xfId="0" applyFill="1" applyBorder="1"/>
    <xf numFmtId="0" fontId="0" fillId="5" borderId="11" xfId="0" applyFill="1" applyBorder="1"/>
    <xf numFmtId="0" fontId="2" fillId="5" borderId="11" xfId="0" applyFont="1" applyFill="1" applyBorder="1"/>
    <xf numFmtId="166" fontId="2" fillId="5" borderId="16" xfId="1" applyNumberFormat="1" applyFont="1" applyFill="1" applyBorder="1"/>
    <xf numFmtId="0" fontId="0" fillId="5" borderId="20" xfId="0" applyFill="1" applyBorder="1"/>
    <xf numFmtId="0" fontId="2" fillId="5" borderId="22" xfId="0" applyFont="1" applyFill="1" applyBorder="1"/>
    <xf numFmtId="166" fontId="0" fillId="5" borderId="11" xfId="1" applyNumberFormat="1" applyFont="1" applyFill="1" applyBorder="1"/>
    <xf numFmtId="166" fontId="0" fillId="5" borderId="0" xfId="1" applyNumberFormat="1" applyFont="1" applyFill="1"/>
    <xf numFmtId="166" fontId="2" fillId="0" borderId="16" xfId="1" applyNumberFormat="1" applyFont="1" applyFill="1" applyBorder="1"/>
    <xf numFmtId="166" fontId="11" fillId="0" borderId="0" xfId="1" applyNumberFormat="1" applyFont="1" applyBorder="1"/>
    <xf numFmtId="166" fontId="2" fillId="0" borderId="13" xfId="1" applyNumberFormat="1" applyFont="1" applyFill="1" applyBorder="1"/>
    <xf numFmtId="166" fontId="6" fillId="0" borderId="10" xfId="1" applyNumberFormat="1" applyFont="1" applyBorder="1"/>
    <xf numFmtId="168" fontId="5" fillId="4" borderId="0" xfId="0" applyNumberFormat="1" applyFont="1" applyFill="1"/>
    <xf numFmtId="0" fontId="6" fillId="4" borderId="0" xfId="0" applyFont="1" applyFill="1" applyAlignment="1">
      <alignment horizontal="left"/>
    </xf>
    <xf numFmtId="166" fontId="5" fillId="3" borderId="0" xfId="1" applyNumberFormat="1" applyFont="1" applyFill="1" applyBorder="1"/>
    <xf numFmtId="0" fontId="2" fillId="14" borderId="0" xfId="0" applyFont="1" applyFill="1"/>
    <xf numFmtId="0" fontId="32" fillId="14" borderId="0" xfId="0" applyFont="1" applyFill="1"/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166" fontId="0" fillId="14" borderId="0" xfId="1" applyNumberFormat="1" applyFont="1" applyFill="1" applyBorder="1"/>
    <xf numFmtId="0" fontId="0" fillId="14" borderId="0" xfId="0" applyFill="1"/>
    <xf numFmtId="0" fontId="5" fillId="4" borderId="0" xfId="0" applyFont="1" applyFill="1" applyAlignment="1">
      <alignment horizontal="left"/>
    </xf>
    <xf numFmtId="169" fontId="11" fillId="4" borderId="0" xfId="0" applyNumberFormat="1" applyFont="1" applyFill="1"/>
    <xf numFmtId="169" fontId="0" fillId="4" borderId="0" xfId="0" applyNumberFormat="1" applyFill="1"/>
    <xf numFmtId="1" fontId="0" fillId="4" borderId="0" xfId="0" applyNumberFormat="1" applyFill="1"/>
    <xf numFmtId="0" fontId="0" fillId="2" borderId="0" xfId="0" applyFill="1" applyAlignment="1">
      <alignment horizontal="right"/>
    </xf>
    <xf numFmtId="166" fontId="0" fillId="2" borderId="0" xfId="1" applyNumberFormat="1" applyFont="1" applyFill="1" applyBorder="1"/>
    <xf numFmtId="169" fontId="5" fillId="4" borderId="0" xfId="1" applyNumberFormat="1" applyFont="1" applyFill="1" applyBorder="1"/>
    <xf numFmtId="1" fontId="5" fillId="4" borderId="0" xfId="1" applyNumberFormat="1" applyFont="1" applyFill="1" applyBorder="1"/>
    <xf numFmtId="169" fontId="6" fillId="2" borderId="0" xfId="0" applyNumberFormat="1" applyFont="1" applyFill="1"/>
    <xf numFmtId="166" fontId="6" fillId="2" borderId="0" xfId="1" applyNumberFormat="1" applyFont="1" applyFill="1" applyBorder="1"/>
    <xf numFmtId="166" fontId="6" fillId="2" borderId="0" xfId="0" applyNumberFormat="1" applyFont="1" applyFill="1"/>
    <xf numFmtId="9" fontId="6" fillId="2" borderId="0" xfId="2" applyFont="1" applyFill="1" applyBorder="1"/>
    <xf numFmtId="1" fontId="6" fillId="2" borderId="0" xfId="0" applyNumberFormat="1" applyFont="1" applyFill="1"/>
    <xf numFmtId="0" fontId="36" fillId="4" borderId="0" xfId="0" applyFont="1" applyFill="1"/>
    <xf numFmtId="0" fontId="35" fillId="4" borderId="0" xfId="0" applyFont="1" applyFill="1"/>
    <xf numFmtId="166" fontId="0" fillId="4" borderId="0" xfId="0" applyNumberFormat="1" applyFill="1"/>
    <xf numFmtId="0" fontId="13" fillId="2" borderId="0" xfId="0" applyFont="1" applyFill="1" applyAlignment="1">
      <alignment horizontal="left"/>
    </xf>
    <xf numFmtId="165" fontId="0" fillId="14" borderId="0" xfId="1" applyFont="1" applyFill="1" applyBorder="1"/>
    <xf numFmtId="0" fontId="14" fillId="3" borderId="0" xfId="0" applyFont="1" applyFill="1"/>
    <xf numFmtId="166" fontId="2" fillId="0" borderId="8" xfId="1" applyNumberFormat="1" applyFont="1" applyBorder="1"/>
    <xf numFmtId="3" fontId="0" fillId="0" borderId="18" xfId="0" applyNumberFormat="1" applyBorder="1"/>
    <xf numFmtId="3" fontId="6" fillId="0" borderId="20" xfId="0" applyNumberFormat="1" applyFont="1" applyBorder="1"/>
    <xf numFmtId="3" fontId="6" fillId="0" borderId="13" xfId="0" applyNumberFormat="1" applyFont="1" applyBorder="1"/>
    <xf numFmtId="0" fontId="5" fillId="2" borderId="0" xfId="0" applyFont="1" applyFill="1"/>
    <xf numFmtId="1" fontId="6" fillId="2" borderId="0" xfId="1" applyNumberFormat="1" applyFont="1" applyFill="1" applyBorder="1"/>
    <xf numFmtId="9" fontId="6" fillId="2" borderId="0" xfId="0" applyNumberFormat="1" applyFont="1" applyFill="1"/>
    <xf numFmtId="12" fontId="0" fillId="2" borderId="0" xfId="0" applyNumberFormat="1" applyFill="1"/>
    <xf numFmtId="166" fontId="11" fillId="4" borderId="0" xfId="0" applyNumberFormat="1" applyFont="1" applyFill="1"/>
    <xf numFmtId="9" fontId="11" fillId="4" borderId="0" xfId="2" applyFont="1" applyFill="1" applyBorder="1"/>
    <xf numFmtId="166" fontId="5" fillId="0" borderId="10" xfId="1" applyNumberFormat="1" applyFont="1" applyBorder="1"/>
    <xf numFmtId="3" fontId="35" fillId="0" borderId="20" xfId="0" applyNumberFormat="1" applyFont="1" applyBorder="1"/>
    <xf numFmtId="0" fontId="13" fillId="2" borderId="0" xfId="0" applyFont="1" applyFill="1"/>
    <xf numFmtId="0" fontId="36" fillId="2" borderId="0" xfId="0" applyFont="1" applyFill="1"/>
    <xf numFmtId="166" fontId="13" fillId="4" borderId="0" xfId="2" applyNumberFormat="1" applyFont="1" applyFill="1" applyBorder="1"/>
    <xf numFmtId="0" fontId="35" fillId="2" borderId="0" xfId="0" applyFont="1" applyFill="1"/>
    <xf numFmtId="3" fontId="35" fillId="0" borderId="19" xfId="0" applyNumberFormat="1" applyFont="1" applyBorder="1" applyAlignment="1">
      <alignment wrapText="1"/>
    </xf>
    <xf numFmtId="166" fontId="2" fillId="0" borderId="23" xfId="1" applyNumberFormat="1" applyFont="1" applyBorder="1"/>
    <xf numFmtId="166" fontId="2" fillId="0" borderId="30" xfId="1" applyNumberFormat="1" applyFont="1" applyBorder="1"/>
    <xf numFmtId="16" fontId="6" fillId="3" borderId="0" xfId="0" applyNumberFormat="1" applyFont="1" applyFill="1"/>
    <xf numFmtId="0" fontId="2" fillId="2" borderId="0" xfId="0" applyFont="1" applyFill="1" applyAlignment="1">
      <alignment horizontal="center"/>
    </xf>
    <xf numFmtId="0" fontId="11" fillId="0" borderId="13" xfId="0" applyFont="1" applyBorder="1"/>
    <xf numFmtId="165" fontId="2" fillId="2" borderId="8" xfId="1" applyFont="1" applyFill="1" applyBorder="1" applyProtection="1"/>
    <xf numFmtId="166" fontId="11" fillId="0" borderId="0" xfId="1" applyNumberFormat="1" applyFont="1" applyFill="1"/>
    <xf numFmtId="166" fontId="6" fillId="0" borderId="9" xfId="0" applyNumberFormat="1" applyFont="1" applyBorder="1"/>
    <xf numFmtId="0" fontId="6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66" fontId="0" fillId="2" borderId="0" xfId="1" applyNumberFormat="1" applyFont="1" applyFill="1"/>
    <xf numFmtId="0" fontId="5" fillId="6" borderId="0" xfId="0" applyFont="1" applyFill="1"/>
    <xf numFmtId="9" fontId="6" fillId="6" borderId="0" xfId="0" applyNumberFormat="1" applyFont="1" applyFill="1"/>
    <xf numFmtId="169" fontId="6" fillId="6" borderId="0" xfId="0" applyNumberFormat="1" applyFont="1" applyFill="1"/>
    <xf numFmtId="1" fontId="6" fillId="6" borderId="0" xfId="1" applyNumberFormat="1" applyFont="1" applyFill="1" applyBorder="1"/>
    <xf numFmtId="0" fontId="2" fillId="6" borderId="0" xfId="0" applyFont="1" applyFill="1"/>
    <xf numFmtId="3" fontId="6" fillId="3" borderId="20" xfId="0" applyNumberFormat="1" applyFont="1" applyFill="1" applyBorder="1"/>
    <xf numFmtId="16" fontId="0" fillId="3" borderId="0" xfId="0" applyNumberFormat="1" applyFill="1"/>
    <xf numFmtId="0" fontId="23" fillId="3" borderId="35" xfId="0" applyFont="1" applyFill="1" applyBorder="1"/>
    <xf numFmtId="0" fontId="0" fillId="3" borderId="20" xfId="0" applyFill="1" applyBorder="1"/>
    <xf numFmtId="0" fontId="0" fillId="3" borderId="8" xfId="0" applyFill="1" applyBorder="1"/>
    <xf numFmtId="0" fontId="0" fillId="3" borderId="13" xfId="0" applyFill="1" applyBorder="1"/>
    <xf numFmtId="0" fontId="55" fillId="0" borderId="0" xfId="0" applyFont="1"/>
    <xf numFmtId="168" fontId="10" fillId="0" borderId="0" xfId="0" applyNumberFormat="1" applyFont="1"/>
    <xf numFmtId="3" fontId="10" fillId="0" borderId="20" xfId="0" applyNumberFormat="1" applyFont="1" applyBorder="1"/>
    <xf numFmtId="166" fontId="1" fillId="0" borderId="16" xfId="1" applyNumberFormat="1" applyFont="1" applyFill="1" applyBorder="1"/>
    <xf numFmtId="0" fontId="0" fillId="0" borderId="22" xfId="0" applyBorder="1"/>
    <xf numFmtId="166" fontId="1" fillId="0" borderId="11" xfId="1" applyNumberFormat="1" applyFont="1" applyFill="1" applyBorder="1"/>
    <xf numFmtId="166" fontId="1" fillId="0" borderId="0" xfId="1" applyNumberFormat="1" applyFont="1" applyFill="1"/>
    <xf numFmtId="166" fontId="11" fillId="0" borderId="8" xfId="1" applyNumberFormat="1" applyFont="1" applyBorder="1"/>
    <xf numFmtId="3" fontId="10" fillId="0" borderId="13" xfId="0" applyNumberFormat="1" applyFont="1" applyBorder="1"/>
    <xf numFmtId="2" fontId="0" fillId="0" borderId="0" xfId="0" applyNumberFormat="1" applyAlignment="1">
      <alignment wrapText="1"/>
    </xf>
    <xf numFmtId="2" fontId="2" fillId="0" borderId="6" xfId="0" applyNumberFormat="1" applyFont="1" applyBorder="1" applyAlignment="1">
      <alignment wrapText="1"/>
    </xf>
    <xf numFmtId="2" fontId="0" fillId="2" borderId="46" xfId="0" applyNumberFormat="1" applyFill="1" applyBorder="1" applyAlignment="1">
      <alignment wrapText="1"/>
    </xf>
    <xf numFmtId="2" fontId="0" fillId="2" borderId="15" xfId="0" applyNumberFormat="1" applyFill="1" applyBorder="1" applyAlignment="1">
      <alignment wrapText="1"/>
    </xf>
    <xf numFmtId="2" fontId="0" fillId="2" borderId="47" xfId="0" applyNumberFormat="1" applyFill="1" applyBorder="1" applyAlignment="1">
      <alignment wrapText="1"/>
    </xf>
    <xf numFmtId="2" fontId="0" fillId="4" borderId="15" xfId="0" applyNumberFormat="1" applyFill="1" applyBorder="1" applyAlignment="1">
      <alignment wrapText="1"/>
    </xf>
    <xf numFmtId="2" fontId="0" fillId="4" borderId="47" xfId="0" applyNumberFormat="1" applyFill="1" applyBorder="1" applyAlignment="1">
      <alignment wrapText="1"/>
    </xf>
    <xf numFmtId="2" fontId="0" fillId="5" borderId="47" xfId="1" applyNumberFormat="1" applyFont="1" applyFill="1" applyBorder="1" applyAlignment="1">
      <alignment wrapText="1"/>
    </xf>
    <xf numFmtId="2" fontId="40" fillId="2" borderId="7" xfId="0" applyNumberFormat="1" applyFont="1" applyFill="1" applyBorder="1" applyAlignment="1">
      <alignment wrapText="1"/>
    </xf>
    <xf numFmtId="2" fontId="40" fillId="5" borderId="51" xfId="0" applyNumberFormat="1" applyFont="1" applyFill="1" applyBorder="1" applyAlignment="1">
      <alignment wrapText="1"/>
    </xf>
    <xf numFmtId="2" fontId="40" fillId="2" borderId="8" xfId="0" applyNumberFormat="1" applyFont="1" applyFill="1" applyBorder="1" applyAlignment="1">
      <alignment wrapText="1"/>
    </xf>
    <xf numFmtId="2" fontId="0" fillId="0" borderId="18" xfId="0" applyNumberFormat="1" applyBorder="1" applyAlignment="1">
      <alignment wrapText="1"/>
    </xf>
    <xf numFmtId="0" fontId="11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1" fillId="0" borderId="9" xfId="0" applyFont="1" applyBorder="1"/>
    <xf numFmtId="166" fontId="11" fillId="0" borderId="9" xfId="0" applyNumberFormat="1" applyFont="1" applyBorder="1"/>
    <xf numFmtId="166" fontId="13" fillId="0" borderId="32" xfId="1" applyNumberFormat="1" applyFont="1" applyBorder="1"/>
    <xf numFmtId="166" fontId="13" fillId="0" borderId="34" xfId="1" applyNumberFormat="1" applyFont="1" applyBorder="1"/>
    <xf numFmtId="166" fontId="0" fillId="15" borderId="45" xfId="1" applyNumberFormat="1" applyFont="1" applyFill="1" applyBorder="1"/>
    <xf numFmtId="3" fontId="0" fillId="15" borderId="18" xfId="0" applyNumberFormat="1" applyFill="1" applyBorder="1"/>
    <xf numFmtId="16" fontId="0" fillId="4" borderId="0" xfId="0" applyNumberFormat="1" applyFill="1"/>
    <xf numFmtId="0" fontId="4" fillId="5" borderId="0" xfId="0" applyFont="1" applyFill="1" applyAlignment="1">
      <alignment horizontal="center"/>
    </xf>
    <xf numFmtId="0" fontId="6" fillId="16" borderId="0" xfId="0" applyFont="1" applyFill="1"/>
    <xf numFmtId="166" fontId="6" fillId="16" borderId="0" xfId="1" applyNumberFormat="1" applyFont="1" applyFill="1" applyBorder="1"/>
    <xf numFmtId="166" fontId="6" fillId="16" borderId="0" xfId="0" applyNumberFormat="1" applyFont="1" applyFill="1"/>
    <xf numFmtId="9" fontId="6" fillId="16" borderId="0" xfId="2" applyFont="1" applyFill="1" applyBorder="1"/>
    <xf numFmtId="169" fontId="6" fillId="16" borderId="0" xfId="0" applyNumberFormat="1" applyFont="1" applyFill="1"/>
    <xf numFmtId="1" fontId="6" fillId="16" borderId="0" xfId="0" applyNumberFormat="1" applyFont="1" applyFill="1"/>
    <xf numFmtId="9" fontId="6" fillId="16" borderId="0" xfId="0" applyNumberFormat="1" applyFont="1" applyFill="1"/>
    <xf numFmtId="16" fontId="6" fillId="16" borderId="0" xfId="0" applyNumberFormat="1" applyFont="1" applyFill="1"/>
    <xf numFmtId="0" fontId="11" fillId="16" borderId="0" xfId="0" applyFont="1" applyFill="1"/>
    <xf numFmtId="0" fontId="5" fillId="16" borderId="0" xfId="0" applyFont="1" applyFill="1"/>
    <xf numFmtId="0" fontId="13" fillId="16" borderId="0" xfId="0" applyFont="1" applyFill="1"/>
    <xf numFmtId="166" fontId="13" fillId="16" borderId="0" xfId="1" applyNumberFormat="1" applyFont="1" applyFill="1" applyBorder="1"/>
    <xf numFmtId="166" fontId="13" fillId="16" borderId="0" xfId="0" applyNumberFormat="1" applyFont="1" applyFill="1"/>
    <xf numFmtId="9" fontId="13" fillId="16" borderId="0" xfId="2" applyFont="1" applyFill="1" applyBorder="1"/>
    <xf numFmtId="166" fontId="14" fillId="16" borderId="0" xfId="1" applyNumberFormat="1" applyFont="1" applyFill="1" applyBorder="1"/>
    <xf numFmtId="169" fontId="13" fillId="16" borderId="0" xfId="0" applyNumberFormat="1" applyFont="1" applyFill="1"/>
    <xf numFmtId="1" fontId="11" fillId="16" borderId="0" xfId="0" applyNumberFormat="1" applyFont="1" applyFill="1"/>
    <xf numFmtId="3" fontId="5" fillId="5" borderId="20" xfId="0" applyNumberFormat="1" applyFont="1" applyFill="1" applyBorder="1"/>
    <xf numFmtId="166" fontId="6" fillId="5" borderId="0" xfId="1" applyNumberFormat="1" applyFont="1" applyFill="1"/>
    <xf numFmtId="0" fontId="31" fillId="5" borderId="0" xfId="0" applyFont="1" applyFill="1"/>
    <xf numFmtId="166" fontId="11" fillId="5" borderId="0" xfId="1" applyNumberFormat="1" applyFont="1" applyFill="1"/>
    <xf numFmtId="166" fontId="2" fillId="0" borderId="10" xfId="1" applyNumberFormat="1" applyFont="1" applyFill="1" applyBorder="1"/>
    <xf numFmtId="168" fontId="29" fillId="5" borderId="0" xfId="0" applyNumberFormat="1" applyFont="1" applyFill="1"/>
    <xf numFmtId="3" fontId="29" fillId="5" borderId="20" xfId="0" applyNumberFormat="1" applyFont="1" applyFill="1" applyBorder="1"/>
    <xf numFmtId="166" fontId="29" fillId="5" borderId="0" xfId="1" applyNumberFormat="1" applyFont="1" applyFill="1"/>
    <xf numFmtId="0" fontId="54" fillId="5" borderId="0" xfId="0" applyFont="1" applyFill="1"/>
    <xf numFmtId="0" fontId="29" fillId="5" borderId="0" xfId="0" applyFont="1" applyFill="1"/>
    <xf numFmtId="166" fontId="37" fillId="5" borderId="0" xfId="1" applyNumberFormat="1" applyFont="1" applyFill="1"/>
    <xf numFmtId="0" fontId="31" fillId="4" borderId="0" xfId="0" applyFont="1" applyFill="1"/>
    <xf numFmtId="3" fontId="35" fillId="0" borderId="20" xfId="0" applyNumberFormat="1" applyFont="1" applyBorder="1" applyAlignment="1">
      <alignment wrapText="1"/>
    </xf>
    <xf numFmtId="0" fontId="47" fillId="0" borderId="13" xfId="0" applyFont="1" applyBorder="1"/>
    <xf numFmtId="3" fontId="35" fillId="0" borderId="13" xfId="0" applyNumberFormat="1" applyFont="1" applyBorder="1" applyAlignment="1">
      <alignment wrapText="1"/>
    </xf>
    <xf numFmtId="166" fontId="47" fillId="0" borderId="13" xfId="0" applyNumberFormat="1" applyFont="1" applyBorder="1"/>
    <xf numFmtId="0" fontId="6" fillId="0" borderId="13" xfId="0" applyFont="1" applyBorder="1"/>
    <xf numFmtId="0" fontId="38" fillId="3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166" fontId="1" fillId="6" borderId="0" xfId="1" applyNumberFormat="1" applyFont="1" applyFill="1" applyBorder="1"/>
    <xf numFmtId="0" fontId="11" fillId="6" borderId="0" xfId="0" applyFont="1" applyFill="1"/>
    <xf numFmtId="166" fontId="11" fillId="6" borderId="0" xfId="1" applyNumberFormat="1" applyFont="1" applyFill="1" applyBorder="1"/>
    <xf numFmtId="166" fontId="11" fillId="6" borderId="0" xfId="0" applyNumberFormat="1" applyFont="1" applyFill="1"/>
    <xf numFmtId="9" fontId="11" fillId="6" borderId="0" xfId="2" applyFont="1" applyFill="1" applyBorder="1"/>
    <xf numFmtId="166" fontId="10" fillId="6" borderId="0" xfId="1" applyNumberFormat="1" applyFont="1" applyFill="1" applyBorder="1"/>
    <xf numFmtId="0" fontId="5" fillId="6" borderId="0" xfId="0" applyFont="1" applyFill="1" applyAlignment="1">
      <alignment horizontal="left"/>
    </xf>
    <xf numFmtId="166" fontId="47" fillId="0" borderId="20" xfId="0" applyNumberFormat="1" applyFont="1" applyBorder="1"/>
    <xf numFmtId="166" fontId="6" fillId="6" borderId="0" xfId="0" applyNumberFormat="1" applyFont="1" applyFill="1"/>
    <xf numFmtId="9" fontId="6" fillId="6" borderId="0" xfId="2" applyFont="1" applyFill="1" applyBorder="1"/>
    <xf numFmtId="166" fontId="2" fillId="0" borderId="13" xfId="0" applyNumberFormat="1" applyFont="1" applyBorder="1"/>
    <xf numFmtId="166" fontId="0" fillId="14" borderId="0" xfId="1" applyNumberFormat="1" applyFont="1" applyFill="1"/>
    <xf numFmtId="166" fontId="0" fillId="6" borderId="0" xfId="1" applyNumberFormat="1" applyFont="1" applyFill="1"/>
    <xf numFmtId="166" fontId="0" fillId="4" borderId="0" xfId="1" applyNumberFormat="1" applyFont="1" applyFill="1"/>
    <xf numFmtId="166" fontId="56" fillId="0" borderId="20" xfId="0" applyNumberFormat="1" applyFont="1" applyBorder="1"/>
    <xf numFmtId="3" fontId="34" fillId="0" borderId="20" xfId="0" applyNumberFormat="1" applyFont="1" applyBorder="1" applyAlignment="1">
      <alignment wrapText="1"/>
    </xf>
    <xf numFmtId="166" fontId="47" fillId="0" borderId="8" xfId="0" applyNumberFormat="1" applyFont="1" applyBorder="1"/>
    <xf numFmtId="3" fontId="35" fillId="0" borderId="9" xfId="0" applyNumberFormat="1" applyFont="1" applyBorder="1" applyAlignment="1">
      <alignment wrapText="1"/>
    </xf>
    <xf numFmtId="3" fontId="5" fillId="0" borderId="10" xfId="0" applyNumberFormat="1" applyFont="1" applyBorder="1"/>
    <xf numFmtId="166" fontId="11" fillId="3" borderId="0" xfId="1" applyNumberFormat="1" applyFont="1" applyFill="1" applyBorder="1"/>
    <xf numFmtId="0" fontId="57" fillId="0" borderId="0" xfId="0" applyFont="1" applyAlignment="1">
      <alignment horizontal="right"/>
    </xf>
    <xf numFmtId="166" fontId="6" fillId="0" borderId="8" xfId="1" applyNumberFormat="1" applyFont="1" applyFill="1" applyBorder="1"/>
    <xf numFmtId="166" fontId="6" fillId="0" borderId="1" xfId="1" applyNumberFormat="1" applyFont="1" applyFill="1" applyBorder="1"/>
    <xf numFmtId="166" fontId="6" fillId="0" borderId="2" xfId="1" applyNumberFormat="1" applyFont="1" applyFill="1" applyBorder="1"/>
    <xf numFmtId="0" fontId="31" fillId="0" borderId="2" xfId="0" applyFont="1" applyBorder="1"/>
    <xf numFmtId="0" fontId="6" fillId="0" borderId="2" xfId="0" applyFont="1" applyBorder="1"/>
    <xf numFmtId="166" fontId="11" fillId="0" borderId="2" xfId="1" applyNumberFormat="1" applyFont="1" applyFill="1" applyBorder="1"/>
    <xf numFmtId="0" fontId="6" fillId="0" borderId="3" xfId="0" applyFont="1" applyBorder="1"/>
    <xf numFmtId="166" fontId="6" fillId="0" borderId="6" xfId="1" applyNumberFormat="1" applyFont="1" applyFill="1" applyBorder="1"/>
    <xf numFmtId="166" fontId="6" fillId="0" borderId="7" xfId="1" applyNumberFormat="1" applyFont="1" applyFill="1" applyBorder="1"/>
    <xf numFmtId="0" fontId="31" fillId="0" borderId="7" xfId="0" applyFont="1" applyBorder="1"/>
    <xf numFmtId="0" fontId="6" fillId="0" borderId="7" xfId="0" applyFont="1" applyBorder="1"/>
    <xf numFmtId="166" fontId="11" fillId="0" borderId="7" xfId="1" applyNumberFormat="1" applyFont="1" applyFill="1" applyBorder="1"/>
    <xf numFmtId="0" fontId="6" fillId="0" borderId="53" xfId="0" applyFont="1" applyBorder="1"/>
    <xf numFmtId="168" fontId="5" fillId="3" borderId="0" xfId="0" applyNumberFormat="1" applyFont="1" applyFill="1"/>
    <xf numFmtId="3" fontId="5" fillId="3" borderId="20" xfId="0" applyNumberFormat="1" applyFont="1" applyFill="1" applyBorder="1"/>
    <xf numFmtId="0" fontId="5" fillId="3" borderId="0" xfId="0" applyFont="1" applyFill="1"/>
    <xf numFmtId="0" fontId="35" fillId="0" borderId="0" xfId="0" applyFont="1" applyAlignment="1">
      <alignment horizontal="center"/>
    </xf>
    <xf numFmtId="166" fontId="31" fillId="0" borderId="9" xfId="0" applyNumberFormat="1" applyFont="1" applyBorder="1"/>
    <xf numFmtId="166" fontId="6" fillId="0" borderId="10" xfId="0" applyNumberFormat="1" applyFont="1" applyBorder="1"/>
    <xf numFmtId="166" fontId="2" fillId="0" borderId="8" xfId="1" applyNumberFormat="1" applyFont="1" applyFill="1" applyBorder="1"/>
    <xf numFmtId="166" fontId="2" fillId="0" borderId="9" xfId="1" applyNumberFormat="1" applyFont="1" applyFill="1" applyBorder="1"/>
    <xf numFmtId="16" fontId="10" fillId="2" borderId="0" xfId="0" applyNumberFormat="1" applyFont="1" applyFill="1"/>
    <xf numFmtId="0" fontId="0" fillId="4" borderId="18" xfId="0" applyFill="1" applyBorder="1"/>
    <xf numFmtId="0" fontId="0" fillId="0" borderId="45" xfId="0" applyBorder="1"/>
    <xf numFmtId="0" fontId="42" fillId="0" borderId="0" xfId="0" applyFont="1"/>
    <xf numFmtId="166" fontId="39" fillId="0" borderId="0" xfId="1" applyNumberFormat="1" applyFont="1" applyFill="1" applyBorder="1"/>
    <xf numFmtId="166" fontId="14" fillId="0" borderId="0" xfId="2" applyNumberFormat="1" applyFont="1" applyFill="1" applyBorder="1"/>
    <xf numFmtId="166" fontId="52" fillId="0" borderId="0" xfId="1" applyNumberFormat="1" applyFont="1" applyFill="1" applyBorder="1"/>
    <xf numFmtId="166" fontId="53" fillId="0" borderId="0" xfId="1" applyNumberFormat="1" applyFont="1" applyFill="1" applyBorder="1"/>
    <xf numFmtId="0" fontId="6" fillId="0" borderId="0" xfId="0" applyFont="1" applyAlignment="1">
      <alignment vertical="justify" wrapText="1"/>
    </xf>
    <xf numFmtId="9" fontId="11" fillId="0" borderId="0" xfId="0" applyNumberFormat="1" applyFont="1"/>
    <xf numFmtId="1" fontId="11" fillId="0" borderId="0" xfId="1" applyNumberFormat="1" applyFont="1" applyFill="1" applyBorder="1" applyAlignment="1">
      <alignment wrapText="1"/>
    </xf>
    <xf numFmtId="166" fontId="0" fillId="0" borderId="23" xfId="1" applyNumberFormat="1" applyFont="1" applyBorder="1"/>
    <xf numFmtId="166" fontId="0" fillId="4" borderId="11" xfId="1" applyNumberFormat="1" applyFont="1" applyFill="1" applyBorder="1"/>
    <xf numFmtId="166" fontId="0" fillId="15" borderId="18" xfId="1" applyNumberFormat="1" applyFont="1" applyFill="1" applyBorder="1"/>
    <xf numFmtId="3" fontId="52" fillId="0" borderId="20" xfId="0" applyNumberFormat="1" applyFont="1" applyBorder="1"/>
    <xf numFmtId="0" fontId="0" fillId="2" borderId="18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99CC"/>
      <color rgb="FFFFFF00"/>
      <color rgb="FFFF6699"/>
      <color rgb="FFFF00FF"/>
      <color rgb="FF00CC00"/>
      <color rgb="FFFF33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Budget!$D$127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numRef>
              <c:f>Budget!$C$128:$C$138</c:f>
              <c:numCache>
                <c:formatCode>mmm\-yy</c:formatCode>
                <c:ptCount val="11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</c:numCache>
            </c:numRef>
          </c:cat>
          <c:val>
            <c:numRef>
              <c:f>Budget!$D$128:$D$138</c:f>
              <c:numCache>
                <c:formatCode>General</c:formatCode>
                <c:ptCount val="11"/>
                <c:pt idx="0">
                  <c:v>6540</c:v>
                </c:pt>
                <c:pt idx="1">
                  <c:v>11157</c:v>
                </c:pt>
                <c:pt idx="2">
                  <c:v>6993</c:v>
                </c:pt>
                <c:pt idx="3">
                  <c:v>9405</c:v>
                </c:pt>
                <c:pt idx="4">
                  <c:v>3811</c:v>
                </c:pt>
                <c:pt idx="5">
                  <c:v>4126</c:v>
                </c:pt>
                <c:pt idx="6">
                  <c:v>5742</c:v>
                </c:pt>
                <c:pt idx="7">
                  <c:v>12651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C-46C7-BBAF-BEE3F3F2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86880"/>
        <c:axId val="185388416"/>
      </c:lineChart>
      <c:dateAx>
        <c:axId val="185386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85388416"/>
        <c:crosses val="autoZero"/>
        <c:auto val="1"/>
        <c:lblOffset val="100"/>
        <c:baseTimeUnit val="months"/>
      </c:dateAx>
      <c:valAx>
        <c:axId val="18538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853868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Budget!$F$106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cat>
            <c:strRef>
              <c:f>Budget!$E$107:$E$114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Budget!$F$107:$F$114</c:f>
              <c:numCache>
                <c:formatCode>General</c:formatCode>
                <c:ptCount val="8"/>
                <c:pt idx="0">
                  <c:v>3811</c:v>
                </c:pt>
                <c:pt idx="1">
                  <c:v>4126</c:v>
                </c:pt>
                <c:pt idx="2">
                  <c:v>5742</c:v>
                </c:pt>
                <c:pt idx="3">
                  <c:v>12651</c:v>
                </c:pt>
                <c:pt idx="4">
                  <c:v>5651</c:v>
                </c:pt>
                <c:pt idx="5">
                  <c:v>8161</c:v>
                </c:pt>
                <c:pt idx="6">
                  <c:v>6484</c:v>
                </c:pt>
                <c:pt idx="7">
                  <c:v>8230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1-4F5A-8993-C43FD54B7FED}"/>
            </c:ext>
          </c:extLst>
        </c:ser>
        <c:ser>
          <c:idx val="1"/>
          <c:order val="1"/>
          <c:tx>
            <c:strRef>
              <c:f>Budget!$G$106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cat>
            <c:strRef>
              <c:f>Budget!$E$107:$E$115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</c:strCache>
            </c:strRef>
          </c:cat>
          <c:val>
            <c:numRef>
              <c:f>Budget!$G$107:$G$115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1-4F5A-8993-C43FD54B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78624"/>
        <c:axId val="185580160"/>
      </c:lineChart>
      <c:catAx>
        <c:axId val="18557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580160"/>
        <c:crosses val="autoZero"/>
        <c:auto val="1"/>
        <c:lblAlgn val="ctr"/>
        <c:lblOffset val="100"/>
        <c:noMultiLvlLbl val="0"/>
      </c:catAx>
      <c:valAx>
        <c:axId val="185580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57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analysis'!$C$4:$C$16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9">
                  <c:v>6540</c:v>
                </c:pt>
                <c:pt idx="10">
                  <c:v>11157</c:v>
                </c:pt>
                <c:pt idx="11">
                  <c:v>6993</c:v>
                </c:pt>
                <c:pt idx="12">
                  <c:v>9405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3-4AB2-898C-45D3B2CA54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analysis'!$D$4:$D$16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3811</c:v>
                </c:pt>
                <c:pt idx="2">
                  <c:v>4126</c:v>
                </c:pt>
                <c:pt idx="3">
                  <c:v>5742</c:v>
                </c:pt>
                <c:pt idx="4">
                  <c:v>12651</c:v>
                </c:pt>
                <c:pt idx="5">
                  <c:v>5651</c:v>
                </c:pt>
                <c:pt idx="6">
                  <c:v>8161</c:v>
                </c:pt>
                <c:pt idx="7">
                  <c:v>6484</c:v>
                </c:pt>
                <c:pt idx="8">
                  <c:v>8230</c:v>
                </c:pt>
                <c:pt idx="9">
                  <c:v>11580</c:v>
                </c:pt>
                <c:pt idx="10">
                  <c:v>10088</c:v>
                </c:pt>
                <c:pt idx="11">
                  <c:v>6191</c:v>
                </c:pt>
                <c:pt idx="12">
                  <c:v>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3-4AB2-898C-45D3B2CA54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analysis'!$E$4:$E$16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5584</c:v>
                </c:pt>
                <c:pt idx="2">
                  <c:v>5317</c:v>
                </c:pt>
                <c:pt idx="3">
                  <c:v>6635</c:v>
                </c:pt>
                <c:pt idx="4">
                  <c:v>7539</c:v>
                </c:pt>
                <c:pt idx="5">
                  <c:v>6359</c:v>
                </c:pt>
                <c:pt idx="6">
                  <c:v>11905</c:v>
                </c:pt>
                <c:pt idx="7">
                  <c:v>6736</c:v>
                </c:pt>
                <c:pt idx="8">
                  <c:v>10761</c:v>
                </c:pt>
                <c:pt idx="9">
                  <c:v>6736</c:v>
                </c:pt>
                <c:pt idx="10">
                  <c:v>18642.599999999999</c:v>
                </c:pt>
                <c:pt idx="11">
                  <c:v>9327</c:v>
                </c:pt>
                <c:pt idx="12">
                  <c:v>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53-4AB2-898C-45D3B2CA544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analysis'!$F$4:$F$16</c:f>
              <c:numCache>
                <c:formatCode>_(* #,##0_);_(* \(#,##0\);_(* "-"??_);_(@_)</c:formatCode>
                <c:ptCount val="13"/>
                <c:pt idx="0" formatCode="General">
                  <c:v>0</c:v>
                </c:pt>
                <c:pt idx="1">
                  <c:v>8183</c:v>
                </c:pt>
                <c:pt idx="2">
                  <c:v>5000</c:v>
                </c:pt>
                <c:pt idx="3">
                  <c:v>6500</c:v>
                </c:pt>
                <c:pt idx="4">
                  <c:v>7200</c:v>
                </c:pt>
                <c:pt idx="5">
                  <c:v>9000</c:v>
                </c:pt>
                <c:pt idx="6">
                  <c:v>10000</c:v>
                </c:pt>
                <c:pt idx="7">
                  <c:v>8000</c:v>
                </c:pt>
                <c:pt idx="8">
                  <c:v>7000</c:v>
                </c:pt>
                <c:pt idx="9">
                  <c:v>12000</c:v>
                </c:pt>
                <c:pt idx="10">
                  <c:v>15000</c:v>
                </c:pt>
                <c:pt idx="11">
                  <c:v>10000</c:v>
                </c:pt>
                <c:pt idx="12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53-4AB2-898C-45D3B2CA5445}"/>
            </c:ext>
          </c:extLst>
        </c:ser>
        <c:ser>
          <c:idx val="4"/>
          <c:order val="4"/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analysis'!$G$4:$G$16</c:f>
              <c:numCache>
                <c:formatCode>General</c:formatCode>
                <c:ptCount val="13"/>
                <c:pt idx="0">
                  <c:v>0</c:v>
                </c:pt>
                <c:pt idx="1">
                  <c:v>2814</c:v>
                </c:pt>
                <c:pt idx="2">
                  <c:v>2883</c:v>
                </c:pt>
                <c:pt idx="3">
                  <c:v>6262</c:v>
                </c:pt>
                <c:pt idx="4">
                  <c:v>2162</c:v>
                </c:pt>
                <c:pt idx="5">
                  <c:v>6517</c:v>
                </c:pt>
                <c:pt idx="6">
                  <c:v>1498</c:v>
                </c:pt>
                <c:pt idx="7">
                  <c:v>6873</c:v>
                </c:pt>
                <c:pt idx="8">
                  <c:v>5505</c:v>
                </c:pt>
                <c:pt idx="9">
                  <c:v>6114</c:v>
                </c:pt>
                <c:pt idx="10">
                  <c:v>6691</c:v>
                </c:pt>
                <c:pt idx="11">
                  <c:v>6841</c:v>
                </c:pt>
                <c:pt idx="12">
                  <c:v>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E-4C6E-8529-A2079F58BCAE}"/>
            </c:ext>
          </c:extLst>
        </c:ser>
        <c:ser>
          <c:idx val="5"/>
          <c:order val="5"/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analysis'!$H$4:$H$16</c:f>
              <c:numCache>
                <c:formatCode>General</c:formatCode>
                <c:ptCount val="13"/>
                <c:pt idx="0">
                  <c:v>0</c:v>
                </c:pt>
                <c:pt idx="1">
                  <c:v>4180</c:v>
                </c:pt>
                <c:pt idx="2">
                  <c:v>3413</c:v>
                </c:pt>
                <c:pt idx="3">
                  <c:v>6532</c:v>
                </c:pt>
                <c:pt idx="4">
                  <c:v>128</c:v>
                </c:pt>
                <c:pt idx="5">
                  <c:v>3594</c:v>
                </c:pt>
                <c:pt idx="6">
                  <c:v>3961</c:v>
                </c:pt>
                <c:pt idx="7">
                  <c:v>5060</c:v>
                </c:pt>
                <c:pt idx="8">
                  <c:v>3150</c:v>
                </c:pt>
                <c:pt idx="9">
                  <c:v>5083</c:v>
                </c:pt>
                <c:pt idx="10">
                  <c:v>3875</c:v>
                </c:pt>
                <c:pt idx="11">
                  <c:v>4706</c:v>
                </c:pt>
                <c:pt idx="12">
                  <c:v>6947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9E-4C6E-8529-A2079F58BCAE}"/>
            </c:ext>
          </c:extLst>
        </c:ser>
        <c:ser>
          <c:idx val="6"/>
          <c:order val="6"/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analysis'!$I$4:$I$16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1485</c:v>
                </c:pt>
                <c:pt idx="2">
                  <c:v>1570</c:v>
                </c:pt>
                <c:pt idx="3">
                  <c:v>6010</c:v>
                </c:pt>
                <c:pt idx="4">
                  <c:v>4066</c:v>
                </c:pt>
                <c:pt idx="5">
                  <c:v>6722</c:v>
                </c:pt>
                <c:pt idx="6">
                  <c:v>7798</c:v>
                </c:pt>
                <c:pt idx="7">
                  <c:v>4364</c:v>
                </c:pt>
                <c:pt idx="8">
                  <c:v>6270</c:v>
                </c:pt>
                <c:pt idx="9">
                  <c:v>8932</c:v>
                </c:pt>
                <c:pt idx="10">
                  <c:v>6199</c:v>
                </c:pt>
                <c:pt idx="11">
                  <c:v>7739</c:v>
                </c:pt>
                <c:pt idx="12" formatCode="General">
                  <c:v>11255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9E-4C6E-8529-A2079F58BCAE}"/>
            </c:ext>
          </c:extLst>
        </c:ser>
        <c:ser>
          <c:idx val="7"/>
          <c:order val="7"/>
          <c:marker>
            <c:symbol val="none"/>
          </c:marker>
          <c:cat>
            <c:strRef>
              <c:f>'sales analysis'!$B$4:$B$16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sept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'sales analysis'!$J$4:$J$16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6068</c:v>
                </c:pt>
                <c:pt idx="2">
                  <c:v>5403</c:v>
                </c:pt>
                <c:pt idx="3">
                  <c:v>6778</c:v>
                </c:pt>
                <c:pt idx="4">
                  <c:v>8490</c:v>
                </c:pt>
                <c:pt idx="5">
                  <c:v>8879</c:v>
                </c:pt>
                <c:pt idx="6">
                  <c:v>9362</c:v>
                </c:pt>
                <c:pt idx="7">
                  <c:v>6653</c:v>
                </c:pt>
                <c:pt idx="8">
                  <c:v>8335</c:v>
                </c:pt>
                <c:pt idx="9">
                  <c:v>6658</c:v>
                </c:pt>
                <c:pt idx="10">
                  <c:v>9675</c:v>
                </c:pt>
                <c:pt idx="11">
                  <c:v>6915</c:v>
                </c:pt>
                <c:pt idx="12">
                  <c:v>8645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9E-4C6E-8529-A2079F58B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46304"/>
        <c:axId val="186947840"/>
      </c:lineChart>
      <c:catAx>
        <c:axId val="18694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7840"/>
        <c:crosses val="autoZero"/>
        <c:auto val="1"/>
        <c:lblAlgn val="ctr"/>
        <c:lblOffset val="100"/>
        <c:noMultiLvlLbl val="0"/>
      </c:catAx>
      <c:valAx>
        <c:axId val="1869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324748</xdr:colOff>
      <xdr:row>125</xdr:row>
      <xdr:rowOff>74889</xdr:rowOff>
    </xdr:from>
    <xdr:to>
      <xdr:col>14</xdr:col>
      <xdr:colOff>74198</xdr:colOff>
      <xdr:row>139</xdr:row>
      <xdr:rowOff>149432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777875</xdr:colOff>
      <xdr:row>91</xdr:row>
      <xdr:rowOff>134938</xdr:rowOff>
    </xdr:from>
    <xdr:to>
      <xdr:col>11</xdr:col>
      <xdr:colOff>690563</xdr:colOff>
      <xdr:row>102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454555</xdr:colOff>
      <xdr:row>1</xdr:row>
      <xdr:rowOff>59091</xdr:rowOff>
    </xdr:from>
    <xdr:to>
      <xdr:col>24</xdr:col>
      <xdr:colOff>154164</xdr:colOff>
      <xdr:row>16</xdr:row>
      <xdr:rowOff>129821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1D902-20AC-4E35-8012-D503FB8D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61"/>
  <sheetViews>
    <sheetView topLeftCell="F1" zoomScale="80" zoomScaleNormal="80" workbookViewId="0">
      <pane ySplit="1" topLeftCell="A52" activePane="bottomLeft" state="frozen"/>
      <selection activeCell="D14" sqref="D14"/>
      <selection pane="bottomLeft" activeCell="T68" sqref="T68"/>
    </sheetView>
  </sheetViews>
  <sheetFormatPr defaultRowHeight="14.5" x14ac:dyDescent="0.35"/>
  <cols>
    <col min="2" max="2" width="21.1796875" style="3" customWidth="1"/>
    <col min="3" max="3" width="14.453125" customWidth="1"/>
    <col min="4" max="4" width="20.7265625" customWidth="1"/>
    <col min="5" max="5" width="16.7265625" customWidth="1"/>
    <col min="6" max="7" width="15.81640625" customWidth="1"/>
    <col min="8" max="8" width="9.1796875" customWidth="1"/>
    <col min="9" max="11" width="9.453125" bestFit="1" customWidth="1"/>
    <col min="12" max="12" width="11.453125" customWidth="1"/>
    <col min="13" max="13" width="11.81640625" bestFit="1" customWidth="1"/>
    <col min="14" max="14" width="11.54296875" bestFit="1" customWidth="1"/>
    <col min="15" max="16" width="11.81640625" bestFit="1" customWidth="1"/>
    <col min="17" max="17" width="11.7265625" customWidth="1"/>
    <col min="18" max="18" width="10.1796875" customWidth="1"/>
    <col min="19" max="19" width="10.81640625" bestFit="1" customWidth="1"/>
    <col min="20" max="20" width="10.81640625" customWidth="1"/>
    <col min="21" max="21" width="12.7265625" customWidth="1"/>
    <col min="22" max="22" width="10.81640625" bestFit="1" customWidth="1"/>
    <col min="24" max="24" width="9.54296875" bestFit="1" customWidth="1"/>
  </cols>
  <sheetData>
    <row r="1" spans="1:24" s="37" customFormat="1" ht="36.75" customHeight="1" x14ac:dyDescent="0.35">
      <c r="A1" s="37" t="s">
        <v>534</v>
      </c>
      <c r="B1" s="210" t="s">
        <v>29</v>
      </c>
      <c r="C1" s="210" t="s">
        <v>44</v>
      </c>
      <c r="D1" s="38" t="s">
        <v>30</v>
      </c>
      <c r="E1" s="94" t="s">
        <v>31</v>
      </c>
      <c r="F1" s="94" t="s">
        <v>32</v>
      </c>
      <c r="G1" s="94" t="s">
        <v>168</v>
      </c>
      <c r="H1" s="94" t="s">
        <v>65</v>
      </c>
      <c r="I1" s="94" t="s">
        <v>34</v>
      </c>
      <c r="J1" s="94" t="s">
        <v>870</v>
      </c>
      <c r="K1" s="94" t="s">
        <v>36</v>
      </c>
      <c r="L1" s="94" t="s">
        <v>37</v>
      </c>
      <c r="M1" s="94" t="s">
        <v>38</v>
      </c>
      <c r="N1" s="94" t="s">
        <v>516</v>
      </c>
      <c r="O1" s="94" t="s">
        <v>40</v>
      </c>
      <c r="P1" s="94" t="s">
        <v>41</v>
      </c>
      <c r="Q1" s="94" t="s">
        <v>42</v>
      </c>
      <c r="R1" s="210" t="s">
        <v>43</v>
      </c>
      <c r="S1" s="210" t="s">
        <v>64</v>
      </c>
      <c r="T1" s="210" t="s">
        <v>670</v>
      </c>
      <c r="U1" s="210" t="s">
        <v>82</v>
      </c>
      <c r="V1" s="210" t="s">
        <v>83</v>
      </c>
      <c r="W1" s="210" t="s">
        <v>84</v>
      </c>
      <c r="X1" s="37" t="s">
        <v>187</v>
      </c>
    </row>
    <row r="2" spans="1:24" s="1" customFormat="1" x14ac:dyDescent="0.35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4" s="1" customFormat="1" ht="29" x14ac:dyDescent="0.35">
      <c r="B3" s="37" t="s">
        <v>474</v>
      </c>
      <c r="C3" s="211" t="s">
        <v>475</v>
      </c>
      <c r="D3" s="37" t="s">
        <v>474</v>
      </c>
      <c r="E3" s="208">
        <v>930</v>
      </c>
      <c r="F3" s="208">
        <v>230</v>
      </c>
      <c r="G3" s="208"/>
      <c r="H3" s="208">
        <v>200</v>
      </c>
      <c r="I3" s="208"/>
      <c r="J3" s="208">
        <v>10</v>
      </c>
      <c r="K3" s="208">
        <v>50</v>
      </c>
      <c r="L3" s="208"/>
      <c r="M3" s="208">
        <f>886+1723+1000</f>
        <v>3609</v>
      </c>
      <c r="N3" s="208"/>
      <c r="O3" s="208">
        <v>9148</v>
      </c>
      <c r="P3" s="208">
        <v>500</v>
      </c>
      <c r="Q3" s="208">
        <v>400</v>
      </c>
      <c r="R3" s="208">
        <v>400</v>
      </c>
      <c r="S3" s="208">
        <f>SUM(E3:R3)</f>
        <v>15477</v>
      </c>
      <c r="T3" s="208"/>
      <c r="V3" s="212"/>
    </row>
    <row r="4" spans="1:24" s="1" customFormat="1" x14ac:dyDescent="0.35">
      <c r="B4" s="37"/>
      <c r="C4" s="211"/>
      <c r="D4" s="37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V4" s="212"/>
    </row>
    <row r="5" spans="1:24" x14ac:dyDescent="0.35">
      <c r="C5" s="39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W5" s="4"/>
      <c r="X5" s="173"/>
    </row>
    <row r="6" spans="1:24" x14ac:dyDescent="0.35">
      <c r="C6" s="39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208"/>
      <c r="T6" s="208"/>
      <c r="W6" s="4"/>
      <c r="X6" s="173"/>
    </row>
    <row r="7" spans="1:24" x14ac:dyDescent="0.35">
      <c r="B7" t="s">
        <v>515</v>
      </c>
      <c r="S7" s="208"/>
      <c r="T7" s="208"/>
      <c r="W7" s="4"/>
      <c r="X7" s="173"/>
    </row>
    <row r="8" spans="1:24" x14ac:dyDescent="0.35">
      <c r="B8" s="173">
        <v>0</v>
      </c>
      <c r="C8" s="39"/>
      <c r="E8" s="173"/>
      <c r="G8" s="173">
        <f>844*0.04+75</f>
        <v>108.75999999999999</v>
      </c>
      <c r="H8" s="173">
        <f>25*6</f>
        <v>150</v>
      </c>
      <c r="I8" s="173">
        <f>3*15+10</f>
        <v>55</v>
      </c>
      <c r="J8" s="173">
        <v>50</v>
      </c>
      <c r="K8" s="173">
        <v>20</v>
      </c>
      <c r="L8" s="173">
        <v>250</v>
      </c>
      <c r="M8" s="173">
        <v>1200</v>
      </c>
      <c r="N8" s="173">
        <v>360</v>
      </c>
      <c r="O8" s="173">
        <v>6556</v>
      </c>
      <c r="P8" s="173">
        <v>0</v>
      </c>
      <c r="Q8" s="173">
        <v>400</v>
      </c>
      <c r="R8" s="173">
        <v>600</v>
      </c>
      <c r="S8" s="208">
        <f>SUM(B8:R8)</f>
        <v>9749.76</v>
      </c>
      <c r="T8" s="208"/>
      <c r="W8" s="4"/>
      <c r="X8" s="173"/>
    </row>
    <row r="9" spans="1:24" x14ac:dyDescent="0.35">
      <c r="B9" s="173"/>
      <c r="C9" s="39"/>
      <c r="E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208"/>
      <c r="T9" s="208"/>
      <c r="W9" s="4"/>
      <c r="X9" s="173"/>
    </row>
    <row r="10" spans="1:24" x14ac:dyDescent="0.35">
      <c r="B10" s="173" t="s">
        <v>529</v>
      </c>
      <c r="C10" s="39"/>
      <c r="E10" s="173"/>
      <c r="G10" s="173"/>
      <c r="H10" s="173"/>
      <c r="I10" s="173">
        <f>+O10*0.06</f>
        <v>210.29999999999998</v>
      </c>
      <c r="J10" s="173"/>
      <c r="K10" s="173"/>
      <c r="L10" s="173"/>
      <c r="M10" s="173">
        <f>70*17+50+20*17+50</f>
        <v>1630</v>
      </c>
      <c r="N10" s="173"/>
      <c r="O10" s="173">
        <f>1992+1048+465</f>
        <v>3505</v>
      </c>
      <c r="P10" s="173"/>
      <c r="Q10" s="173">
        <v>200</v>
      </c>
      <c r="R10" s="173">
        <v>700</v>
      </c>
      <c r="S10" s="208">
        <f>SUM(G10:R10)</f>
        <v>6245.3</v>
      </c>
      <c r="T10" s="208"/>
      <c r="U10" s="173"/>
      <c r="W10" s="4"/>
      <c r="X10" s="173"/>
    </row>
    <row r="11" spans="1:24" x14ac:dyDescent="0.35">
      <c r="B11" s="173"/>
      <c r="C11" s="39"/>
      <c r="E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208"/>
      <c r="T11" s="208"/>
    </row>
    <row r="12" spans="1:24" x14ac:dyDescent="0.35">
      <c r="B12" s="173"/>
      <c r="C12" s="39"/>
      <c r="E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208"/>
      <c r="T12" s="208"/>
    </row>
    <row r="13" spans="1:24" x14ac:dyDescent="0.35">
      <c r="B13" s="173" t="s">
        <v>582</v>
      </c>
      <c r="C13" s="39"/>
      <c r="E13" s="173">
        <v>850</v>
      </c>
      <c r="G13" s="173"/>
      <c r="H13" s="173">
        <f>135+60</f>
        <v>195</v>
      </c>
      <c r="I13" s="173">
        <v>55</v>
      </c>
      <c r="J13" s="173">
        <v>50</v>
      </c>
      <c r="K13" s="173">
        <v>20</v>
      </c>
      <c r="L13" s="173">
        <f>4*110+75*3</f>
        <v>665</v>
      </c>
      <c r="M13" s="173">
        <f>80*17.5+50</f>
        <v>1450</v>
      </c>
      <c r="N13" s="173">
        <f>720+15+40</f>
        <v>775</v>
      </c>
      <c r="O13" s="173" t="e">
        <f>+'stock purchase 2026'!#REF!</f>
        <v>#REF!</v>
      </c>
      <c r="P13" s="173">
        <f>100+15+35+20+17+18+15+10+35</f>
        <v>265</v>
      </c>
      <c r="Q13" s="173">
        <v>300</v>
      </c>
      <c r="R13" s="173">
        <v>375</v>
      </c>
      <c r="S13" s="208" t="e">
        <f>SUM(E13:R13)</f>
        <v>#REF!</v>
      </c>
      <c r="T13" s="208"/>
      <c r="W13" s="4"/>
    </row>
    <row r="14" spans="1:24" x14ac:dyDescent="0.35">
      <c r="C14" s="39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208"/>
      <c r="T14" s="208"/>
      <c r="W14" s="4"/>
    </row>
    <row r="15" spans="1:24" x14ac:dyDescent="0.35">
      <c r="C15" s="39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208"/>
      <c r="T15" s="208"/>
      <c r="U15" s="3"/>
      <c r="V15" s="3"/>
      <c r="W15" s="42"/>
    </row>
    <row r="16" spans="1:24" ht="18.5" x14ac:dyDescent="0.45">
      <c r="B16" s="281" t="s">
        <v>665</v>
      </c>
      <c r="C16" s="282" t="s">
        <v>666</v>
      </c>
      <c r="D16" s="44" t="s">
        <v>474</v>
      </c>
      <c r="E16" s="283">
        <f>1220+135</f>
        <v>1355</v>
      </c>
      <c r="F16" s="283">
        <v>220</v>
      </c>
      <c r="G16" s="283">
        <f>3000*0.05</f>
        <v>150</v>
      </c>
      <c r="H16" s="283">
        <f>40+30*5+80</f>
        <v>270</v>
      </c>
      <c r="I16" s="283">
        <v>50</v>
      </c>
      <c r="J16" s="283">
        <v>50</v>
      </c>
      <c r="K16" s="283">
        <v>50</v>
      </c>
      <c r="L16" s="283">
        <f>3*120+4*75</f>
        <v>660</v>
      </c>
      <c r="M16" s="283">
        <v>0</v>
      </c>
      <c r="N16" s="283">
        <f>600+30+40</f>
        <v>670</v>
      </c>
      <c r="O16" s="283">
        <v>6911</v>
      </c>
      <c r="P16" s="283">
        <f>66+10+200+40+50</f>
        <v>366</v>
      </c>
      <c r="Q16" s="283">
        <v>500</v>
      </c>
      <c r="R16" s="283">
        <v>375</v>
      </c>
      <c r="S16" s="284">
        <f>SUM(E16:R16)</f>
        <v>11627</v>
      </c>
      <c r="T16" s="284">
        <f>+E16+F16+G16+H16+I16+J16+K16+L16+M16+N16+P16+Q16+R16</f>
        <v>4716</v>
      </c>
      <c r="U16" s="44"/>
      <c r="V16" s="44"/>
      <c r="W16" s="285"/>
      <c r="X16" s="44"/>
    </row>
    <row r="17" spans="2:24" x14ac:dyDescent="0.35">
      <c r="B17" s="281" t="s">
        <v>667</v>
      </c>
      <c r="C17" s="286" t="s">
        <v>668</v>
      </c>
      <c r="D17" s="44" t="s">
        <v>669</v>
      </c>
      <c r="E17" s="283">
        <v>370</v>
      </c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4"/>
      <c r="T17" s="284"/>
      <c r="U17" s="44"/>
      <c r="V17" s="44"/>
      <c r="W17" s="285"/>
      <c r="X17" s="44"/>
    </row>
    <row r="18" spans="2:24" ht="15" thickBot="1" x14ac:dyDescent="0.4">
      <c r="C18" s="39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208"/>
      <c r="T18" s="208"/>
      <c r="W18" s="4"/>
    </row>
    <row r="19" spans="2:24" s="3" customFormat="1" x14ac:dyDescent="0.35">
      <c r="B19" s="287" t="s">
        <v>719</v>
      </c>
      <c r="C19" s="288" t="s">
        <v>720</v>
      </c>
      <c r="D19" s="289" t="s">
        <v>721</v>
      </c>
      <c r="E19" s="290">
        <v>800</v>
      </c>
      <c r="F19" s="290"/>
      <c r="G19" s="290"/>
      <c r="H19" s="290">
        <v>250</v>
      </c>
      <c r="I19" s="290">
        <v>16</v>
      </c>
      <c r="J19" s="290">
        <v>50</v>
      </c>
      <c r="K19" s="291">
        <v>50</v>
      </c>
      <c r="L19" s="290">
        <v>200</v>
      </c>
      <c r="M19" s="290"/>
      <c r="N19" s="290">
        <v>480</v>
      </c>
      <c r="O19" s="290">
        <v>4607</v>
      </c>
      <c r="P19" s="290">
        <v>250</v>
      </c>
      <c r="Q19" s="290">
        <v>500</v>
      </c>
      <c r="R19" s="290">
        <v>400</v>
      </c>
      <c r="S19" s="292">
        <f>SUM(E19:R19)</f>
        <v>7603</v>
      </c>
      <c r="T19" s="292">
        <f>+S19-O19</f>
        <v>2996</v>
      </c>
      <c r="U19" s="290" t="e">
        <f>+'stock purchase 2026'!#REF!</f>
        <v>#REF!</v>
      </c>
      <c r="V19" s="289" t="e">
        <f>+'stock purchase 2026'!#REF!</f>
        <v>#REF!</v>
      </c>
      <c r="W19" s="293" t="e">
        <f>+V19-S19</f>
        <v>#REF!</v>
      </c>
      <c r="X19" s="294"/>
    </row>
    <row r="20" spans="2:24" x14ac:dyDescent="0.35">
      <c r="B20" s="295"/>
      <c r="C20" s="286"/>
      <c r="D20" s="44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4"/>
      <c r="T20" s="284"/>
      <c r="U20" s="283"/>
      <c r="V20" s="283"/>
      <c r="W20" s="285"/>
      <c r="X20" s="87"/>
    </row>
    <row r="21" spans="2:24" ht="15" thickBot="1" x14ac:dyDescent="0.4">
      <c r="B21" s="296"/>
      <c r="C21" s="297"/>
      <c r="D21" s="41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9"/>
      <c r="T21" s="299"/>
      <c r="U21" s="298"/>
      <c r="V21" s="41"/>
      <c r="W21" s="300"/>
      <c r="X21" s="88"/>
    </row>
    <row r="22" spans="2:24" s="11" customFormat="1" ht="15.5" x14ac:dyDescent="0.35">
      <c r="C22" s="213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208"/>
      <c r="T22" s="208"/>
    </row>
    <row r="23" spans="2:24" s="11" customFormat="1" ht="15.5" x14ac:dyDescent="0.35">
      <c r="B23" s="11" t="s">
        <v>775</v>
      </c>
      <c r="C23" s="213" t="s">
        <v>776</v>
      </c>
      <c r="D23" s="44" t="s">
        <v>474</v>
      </c>
      <c r="E23" s="141">
        <v>1235</v>
      </c>
      <c r="F23" s="141"/>
      <c r="G23" s="141"/>
      <c r="H23" s="141">
        <v>240</v>
      </c>
      <c r="I23" s="141">
        <v>100</v>
      </c>
      <c r="J23" s="141">
        <v>50</v>
      </c>
      <c r="K23" s="141">
        <v>50</v>
      </c>
      <c r="L23" s="141">
        <f>500+225</f>
        <v>725</v>
      </c>
      <c r="M23" s="141"/>
      <c r="N23" s="141">
        <v>840</v>
      </c>
      <c r="O23" s="141">
        <v>8267</v>
      </c>
      <c r="P23" s="141">
        <v>50</v>
      </c>
      <c r="Q23" s="141">
        <f>+(2200+500)</f>
        <v>2700</v>
      </c>
      <c r="R23" s="141">
        <v>1000</v>
      </c>
      <c r="S23" s="208">
        <f>SUM(E23:R23)</f>
        <v>15257</v>
      </c>
      <c r="T23" s="208">
        <f>+S23-O23</f>
        <v>6990</v>
      </c>
    </row>
    <row r="24" spans="2:24" s="11" customFormat="1" ht="15.5" x14ac:dyDescent="0.35">
      <c r="B24" s="11" t="s">
        <v>667</v>
      </c>
      <c r="C24" s="11" t="s">
        <v>777</v>
      </c>
      <c r="D24" s="44" t="s">
        <v>669</v>
      </c>
      <c r="E24" s="141">
        <v>100</v>
      </c>
      <c r="F24" s="141"/>
      <c r="G24" s="141"/>
      <c r="H24" s="141">
        <v>180</v>
      </c>
      <c r="I24" s="141">
        <v>50</v>
      </c>
      <c r="J24" s="141">
        <v>40</v>
      </c>
      <c r="K24" s="141">
        <v>40</v>
      </c>
      <c r="L24" s="141"/>
      <c r="M24" s="141"/>
      <c r="N24" s="141"/>
      <c r="O24" s="141"/>
      <c r="P24" s="141"/>
      <c r="Q24" s="141"/>
      <c r="R24" s="141"/>
      <c r="S24" s="208">
        <f>SUM(E24:R24)</f>
        <v>410</v>
      </c>
      <c r="T24" s="208">
        <f>+S24</f>
        <v>410</v>
      </c>
    </row>
    <row r="25" spans="2:24" s="11" customFormat="1" ht="21" customHeight="1" x14ac:dyDescent="0.35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208"/>
      <c r="O25" s="37"/>
      <c r="P25" s="37"/>
      <c r="Q25" s="208"/>
      <c r="R25" s="208"/>
      <c r="S25" s="208"/>
      <c r="T25" s="208">
        <f>SUM(T23:T24)</f>
        <v>7400</v>
      </c>
      <c r="U25" s="37"/>
      <c r="V25" s="37"/>
      <c r="W25" s="37"/>
    </row>
    <row r="26" spans="2:24" s="11" customFormat="1" ht="21" customHeight="1" x14ac:dyDescent="0.35">
      <c r="B26" s="37" t="s">
        <v>474</v>
      </c>
      <c r="C26" s="37" t="s">
        <v>815</v>
      </c>
      <c r="D26" s="37" t="s">
        <v>474</v>
      </c>
      <c r="E26" s="37">
        <v>951</v>
      </c>
      <c r="F26" s="37"/>
      <c r="G26" s="37"/>
      <c r="H26" s="37">
        <v>240</v>
      </c>
      <c r="I26" s="37">
        <v>100</v>
      </c>
      <c r="J26" s="37">
        <f>50+30</f>
        <v>80</v>
      </c>
      <c r="K26" s="37">
        <f>50+20</f>
        <v>70</v>
      </c>
      <c r="L26" s="37">
        <f>500+75*9</f>
        <v>1175</v>
      </c>
      <c r="M26" s="37"/>
      <c r="N26" s="208">
        <f>8*120+90</f>
        <v>1050</v>
      </c>
      <c r="O26" s="37">
        <v>9682</v>
      </c>
      <c r="P26" s="37">
        <v>400</v>
      </c>
      <c r="Q26" s="208">
        <f>2200+500</f>
        <v>2700</v>
      </c>
      <c r="R26" s="208">
        <f>+(400+400+200)</f>
        <v>1000</v>
      </c>
      <c r="S26" s="208">
        <f>SUM(E26:R26)</f>
        <v>17448</v>
      </c>
      <c r="T26" s="208">
        <f>+S26-O26</f>
        <v>7766</v>
      </c>
      <c r="U26" s="37"/>
      <c r="V26" s="37"/>
      <c r="W26" s="37"/>
    </row>
    <row r="27" spans="2:24" s="11" customFormat="1" ht="21" customHeight="1" x14ac:dyDescent="0.35">
      <c r="B27" s="3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09"/>
      <c r="O27" s="1"/>
      <c r="P27" s="1"/>
      <c r="Q27" s="209"/>
      <c r="R27" s="209"/>
      <c r="S27" s="208"/>
      <c r="T27" s="208"/>
      <c r="U27" s="37"/>
      <c r="V27" s="37"/>
      <c r="W27" s="37"/>
    </row>
    <row r="28" spans="2:24" s="11" customFormat="1" ht="21" customHeight="1" x14ac:dyDescent="0.35">
      <c r="B28" s="37"/>
      <c r="C28" s="1"/>
      <c r="D28" s="1"/>
      <c r="E28" s="1"/>
      <c r="F28" s="1"/>
      <c r="G28" s="1"/>
      <c r="H28" s="1"/>
      <c r="I28" s="1"/>
      <c r="J28" s="1"/>
      <c r="K28" s="1"/>
      <c r="L28" s="212">
        <f>+E26+H26+I26+J26+K26+L26+N26</f>
        <v>3666</v>
      </c>
      <c r="M28" s="212">
        <f>+L26+N26</f>
        <v>2225</v>
      </c>
      <c r="N28" s="209">
        <f>32*8</f>
        <v>256</v>
      </c>
      <c r="O28" s="1"/>
      <c r="P28" s="1"/>
      <c r="Q28" s="209"/>
      <c r="R28" s="209"/>
      <c r="S28" s="208"/>
      <c r="T28" s="208"/>
      <c r="U28" s="37"/>
      <c r="V28" s="37"/>
      <c r="W28" s="37"/>
    </row>
    <row r="29" spans="2:24" s="11" customFormat="1" ht="21" customHeight="1" x14ac:dyDescent="0.35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41">
        <f>+L28/N28</f>
        <v>14.3203125</v>
      </c>
      <c r="M29" s="37"/>
      <c r="N29" s="208">
        <f>+M28/N28</f>
        <v>8.69140625</v>
      </c>
      <c r="O29" s="37"/>
      <c r="P29" s="37"/>
      <c r="Q29" s="37"/>
      <c r="R29" s="37"/>
      <c r="S29" s="208"/>
      <c r="T29" s="208"/>
      <c r="U29" s="37"/>
      <c r="V29" s="37"/>
      <c r="W29" s="37"/>
    </row>
    <row r="30" spans="2:24" s="11" customFormat="1" ht="21" customHeight="1" x14ac:dyDescent="0.35">
      <c r="B30" s="37" t="s">
        <v>868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208"/>
      <c r="O30" s="37"/>
      <c r="P30" s="37"/>
      <c r="Q30" s="208"/>
      <c r="R30" s="208"/>
      <c r="S30" s="208"/>
      <c r="T30" s="208"/>
      <c r="U30" s="37"/>
      <c r="V30" s="37"/>
      <c r="W30" s="37"/>
    </row>
    <row r="31" spans="2:24" s="11" customFormat="1" ht="23.25" customHeight="1" x14ac:dyDescent="0.35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208"/>
      <c r="O31" s="37"/>
      <c r="P31" s="208"/>
      <c r="Q31" s="208"/>
      <c r="R31" s="208"/>
      <c r="S31" s="208"/>
      <c r="T31" s="208"/>
      <c r="U31" s="37"/>
      <c r="V31" s="37"/>
      <c r="W31" s="37"/>
    </row>
    <row r="32" spans="2:24" s="11" customFormat="1" ht="21" customHeight="1" x14ac:dyDescent="0.35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208"/>
      <c r="O32" s="37"/>
      <c r="P32" s="37"/>
      <c r="Q32" s="208"/>
      <c r="R32" s="208"/>
      <c r="S32" s="208"/>
      <c r="T32" s="208"/>
      <c r="U32" s="37"/>
      <c r="V32" s="37"/>
      <c r="W32" s="37"/>
    </row>
    <row r="33" spans="1:23" s="11" customFormat="1" ht="21" customHeight="1" thickBot="1" x14ac:dyDescent="0.4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208"/>
      <c r="Q33" s="208"/>
      <c r="R33" s="208"/>
      <c r="S33" s="208"/>
      <c r="T33" s="208"/>
      <c r="U33" s="37"/>
      <c r="V33" s="37"/>
      <c r="W33" s="37"/>
    </row>
    <row r="34" spans="1:23" s="11" customFormat="1" ht="16" thickBot="1" x14ac:dyDescent="0.4">
      <c r="A34" s="346"/>
      <c r="B34" s="347" t="s">
        <v>719</v>
      </c>
      <c r="C34" s="348" t="s">
        <v>869</v>
      </c>
      <c r="D34" s="347" t="s">
        <v>474</v>
      </c>
      <c r="E34" s="349">
        <v>1080</v>
      </c>
      <c r="F34" s="349"/>
      <c r="G34" s="349"/>
      <c r="H34" s="349">
        <v>200</v>
      </c>
      <c r="I34" s="349">
        <v>50</v>
      </c>
      <c r="J34" s="349">
        <f>40+40+5+7</f>
        <v>92</v>
      </c>
      <c r="K34" s="349">
        <v>20</v>
      </c>
      <c r="L34" s="349">
        <f>130+300</f>
        <v>430</v>
      </c>
      <c r="M34" s="349">
        <f>15*16.5+25</f>
        <v>272.5</v>
      </c>
      <c r="N34" s="349">
        <v>480</v>
      </c>
      <c r="O34" s="349">
        <v>6066</v>
      </c>
      <c r="P34" s="349">
        <v>200</v>
      </c>
      <c r="Q34" s="165">
        <f>950*2+250*2</f>
        <v>2400</v>
      </c>
      <c r="R34" s="165">
        <f>+(175*2+100*2)+240</f>
        <v>790</v>
      </c>
      <c r="S34" s="350">
        <f>SUM(E34:R34)</f>
        <v>12080.5</v>
      </c>
      <c r="T34" s="351">
        <f>+S34-O34</f>
        <v>6014.5</v>
      </c>
    </row>
    <row r="35" spans="1:23" s="11" customFormat="1" ht="15.5" x14ac:dyDescent="0.35">
      <c r="C35" s="39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141"/>
      <c r="R35" s="141"/>
      <c r="S35" s="208"/>
      <c r="T35" s="208"/>
    </row>
    <row r="36" spans="1:23" s="11" customFormat="1" ht="22.5" customHeight="1" thickBot="1" x14ac:dyDescent="0.4">
      <c r="C36" s="39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1"/>
      <c r="R36" s="141"/>
      <c r="S36" s="208"/>
      <c r="T36" s="208"/>
    </row>
    <row r="37" spans="1:23" s="11" customFormat="1" ht="15.5" x14ac:dyDescent="0.35">
      <c r="A37" s="352"/>
      <c r="B37" s="353" t="s">
        <v>912</v>
      </c>
      <c r="C37" s="354" t="s">
        <v>914</v>
      </c>
      <c r="D37" s="353" t="s">
        <v>474</v>
      </c>
      <c r="E37" s="355">
        <v>930</v>
      </c>
      <c r="F37" s="355">
        <v>400</v>
      </c>
      <c r="G37" s="355"/>
      <c r="H37" s="355">
        <f>8*45</f>
        <v>360</v>
      </c>
      <c r="I37" s="355">
        <f>60+100+35+35</f>
        <v>230</v>
      </c>
      <c r="J37" s="355">
        <f>50+30+40+10</f>
        <v>130</v>
      </c>
      <c r="K37" s="355">
        <v>50</v>
      </c>
      <c r="L37" s="355">
        <f>2*120+3*75</f>
        <v>465</v>
      </c>
      <c r="M37" s="355">
        <f>502+25*16.5+25*16.5</f>
        <v>1327</v>
      </c>
      <c r="N37" s="355">
        <f>4*120</f>
        <v>480</v>
      </c>
      <c r="O37" s="355">
        <v>6440</v>
      </c>
      <c r="P37" s="355">
        <v>100</v>
      </c>
      <c r="Q37" s="356">
        <f>950*2+250*2</f>
        <v>2400</v>
      </c>
      <c r="R37" s="356">
        <f>+(175*2+120*2)+240</f>
        <v>830</v>
      </c>
      <c r="S37" s="292">
        <f>SUM(E37:R37)</f>
        <v>14142</v>
      </c>
      <c r="T37" s="357">
        <f>+S37-O37</f>
        <v>7702</v>
      </c>
    </row>
    <row r="38" spans="1:23" s="11" customFormat="1" ht="16" thickBot="1" x14ac:dyDescent="0.4">
      <c r="A38" s="358"/>
      <c r="B38" s="359" t="s">
        <v>913</v>
      </c>
      <c r="C38" s="297" t="s">
        <v>915</v>
      </c>
      <c r="D38" s="359" t="s">
        <v>916</v>
      </c>
      <c r="E38" s="360">
        <v>900</v>
      </c>
      <c r="F38" s="360">
        <v>160</v>
      </c>
      <c r="G38" s="360"/>
      <c r="H38" s="360">
        <f>593+180</f>
        <v>773</v>
      </c>
      <c r="I38" s="359"/>
      <c r="J38" s="360">
        <f>42+42+27+60+17+14+8</f>
        <v>210</v>
      </c>
      <c r="K38" s="360">
        <v>180</v>
      </c>
      <c r="L38" s="360">
        <f>30+40</f>
        <v>70</v>
      </c>
      <c r="M38" s="360"/>
      <c r="N38" s="360">
        <v>120</v>
      </c>
      <c r="O38" s="360">
        <v>1327</v>
      </c>
      <c r="P38" s="360">
        <f>54+25+35+29+20+53</f>
        <v>216</v>
      </c>
      <c r="Q38" s="361"/>
      <c r="R38" s="361"/>
      <c r="S38" s="299">
        <f>SUM(E38:R38)</f>
        <v>3956</v>
      </c>
      <c r="T38" s="362">
        <f>+S38-O38</f>
        <v>2629</v>
      </c>
    </row>
    <row r="39" spans="1:23" s="11" customFormat="1" ht="18.5" x14ac:dyDescent="0.45">
      <c r="B39" s="11" t="s">
        <v>25</v>
      </c>
      <c r="C39" s="39"/>
      <c r="E39" s="307">
        <f>SUM(E37:E38)</f>
        <v>1830</v>
      </c>
      <c r="F39" s="307">
        <f t="shared" ref="F39:P39" si="0">SUM(F37:F38)</f>
        <v>560</v>
      </c>
      <c r="G39" s="307">
        <f t="shared" si="0"/>
        <v>0</v>
      </c>
      <c r="H39" s="307">
        <f t="shared" si="0"/>
        <v>1133</v>
      </c>
      <c r="I39" s="307">
        <f t="shared" si="0"/>
        <v>230</v>
      </c>
      <c r="J39" s="307">
        <f t="shared" si="0"/>
        <v>340</v>
      </c>
      <c r="K39" s="307">
        <f t="shared" si="0"/>
        <v>230</v>
      </c>
      <c r="L39" s="307">
        <f t="shared" si="0"/>
        <v>535</v>
      </c>
      <c r="M39" s="307">
        <f t="shared" si="0"/>
        <v>1327</v>
      </c>
      <c r="N39" s="307">
        <f t="shared" si="0"/>
        <v>600</v>
      </c>
      <c r="O39" s="307">
        <f t="shared" si="0"/>
        <v>7767</v>
      </c>
      <c r="P39" s="307">
        <f t="shared" si="0"/>
        <v>316</v>
      </c>
      <c r="Q39" s="307"/>
      <c r="R39" s="307"/>
      <c r="S39" s="307">
        <f>SUM(S37:S38)</f>
        <v>18098</v>
      </c>
      <c r="T39" s="307">
        <f>SUM(T37:T38)</f>
        <v>10331</v>
      </c>
    </row>
    <row r="40" spans="1:23" s="11" customFormat="1" ht="19" thickBot="1" x14ac:dyDescent="0.5">
      <c r="C40" s="39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</row>
    <row r="41" spans="1:23" s="11" customFormat="1" ht="16" thickBot="1" x14ac:dyDescent="0.4">
      <c r="B41" s="11" t="s">
        <v>920</v>
      </c>
      <c r="C41" s="354" t="s">
        <v>914</v>
      </c>
      <c r="D41" s="353" t="s">
        <v>474</v>
      </c>
      <c r="E41" s="214">
        <v>300</v>
      </c>
      <c r="F41" s="214">
        <v>50</v>
      </c>
      <c r="G41" s="214">
        <v>0</v>
      </c>
      <c r="H41" s="214">
        <v>0</v>
      </c>
      <c r="I41" s="214">
        <v>100</v>
      </c>
      <c r="J41" s="214">
        <v>20</v>
      </c>
      <c r="K41" s="214">
        <v>20</v>
      </c>
      <c r="L41" s="214">
        <v>200</v>
      </c>
      <c r="M41" s="214">
        <v>439</v>
      </c>
      <c r="N41" s="214">
        <v>120</v>
      </c>
      <c r="O41" s="214">
        <v>2400</v>
      </c>
      <c r="P41" s="214"/>
      <c r="Q41" s="141">
        <v>500</v>
      </c>
      <c r="R41" s="141">
        <v>300</v>
      </c>
      <c r="S41" s="299">
        <f>SUM(E41:R41)</f>
        <v>4449</v>
      </c>
      <c r="T41" s="362">
        <f>+S41-O41</f>
        <v>2049</v>
      </c>
    </row>
    <row r="42" spans="1:23" s="11" customFormat="1" ht="15.5" x14ac:dyDescent="0.35">
      <c r="C42" s="39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1"/>
      <c r="R42" s="141"/>
      <c r="S42" s="208"/>
      <c r="T42" s="208"/>
    </row>
    <row r="43" spans="1:23" s="11" customFormat="1" ht="16" thickBot="1" x14ac:dyDescent="0.4">
      <c r="C43" s="39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141"/>
      <c r="R43" s="141"/>
      <c r="S43" s="208"/>
      <c r="T43" s="208"/>
    </row>
    <row r="44" spans="1:23" s="11" customFormat="1" ht="15.5" x14ac:dyDescent="0.35">
      <c r="B44" s="352" t="s">
        <v>938</v>
      </c>
      <c r="C44" s="354" t="s">
        <v>939</v>
      </c>
      <c r="D44" s="353" t="s">
        <v>474</v>
      </c>
      <c r="E44" s="355">
        <v>800</v>
      </c>
      <c r="F44" s="355"/>
      <c r="G44" s="355"/>
      <c r="H44" s="355">
        <f>6*45</f>
        <v>270</v>
      </c>
      <c r="I44" s="355">
        <v>50</v>
      </c>
      <c r="J44" s="355">
        <v>30</v>
      </c>
      <c r="K44" s="355">
        <v>50</v>
      </c>
      <c r="L44" s="355"/>
      <c r="M44" s="355">
        <v>902</v>
      </c>
      <c r="N44" s="355"/>
      <c r="O44" s="355">
        <v>3687</v>
      </c>
      <c r="P44" s="355">
        <v>30</v>
      </c>
      <c r="Q44" s="356">
        <v>500</v>
      </c>
      <c r="R44" s="356">
        <f>350+240+360</f>
        <v>950</v>
      </c>
      <c r="S44" s="292">
        <f>SUM(E44:R44)</f>
        <v>7269</v>
      </c>
      <c r="T44" s="357">
        <f>+S44-O44</f>
        <v>3582</v>
      </c>
    </row>
    <row r="45" spans="1:23" s="11" customFormat="1" ht="16" thickBot="1" x14ac:dyDescent="0.4">
      <c r="B45" s="358" t="s">
        <v>920</v>
      </c>
      <c r="C45" s="297"/>
      <c r="D45" s="359"/>
      <c r="E45" s="360">
        <v>300</v>
      </c>
      <c r="F45" s="360"/>
      <c r="G45" s="360"/>
      <c r="H45" s="360">
        <f>2*35</f>
        <v>70</v>
      </c>
      <c r="I45" s="360">
        <v>150</v>
      </c>
      <c r="J45" s="360"/>
      <c r="K45" s="360">
        <v>20</v>
      </c>
      <c r="L45" s="360"/>
      <c r="M45" s="360">
        <f>568-8*15.5+600</f>
        <v>1044</v>
      </c>
      <c r="N45" s="360"/>
      <c r="O45" s="360">
        <v>1215</v>
      </c>
      <c r="P45" s="360">
        <v>20</v>
      </c>
      <c r="Q45" s="361">
        <v>500</v>
      </c>
      <c r="R45" s="361">
        <v>420</v>
      </c>
      <c r="S45" s="299">
        <f>SUM(E45:R45)</f>
        <v>3739</v>
      </c>
      <c r="T45" s="362">
        <f>+S45-O45</f>
        <v>2524</v>
      </c>
    </row>
    <row r="46" spans="1:23" s="11" customFormat="1" ht="16" thickBot="1" x14ac:dyDescent="0.4">
      <c r="C46" s="39"/>
      <c r="E46" s="214"/>
      <c r="F46" s="214"/>
      <c r="G46" s="214"/>
      <c r="H46" s="214"/>
      <c r="I46" s="214"/>
      <c r="J46" s="146"/>
      <c r="K46" s="146"/>
      <c r="L46" s="214"/>
      <c r="M46" s="214"/>
      <c r="N46" s="214"/>
      <c r="O46" s="214"/>
      <c r="P46" s="214"/>
      <c r="Q46" s="141"/>
      <c r="R46" s="141"/>
      <c r="S46" s="299"/>
      <c r="T46" s="362"/>
    </row>
    <row r="47" spans="1:23" s="11" customFormat="1" ht="16" thickBot="1" x14ac:dyDescent="0.4">
      <c r="B47" s="11" t="s">
        <v>969</v>
      </c>
      <c r="C47" s="39" t="s">
        <v>38</v>
      </c>
      <c r="E47" s="214"/>
      <c r="F47" s="173"/>
      <c r="G47" s="173"/>
      <c r="H47" s="214"/>
      <c r="I47" s="214"/>
      <c r="J47" s="173"/>
      <c r="K47" s="214"/>
      <c r="L47" s="214"/>
      <c r="M47" s="214">
        <v>400</v>
      </c>
      <c r="N47" s="214"/>
      <c r="O47" s="214">
        <v>532</v>
      </c>
      <c r="P47" s="214"/>
      <c r="Q47" s="141">
        <v>500</v>
      </c>
      <c r="R47" s="141">
        <v>400</v>
      </c>
      <c r="S47" s="299">
        <f>SUM(E47:R47)</f>
        <v>1832</v>
      </c>
      <c r="T47" s="362">
        <f>+S47-O47</f>
        <v>1300</v>
      </c>
    </row>
    <row r="48" spans="1:23" s="11" customFormat="1" ht="15.5" x14ac:dyDescent="0.35">
      <c r="C48" s="39"/>
      <c r="E48" s="141"/>
      <c r="F48" s="141"/>
      <c r="G48" s="141"/>
      <c r="H48" s="141"/>
      <c r="J48" s="141"/>
      <c r="K48" s="141"/>
      <c r="L48" s="141"/>
      <c r="M48" s="141"/>
      <c r="N48" s="141"/>
      <c r="O48" s="141"/>
      <c r="P48" s="141"/>
      <c r="Q48" s="141"/>
      <c r="R48" s="141"/>
      <c r="S48" s="208"/>
      <c r="T48" s="208"/>
      <c r="W48" s="49"/>
    </row>
    <row r="49" spans="2:23" s="11" customFormat="1" ht="16" thickBot="1" x14ac:dyDescent="0.4">
      <c r="C49" s="39"/>
      <c r="E49" s="141"/>
      <c r="F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208"/>
      <c r="T49" s="208"/>
    </row>
    <row r="50" spans="2:23" s="11" customFormat="1" ht="16" thickBot="1" x14ac:dyDescent="0.4">
      <c r="B50" s="11" t="s">
        <v>1212</v>
      </c>
      <c r="C50" s="39" t="s">
        <v>1427</v>
      </c>
      <c r="E50" s="141">
        <v>1100</v>
      </c>
      <c r="F50" s="141"/>
      <c r="H50" s="141">
        <f>45*6</f>
        <v>270</v>
      </c>
      <c r="I50" s="141">
        <v>100</v>
      </c>
      <c r="J50" s="141"/>
      <c r="K50" s="141">
        <v>50</v>
      </c>
      <c r="L50" s="141"/>
      <c r="M50" s="141">
        <v>1234</v>
      </c>
      <c r="N50" s="141"/>
      <c r="O50" s="141">
        <v>5000</v>
      </c>
      <c r="P50" s="141">
        <v>200</v>
      </c>
      <c r="Q50" s="141">
        <f>250*2</f>
        <v>500</v>
      </c>
      <c r="R50" s="141">
        <v>800</v>
      </c>
      <c r="S50" s="292">
        <f>SUM(E50:R50)</f>
        <v>9254</v>
      </c>
      <c r="T50" s="357">
        <f>+S50-O50</f>
        <v>4254</v>
      </c>
    </row>
    <row r="51" spans="2:23" s="11" customFormat="1" ht="15.5" x14ac:dyDescent="0.35">
      <c r="B51" s="11" t="s">
        <v>1213</v>
      </c>
      <c r="C51" s="213"/>
      <c r="E51" s="141">
        <v>200</v>
      </c>
      <c r="F51" s="141"/>
      <c r="H51" s="214"/>
      <c r="I51" s="214"/>
      <c r="J51" s="214"/>
      <c r="K51" s="214"/>
      <c r="L51" s="214"/>
      <c r="M51" s="214">
        <f>320+243</f>
        <v>563</v>
      </c>
      <c r="N51" s="214"/>
      <c r="O51" s="214">
        <v>1400</v>
      </c>
      <c r="P51" s="214"/>
      <c r="Q51" s="141"/>
      <c r="R51" s="141"/>
      <c r="S51" s="292">
        <f>SUM(E51:R51)</f>
        <v>2163</v>
      </c>
      <c r="T51" s="357">
        <f>+S51-O51</f>
        <v>763</v>
      </c>
    </row>
    <row r="52" spans="2:23" s="11" customFormat="1" ht="15.5" x14ac:dyDescent="0.35">
      <c r="B52" s="11" t="s">
        <v>1061</v>
      </c>
      <c r="C52" s="213"/>
      <c r="E52" s="141"/>
      <c r="H52" s="214"/>
      <c r="I52" s="214"/>
      <c r="J52" s="173"/>
      <c r="K52" s="214"/>
      <c r="L52" s="214"/>
      <c r="M52" s="214"/>
      <c r="N52" s="214"/>
      <c r="O52" s="214"/>
      <c r="P52" s="214"/>
      <c r="Q52" s="141"/>
      <c r="R52" s="141"/>
      <c r="S52" s="208"/>
      <c r="T52" s="208"/>
    </row>
    <row r="53" spans="2:23" s="11" customFormat="1" ht="15.5" x14ac:dyDescent="0.35">
      <c r="C53" s="213"/>
      <c r="E53" s="141"/>
      <c r="H53" s="214"/>
      <c r="I53" s="214"/>
      <c r="J53" s="173"/>
      <c r="K53" s="214"/>
      <c r="L53" s="214"/>
      <c r="M53" s="214"/>
      <c r="N53" s="214"/>
      <c r="O53" s="214"/>
      <c r="P53" s="214"/>
      <c r="Q53" s="141"/>
      <c r="R53" s="141"/>
      <c r="S53" s="208"/>
      <c r="T53" s="208"/>
      <c r="U53" s="146"/>
      <c r="V53" s="146"/>
      <c r="W53" s="49"/>
    </row>
    <row r="54" spans="2:23" s="11" customFormat="1" ht="16" thickBot="1" x14ac:dyDescent="0.4">
      <c r="C54" s="213"/>
      <c r="D54" s="215"/>
      <c r="E54" s="141"/>
      <c r="F54" s="215"/>
      <c r="G54" s="215"/>
      <c r="H54" s="214"/>
      <c r="I54" s="214"/>
      <c r="J54" s="146"/>
      <c r="K54" s="146"/>
      <c r="L54" s="146"/>
      <c r="M54" s="146"/>
      <c r="N54" s="214"/>
      <c r="O54" s="214"/>
      <c r="P54" s="214"/>
      <c r="Q54" s="141"/>
      <c r="R54" s="141"/>
      <c r="S54" s="208"/>
      <c r="T54" s="208"/>
    </row>
    <row r="55" spans="2:23" s="11" customFormat="1" ht="16" thickBot="1" x14ac:dyDescent="0.4">
      <c r="B55" s="346" t="s">
        <v>1426</v>
      </c>
      <c r="C55" s="578" t="s">
        <v>1428</v>
      </c>
      <c r="D55" s="579" t="s">
        <v>1429</v>
      </c>
      <c r="E55" s="165">
        <v>1100</v>
      </c>
      <c r="F55" s="165"/>
      <c r="G55" s="579"/>
      <c r="H55" s="580">
        <f>46*5</f>
        <v>230</v>
      </c>
      <c r="I55" s="580">
        <v>50</v>
      </c>
      <c r="J55" s="580">
        <v>50</v>
      </c>
      <c r="K55" s="580">
        <v>70</v>
      </c>
      <c r="L55" s="580">
        <v>83.571428571428569</v>
      </c>
      <c r="M55" s="582">
        <f>188*18</f>
        <v>3384</v>
      </c>
      <c r="N55" s="580">
        <v>585.15625</v>
      </c>
      <c r="O55" s="580"/>
      <c r="P55" s="581">
        <v>100</v>
      </c>
      <c r="Q55" s="166"/>
      <c r="R55" s="165"/>
      <c r="S55" s="350"/>
      <c r="T55" s="351"/>
    </row>
    <row r="56" spans="2:23" s="10" customFormat="1" ht="16" thickBot="1" x14ac:dyDescent="0.4">
      <c r="B56" s="601" t="s">
        <v>1213</v>
      </c>
      <c r="C56" s="602"/>
      <c r="D56" s="577"/>
      <c r="E56" s="603">
        <v>800</v>
      </c>
      <c r="F56" s="603">
        <v>70</v>
      </c>
      <c r="G56" s="577"/>
      <c r="H56" s="604">
        <f>+H55*0.7</f>
        <v>161</v>
      </c>
      <c r="I56" s="604">
        <v>50</v>
      </c>
      <c r="J56" s="604">
        <f>+J55*0.7</f>
        <v>35</v>
      </c>
      <c r="K56" s="604">
        <f>+K55*0.7</f>
        <v>49</v>
      </c>
      <c r="L56" s="604">
        <v>84</v>
      </c>
      <c r="M56" s="604">
        <v>2384</v>
      </c>
      <c r="N56" s="604">
        <v>585</v>
      </c>
      <c r="O56" s="604">
        <v>3550</v>
      </c>
      <c r="P56" s="605">
        <v>100</v>
      </c>
      <c r="Q56" s="606">
        <v>500</v>
      </c>
      <c r="R56" s="603">
        <v>800</v>
      </c>
      <c r="S56" s="607">
        <f>SUM(E56:R56)</f>
        <v>9168</v>
      </c>
      <c r="T56" s="608">
        <f>+S56-O56</f>
        <v>5618</v>
      </c>
    </row>
    <row r="57" spans="2:23" s="10" customFormat="1" ht="15.5" x14ac:dyDescent="0.35">
      <c r="B57" s="609" t="s">
        <v>1430</v>
      </c>
      <c r="C57" s="610"/>
      <c r="D57" s="574"/>
      <c r="E57" s="611">
        <v>300</v>
      </c>
      <c r="F57" s="611">
        <v>30</v>
      </c>
      <c r="G57" s="571"/>
      <c r="H57" s="612">
        <f>+H55*0.3</f>
        <v>69</v>
      </c>
      <c r="I57" s="612"/>
      <c r="J57" s="612">
        <f>+J55*0.3</f>
        <v>15</v>
      </c>
      <c r="K57" s="612">
        <f>+K55*0.3</f>
        <v>21</v>
      </c>
      <c r="L57" s="612"/>
      <c r="M57" s="612">
        <v>1000</v>
      </c>
      <c r="N57" s="612"/>
      <c r="O57" s="612">
        <v>1650</v>
      </c>
      <c r="P57" s="613"/>
      <c r="Q57" s="614">
        <v>550</v>
      </c>
      <c r="R57" s="611">
        <v>350</v>
      </c>
      <c r="S57" s="607">
        <f>SUM(E57:R57)</f>
        <v>3985</v>
      </c>
      <c r="T57" s="608">
        <f>+S57-O57</f>
        <v>2335</v>
      </c>
    </row>
    <row r="58" spans="2:23" s="11" customFormat="1" ht="16" thickBot="1" x14ac:dyDescent="0.4">
      <c r="B58" s="569"/>
      <c r="C58" s="570"/>
      <c r="D58" s="571"/>
      <c r="E58" s="572"/>
      <c r="F58" s="572"/>
      <c r="G58" s="571"/>
      <c r="H58" s="573"/>
      <c r="I58" s="573"/>
      <c r="J58" s="573"/>
      <c r="K58" s="573"/>
      <c r="L58" s="283"/>
      <c r="M58" s="573"/>
      <c r="N58" s="573"/>
      <c r="O58" s="573"/>
      <c r="P58" s="575"/>
      <c r="Q58" s="576"/>
      <c r="R58" s="361"/>
      <c r="S58" s="299"/>
      <c r="T58" s="362"/>
    </row>
    <row r="59" spans="2:23" s="11" customFormat="1" ht="16" thickBot="1" x14ac:dyDescent="0.4">
      <c r="B59" s="11" t="s">
        <v>1222</v>
      </c>
      <c r="C59" s="213" t="s">
        <v>1654</v>
      </c>
      <c r="D59" s="215" t="s">
        <v>474</v>
      </c>
      <c r="E59" s="141">
        <v>1200</v>
      </c>
      <c r="F59" s="141">
        <v>360</v>
      </c>
      <c r="G59" s="141"/>
      <c r="H59" s="141">
        <v>280</v>
      </c>
      <c r="I59" s="141">
        <v>100</v>
      </c>
      <c r="J59" s="141"/>
      <c r="K59" s="141">
        <v>100</v>
      </c>
      <c r="L59" s="141"/>
      <c r="M59" s="141">
        <v>2217</v>
      </c>
      <c r="N59" s="141">
        <f>295.3125+120</f>
        <v>415.3125</v>
      </c>
      <c r="O59" s="141">
        <v>4112</v>
      </c>
      <c r="P59" s="141">
        <v>100</v>
      </c>
      <c r="Q59" s="141">
        <v>500</v>
      </c>
      <c r="R59" s="141">
        <v>560</v>
      </c>
      <c r="S59" s="208">
        <f>SUM(E59:R59)</f>
        <v>9944.3125</v>
      </c>
      <c r="T59" s="608">
        <f>+S59-O59</f>
        <v>5832.3125</v>
      </c>
      <c r="W59" s="49"/>
    </row>
    <row r="60" spans="2:23" s="11" customFormat="1" ht="16" thickBot="1" x14ac:dyDescent="0.4">
      <c r="C60" s="213"/>
      <c r="D60" s="215"/>
      <c r="E60" s="141"/>
      <c r="F60" s="141"/>
      <c r="G60" s="141"/>
      <c r="H60" s="214"/>
      <c r="I60" s="214"/>
      <c r="J60" s="214"/>
      <c r="K60" s="214"/>
      <c r="L60" s="214"/>
      <c r="M60" s="214"/>
      <c r="N60" s="214"/>
      <c r="O60" s="214"/>
      <c r="P60" s="214"/>
      <c r="Q60" s="141"/>
      <c r="R60" s="141"/>
      <c r="S60" s="208"/>
      <c r="T60" s="608"/>
    </row>
    <row r="61" spans="2:23" ht="16" thickBot="1" x14ac:dyDescent="0.4">
      <c r="B61" s="11" t="s">
        <v>1222</v>
      </c>
      <c r="C61" s="39" t="s">
        <v>1901</v>
      </c>
      <c r="D61" t="s">
        <v>721</v>
      </c>
      <c r="E61" s="173">
        <v>1080</v>
      </c>
      <c r="G61" s="4"/>
      <c r="H61" s="214">
        <v>240</v>
      </c>
      <c r="I61" s="214">
        <v>75</v>
      </c>
      <c r="J61" s="214"/>
      <c r="K61" s="214">
        <v>80</v>
      </c>
      <c r="L61" s="214">
        <f>200+75*4</f>
        <v>500</v>
      </c>
      <c r="N61" s="173">
        <f>400+4000/32</f>
        <v>525</v>
      </c>
      <c r="O61" s="214">
        <v>5225</v>
      </c>
      <c r="P61" s="214">
        <v>200</v>
      </c>
      <c r="Q61" s="173">
        <v>500</v>
      </c>
      <c r="R61" s="173">
        <v>500</v>
      </c>
      <c r="S61" s="208">
        <f>SUM(E61:R61)</f>
        <v>8925</v>
      </c>
      <c r="T61" s="608">
        <f>+S61-O61</f>
        <v>3700</v>
      </c>
    </row>
    <row r="62" spans="2:23" ht="15" thickBot="1" x14ac:dyDescent="0.4">
      <c r="B62" s="188"/>
      <c r="C62" s="216"/>
      <c r="D62" s="665"/>
      <c r="E62" s="173"/>
      <c r="H62" s="214"/>
      <c r="I62" s="214"/>
      <c r="J62" s="214"/>
      <c r="K62" s="214"/>
      <c r="L62" s="214"/>
      <c r="M62" s="214"/>
      <c r="N62" s="214"/>
      <c r="O62" s="218"/>
      <c r="P62" s="214"/>
      <c r="Q62" s="173"/>
      <c r="R62" s="173"/>
      <c r="S62" s="208"/>
      <c r="T62" s="608">
        <f>+S62-O62</f>
        <v>0</v>
      </c>
    </row>
    <row r="63" spans="2:23" x14ac:dyDescent="0.35">
      <c r="B63" s="188" t="s">
        <v>1458</v>
      </c>
      <c r="C63" s="216" t="s">
        <v>2056</v>
      </c>
      <c r="D63" s="217" t="s">
        <v>1429</v>
      </c>
      <c r="E63" s="173">
        <v>1425</v>
      </c>
      <c r="F63">
        <v>125</v>
      </c>
      <c r="H63" s="214">
        <f>(588/3*9)/7</f>
        <v>252</v>
      </c>
      <c r="I63" s="214">
        <v>50</v>
      </c>
      <c r="J63" s="214">
        <v>50</v>
      </c>
      <c r="K63" s="214">
        <v>80</v>
      </c>
      <c r="L63" s="214">
        <v>571.42857142857144</v>
      </c>
      <c r="M63" s="214"/>
      <c r="N63" s="214">
        <v>400</v>
      </c>
      <c r="O63" s="218">
        <v>4072</v>
      </c>
      <c r="P63" s="214">
        <v>120</v>
      </c>
      <c r="Q63" s="173">
        <v>500</v>
      </c>
      <c r="R63" s="173">
        <v>400</v>
      </c>
      <c r="S63" s="208">
        <f>SUM(E63:R63)</f>
        <v>8045.4285714285716</v>
      </c>
      <c r="T63" s="608">
        <f>+S63-O63</f>
        <v>3973.4285714285716</v>
      </c>
    </row>
    <row r="64" spans="2:23" x14ac:dyDescent="0.35">
      <c r="B64" s="188"/>
      <c r="C64" s="216"/>
      <c r="D64" s="217"/>
      <c r="E64" s="173"/>
      <c r="H64" s="214"/>
      <c r="I64" s="214"/>
      <c r="J64" s="214"/>
      <c r="K64" s="214"/>
      <c r="L64" s="214"/>
      <c r="M64" s="214"/>
      <c r="N64" s="214"/>
      <c r="O64" s="218"/>
      <c r="P64" s="214"/>
      <c r="Q64" s="173"/>
      <c r="R64" s="173"/>
      <c r="S64" s="173"/>
      <c r="T64" s="173"/>
    </row>
    <row r="65" spans="2:23" x14ac:dyDescent="0.35">
      <c r="B65" s="188"/>
      <c r="C65" s="39"/>
      <c r="D65" s="217"/>
      <c r="E65" s="173"/>
      <c r="H65" s="214"/>
      <c r="I65" s="214"/>
      <c r="J65" s="214"/>
      <c r="K65" s="214"/>
      <c r="L65" s="214"/>
      <c r="M65" s="173"/>
      <c r="N65" s="214"/>
      <c r="O65" s="218"/>
      <c r="P65" s="214"/>
      <c r="Q65" s="173"/>
      <c r="R65" s="173"/>
      <c r="S65" s="173"/>
      <c r="T65" s="173"/>
    </row>
    <row r="66" spans="2:23" x14ac:dyDescent="0.35">
      <c r="C66" s="39"/>
      <c r="D66" s="217" t="s">
        <v>2233</v>
      </c>
      <c r="E66" s="173"/>
      <c r="H66" s="214"/>
      <c r="I66" s="214"/>
      <c r="J66" s="214"/>
      <c r="K66" s="214"/>
      <c r="L66" s="214"/>
      <c r="M66" s="173"/>
      <c r="N66" s="214"/>
      <c r="O66" s="218"/>
      <c r="P66" s="214"/>
      <c r="Q66" s="173"/>
      <c r="R66" s="173"/>
      <c r="S66" s="173"/>
      <c r="T66" s="173"/>
    </row>
    <row r="67" spans="2:23" x14ac:dyDescent="0.35">
      <c r="C67" s="39" t="s">
        <v>2234</v>
      </c>
      <c r="D67" t="s">
        <v>721</v>
      </c>
      <c r="E67" s="146">
        <v>1050</v>
      </c>
      <c r="F67" s="146"/>
      <c r="G67" s="146"/>
      <c r="H67" s="146">
        <v>200</v>
      </c>
      <c r="I67" s="146"/>
      <c r="J67" s="146">
        <v>50</v>
      </c>
      <c r="K67" s="146">
        <v>50</v>
      </c>
      <c r="L67" s="146">
        <v>75</v>
      </c>
      <c r="M67" s="146">
        <f>53*17+125</f>
        <v>1026</v>
      </c>
      <c r="N67" s="146">
        <v>200</v>
      </c>
      <c r="O67" s="146">
        <v>4609</v>
      </c>
      <c r="P67" s="146">
        <v>50</v>
      </c>
      <c r="Q67" s="146">
        <v>500</v>
      </c>
      <c r="R67" s="146">
        <v>400</v>
      </c>
      <c r="S67" s="146">
        <f>SUM(E67:R67)</f>
        <v>8210</v>
      </c>
      <c r="T67" s="146">
        <f>+S67-O67</f>
        <v>3601</v>
      </c>
      <c r="U67" s="146"/>
      <c r="V67" s="146"/>
      <c r="W67" s="146"/>
    </row>
    <row r="68" spans="2:23" x14ac:dyDescent="0.35">
      <c r="C68" s="39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</row>
    <row r="69" spans="2:23" x14ac:dyDescent="0.35">
      <c r="C69" s="39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</row>
    <row r="70" spans="2:23" s="129" customFormat="1" x14ac:dyDescent="0.35">
      <c r="B70" s="188"/>
      <c r="C70" s="219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</row>
    <row r="71" spans="2:23" s="129" customFormat="1" x14ac:dyDescent="0.35">
      <c r="B71" s="188"/>
      <c r="C71" s="219"/>
      <c r="E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</row>
    <row r="72" spans="2:23" s="129" customFormat="1" x14ac:dyDescent="0.35">
      <c r="B72" s="188"/>
      <c r="C72" s="219"/>
      <c r="E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</row>
    <row r="73" spans="2:23" s="129" customFormat="1" x14ac:dyDescent="0.35">
      <c r="B73" s="188"/>
      <c r="C73" s="219"/>
      <c r="E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</row>
    <row r="74" spans="2:23" s="129" customFormat="1" x14ac:dyDescent="0.35">
      <c r="B74" s="188"/>
      <c r="C74" s="219"/>
      <c r="E74" s="146"/>
      <c r="F74" s="3"/>
      <c r="G74" s="3"/>
      <c r="H74" s="146"/>
      <c r="I74" s="146"/>
      <c r="J74" s="146"/>
      <c r="K74" s="146"/>
      <c r="L74" s="146"/>
      <c r="M74" s="146"/>
      <c r="N74" s="146"/>
      <c r="O74" s="146"/>
      <c r="P74" s="146"/>
      <c r="Q74" s="220"/>
      <c r="R74" s="220"/>
      <c r="S74" s="220"/>
      <c r="T74" s="220"/>
    </row>
    <row r="75" spans="2:23" s="129" customFormat="1" x14ac:dyDescent="0.35">
      <c r="B75" s="188"/>
      <c r="C75" s="219"/>
      <c r="E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</row>
    <row r="76" spans="2:23" s="129" customFormat="1" x14ac:dyDescent="0.35">
      <c r="B76" s="188"/>
      <c r="C76" s="219"/>
      <c r="E76" s="218"/>
      <c r="F76" s="188"/>
      <c r="G76" s="188"/>
      <c r="H76" s="218"/>
      <c r="I76" s="218"/>
      <c r="J76" s="218"/>
      <c r="K76" s="218"/>
      <c r="L76" s="218"/>
      <c r="M76" s="218"/>
      <c r="N76" s="218"/>
      <c r="O76" s="218"/>
      <c r="P76" s="218"/>
      <c r="Q76" s="220"/>
      <c r="R76" s="220"/>
      <c r="S76" s="220"/>
      <c r="T76" s="220"/>
    </row>
    <row r="77" spans="2:23" s="129" customFormat="1" x14ac:dyDescent="0.35">
      <c r="B77" s="188"/>
      <c r="C77" s="219"/>
      <c r="E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</row>
    <row r="78" spans="2:23" s="129" customFormat="1" x14ac:dyDescent="0.35">
      <c r="B78" s="188"/>
      <c r="C78" s="219"/>
      <c r="E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</row>
    <row r="79" spans="2:23" s="129" customFormat="1" x14ac:dyDescent="0.35">
      <c r="B79" s="188"/>
      <c r="C79" s="219"/>
      <c r="E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</row>
    <row r="80" spans="2:23" s="129" customFormat="1" x14ac:dyDescent="0.35">
      <c r="B80" s="188"/>
      <c r="C80" s="219"/>
      <c r="E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</row>
    <row r="81" spans="2:23" x14ac:dyDescent="0.35">
      <c r="C81" s="39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</row>
    <row r="82" spans="2:23" x14ac:dyDescent="0.35">
      <c r="C82" s="39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</row>
    <row r="83" spans="2:23" x14ac:dyDescent="0.35">
      <c r="B83" s="3" t="s">
        <v>60</v>
      </c>
      <c r="C83" s="3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40"/>
      <c r="Q83" s="2"/>
      <c r="R83" s="2"/>
      <c r="S83" s="2"/>
      <c r="T83" s="2"/>
    </row>
    <row r="84" spans="2:23" x14ac:dyDescent="0.35">
      <c r="B84" s="3" t="s">
        <v>68</v>
      </c>
      <c r="C84" s="39" t="s">
        <v>69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W84" s="4"/>
    </row>
    <row r="85" spans="2:23" x14ac:dyDescent="0.35">
      <c r="C85" s="39" t="s">
        <v>70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W85" s="4"/>
    </row>
    <row r="86" spans="2:23" x14ac:dyDescent="0.35">
      <c r="C86" s="39" t="s">
        <v>71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W86" s="4"/>
    </row>
    <row r="87" spans="2:23" x14ac:dyDescent="0.35">
      <c r="C87" s="39" t="s">
        <v>72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W87" s="4"/>
    </row>
    <row r="88" spans="2:23" x14ac:dyDescent="0.35">
      <c r="C88" s="39" t="s">
        <v>73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3" x14ac:dyDescent="0.35">
      <c r="C89" s="39" t="s">
        <v>74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3" x14ac:dyDescent="0.35">
      <c r="C90" s="39" t="s">
        <v>85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2:23" x14ac:dyDescent="0.35">
      <c r="C91" s="3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2:23" x14ac:dyDescent="0.35">
      <c r="C92" s="3"/>
      <c r="D92" s="3"/>
      <c r="E92" s="3"/>
    </row>
    <row r="93" spans="2:23" x14ac:dyDescent="0.35">
      <c r="E93" s="2" t="s">
        <v>163</v>
      </c>
    </row>
    <row r="96" spans="2:23" x14ac:dyDescent="0.35">
      <c r="F96" s="3"/>
      <c r="G96" s="3"/>
    </row>
    <row r="105" spans="3:11" ht="15" thickBot="1" x14ac:dyDescent="0.4">
      <c r="E105" s="3" t="s">
        <v>400</v>
      </c>
    </row>
    <row r="106" spans="3:11" s="3" customFormat="1" x14ac:dyDescent="0.35">
      <c r="E106" s="96" t="s">
        <v>76</v>
      </c>
      <c r="F106" s="221">
        <v>2016</v>
      </c>
      <c r="G106" s="222">
        <v>2017</v>
      </c>
      <c r="H106" s="3">
        <v>2018</v>
      </c>
      <c r="I106" s="3">
        <v>2019</v>
      </c>
      <c r="J106" s="3">
        <v>2020</v>
      </c>
      <c r="K106" s="3">
        <v>2021</v>
      </c>
    </row>
    <row r="107" spans="3:11" x14ac:dyDescent="0.35">
      <c r="C107" s="3"/>
      <c r="E107" s="97" t="s">
        <v>104</v>
      </c>
      <c r="F107" s="44">
        <v>3811</v>
      </c>
      <c r="G107" s="87"/>
      <c r="I107">
        <v>2814</v>
      </c>
      <c r="J107">
        <v>4180</v>
      </c>
    </row>
    <row r="108" spans="3:11" s="3" customFormat="1" x14ac:dyDescent="0.35">
      <c r="D108"/>
      <c r="E108" s="97" t="s">
        <v>105</v>
      </c>
      <c r="F108" s="44">
        <v>4126</v>
      </c>
      <c r="G108" s="87"/>
      <c r="H108"/>
      <c r="I108">
        <v>2883</v>
      </c>
      <c r="J108">
        <v>3413</v>
      </c>
      <c r="K108"/>
    </row>
    <row r="109" spans="3:11" x14ac:dyDescent="0.35">
      <c r="E109" s="97" t="s">
        <v>106</v>
      </c>
      <c r="F109" s="44">
        <v>5742</v>
      </c>
      <c r="G109" s="87"/>
      <c r="I109">
        <v>6262</v>
      </c>
      <c r="J109">
        <v>6532</v>
      </c>
    </row>
    <row r="110" spans="3:11" x14ac:dyDescent="0.35">
      <c r="E110" s="97" t="s">
        <v>107</v>
      </c>
      <c r="F110" s="44">
        <v>12651</v>
      </c>
      <c r="G110" s="87"/>
      <c r="I110">
        <v>2162</v>
      </c>
      <c r="J110">
        <v>128</v>
      </c>
    </row>
    <row r="111" spans="3:11" x14ac:dyDescent="0.35">
      <c r="E111" s="97" t="s">
        <v>108</v>
      </c>
      <c r="F111" s="44">
        <v>5651</v>
      </c>
      <c r="G111" s="87"/>
      <c r="I111">
        <v>6517</v>
      </c>
      <c r="J111">
        <v>3594</v>
      </c>
    </row>
    <row r="112" spans="3:11" x14ac:dyDescent="0.35">
      <c r="E112" s="97" t="s">
        <v>109</v>
      </c>
      <c r="F112" s="44">
        <v>8161</v>
      </c>
      <c r="G112" s="87"/>
      <c r="I112">
        <v>1498</v>
      </c>
      <c r="J112">
        <v>3961</v>
      </c>
    </row>
    <row r="113" spans="2:10" x14ac:dyDescent="0.35">
      <c r="D113" s="3"/>
      <c r="E113" s="97" t="s">
        <v>110</v>
      </c>
      <c r="F113" s="44">
        <v>6484</v>
      </c>
      <c r="G113" s="87"/>
      <c r="I113">
        <v>6873</v>
      </c>
      <c r="J113">
        <v>5060</v>
      </c>
    </row>
    <row r="114" spans="2:10" ht="15" thickBot="1" x14ac:dyDescent="0.4">
      <c r="D114" s="3"/>
      <c r="E114" s="98" t="s">
        <v>111</v>
      </c>
      <c r="F114" s="41">
        <v>8230</v>
      </c>
      <c r="G114" s="88"/>
      <c r="I114">
        <v>5505</v>
      </c>
      <c r="J114">
        <v>3150</v>
      </c>
    </row>
    <row r="115" spans="2:10" x14ac:dyDescent="0.35">
      <c r="D115" s="3"/>
      <c r="E115" s="99" t="s">
        <v>78</v>
      </c>
      <c r="I115">
        <v>7189</v>
      </c>
      <c r="J115">
        <v>5083</v>
      </c>
    </row>
    <row r="116" spans="2:10" x14ac:dyDescent="0.35">
      <c r="E116" s="99" t="s">
        <v>79</v>
      </c>
      <c r="F116" s="3"/>
      <c r="G116" s="3"/>
      <c r="I116">
        <v>6691</v>
      </c>
      <c r="J116">
        <v>3875</v>
      </c>
    </row>
    <row r="117" spans="2:10" x14ac:dyDescent="0.35">
      <c r="E117" s="99" t="s">
        <v>80</v>
      </c>
      <c r="F117" s="3"/>
      <c r="G117" s="3"/>
      <c r="I117">
        <v>6841</v>
      </c>
      <c r="J117">
        <v>4706</v>
      </c>
    </row>
    <row r="118" spans="2:10" x14ac:dyDescent="0.35">
      <c r="E118" s="99" t="s">
        <v>81</v>
      </c>
      <c r="F118" s="3"/>
      <c r="I118">
        <v>7148</v>
      </c>
      <c r="J118">
        <v>6947</v>
      </c>
    </row>
    <row r="119" spans="2:10" x14ac:dyDescent="0.35">
      <c r="C119" s="3"/>
    </row>
    <row r="120" spans="2:10" x14ac:dyDescent="0.35">
      <c r="C120" s="3"/>
    </row>
    <row r="121" spans="2:10" x14ac:dyDescent="0.35">
      <c r="C121" s="3"/>
    </row>
    <row r="122" spans="2:10" x14ac:dyDescent="0.35">
      <c r="C122" s="3"/>
    </row>
    <row r="123" spans="2:10" x14ac:dyDescent="0.35">
      <c r="C123" s="3"/>
    </row>
    <row r="124" spans="2:10" x14ac:dyDescent="0.35">
      <c r="C124" s="3"/>
    </row>
    <row r="126" spans="2:10" x14ac:dyDescent="0.35">
      <c r="B126" s="3" t="s">
        <v>75</v>
      </c>
    </row>
    <row r="127" spans="2:10" x14ac:dyDescent="0.35">
      <c r="C127" t="s">
        <v>76</v>
      </c>
      <c r="D127" t="s">
        <v>21</v>
      </c>
      <c r="E127" t="s">
        <v>77</v>
      </c>
      <c r="F127" t="s">
        <v>40</v>
      </c>
    </row>
    <row r="128" spans="2:10" x14ac:dyDescent="0.35">
      <c r="C128" s="43">
        <v>42248</v>
      </c>
      <c r="D128">
        <v>6540</v>
      </c>
      <c r="E128">
        <v>4941</v>
      </c>
    </row>
    <row r="129" spans="2:8" x14ac:dyDescent="0.35">
      <c r="C129" s="43">
        <v>42278</v>
      </c>
      <c r="D129">
        <v>11157</v>
      </c>
      <c r="E129">
        <v>5768</v>
      </c>
    </row>
    <row r="130" spans="2:8" x14ac:dyDescent="0.35">
      <c r="C130" s="43">
        <v>42309</v>
      </c>
      <c r="D130">
        <v>6993</v>
      </c>
      <c r="E130">
        <v>2988</v>
      </c>
      <c r="F130">
        <v>4682</v>
      </c>
    </row>
    <row r="131" spans="2:8" x14ac:dyDescent="0.35">
      <c r="C131" s="43">
        <v>42339</v>
      </c>
      <c r="D131">
        <v>9405</v>
      </c>
      <c r="E131" s="2">
        <v>7452</v>
      </c>
      <c r="F131" s="3"/>
      <c r="G131" s="3"/>
      <c r="H131" s="42"/>
    </row>
    <row r="132" spans="2:8" x14ac:dyDescent="0.35">
      <c r="C132" s="43">
        <v>42370</v>
      </c>
      <c r="D132">
        <v>3811</v>
      </c>
      <c r="E132">
        <v>4168</v>
      </c>
      <c r="F132">
        <v>2074</v>
      </c>
    </row>
    <row r="133" spans="2:8" x14ac:dyDescent="0.35">
      <c r="C133" s="43">
        <v>42401</v>
      </c>
      <c r="D133">
        <v>4126</v>
      </c>
      <c r="E133">
        <v>3225</v>
      </c>
    </row>
    <row r="134" spans="2:8" x14ac:dyDescent="0.35">
      <c r="C134" s="43">
        <v>42430</v>
      </c>
      <c r="D134">
        <v>5742</v>
      </c>
      <c r="E134">
        <v>3971</v>
      </c>
      <c r="F134">
        <v>10401</v>
      </c>
    </row>
    <row r="135" spans="2:8" x14ac:dyDescent="0.35">
      <c r="C135" s="43">
        <v>42461</v>
      </c>
      <c r="D135">
        <v>12651</v>
      </c>
      <c r="E135">
        <v>4337</v>
      </c>
      <c r="F135">
        <v>1250</v>
      </c>
    </row>
    <row r="136" spans="2:8" x14ac:dyDescent="0.35">
      <c r="C136" s="43">
        <v>42491</v>
      </c>
    </row>
    <row r="137" spans="2:8" x14ac:dyDescent="0.35">
      <c r="C137" s="43">
        <v>42522</v>
      </c>
    </row>
    <row r="138" spans="2:8" x14ac:dyDescent="0.35">
      <c r="C138" s="43">
        <v>42552</v>
      </c>
    </row>
    <row r="141" spans="2:8" x14ac:dyDescent="0.35">
      <c r="C141" t="s">
        <v>25</v>
      </c>
      <c r="D141">
        <f>SUM(D128:D140)</f>
        <v>60425</v>
      </c>
    </row>
    <row r="144" spans="2:8" x14ac:dyDescent="0.35">
      <c r="B144" s="3" t="s">
        <v>436</v>
      </c>
    </row>
    <row r="145" spans="4:10" x14ac:dyDescent="0.35">
      <c r="D145" t="s">
        <v>437</v>
      </c>
      <c r="E145">
        <v>200</v>
      </c>
      <c r="G145" t="s">
        <v>449</v>
      </c>
      <c r="I145" s="231">
        <v>100</v>
      </c>
      <c r="J145" t="s">
        <v>450</v>
      </c>
    </row>
    <row r="146" spans="4:10" x14ac:dyDescent="0.35">
      <c r="D146" t="s">
        <v>438</v>
      </c>
      <c r="E146" s="12">
        <v>90</v>
      </c>
      <c r="I146">
        <v>50</v>
      </c>
      <c r="J146" t="s">
        <v>451</v>
      </c>
    </row>
    <row r="147" spans="4:10" x14ac:dyDescent="0.35">
      <c r="D147" t="s">
        <v>439</v>
      </c>
      <c r="E147" s="12">
        <v>38</v>
      </c>
      <c r="I147">
        <v>20</v>
      </c>
      <c r="J147" t="s">
        <v>452</v>
      </c>
    </row>
    <row r="148" spans="4:10" x14ac:dyDescent="0.35">
      <c r="D148" t="s">
        <v>440</v>
      </c>
      <c r="E148">
        <v>200</v>
      </c>
      <c r="I148">
        <v>150</v>
      </c>
      <c r="J148" t="s">
        <v>453</v>
      </c>
    </row>
    <row r="149" spans="4:10" x14ac:dyDescent="0.35">
      <c r="D149" t="s">
        <v>441</v>
      </c>
      <c r="E149">
        <v>90</v>
      </c>
    </row>
    <row r="150" spans="4:10" x14ac:dyDescent="0.35">
      <c r="D150" t="s">
        <v>442</v>
      </c>
      <c r="E150">
        <v>300</v>
      </c>
      <c r="I150" s="231">
        <f>SUM(I145:I149)</f>
        <v>320</v>
      </c>
    </row>
    <row r="151" spans="4:10" x14ac:dyDescent="0.35">
      <c r="D151" t="s">
        <v>443</v>
      </c>
      <c r="E151">
        <v>150</v>
      </c>
    </row>
    <row r="152" spans="4:10" x14ac:dyDescent="0.35">
      <c r="D152" t="s">
        <v>444</v>
      </c>
      <c r="E152" s="12">
        <v>70</v>
      </c>
    </row>
    <row r="153" spans="4:10" x14ac:dyDescent="0.35">
      <c r="D153" t="s">
        <v>112</v>
      </c>
      <c r="E153">
        <v>300</v>
      </c>
    </row>
    <row r="154" spans="4:10" x14ac:dyDescent="0.35">
      <c r="D154" t="s">
        <v>448</v>
      </c>
      <c r="E154">
        <v>41</v>
      </c>
    </row>
    <row r="157" spans="4:10" ht="15" thickBot="1" x14ac:dyDescent="0.4"/>
    <row r="158" spans="4:10" ht="15" thickBot="1" x14ac:dyDescent="0.4">
      <c r="E158" s="110">
        <f>SUM(E145:E157)</f>
        <v>1479</v>
      </c>
    </row>
    <row r="159" spans="4:10" x14ac:dyDescent="0.35">
      <c r="D159" s="3" t="s">
        <v>445</v>
      </c>
    </row>
    <row r="160" spans="4:10" x14ac:dyDescent="0.35">
      <c r="D160" t="s">
        <v>446</v>
      </c>
      <c r="E160">
        <v>130</v>
      </c>
    </row>
    <row r="161" spans="4:5" x14ac:dyDescent="0.35">
      <c r="D161" t="s">
        <v>447</v>
      </c>
      <c r="E161">
        <v>70</v>
      </c>
    </row>
  </sheetData>
  <pageMargins left="0.7" right="0.7" top="0.75" bottom="0.75" header="0.3" footer="0.3"/>
  <pageSetup paperSize="9" scale="68" orientation="landscape" r:id="rId1"/>
  <colBreaks count="1" manualBreakCount="1">
    <brk id="2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84"/>
  <sheetViews>
    <sheetView topLeftCell="A35" zoomScale="115" zoomScaleNormal="115" workbookViewId="0">
      <selection activeCell="J24" sqref="J24"/>
    </sheetView>
  </sheetViews>
  <sheetFormatPr defaultRowHeight="14.5" x14ac:dyDescent="0.35"/>
  <cols>
    <col min="2" max="2" width="31" customWidth="1"/>
    <col min="3" max="3" width="7.26953125" customWidth="1"/>
    <col min="4" max="4" width="8.54296875" customWidth="1"/>
    <col min="5" max="5" width="17.453125" customWidth="1"/>
    <col min="6" max="6" width="9.1796875" style="2"/>
    <col min="10" max="10" width="16" customWidth="1"/>
    <col min="11" max="11" width="24.7265625" customWidth="1"/>
    <col min="12" max="12" width="11.54296875" customWidth="1"/>
    <col min="13" max="13" width="12.7265625" customWidth="1"/>
  </cols>
  <sheetData>
    <row r="1" spans="1:13" x14ac:dyDescent="0.35">
      <c r="A1" t="s">
        <v>534</v>
      </c>
    </row>
    <row r="2" spans="1:13" x14ac:dyDescent="0.35">
      <c r="B2" t="s">
        <v>346</v>
      </c>
    </row>
    <row r="4" spans="1:13" s="3" customFormat="1" x14ac:dyDescent="0.35">
      <c r="B4" s="3" t="s">
        <v>342</v>
      </c>
      <c r="C4" s="3" t="s">
        <v>343</v>
      </c>
      <c r="D4" s="3" t="s">
        <v>344</v>
      </c>
      <c r="E4" s="3" t="s">
        <v>345</v>
      </c>
      <c r="F4" s="58"/>
      <c r="J4" s="3" t="s">
        <v>342</v>
      </c>
      <c r="K4" s="3" t="s">
        <v>343</v>
      </c>
      <c r="L4" s="3" t="s">
        <v>344</v>
      </c>
      <c r="M4" s="3" t="s">
        <v>345</v>
      </c>
    </row>
    <row r="5" spans="1:13" s="3" customFormat="1" x14ac:dyDescent="0.35">
      <c r="F5" s="58"/>
    </row>
    <row r="6" spans="1:13" x14ac:dyDescent="0.35">
      <c r="B6" s="3" t="s">
        <v>341</v>
      </c>
      <c r="J6" s="3" t="s">
        <v>341</v>
      </c>
    </row>
    <row r="7" spans="1:13" x14ac:dyDescent="0.35">
      <c r="A7">
        <v>1</v>
      </c>
      <c r="B7" s="3" t="s">
        <v>348</v>
      </c>
      <c r="C7" t="s">
        <v>347</v>
      </c>
      <c r="D7">
        <v>25</v>
      </c>
      <c r="I7">
        <v>1</v>
      </c>
      <c r="J7" t="s">
        <v>681</v>
      </c>
      <c r="K7" t="s">
        <v>680</v>
      </c>
    </row>
    <row r="8" spans="1:13" x14ac:dyDescent="0.35">
      <c r="A8">
        <v>2</v>
      </c>
      <c r="B8" t="s">
        <v>128</v>
      </c>
      <c r="C8" t="s">
        <v>304</v>
      </c>
      <c r="D8">
        <v>25</v>
      </c>
      <c r="J8" s="3" t="s">
        <v>952</v>
      </c>
      <c r="K8" t="s">
        <v>953</v>
      </c>
    </row>
    <row r="9" spans="1:13" x14ac:dyDescent="0.35">
      <c r="A9">
        <v>3</v>
      </c>
      <c r="B9" s="3" t="s">
        <v>352</v>
      </c>
      <c r="C9" t="s">
        <v>353</v>
      </c>
      <c r="D9">
        <v>9</v>
      </c>
      <c r="J9" s="3" t="s">
        <v>808</v>
      </c>
      <c r="K9" t="s">
        <v>961</v>
      </c>
    </row>
    <row r="10" spans="1:13" x14ac:dyDescent="0.35">
      <c r="B10" s="3" t="s">
        <v>281</v>
      </c>
      <c r="C10" t="s">
        <v>281</v>
      </c>
      <c r="D10">
        <v>5</v>
      </c>
      <c r="K10" t="s">
        <v>962</v>
      </c>
    </row>
    <row r="11" spans="1:13" x14ac:dyDescent="0.35">
      <c r="B11" s="3" t="s">
        <v>179</v>
      </c>
      <c r="C11" s="3" t="s">
        <v>355</v>
      </c>
      <c r="D11">
        <v>8</v>
      </c>
      <c r="J11" s="3" t="s">
        <v>963</v>
      </c>
      <c r="K11" t="s">
        <v>964</v>
      </c>
    </row>
    <row r="12" spans="1:13" x14ac:dyDescent="0.35">
      <c r="D12">
        <f>SUM(D7:D11)</f>
        <v>72</v>
      </c>
    </row>
    <row r="13" spans="1:13" x14ac:dyDescent="0.35">
      <c r="B13" t="s">
        <v>350</v>
      </c>
    </row>
    <row r="14" spans="1:13" x14ac:dyDescent="0.35">
      <c r="A14">
        <v>1</v>
      </c>
      <c r="B14" t="s">
        <v>349</v>
      </c>
      <c r="C14" t="s">
        <v>351</v>
      </c>
      <c r="D14">
        <v>10</v>
      </c>
      <c r="E14">
        <v>45</v>
      </c>
    </row>
    <row r="15" spans="1:13" x14ac:dyDescent="0.35">
      <c r="C15" t="s">
        <v>354</v>
      </c>
    </row>
    <row r="17" spans="2:14" x14ac:dyDescent="0.35">
      <c r="B17" s="3" t="s">
        <v>394</v>
      </c>
    </row>
    <row r="18" spans="2:14" x14ac:dyDescent="0.35">
      <c r="B18" t="s">
        <v>387</v>
      </c>
      <c r="C18" t="s">
        <v>391</v>
      </c>
      <c r="D18" t="s">
        <v>390</v>
      </c>
      <c r="E18" t="s">
        <v>389</v>
      </c>
      <c r="F18" s="2" t="s">
        <v>395</v>
      </c>
      <c r="K18" t="s">
        <v>948</v>
      </c>
    </row>
    <row r="19" spans="2:14" ht="15.5" x14ac:dyDescent="0.35">
      <c r="B19" t="s">
        <v>120</v>
      </c>
      <c r="J19">
        <v>1</v>
      </c>
      <c r="K19" t="s">
        <v>949</v>
      </c>
      <c r="L19" s="57" t="s">
        <v>950</v>
      </c>
      <c r="M19">
        <v>28</v>
      </c>
      <c r="N19">
        <v>110</v>
      </c>
    </row>
    <row r="20" spans="2:14" x14ac:dyDescent="0.35">
      <c r="B20" t="s">
        <v>388</v>
      </c>
    </row>
    <row r="21" spans="2:14" x14ac:dyDescent="0.35">
      <c r="B21" t="s">
        <v>13</v>
      </c>
      <c r="C21">
        <v>669</v>
      </c>
      <c r="D21">
        <v>355</v>
      </c>
      <c r="E21">
        <f>+C21-D21</f>
        <v>314</v>
      </c>
      <c r="F21" s="2">
        <f>+E21/C21*100</f>
        <v>46.935724962630793</v>
      </c>
      <c r="K21" t="s">
        <v>954</v>
      </c>
    </row>
    <row r="22" spans="2:14" x14ac:dyDescent="0.35">
      <c r="B22" t="s">
        <v>11</v>
      </c>
      <c r="C22">
        <v>106</v>
      </c>
      <c r="D22">
        <v>83</v>
      </c>
      <c r="E22">
        <f>+C22-D22</f>
        <v>23</v>
      </c>
      <c r="F22" s="2">
        <f t="shared" ref="F22:F34" si="0">+E22/C22*100</f>
        <v>21.69811320754717</v>
      </c>
      <c r="K22" t="s">
        <v>966</v>
      </c>
      <c r="L22" t="s">
        <v>967</v>
      </c>
      <c r="M22" t="s">
        <v>968</v>
      </c>
    </row>
    <row r="23" spans="2:14" x14ac:dyDescent="0.35">
      <c r="B23" t="s">
        <v>393</v>
      </c>
      <c r="C23">
        <v>155</v>
      </c>
      <c r="D23">
        <v>86</v>
      </c>
      <c r="E23">
        <f t="shared" ref="E23:E34" si="1">+C23-D23</f>
        <v>69</v>
      </c>
      <c r="F23" s="2">
        <f t="shared" si="0"/>
        <v>44.516129032258064</v>
      </c>
    </row>
    <row r="24" spans="2:14" x14ac:dyDescent="0.35">
      <c r="B24" t="s">
        <v>172</v>
      </c>
      <c r="C24">
        <v>59</v>
      </c>
      <c r="D24">
        <v>34</v>
      </c>
      <c r="E24">
        <f t="shared" si="1"/>
        <v>25</v>
      </c>
      <c r="F24" s="2">
        <f t="shared" si="0"/>
        <v>42.372881355932201</v>
      </c>
    </row>
    <row r="25" spans="2:14" x14ac:dyDescent="0.35">
      <c r="B25" t="s">
        <v>202</v>
      </c>
      <c r="C25">
        <v>99</v>
      </c>
      <c r="D25">
        <v>41</v>
      </c>
      <c r="E25">
        <f t="shared" si="1"/>
        <v>58</v>
      </c>
      <c r="F25" s="2">
        <f t="shared" si="0"/>
        <v>58.585858585858588</v>
      </c>
    </row>
    <row r="26" spans="2:14" x14ac:dyDescent="0.35">
      <c r="B26" t="s">
        <v>247</v>
      </c>
      <c r="C26">
        <v>31</v>
      </c>
      <c r="D26">
        <v>22</v>
      </c>
      <c r="E26">
        <f t="shared" si="1"/>
        <v>9</v>
      </c>
      <c r="F26" s="2">
        <f t="shared" si="0"/>
        <v>29.032258064516132</v>
      </c>
    </row>
    <row r="27" spans="2:14" x14ac:dyDescent="0.35">
      <c r="B27" t="s">
        <v>396</v>
      </c>
      <c r="C27">
        <v>59</v>
      </c>
      <c r="D27">
        <v>26</v>
      </c>
      <c r="E27">
        <f t="shared" si="1"/>
        <v>33</v>
      </c>
      <c r="F27" s="2">
        <f t="shared" si="0"/>
        <v>55.932203389830505</v>
      </c>
    </row>
    <row r="28" spans="2:14" x14ac:dyDescent="0.35">
      <c r="B28" t="s">
        <v>236</v>
      </c>
      <c r="C28">
        <v>59</v>
      </c>
      <c r="D28">
        <v>34</v>
      </c>
      <c r="E28">
        <f t="shared" si="1"/>
        <v>25</v>
      </c>
      <c r="F28" s="2">
        <f t="shared" si="0"/>
        <v>42.372881355932201</v>
      </c>
    </row>
    <row r="29" spans="2:14" x14ac:dyDescent="0.35">
      <c r="B29" t="s">
        <v>15</v>
      </c>
      <c r="C29">
        <v>200</v>
      </c>
      <c r="D29">
        <v>111</v>
      </c>
      <c r="E29">
        <f t="shared" si="1"/>
        <v>89</v>
      </c>
      <c r="F29" s="2">
        <f t="shared" si="0"/>
        <v>44.5</v>
      </c>
    </row>
    <row r="30" spans="2:14" x14ac:dyDescent="0.35">
      <c r="B30" t="s">
        <v>397</v>
      </c>
      <c r="C30">
        <v>12</v>
      </c>
      <c r="D30">
        <v>6</v>
      </c>
      <c r="E30">
        <f t="shared" si="1"/>
        <v>6</v>
      </c>
      <c r="F30" s="2">
        <f t="shared" si="0"/>
        <v>50</v>
      </c>
    </row>
    <row r="31" spans="2:14" x14ac:dyDescent="0.35">
      <c r="B31" t="s">
        <v>398</v>
      </c>
      <c r="C31">
        <v>10</v>
      </c>
      <c r="D31">
        <v>4</v>
      </c>
      <c r="E31">
        <f t="shared" si="1"/>
        <v>6</v>
      </c>
      <c r="F31" s="2">
        <f t="shared" si="0"/>
        <v>60</v>
      </c>
    </row>
    <row r="32" spans="2:14" x14ac:dyDescent="0.35">
      <c r="B32" t="s">
        <v>232</v>
      </c>
      <c r="C32">
        <v>25</v>
      </c>
      <c r="D32">
        <v>9</v>
      </c>
      <c r="E32">
        <f t="shared" si="1"/>
        <v>16</v>
      </c>
      <c r="F32" s="2">
        <f t="shared" si="0"/>
        <v>64</v>
      </c>
    </row>
    <row r="33" spans="2:6" x14ac:dyDescent="0.35">
      <c r="B33" t="s">
        <v>399</v>
      </c>
      <c r="C33">
        <v>103</v>
      </c>
      <c r="D33">
        <v>49</v>
      </c>
      <c r="E33">
        <f t="shared" si="1"/>
        <v>54</v>
      </c>
      <c r="F33" s="2">
        <f t="shared" si="0"/>
        <v>52.427184466019419</v>
      </c>
    </row>
    <row r="34" spans="2:6" x14ac:dyDescent="0.35">
      <c r="B34" t="s">
        <v>67</v>
      </c>
      <c r="C34">
        <v>40</v>
      </c>
      <c r="D34">
        <v>36</v>
      </c>
      <c r="E34">
        <f t="shared" si="1"/>
        <v>4</v>
      </c>
      <c r="F34" s="2">
        <f t="shared" si="0"/>
        <v>10</v>
      </c>
    </row>
    <row r="45" spans="2:6" x14ac:dyDescent="0.35">
      <c r="B45" t="s">
        <v>690</v>
      </c>
    </row>
    <row r="46" spans="2:6" x14ac:dyDescent="0.35">
      <c r="C46" t="s">
        <v>692</v>
      </c>
      <c r="D46" t="s">
        <v>693</v>
      </c>
    </row>
    <row r="47" spans="2:6" x14ac:dyDescent="0.35">
      <c r="B47" s="3" t="s">
        <v>691</v>
      </c>
    </row>
    <row r="48" spans="2:6" x14ac:dyDescent="0.35">
      <c r="B48" t="s">
        <v>694</v>
      </c>
      <c r="C48" s="13"/>
    </row>
    <row r="50" spans="1:5" x14ac:dyDescent="0.35">
      <c r="B50" s="3" t="s">
        <v>696</v>
      </c>
    </row>
    <row r="51" spans="1:5" x14ac:dyDescent="0.35">
      <c r="A51" t="s">
        <v>235</v>
      </c>
      <c r="B51" t="s">
        <v>464</v>
      </c>
      <c r="E51" t="s">
        <v>697</v>
      </c>
    </row>
    <row r="52" spans="1:5" x14ac:dyDescent="0.35">
      <c r="B52" t="s">
        <v>11</v>
      </c>
    </row>
    <row r="53" spans="1:5" x14ac:dyDescent="0.35">
      <c r="A53" s="241" t="s">
        <v>470</v>
      </c>
      <c r="B53" s="244" t="s">
        <v>471</v>
      </c>
      <c r="C53" s="244"/>
      <c r="D53" s="244"/>
      <c r="E53" t="s">
        <v>700</v>
      </c>
    </row>
    <row r="54" spans="1:5" x14ac:dyDescent="0.35">
      <c r="A54" s="241" t="s">
        <v>470</v>
      </c>
      <c r="B54" s="244" t="s">
        <v>471</v>
      </c>
      <c r="C54" s="244"/>
      <c r="D54" s="244"/>
      <c r="E54" t="s">
        <v>700</v>
      </c>
    </row>
    <row r="56" spans="1:5" x14ac:dyDescent="0.35">
      <c r="B56" s="3" t="s">
        <v>172</v>
      </c>
    </row>
    <row r="57" spans="1:5" x14ac:dyDescent="0.35">
      <c r="A57" s="13" t="s">
        <v>246</v>
      </c>
      <c r="B57" s="156">
        <v>8</v>
      </c>
      <c r="C57" s="156">
        <v>36</v>
      </c>
      <c r="D57" t="s">
        <v>245</v>
      </c>
    </row>
    <row r="58" spans="1:5" x14ac:dyDescent="0.35">
      <c r="A58" s="13" t="s">
        <v>457</v>
      </c>
      <c r="B58" s="156">
        <v>14</v>
      </c>
      <c r="C58">
        <v>52</v>
      </c>
      <c r="D58" t="s">
        <v>454</v>
      </c>
    </row>
    <row r="59" spans="1:5" ht="15.5" x14ac:dyDescent="0.35">
      <c r="B59" s="11" t="s">
        <v>130</v>
      </c>
    </row>
    <row r="60" spans="1:5" x14ac:dyDescent="0.35">
      <c r="A60" t="s">
        <v>179</v>
      </c>
      <c r="B60" t="s">
        <v>322</v>
      </c>
      <c r="C60" t="s">
        <v>408</v>
      </c>
    </row>
    <row r="61" spans="1:5" x14ac:dyDescent="0.35">
      <c r="B61" s="3" t="s">
        <v>202</v>
      </c>
    </row>
    <row r="62" spans="1:5" x14ac:dyDescent="0.35">
      <c r="A62" t="s">
        <v>179</v>
      </c>
      <c r="B62" t="s">
        <v>325</v>
      </c>
    </row>
    <row r="63" spans="1:5" x14ac:dyDescent="0.35">
      <c r="A63" t="s">
        <v>179</v>
      </c>
      <c r="B63" t="s">
        <v>460</v>
      </c>
      <c r="C63" s="3"/>
    </row>
    <row r="64" spans="1:5" x14ac:dyDescent="0.35">
      <c r="A64" t="s">
        <v>179</v>
      </c>
      <c r="B64" t="s">
        <v>460</v>
      </c>
      <c r="C64" s="3"/>
    </row>
    <row r="65" spans="1:3" x14ac:dyDescent="0.35">
      <c r="A65" s="3" t="s">
        <v>179</v>
      </c>
      <c r="B65" s="245" t="s">
        <v>579</v>
      </c>
      <c r="C65" t="s">
        <v>407</v>
      </c>
    </row>
    <row r="66" spans="1:3" x14ac:dyDescent="0.35">
      <c r="A66" s="3" t="s">
        <v>179</v>
      </c>
      <c r="B66" s="245" t="s">
        <v>620</v>
      </c>
    </row>
    <row r="68" spans="1:3" x14ac:dyDescent="0.35">
      <c r="B68" s="256" t="s">
        <v>233</v>
      </c>
    </row>
    <row r="69" spans="1:3" x14ac:dyDescent="0.35">
      <c r="A69" t="s">
        <v>179</v>
      </c>
      <c r="B69" t="s">
        <v>494</v>
      </c>
    </row>
    <row r="70" spans="1:3" x14ac:dyDescent="0.35">
      <c r="A70" t="s">
        <v>179</v>
      </c>
      <c r="B70" s="239" t="s">
        <v>323</v>
      </c>
    </row>
    <row r="72" spans="1:3" x14ac:dyDescent="0.35">
      <c r="B72" s="3" t="s">
        <v>236</v>
      </c>
    </row>
    <row r="73" spans="1:3" x14ac:dyDescent="0.35">
      <c r="A73" t="s">
        <v>329</v>
      </c>
      <c r="B73" t="s">
        <v>328</v>
      </c>
    </row>
    <row r="74" spans="1:3" x14ac:dyDescent="0.35">
      <c r="A74" s="233" t="s">
        <v>591</v>
      </c>
      <c r="B74" s="245" t="s">
        <v>575</v>
      </c>
      <c r="C74" t="s">
        <v>589</v>
      </c>
    </row>
    <row r="76" spans="1:3" x14ac:dyDescent="0.35">
      <c r="B76" s="3" t="s">
        <v>15</v>
      </c>
    </row>
    <row r="77" spans="1:3" x14ac:dyDescent="0.35">
      <c r="A77" t="s">
        <v>196</v>
      </c>
      <c r="B77" t="s">
        <v>334</v>
      </c>
    </row>
    <row r="78" spans="1:3" x14ac:dyDescent="0.35">
      <c r="A78" t="s">
        <v>196</v>
      </c>
      <c r="B78" t="s">
        <v>335</v>
      </c>
    </row>
    <row r="79" spans="1:3" x14ac:dyDescent="0.35">
      <c r="B79" s="3" t="s">
        <v>232</v>
      </c>
    </row>
    <row r="80" spans="1:3" x14ac:dyDescent="0.35">
      <c r="B80" s="245" t="s">
        <v>580</v>
      </c>
    </row>
    <row r="82" spans="1:2" x14ac:dyDescent="0.35">
      <c r="B82" t="s">
        <v>415</v>
      </c>
    </row>
    <row r="84" spans="1:2" x14ac:dyDescent="0.35">
      <c r="A84" s="233" t="s">
        <v>506</v>
      </c>
      <c r="B84" t="s">
        <v>507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47"/>
  <sheetViews>
    <sheetView zoomScaleNormal="100" workbookViewId="0">
      <pane ySplit="1" topLeftCell="A27" activePane="bottomLeft" state="frozen"/>
      <selection activeCell="D14" sqref="D14"/>
      <selection pane="bottomLeft" activeCell="B34" sqref="B34"/>
    </sheetView>
  </sheetViews>
  <sheetFormatPr defaultRowHeight="17" x14ac:dyDescent="0.4"/>
  <cols>
    <col min="2" max="2" width="37" customWidth="1"/>
    <col min="3" max="3" width="11.453125" style="135" customWidth="1"/>
    <col min="4" max="4" width="11.453125" style="18" customWidth="1"/>
    <col min="5" max="5" width="11.453125" style="2" customWidth="1"/>
    <col min="6" max="6" width="11.453125" style="18" customWidth="1"/>
    <col min="7" max="14" width="11.453125" style="2" customWidth="1"/>
    <col min="15" max="15" width="13" style="36" bestFit="1" customWidth="1"/>
    <col min="17" max="17" width="9.1796875" style="2"/>
    <col min="18" max="18" width="22.54296875" customWidth="1"/>
  </cols>
  <sheetData>
    <row r="1" spans="1:19" ht="31" x14ac:dyDescent="0.7">
      <c r="A1" t="s">
        <v>534</v>
      </c>
      <c r="B1" s="193" t="s">
        <v>159</v>
      </c>
      <c r="C1" s="194" t="s">
        <v>213</v>
      </c>
      <c r="D1" s="17" t="s">
        <v>214</v>
      </c>
      <c r="E1" s="16" t="s">
        <v>215</v>
      </c>
      <c r="F1" s="194" t="s">
        <v>216</v>
      </c>
      <c r="G1" s="17" t="s">
        <v>217</v>
      </c>
      <c r="H1" s="16" t="s">
        <v>218</v>
      </c>
      <c r="I1" s="194" t="s">
        <v>219</v>
      </c>
      <c r="J1" s="17" t="s">
        <v>220</v>
      </c>
      <c r="K1" s="16" t="s">
        <v>221</v>
      </c>
      <c r="L1" s="194" t="s">
        <v>222</v>
      </c>
      <c r="M1" s="17" t="s">
        <v>223</v>
      </c>
      <c r="N1" s="16" t="s">
        <v>224</v>
      </c>
      <c r="O1" s="202"/>
      <c r="P1" s="146" t="s">
        <v>358</v>
      </c>
    </row>
    <row r="2" spans="1:19" x14ac:dyDescent="0.4">
      <c r="B2" s="95" t="s">
        <v>92</v>
      </c>
      <c r="C2" s="195"/>
      <c r="D2" s="139"/>
      <c r="E2" s="18"/>
      <c r="F2" s="139"/>
      <c r="G2" s="18"/>
      <c r="I2" s="18"/>
      <c r="K2" s="18"/>
      <c r="M2" s="18"/>
      <c r="O2" s="203"/>
    </row>
    <row r="3" spans="1:19" s="10" customFormat="1" ht="15.5" x14ac:dyDescent="0.35">
      <c r="B3" s="19" t="s">
        <v>45</v>
      </c>
      <c r="C3" s="180"/>
      <c r="D3" s="189"/>
      <c r="E3" s="20"/>
      <c r="F3" s="189"/>
      <c r="G3" s="20"/>
      <c r="H3" s="21"/>
      <c r="I3" s="20"/>
      <c r="J3" s="21"/>
      <c r="K3" s="20"/>
      <c r="L3" s="21"/>
      <c r="M3" s="20"/>
      <c r="N3" s="21"/>
      <c r="O3" s="34"/>
      <c r="Q3" s="21"/>
    </row>
    <row r="4" spans="1:19" s="10" customFormat="1" ht="15.5" x14ac:dyDescent="0.35">
      <c r="B4" s="22" t="s">
        <v>46</v>
      </c>
      <c r="C4" s="180" t="e">
        <f>+'daily sales'!#REF!</f>
        <v>#REF!</v>
      </c>
      <c r="D4" s="189"/>
      <c r="E4" s="20"/>
      <c r="F4" s="189"/>
      <c r="G4" s="20"/>
      <c r="H4" s="21"/>
      <c r="I4" s="20"/>
      <c r="J4" s="21"/>
      <c r="K4" s="20"/>
      <c r="L4" s="21"/>
      <c r="M4" s="20"/>
      <c r="N4" s="21"/>
      <c r="O4" s="34"/>
      <c r="Q4" s="21"/>
    </row>
    <row r="5" spans="1:19" s="10" customFormat="1" ht="16" thickBot="1" x14ac:dyDescent="0.4">
      <c r="B5" s="22" t="s">
        <v>93</v>
      </c>
      <c r="C5" s="180"/>
      <c r="D5" s="189"/>
      <c r="E5" s="20"/>
      <c r="F5" s="189"/>
      <c r="G5" s="20"/>
      <c r="H5" s="21"/>
      <c r="I5" s="20"/>
      <c r="J5" s="21"/>
      <c r="K5" s="20"/>
      <c r="L5" s="21"/>
      <c r="M5" s="20"/>
      <c r="N5" s="21"/>
      <c r="O5" s="34"/>
      <c r="Q5" s="21"/>
    </row>
    <row r="6" spans="1:19" s="10" customFormat="1" ht="16" thickBot="1" x14ac:dyDescent="0.4">
      <c r="B6" s="19"/>
      <c r="C6" s="165" t="e">
        <f>SUM(C4:C5)</f>
        <v>#REF!</v>
      </c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Q6" s="21"/>
    </row>
    <row r="7" spans="1:19" s="10" customFormat="1" ht="15.5" x14ac:dyDescent="0.35">
      <c r="B7" s="22"/>
      <c r="C7" s="180"/>
      <c r="D7" s="140"/>
      <c r="E7" s="180"/>
      <c r="F7" s="140"/>
      <c r="G7" s="180"/>
      <c r="H7" s="137"/>
      <c r="I7" s="180"/>
      <c r="J7" s="137"/>
      <c r="K7" s="180"/>
      <c r="L7" s="137"/>
      <c r="M7" s="180"/>
      <c r="N7" s="137"/>
      <c r="O7" s="34"/>
      <c r="Q7" s="6"/>
      <c r="R7"/>
      <c r="S7"/>
    </row>
    <row r="8" spans="1:19" s="10" customFormat="1" ht="15.5" x14ac:dyDescent="0.35">
      <c r="B8" s="19" t="s">
        <v>47</v>
      </c>
      <c r="C8" s="180"/>
      <c r="D8" s="189"/>
      <c r="E8" s="20"/>
      <c r="F8" s="189"/>
      <c r="G8" s="20"/>
      <c r="H8" s="21"/>
      <c r="I8" s="20"/>
      <c r="J8" s="21"/>
      <c r="K8" s="20"/>
      <c r="L8" s="21"/>
      <c r="M8" s="20"/>
      <c r="N8" s="21"/>
      <c r="O8" s="34"/>
      <c r="Q8" s="6"/>
      <c r="R8"/>
      <c r="S8"/>
    </row>
    <row r="9" spans="1:19" s="10" customFormat="1" ht="15.5" x14ac:dyDescent="0.35">
      <c r="B9" s="22" t="s">
        <v>160</v>
      </c>
      <c r="C9" s="180"/>
      <c r="D9" s="189"/>
      <c r="E9" s="20"/>
      <c r="F9" s="189"/>
      <c r="G9" s="20"/>
      <c r="H9" s="21"/>
      <c r="I9" s="20"/>
      <c r="J9" s="21"/>
      <c r="K9" s="20"/>
      <c r="L9" s="21"/>
      <c r="M9" s="20"/>
      <c r="N9" s="21"/>
      <c r="O9" s="34"/>
      <c r="Q9"/>
      <c r="R9"/>
      <c r="S9"/>
    </row>
    <row r="10" spans="1:19" s="10" customFormat="1" ht="15.5" x14ac:dyDescent="0.35">
      <c r="B10" s="22" t="s">
        <v>317</v>
      </c>
      <c r="C10" s="180"/>
      <c r="D10" s="189"/>
      <c r="E10" s="20"/>
      <c r="F10" s="189"/>
      <c r="G10" s="20"/>
      <c r="H10" s="21"/>
      <c r="I10" s="20"/>
      <c r="J10" s="21"/>
      <c r="K10" s="20"/>
      <c r="L10" s="21"/>
      <c r="M10" s="20"/>
      <c r="N10" s="21"/>
      <c r="O10" s="34"/>
      <c r="Q10"/>
      <c r="R10"/>
      <c r="S10"/>
    </row>
    <row r="11" spans="1:19" s="10" customFormat="1" ht="16" thickBot="1" x14ac:dyDescent="0.4">
      <c r="B11" s="22" t="s">
        <v>148</v>
      </c>
      <c r="C11" s="180"/>
      <c r="D11" s="24"/>
      <c r="E11" s="20"/>
      <c r="F11" s="24"/>
      <c r="G11" s="20"/>
      <c r="H11" s="21"/>
      <c r="I11" s="20"/>
      <c r="J11" s="21"/>
      <c r="K11" s="20"/>
      <c r="L11" s="21"/>
      <c r="M11" s="20"/>
      <c r="N11" s="21"/>
      <c r="O11" s="34"/>
      <c r="Q11"/>
      <c r="R11"/>
      <c r="S11"/>
    </row>
    <row r="12" spans="1:19" s="10" customFormat="1" ht="16" thickBot="1" x14ac:dyDescent="0.4">
      <c r="B12" s="22"/>
      <c r="C12" s="166"/>
      <c r="D12" s="30"/>
      <c r="E12" s="31"/>
      <c r="F12" s="30"/>
      <c r="G12" s="31"/>
      <c r="H12" s="30"/>
      <c r="I12" s="31"/>
      <c r="J12" s="30"/>
      <c r="K12" s="31"/>
      <c r="L12" s="30"/>
      <c r="M12" s="31"/>
      <c r="N12" s="30"/>
      <c r="O12" s="328"/>
      <c r="Q12" s="6"/>
      <c r="R12"/>
      <c r="S12"/>
    </row>
    <row r="13" spans="1:19" s="10" customFormat="1" ht="16" thickBot="1" x14ac:dyDescent="0.4">
      <c r="C13" s="141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Q13" s="6"/>
      <c r="R13"/>
      <c r="S13"/>
    </row>
    <row r="14" spans="1:19" s="10" customFormat="1" ht="16" thickBot="1" x14ac:dyDescent="0.4">
      <c r="B14" s="19" t="s">
        <v>96</v>
      </c>
      <c r="C14" s="166"/>
      <c r="D14" s="30"/>
      <c r="E14" s="31"/>
      <c r="F14" s="30"/>
      <c r="G14" s="31"/>
      <c r="H14" s="30"/>
      <c r="I14" s="31"/>
      <c r="J14" s="30"/>
      <c r="K14" s="31"/>
      <c r="L14" s="30"/>
      <c r="M14" s="31"/>
      <c r="N14" s="30"/>
      <c r="O14" s="328"/>
      <c r="Q14" s="6"/>
      <c r="R14"/>
      <c r="S14"/>
    </row>
    <row r="15" spans="1:19" s="10" customFormat="1" ht="15.5" x14ac:dyDescent="0.35">
      <c r="B15" s="22"/>
      <c r="C15" s="180"/>
      <c r="D15" s="189"/>
      <c r="E15" s="20"/>
      <c r="F15" s="189"/>
      <c r="G15" s="20"/>
      <c r="H15" s="21"/>
      <c r="I15" s="20"/>
      <c r="J15" s="21"/>
      <c r="K15" s="20"/>
      <c r="L15" s="21"/>
      <c r="M15" s="20"/>
      <c r="N15" s="21"/>
      <c r="O15" s="34"/>
      <c r="Q15"/>
      <c r="R15"/>
      <c r="S15"/>
    </row>
    <row r="16" spans="1:19" s="10" customFormat="1" ht="16" thickBot="1" x14ac:dyDescent="0.4">
      <c r="B16" s="62"/>
      <c r="C16" s="197"/>
      <c r="D16" s="24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34"/>
      <c r="Q16" s="6"/>
      <c r="R16"/>
      <c r="S16"/>
    </row>
    <row r="17" spans="2:20" s="11" customFormat="1" ht="16" thickBot="1" x14ac:dyDescent="0.4">
      <c r="B17" s="9" t="s">
        <v>50</v>
      </c>
      <c r="C17" s="164" t="e">
        <f>+C6+C12+C14</f>
        <v>#REF!</v>
      </c>
      <c r="D17" s="164"/>
      <c r="E17" s="25"/>
      <c r="F17" s="200"/>
      <c r="G17" s="25"/>
      <c r="H17" s="200"/>
      <c r="I17" s="25"/>
      <c r="J17" s="200"/>
      <c r="K17" s="25"/>
      <c r="L17" s="200"/>
      <c r="M17" s="25"/>
      <c r="N17" s="200"/>
      <c r="O17" s="31"/>
      <c r="Q17"/>
      <c r="R17"/>
      <c r="S17"/>
      <c r="T17" s="49"/>
    </row>
    <row r="18" spans="2:20" s="10" customFormat="1" ht="15.5" x14ac:dyDescent="0.35">
      <c r="B18" s="22"/>
      <c r="C18" s="180"/>
      <c r="D18" s="189"/>
      <c r="E18" s="20"/>
      <c r="F18" s="189"/>
      <c r="G18" s="20"/>
      <c r="H18" s="21"/>
      <c r="I18" s="20"/>
      <c r="J18" s="21"/>
      <c r="K18" s="20"/>
      <c r="L18" s="21"/>
      <c r="M18" s="20"/>
      <c r="N18" s="21"/>
      <c r="O18" s="34"/>
      <c r="Q18"/>
      <c r="R18"/>
      <c r="S18"/>
    </row>
    <row r="19" spans="2:20" s="10" customFormat="1" ht="19" thickBot="1" x14ac:dyDescent="0.5">
      <c r="B19" s="178" t="s">
        <v>51</v>
      </c>
      <c r="C19" s="167"/>
      <c r="D19" s="186"/>
      <c r="E19" s="28"/>
      <c r="F19" s="186"/>
      <c r="G19" s="28"/>
      <c r="H19" s="29"/>
      <c r="I19" s="28"/>
      <c r="J19" s="29"/>
      <c r="K19" s="28"/>
      <c r="L19" s="29"/>
      <c r="M19" s="28"/>
      <c r="N19" s="29"/>
      <c r="O19" s="34"/>
      <c r="Q19"/>
      <c r="R19"/>
      <c r="S19"/>
    </row>
    <row r="20" spans="2:20" s="11" customFormat="1" ht="16" thickBot="1" x14ac:dyDescent="0.4">
      <c r="B20" s="9" t="s">
        <v>94</v>
      </c>
      <c r="C20" s="165" t="e">
        <f>+cashbook!#REF!+cashbook!#REF!+cashbook!#REF!+cashbook!#REF!+cashbook!#REF!</f>
        <v>#REF!</v>
      </c>
      <c r="D20" s="30"/>
      <c r="E20" s="31"/>
      <c r="F20" s="30"/>
      <c r="G20" s="31"/>
      <c r="H20" s="30"/>
      <c r="I20" s="31"/>
      <c r="J20" s="30"/>
      <c r="K20" s="31"/>
      <c r="L20" s="30"/>
      <c r="M20" s="31"/>
      <c r="N20" s="30"/>
      <c r="O20" s="31"/>
      <c r="P20" s="128"/>
      <c r="Q20"/>
      <c r="R20"/>
      <c r="S20">
        <v>145</v>
      </c>
    </row>
    <row r="21" spans="2:20" s="11" customFormat="1" ht="16" thickBot="1" x14ac:dyDescent="0.4">
      <c r="C21" s="196"/>
      <c r="D21" s="136"/>
      <c r="E21" s="34"/>
      <c r="F21" s="136"/>
      <c r="G21" s="34"/>
      <c r="H21" s="136"/>
      <c r="I21" s="34"/>
      <c r="J21" s="136"/>
      <c r="K21" s="34"/>
      <c r="L21" s="136"/>
      <c r="M21" s="34"/>
      <c r="N21" s="136"/>
      <c r="O21" s="34"/>
      <c r="P21" s="128"/>
      <c r="Q21"/>
      <c r="R21"/>
      <c r="S21"/>
    </row>
    <row r="22" spans="2:20" s="11" customFormat="1" ht="19" thickBot="1" x14ac:dyDescent="0.5">
      <c r="B22" s="100" t="s">
        <v>359</v>
      </c>
      <c r="C22" s="165">
        <f>SUM(C23:C58)</f>
        <v>1903</v>
      </c>
      <c r="D22" s="165"/>
      <c r="E22" s="165"/>
      <c r="F22" s="160"/>
      <c r="G22" s="165"/>
      <c r="H22" s="160"/>
      <c r="I22" s="165"/>
      <c r="J22" s="160"/>
      <c r="K22" s="165"/>
      <c r="L22" s="160"/>
      <c r="M22" s="165"/>
      <c r="N22" s="160"/>
      <c r="O22" s="31"/>
      <c r="Q22" s="181"/>
      <c r="R22" s="3"/>
      <c r="S22" s="3">
        <v>255</v>
      </c>
    </row>
    <row r="23" spans="2:20" s="10" customFormat="1" ht="15.5" x14ac:dyDescent="0.35">
      <c r="B23" s="22" t="s">
        <v>100</v>
      </c>
      <c r="C23" s="180">
        <v>10</v>
      </c>
      <c r="D23" s="189"/>
      <c r="E23" s="20"/>
      <c r="F23" s="189"/>
      <c r="G23" s="20"/>
      <c r="H23" s="21"/>
      <c r="I23" s="20"/>
      <c r="J23" s="21"/>
      <c r="K23" s="20"/>
      <c r="L23" s="21"/>
      <c r="M23" s="20"/>
      <c r="N23" s="21"/>
      <c r="O23" s="20"/>
      <c r="Q23" s="6"/>
      <c r="R23"/>
      <c r="S23">
        <v>75</v>
      </c>
    </row>
    <row r="24" spans="2:20" s="10" customFormat="1" ht="15.5" x14ac:dyDescent="0.35">
      <c r="B24" s="22" t="s">
        <v>28</v>
      </c>
      <c r="C24" s="180">
        <v>20</v>
      </c>
      <c r="D24" s="189"/>
      <c r="E24" s="20"/>
      <c r="F24" s="189"/>
      <c r="G24" s="20"/>
      <c r="H24" s="21"/>
      <c r="I24" s="20"/>
      <c r="J24" s="21"/>
      <c r="K24" s="20"/>
      <c r="L24" s="21"/>
      <c r="M24" s="20"/>
      <c r="N24" s="21"/>
      <c r="O24" s="20"/>
      <c r="Q24" s="6"/>
      <c r="R24"/>
      <c r="S24">
        <v>50</v>
      </c>
    </row>
    <row r="25" spans="2:20" s="10" customFormat="1" ht="15.5" x14ac:dyDescent="0.35">
      <c r="B25" s="19" t="s">
        <v>208</v>
      </c>
      <c r="C25" s="180"/>
      <c r="D25" s="189"/>
      <c r="E25" s="20"/>
      <c r="F25" s="189"/>
      <c r="G25" s="20"/>
      <c r="H25" s="21"/>
      <c r="I25" s="20"/>
      <c r="J25" s="21"/>
      <c r="K25" s="20"/>
      <c r="L25" s="21"/>
      <c r="M25" s="20"/>
      <c r="N25" s="21"/>
      <c r="O25" s="20"/>
      <c r="Q25" s="6"/>
      <c r="R25"/>
      <c r="S25"/>
    </row>
    <row r="26" spans="2:20" s="10" customFormat="1" ht="15.5" x14ac:dyDescent="0.35">
      <c r="B26" s="22" t="s">
        <v>209</v>
      </c>
      <c r="C26" s="180"/>
      <c r="D26" s="189"/>
      <c r="E26" s="20"/>
      <c r="H26" s="21"/>
      <c r="I26" s="20"/>
      <c r="J26" s="21"/>
      <c r="K26" s="20"/>
      <c r="L26" s="21"/>
      <c r="M26" s="20"/>
      <c r="N26" s="21"/>
      <c r="O26" s="20"/>
      <c r="Q26"/>
      <c r="R26"/>
      <c r="S26">
        <v>155</v>
      </c>
    </row>
    <row r="27" spans="2:20" s="10" customFormat="1" ht="15.5" x14ac:dyDescent="0.35">
      <c r="B27" s="22" t="s">
        <v>206</v>
      </c>
      <c r="C27" s="180"/>
      <c r="D27" s="189"/>
      <c r="E27" s="20"/>
      <c r="H27" s="21"/>
      <c r="I27" s="20"/>
      <c r="J27" s="21"/>
      <c r="K27" s="20"/>
      <c r="L27" s="21"/>
      <c r="M27" s="20"/>
      <c r="N27" s="21"/>
      <c r="O27" s="20"/>
      <c r="Q27"/>
      <c r="R27"/>
      <c r="S27">
        <v>323</v>
      </c>
    </row>
    <row r="28" spans="2:20" s="10" customFormat="1" ht="15.5" x14ac:dyDescent="0.35">
      <c r="B28" s="22" t="s">
        <v>98</v>
      </c>
      <c r="C28" s="180">
        <v>321</v>
      </c>
      <c r="D28" s="189"/>
      <c r="E28" s="20"/>
      <c r="G28" s="20"/>
      <c r="H28" s="21"/>
      <c r="I28" s="20"/>
      <c r="J28" s="21"/>
      <c r="K28" s="20"/>
      <c r="L28" s="21"/>
      <c r="M28" s="20"/>
      <c r="N28" s="21"/>
      <c r="O28" s="20"/>
      <c r="Q28"/>
      <c r="R28"/>
      <c r="S28">
        <v>195</v>
      </c>
    </row>
    <row r="29" spans="2:20" s="10" customFormat="1" ht="15.5" x14ac:dyDescent="0.35">
      <c r="B29" s="19" t="s">
        <v>146</v>
      </c>
      <c r="C29" s="180"/>
      <c r="D29" s="189"/>
      <c r="E29" s="20"/>
      <c r="G29" s="20"/>
      <c r="H29" s="21"/>
      <c r="I29" s="20"/>
      <c r="J29" s="21"/>
      <c r="K29" s="20"/>
      <c r="L29" s="21"/>
      <c r="M29" s="20"/>
      <c r="N29" s="21"/>
      <c r="O29" s="20"/>
      <c r="Q29"/>
      <c r="R29"/>
      <c r="S29">
        <v>62</v>
      </c>
    </row>
    <row r="30" spans="2:20" s="10" customFormat="1" ht="15.5" x14ac:dyDescent="0.35">
      <c r="B30" s="22" t="s">
        <v>209</v>
      </c>
      <c r="C30" s="180">
        <f>87+18</f>
        <v>105</v>
      </c>
      <c r="D30" s="189"/>
      <c r="E30" s="20"/>
      <c r="G30" s="20"/>
      <c r="I30" s="20"/>
      <c r="J30" s="21"/>
      <c r="K30" s="20"/>
      <c r="L30" s="21"/>
      <c r="M30" s="20"/>
      <c r="N30" s="21"/>
      <c r="O30" s="20"/>
      <c r="Q30"/>
      <c r="R30"/>
      <c r="S30"/>
    </row>
    <row r="31" spans="2:20" s="10" customFormat="1" ht="15.5" x14ac:dyDescent="0.35">
      <c r="B31" s="22" t="s">
        <v>206</v>
      </c>
      <c r="C31" s="180"/>
      <c r="D31" s="189"/>
      <c r="E31" s="20"/>
      <c r="G31" s="20"/>
      <c r="I31" s="20"/>
      <c r="J31" s="21"/>
      <c r="K31" s="20"/>
      <c r="L31" s="21"/>
      <c r="M31" s="20"/>
      <c r="N31" s="21"/>
      <c r="O31" s="20"/>
      <c r="Q31"/>
      <c r="R31"/>
      <c r="S31"/>
    </row>
    <row r="32" spans="2:20" s="10" customFormat="1" ht="15.5" x14ac:dyDescent="0.35">
      <c r="B32" s="19" t="s">
        <v>210</v>
      </c>
      <c r="C32" s="180"/>
      <c r="D32" s="189"/>
      <c r="E32" s="20"/>
      <c r="G32" s="20"/>
      <c r="H32" s="21"/>
      <c r="I32" s="20"/>
      <c r="J32" s="21"/>
      <c r="K32" s="20"/>
      <c r="L32" s="21"/>
      <c r="M32" s="20"/>
      <c r="N32" s="21"/>
      <c r="O32" s="20"/>
      <c r="Q32"/>
      <c r="R32"/>
      <c r="S32"/>
    </row>
    <row r="33" spans="2:19" s="10" customFormat="1" ht="15.5" x14ac:dyDescent="0.35">
      <c r="B33" s="22" t="s">
        <v>209</v>
      </c>
      <c r="C33" s="180">
        <v>21</v>
      </c>
      <c r="D33" s="189"/>
      <c r="E33" s="20"/>
      <c r="G33" s="20"/>
      <c r="H33" s="21"/>
      <c r="I33" s="20"/>
      <c r="J33" s="21"/>
      <c r="K33" s="20"/>
      <c r="L33" s="21"/>
      <c r="M33" s="20"/>
      <c r="N33" s="21"/>
      <c r="O33" s="20"/>
      <c r="Q33"/>
      <c r="R33"/>
      <c r="S33"/>
    </row>
    <row r="34" spans="2:19" s="10" customFormat="1" ht="15.5" x14ac:dyDescent="0.35">
      <c r="B34" s="22" t="s">
        <v>206</v>
      </c>
      <c r="C34" s="180">
        <v>21</v>
      </c>
      <c r="D34" s="189"/>
      <c r="E34" s="20"/>
      <c r="G34" s="20"/>
      <c r="H34" s="21"/>
      <c r="I34" s="20"/>
      <c r="J34" s="21"/>
      <c r="K34" s="20"/>
      <c r="L34" s="21"/>
      <c r="M34" s="20"/>
      <c r="N34" s="21"/>
      <c r="O34" s="20"/>
      <c r="Q34"/>
      <c r="R34"/>
      <c r="S34"/>
    </row>
    <row r="35" spans="2:19" s="10" customFormat="1" ht="15.5" x14ac:dyDescent="0.35">
      <c r="B35" s="22" t="s">
        <v>52</v>
      </c>
      <c r="C35" s="180">
        <v>250</v>
      </c>
      <c r="D35" s="189"/>
      <c r="E35" s="20"/>
      <c r="G35" s="20"/>
      <c r="H35" s="21"/>
      <c r="I35" s="20"/>
      <c r="J35" s="21"/>
      <c r="K35" s="20"/>
      <c r="L35" s="21"/>
      <c r="M35" s="20"/>
      <c r="N35" s="21"/>
      <c r="O35" s="20"/>
      <c r="Q35"/>
      <c r="R35"/>
      <c r="S35">
        <v>30</v>
      </c>
    </row>
    <row r="36" spans="2:19" s="10" customFormat="1" ht="15.5" x14ac:dyDescent="0.35">
      <c r="B36" s="22" t="s">
        <v>162</v>
      </c>
      <c r="C36" s="180"/>
      <c r="D36" s="189"/>
      <c r="E36" s="20"/>
      <c r="G36" s="20"/>
      <c r="H36" s="21"/>
      <c r="I36" s="20"/>
      <c r="J36" s="21"/>
      <c r="K36" s="20"/>
      <c r="L36" s="21"/>
      <c r="M36" s="20"/>
      <c r="N36" s="21"/>
      <c r="O36" s="20"/>
      <c r="Q36"/>
      <c r="R36"/>
      <c r="S36">
        <f>SUM(S20:S35)</f>
        <v>1290</v>
      </c>
    </row>
    <row r="37" spans="2:19" s="10" customFormat="1" ht="15.5" x14ac:dyDescent="0.35">
      <c r="B37" s="22" t="s">
        <v>53</v>
      </c>
      <c r="C37" s="180"/>
      <c r="D37" s="189"/>
      <c r="E37" s="20"/>
      <c r="G37" s="20"/>
      <c r="H37" s="21"/>
      <c r="I37" s="20"/>
      <c r="J37" s="21"/>
      <c r="K37" s="20"/>
      <c r="L37" s="21"/>
      <c r="M37" s="20"/>
      <c r="N37" s="21"/>
      <c r="O37" s="20"/>
      <c r="Q37"/>
      <c r="R37"/>
      <c r="S37"/>
    </row>
    <row r="38" spans="2:19" s="10" customFormat="1" ht="15.5" x14ac:dyDescent="0.35">
      <c r="B38" s="22" t="s">
        <v>362</v>
      </c>
      <c r="C38" s="180">
        <v>10</v>
      </c>
      <c r="D38" s="189"/>
      <c r="E38" s="20"/>
      <c r="G38" s="20"/>
      <c r="H38" s="21"/>
      <c r="I38" s="20"/>
      <c r="J38" s="21"/>
      <c r="K38" s="20"/>
      <c r="L38" s="21"/>
      <c r="M38" s="20"/>
      <c r="N38" s="21"/>
      <c r="O38" s="20"/>
      <c r="Q38"/>
      <c r="R38"/>
      <c r="S38"/>
    </row>
    <row r="39" spans="2:19" s="10" customFormat="1" ht="15.5" x14ac:dyDescent="0.35">
      <c r="B39" s="22" t="s">
        <v>119</v>
      </c>
      <c r="C39" s="180"/>
      <c r="D39" s="189"/>
      <c r="E39" s="20"/>
      <c r="F39" s="189"/>
      <c r="G39" s="20"/>
      <c r="H39" s="21"/>
      <c r="I39" s="20"/>
      <c r="J39" s="21"/>
      <c r="K39" s="20"/>
      <c r="L39" s="21"/>
      <c r="M39" s="20"/>
      <c r="N39" s="21"/>
      <c r="O39" s="20"/>
      <c r="Q39"/>
      <c r="R39"/>
      <c r="S39"/>
    </row>
    <row r="40" spans="2:19" s="10" customFormat="1" ht="15.5" x14ac:dyDescent="0.35">
      <c r="B40" s="22" t="s">
        <v>101</v>
      </c>
      <c r="C40" s="180"/>
      <c r="D40" s="189"/>
      <c r="E40" s="20"/>
      <c r="F40" s="189"/>
      <c r="G40" s="20"/>
      <c r="H40" s="21"/>
      <c r="I40" s="20"/>
      <c r="J40" s="21"/>
      <c r="K40" s="20"/>
      <c r="L40" s="21"/>
      <c r="M40" s="20"/>
      <c r="N40" s="21"/>
      <c r="O40" s="20"/>
      <c r="Q40"/>
      <c r="R40">
        <f>346-24-13</f>
        <v>309</v>
      </c>
      <c r="S40"/>
    </row>
    <row r="41" spans="2:19" s="10" customFormat="1" ht="15.5" x14ac:dyDescent="0.35">
      <c r="B41" s="22" t="s">
        <v>54</v>
      </c>
      <c r="C41" s="180"/>
      <c r="D41" s="189"/>
      <c r="E41" s="20"/>
      <c r="F41" s="189"/>
      <c r="G41" s="20"/>
      <c r="H41" s="21"/>
      <c r="I41" s="20"/>
      <c r="J41" s="21"/>
      <c r="K41" s="20"/>
      <c r="L41" s="21"/>
      <c r="M41" s="20"/>
      <c r="N41" s="21"/>
      <c r="O41" s="20"/>
      <c r="Q41" s="6"/>
      <c r="R41"/>
      <c r="S41"/>
    </row>
    <row r="42" spans="2:19" s="10" customFormat="1" ht="15.5" x14ac:dyDescent="0.35">
      <c r="B42" s="22" t="s">
        <v>91</v>
      </c>
      <c r="C42" s="180">
        <v>50</v>
      </c>
      <c r="D42" s="189"/>
      <c r="E42" s="20"/>
      <c r="F42" s="189"/>
      <c r="G42" s="20"/>
      <c r="H42" s="21"/>
      <c r="I42" s="20"/>
      <c r="J42" s="21"/>
      <c r="K42" s="20"/>
      <c r="L42" s="21"/>
      <c r="M42" s="20"/>
      <c r="N42" s="21"/>
      <c r="O42" s="20"/>
      <c r="Q42" s="6"/>
      <c r="R42"/>
      <c r="S42"/>
    </row>
    <row r="43" spans="2:19" s="10" customFormat="1" ht="15.5" x14ac:dyDescent="0.35">
      <c r="B43" s="22" t="s">
        <v>55</v>
      </c>
      <c r="C43" s="180"/>
      <c r="D43" s="189"/>
      <c r="E43" s="20"/>
      <c r="F43" s="189"/>
      <c r="G43" s="20"/>
      <c r="H43" s="21"/>
      <c r="I43" s="20"/>
      <c r="J43" s="21"/>
      <c r="K43" s="20"/>
      <c r="L43" s="21"/>
      <c r="M43" s="20"/>
      <c r="N43" s="21"/>
      <c r="O43" s="20"/>
      <c r="Q43"/>
      <c r="R43"/>
      <c r="S43"/>
    </row>
    <row r="44" spans="2:19" s="10" customFormat="1" ht="15.5" x14ac:dyDescent="0.35">
      <c r="B44" s="22" t="s">
        <v>192</v>
      </c>
      <c r="C44" s="180"/>
      <c r="D44" s="189"/>
      <c r="E44" s="20"/>
      <c r="F44" s="189"/>
      <c r="G44" s="20"/>
      <c r="H44" s="21"/>
      <c r="I44" s="20"/>
      <c r="J44" s="21"/>
      <c r="K44" s="20"/>
      <c r="L44" s="21"/>
      <c r="M44" s="20"/>
      <c r="N44" s="21"/>
      <c r="O44" s="20"/>
      <c r="Q44"/>
      <c r="R44"/>
      <c r="S44"/>
    </row>
    <row r="45" spans="2:19" s="10" customFormat="1" ht="15.5" x14ac:dyDescent="0.35">
      <c r="B45" s="22" t="s">
        <v>316</v>
      </c>
      <c r="C45" s="180">
        <v>600</v>
      </c>
      <c r="D45" s="189"/>
      <c r="E45" s="20"/>
      <c r="F45" s="189"/>
      <c r="G45" s="20"/>
      <c r="H45" s="21"/>
      <c r="I45" s="20"/>
      <c r="J45" s="21"/>
      <c r="K45" s="20"/>
      <c r="L45" s="21"/>
      <c r="M45" s="20"/>
      <c r="N45" s="21"/>
      <c r="O45" s="20"/>
      <c r="Q45"/>
      <c r="R45"/>
      <c r="S45"/>
    </row>
    <row r="46" spans="2:19" s="10" customFormat="1" ht="15.5" x14ac:dyDescent="0.35">
      <c r="B46" s="22" t="s">
        <v>117</v>
      </c>
      <c r="C46" s="180"/>
      <c r="D46" s="189"/>
      <c r="E46" s="20"/>
      <c r="F46" s="189"/>
      <c r="G46" s="20"/>
      <c r="H46" s="21"/>
      <c r="I46" s="20"/>
      <c r="J46" s="21"/>
      <c r="K46" s="20"/>
      <c r="L46" s="21"/>
      <c r="M46" s="20"/>
      <c r="N46" s="21"/>
      <c r="O46" s="20"/>
      <c r="Q46" s="6"/>
      <c r="R46"/>
      <c r="S46"/>
    </row>
    <row r="47" spans="2:19" s="10" customFormat="1" ht="15.5" x14ac:dyDescent="0.35">
      <c r="B47" s="22" t="s">
        <v>96</v>
      </c>
      <c r="C47" s="180"/>
      <c r="D47" s="189"/>
      <c r="E47" s="20"/>
      <c r="F47" s="189"/>
      <c r="G47" s="20"/>
      <c r="H47" s="21"/>
      <c r="I47" s="20"/>
      <c r="J47" s="21"/>
      <c r="K47" s="20"/>
      <c r="L47" s="21"/>
      <c r="M47" s="20"/>
      <c r="N47" s="21"/>
      <c r="O47" s="20"/>
      <c r="Q47"/>
      <c r="R47"/>
      <c r="S47"/>
    </row>
    <row r="48" spans="2:19" s="10" customFormat="1" ht="15.5" x14ac:dyDescent="0.35">
      <c r="B48" s="22" t="s">
        <v>321</v>
      </c>
      <c r="C48" s="180"/>
      <c r="D48" s="189"/>
      <c r="E48" s="20"/>
      <c r="F48" s="189"/>
      <c r="G48" s="20"/>
      <c r="H48" s="21"/>
      <c r="I48" s="20"/>
      <c r="J48" s="21"/>
      <c r="K48" s="20"/>
      <c r="L48" s="21"/>
      <c r="M48" s="20"/>
      <c r="N48" s="21"/>
      <c r="O48" s="20"/>
      <c r="Q48"/>
      <c r="R48"/>
      <c r="S48"/>
    </row>
    <row r="49" spans="2:19" s="10" customFormat="1" ht="15.5" x14ac:dyDescent="0.35">
      <c r="B49" s="22" t="s">
        <v>151</v>
      </c>
      <c r="C49" s="180"/>
      <c r="D49" s="189"/>
      <c r="E49" s="20"/>
      <c r="F49" s="189"/>
      <c r="G49" s="20"/>
      <c r="H49" s="21"/>
      <c r="I49" s="20"/>
      <c r="J49" s="21"/>
      <c r="K49" s="20"/>
      <c r="L49" s="21"/>
      <c r="M49" s="20"/>
      <c r="N49" s="21"/>
      <c r="O49" s="20"/>
      <c r="Q49"/>
      <c r="R49"/>
      <c r="S49"/>
    </row>
    <row r="50" spans="2:19" s="10" customFormat="1" ht="15.5" x14ac:dyDescent="0.35">
      <c r="B50" s="22" t="s">
        <v>193</v>
      </c>
      <c r="C50" s="180">
        <v>410</v>
      </c>
      <c r="D50" s="189"/>
      <c r="E50" s="20"/>
      <c r="F50" s="189"/>
      <c r="G50" s="20"/>
      <c r="H50" s="21"/>
      <c r="I50" s="20"/>
      <c r="J50" s="21"/>
      <c r="K50" s="20"/>
      <c r="L50" s="21"/>
      <c r="M50" s="20"/>
      <c r="N50" s="21"/>
      <c r="O50" s="20"/>
      <c r="Q50"/>
      <c r="R50"/>
      <c r="S50"/>
    </row>
    <row r="51" spans="2:19" s="10" customFormat="1" ht="15.5" x14ac:dyDescent="0.35">
      <c r="B51" s="22" t="s">
        <v>176</v>
      </c>
      <c r="C51" s="180"/>
      <c r="D51" s="189"/>
      <c r="E51" s="20"/>
      <c r="F51" s="189"/>
      <c r="G51" s="20"/>
      <c r="H51" s="21"/>
      <c r="I51" s="20"/>
      <c r="J51" s="21"/>
      <c r="K51" s="20"/>
      <c r="L51" s="21"/>
      <c r="M51" s="20"/>
      <c r="N51" s="21"/>
      <c r="O51" s="20"/>
      <c r="Q51"/>
      <c r="R51"/>
      <c r="S51"/>
    </row>
    <row r="52" spans="2:19" s="10" customFormat="1" ht="15.5" x14ac:dyDescent="0.35">
      <c r="B52" s="19" t="s">
        <v>127</v>
      </c>
      <c r="C52" s="180"/>
      <c r="D52" s="189"/>
      <c r="E52" s="20"/>
      <c r="F52" s="189"/>
      <c r="G52" s="20"/>
      <c r="H52" s="21"/>
      <c r="I52" s="20"/>
      <c r="J52" s="21"/>
      <c r="K52" s="20"/>
      <c r="L52" s="21"/>
      <c r="M52" s="20"/>
      <c r="N52" s="21"/>
      <c r="O52" s="20"/>
      <c r="Q52"/>
      <c r="R52"/>
      <c r="S52"/>
    </row>
    <row r="53" spans="2:19" s="10" customFormat="1" ht="15.5" x14ac:dyDescent="0.35">
      <c r="B53" s="22" t="s">
        <v>97</v>
      </c>
      <c r="C53" s="180"/>
      <c r="D53" s="201"/>
      <c r="E53" s="106"/>
      <c r="F53" s="201"/>
      <c r="G53" s="106"/>
      <c r="H53" s="105"/>
      <c r="I53" s="106"/>
      <c r="J53" s="105"/>
      <c r="K53" s="106"/>
      <c r="L53" s="105"/>
      <c r="M53" s="106"/>
      <c r="N53" s="105"/>
      <c r="O53" s="20"/>
      <c r="Q53"/>
      <c r="R53"/>
      <c r="S53"/>
    </row>
    <row r="54" spans="2:19" s="10" customFormat="1" ht="15.5" x14ac:dyDescent="0.35">
      <c r="B54" s="22" t="s">
        <v>118</v>
      </c>
      <c r="C54" s="180"/>
      <c r="D54" s="189"/>
      <c r="E54" s="20"/>
      <c r="F54" s="189"/>
      <c r="G54" s="20"/>
      <c r="H54" s="21"/>
      <c r="I54" s="20"/>
      <c r="J54" s="21"/>
      <c r="K54" s="20"/>
      <c r="L54" s="21"/>
      <c r="M54" s="20"/>
      <c r="N54" s="21"/>
      <c r="O54" s="20"/>
      <c r="Q54"/>
      <c r="R54"/>
      <c r="S54"/>
    </row>
    <row r="55" spans="2:19" s="10" customFormat="1" ht="15.5" x14ac:dyDescent="0.35">
      <c r="B55" s="22" t="s">
        <v>138</v>
      </c>
      <c r="C55" s="180">
        <v>85</v>
      </c>
      <c r="D55" s="189"/>
      <c r="E55" s="20"/>
      <c r="F55" s="189"/>
      <c r="G55" s="20"/>
      <c r="H55" s="21"/>
      <c r="I55" s="20"/>
      <c r="J55" s="21"/>
      <c r="K55" s="20"/>
      <c r="L55" s="21"/>
      <c r="M55" s="20"/>
      <c r="N55" s="21"/>
      <c r="O55" s="20"/>
      <c r="Q55"/>
      <c r="R55"/>
      <c r="S55"/>
    </row>
    <row r="56" spans="2:19" s="10" customFormat="1" ht="15.5" x14ac:dyDescent="0.35">
      <c r="B56" s="22" t="s">
        <v>155</v>
      </c>
      <c r="C56" s="180"/>
      <c r="D56" s="189"/>
      <c r="E56" s="20"/>
      <c r="F56" s="189"/>
      <c r="G56" s="20"/>
      <c r="H56" s="21"/>
      <c r="I56" s="20"/>
      <c r="J56" s="21"/>
      <c r="K56" s="20"/>
      <c r="L56" s="21"/>
      <c r="M56" s="20"/>
      <c r="N56" s="21"/>
      <c r="O56" s="20"/>
      <c r="Q56"/>
      <c r="R56"/>
      <c r="S56"/>
    </row>
    <row r="57" spans="2:19" s="10" customFormat="1" ht="15.5" x14ac:dyDescent="0.35">
      <c r="B57" s="22" t="s">
        <v>150</v>
      </c>
      <c r="C57" s="180"/>
      <c r="D57" s="189"/>
      <c r="E57" s="20"/>
      <c r="F57" s="189"/>
      <c r="G57" s="20"/>
      <c r="H57" s="21"/>
      <c r="I57" s="20"/>
      <c r="J57" s="21"/>
      <c r="K57" s="20"/>
      <c r="L57" s="21"/>
      <c r="M57" s="20"/>
      <c r="N57" s="21"/>
      <c r="O57" s="20"/>
      <c r="Q57"/>
      <c r="R57"/>
      <c r="S57"/>
    </row>
    <row r="58" spans="2:19" s="10" customFormat="1" ht="16" thickBot="1" x14ac:dyDescent="0.4">
      <c r="B58" s="22"/>
      <c r="C58" s="180"/>
      <c r="D58" s="189"/>
      <c r="E58" s="20"/>
      <c r="F58" s="189"/>
      <c r="G58" s="20"/>
      <c r="H58" s="21"/>
      <c r="I58" s="20"/>
      <c r="J58" s="21"/>
      <c r="K58" s="20"/>
      <c r="L58" s="21"/>
      <c r="M58" s="20"/>
      <c r="N58" s="21"/>
      <c r="O58" s="20"/>
      <c r="Q58"/>
      <c r="R58"/>
      <c r="S58"/>
    </row>
    <row r="59" spans="2:19" s="11" customFormat="1" ht="16" thickBot="1" x14ac:dyDescent="0.4">
      <c r="B59" s="9" t="s">
        <v>95</v>
      </c>
      <c r="C59" s="165">
        <f>SUM(C60:C74)</f>
        <v>1352</v>
      </c>
      <c r="D59" s="160"/>
      <c r="E59" s="165"/>
      <c r="F59" s="160"/>
      <c r="G59" s="165"/>
      <c r="H59" s="160"/>
      <c r="I59" s="165"/>
      <c r="J59" s="160"/>
      <c r="K59" s="165"/>
      <c r="L59" s="160"/>
      <c r="M59" s="165"/>
      <c r="N59" s="160"/>
      <c r="O59" s="31"/>
      <c r="P59" s="128"/>
      <c r="Q59" s="3"/>
      <c r="R59" s="3"/>
      <c r="S59" s="3"/>
    </row>
    <row r="60" spans="2:19" s="10" customFormat="1" ht="15.5" x14ac:dyDescent="0.35">
      <c r="B60" s="22" t="s">
        <v>32</v>
      </c>
      <c r="C60" s="180"/>
      <c r="D60" s="189"/>
      <c r="E60" s="20"/>
      <c r="F60" s="189"/>
      <c r="G60" s="20"/>
      <c r="H60" s="21"/>
      <c r="I60" s="20"/>
      <c r="J60" s="21"/>
      <c r="K60" s="20"/>
      <c r="L60" s="21"/>
      <c r="M60" s="20"/>
      <c r="N60" s="21"/>
      <c r="O60" s="20"/>
      <c r="Q60" s="6"/>
      <c r="R60"/>
      <c r="S60"/>
    </row>
    <row r="61" spans="2:19" s="10" customFormat="1" ht="15.5" x14ac:dyDescent="0.35">
      <c r="B61" s="22" t="s">
        <v>31</v>
      </c>
      <c r="C61" s="180">
        <f>1259+93</f>
        <v>1352</v>
      </c>
      <c r="D61" s="189"/>
      <c r="E61" s="20"/>
      <c r="F61" s="189"/>
      <c r="G61" s="20"/>
      <c r="H61" s="21"/>
      <c r="I61" s="20"/>
      <c r="J61" s="21"/>
      <c r="K61" s="20"/>
      <c r="L61" s="21"/>
      <c r="M61" s="20"/>
      <c r="N61" s="21"/>
      <c r="O61" s="20"/>
      <c r="P61" s="26"/>
      <c r="Q61" s="6"/>
      <c r="R61"/>
      <c r="S61"/>
    </row>
    <row r="62" spans="2:19" s="10" customFormat="1" ht="15.5" x14ac:dyDescent="0.35">
      <c r="B62" s="22" t="s">
        <v>633</v>
      </c>
      <c r="C62" s="180"/>
      <c r="D62" s="189"/>
      <c r="E62" s="20"/>
      <c r="F62" s="189"/>
      <c r="G62" s="20"/>
      <c r="H62" s="21"/>
      <c r="I62" s="20"/>
      <c r="K62" s="20"/>
      <c r="L62" s="21"/>
      <c r="M62" s="20"/>
      <c r="N62" s="21"/>
      <c r="O62" s="20"/>
      <c r="P62" s="26"/>
      <c r="Q62" s="6"/>
      <c r="R62"/>
      <c r="S62"/>
    </row>
    <row r="63" spans="2:19" s="10" customFormat="1" ht="15.5" x14ac:dyDescent="0.35">
      <c r="B63" s="22" t="s">
        <v>632</v>
      </c>
      <c r="C63" s="180"/>
      <c r="D63" s="189"/>
      <c r="E63" s="20"/>
      <c r="F63" s="189"/>
      <c r="G63" s="20"/>
      <c r="H63" s="21"/>
      <c r="I63" s="20"/>
      <c r="K63" s="20"/>
      <c r="L63" s="21"/>
      <c r="M63" s="20"/>
      <c r="N63" s="21"/>
      <c r="O63" s="20"/>
      <c r="P63" s="26"/>
      <c r="Q63"/>
      <c r="R63"/>
      <c r="S63"/>
    </row>
    <row r="64" spans="2:19" s="10" customFormat="1" ht="15.5" x14ac:dyDescent="0.35">
      <c r="B64" s="22" t="s">
        <v>33</v>
      </c>
      <c r="C64" s="180"/>
      <c r="D64" s="189"/>
      <c r="E64" s="20"/>
      <c r="F64" s="189"/>
      <c r="G64" s="20"/>
      <c r="H64" s="21"/>
      <c r="I64" s="20"/>
      <c r="K64" s="20"/>
      <c r="L64" s="21"/>
      <c r="M64" s="20"/>
      <c r="N64" s="21"/>
      <c r="O64" s="20"/>
      <c r="P64" s="26"/>
      <c r="Q64"/>
      <c r="R64"/>
      <c r="S64"/>
    </row>
    <row r="65" spans="2:19" s="10" customFormat="1" ht="15.5" x14ac:dyDescent="0.35">
      <c r="B65" s="22" t="s">
        <v>35</v>
      </c>
      <c r="C65" s="180"/>
      <c r="D65" s="189"/>
      <c r="E65" s="20"/>
      <c r="F65" s="189"/>
      <c r="G65" s="20"/>
      <c r="H65" s="21"/>
      <c r="I65" s="20"/>
      <c r="K65" s="20"/>
      <c r="L65" s="21"/>
      <c r="M65" s="20"/>
      <c r="N65" s="21"/>
      <c r="O65" s="20"/>
      <c r="Q65"/>
      <c r="R65"/>
      <c r="S65"/>
    </row>
    <row r="66" spans="2:19" s="10" customFormat="1" ht="15.5" x14ac:dyDescent="0.35">
      <c r="B66" s="22" t="s">
        <v>36</v>
      </c>
      <c r="C66" s="180"/>
      <c r="D66" s="189"/>
      <c r="E66" s="20"/>
      <c r="F66" s="189"/>
      <c r="G66" s="20"/>
      <c r="H66" s="21"/>
      <c r="I66" s="20"/>
      <c r="K66" s="20"/>
      <c r="L66" s="21"/>
      <c r="M66" s="20"/>
      <c r="N66" s="21"/>
      <c r="O66" s="20"/>
      <c r="Q66"/>
      <c r="R66"/>
      <c r="S66"/>
    </row>
    <row r="67" spans="2:19" s="10" customFormat="1" ht="15.5" x14ac:dyDescent="0.35">
      <c r="B67" s="22" t="s">
        <v>38</v>
      </c>
      <c r="C67" s="180"/>
      <c r="D67" s="189"/>
      <c r="E67" s="20"/>
      <c r="F67" s="189"/>
      <c r="G67" s="20"/>
      <c r="H67" s="21"/>
      <c r="I67" s="20"/>
      <c r="K67" s="20"/>
      <c r="L67" s="21"/>
      <c r="M67" s="20"/>
      <c r="N67" s="21"/>
      <c r="O67" s="20"/>
      <c r="Q67"/>
      <c r="R67"/>
      <c r="S67"/>
    </row>
    <row r="68" spans="2:19" s="10" customFormat="1" ht="15.5" x14ac:dyDescent="0.35">
      <c r="B68" s="22" t="s">
        <v>39</v>
      </c>
      <c r="C68" s="180"/>
      <c r="D68" s="189"/>
      <c r="E68" s="20"/>
      <c r="F68" s="189"/>
      <c r="G68" s="20"/>
      <c r="H68" s="21"/>
      <c r="I68" s="20"/>
      <c r="K68" s="20"/>
      <c r="L68" s="21"/>
      <c r="M68" s="20"/>
      <c r="N68" s="21"/>
      <c r="O68" s="20"/>
      <c r="Q68"/>
      <c r="R68"/>
      <c r="S68"/>
    </row>
    <row r="69" spans="2:19" s="10" customFormat="1" ht="15.5" x14ac:dyDescent="0.35">
      <c r="B69" s="22" t="s">
        <v>137</v>
      </c>
      <c r="C69" s="180"/>
      <c r="D69" s="189"/>
      <c r="E69" s="20"/>
      <c r="F69" s="189"/>
      <c r="G69" s="20"/>
      <c r="H69" s="21"/>
      <c r="I69" s="20"/>
      <c r="K69" s="20"/>
      <c r="L69" s="21"/>
      <c r="M69" s="20"/>
      <c r="N69" s="21"/>
      <c r="O69" s="20"/>
      <c r="Q69"/>
      <c r="R69"/>
      <c r="S69"/>
    </row>
    <row r="70" spans="2:19" s="10" customFormat="1" ht="15.5" x14ac:dyDescent="0.35">
      <c r="B70" s="22" t="s">
        <v>147</v>
      </c>
      <c r="C70" s="180"/>
      <c r="D70" s="189"/>
      <c r="E70" s="20"/>
      <c r="F70" s="189"/>
      <c r="G70" s="20"/>
      <c r="H70" s="21"/>
      <c r="I70" s="20"/>
      <c r="K70" s="20"/>
      <c r="L70" s="21"/>
      <c r="M70" s="20"/>
      <c r="N70" s="21"/>
      <c r="O70" s="20"/>
      <c r="Q70"/>
      <c r="R70"/>
      <c r="S70"/>
    </row>
    <row r="71" spans="2:19" s="10" customFormat="1" ht="15.5" x14ac:dyDescent="0.35">
      <c r="B71" s="22" t="s">
        <v>126</v>
      </c>
      <c r="C71" s="180"/>
      <c r="D71" s="189"/>
      <c r="E71" s="20"/>
      <c r="F71" s="189"/>
      <c r="G71" s="20"/>
      <c r="H71" s="21"/>
      <c r="I71" s="20"/>
      <c r="K71" s="20"/>
      <c r="L71" s="21"/>
      <c r="M71" s="20"/>
      <c r="N71" s="21"/>
      <c r="O71" s="20"/>
      <c r="Q71"/>
      <c r="R71"/>
      <c r="S71"/>
    </row>
    <row r="72" spans="2:19" s="10" customFormat="1" ht="15.5" x14ac:dyDescent="0.35">
      <c r="B72" s="22" t="s">
        <v>136</v>
      </c>
      <c r="C72" s="180"/>
      <c r="D72" s="189"/>
      <c r="E72" s="20"/>
      <c r="F72" s="189"/>
      <c r="G72" s="20"/>
      <c r="H72" s="21"/>
      <c r="I72" s="20"/>
      <c r="K72" s="20"/>
      <c r="L72" s="21"/>
      <c r="M72" s="20"/>
      <c r="N72" s="21"/>
      <c r="O72" s="20"/>
      <c r="Q72"/>
      <c r="R72"/>
      <c r="S72"/>
    </row>
    <row r="73" spans="2:19" s="10" customFormat="1" ht="15.5" x14ac:dyDescent="0.35">
      <c r="B73" s="22" t="s">
        <v>145</v>
      </c>
      <c r="C73" s="180"/>
      <c r="D73" s="189"/>
      <c r="E73" s="20"/>
      <c r="F73" s="189"/>
      <c r="G73" s="20"/>
      <c r="H73" s="21"/>
      <c r="I73" s="20"/>
      <c r="J73" s="21"/>
      <c r="K73" s="20"/>
      <c r="L73" s="21"/>
      <c r="M73" s="20"/>
      <c r="N73" s="21"/>
      <c r="O73" s="20"/>
      <c r="Q73"/>
      <c r="R73"/>
      <c r="S73"/>
    </row>
    <row r="74" spans="2:19" s="10" customFormat="1" ht="16" thickBot="1" x14ac:dyDescent="0.4">
      <c r="B74" s="10" t="s">
        <v>631</v>
      </c>
      <c r="C74" s="180"/>
      <c r="D74" s="189"/>
      <c r="E74" s="20"/>
      <c r="F74" s="189"/>
      <c r="G74" s="20"/>
      <c r="H74" s="21"/>
      <c r="I74" s="20"/>
      <c r="J74" s="21"/>
      <c r="K74" s="20"/>
      <c r="L74" s="21"/>
      <c r="M74" s="20"/>
      <c r="N74" s="21"/>
      <c r="O74" s="20"/>
      <c r="Q74"/>
      <c r="R74"/>
      <c r="S74"/>
    </row>
    <row r="75" spans="2:19" s="11" customFormat="1" ht="16" thickBot="1" x14ac:dyDescent="0.4">
      <c r="B75" s="9" t="s">
        <v>383</v>
      </c>
      <c r="C75" s="165">
        <f>SUM(C76:C79)</f>
        <v>0</v>
      </c>
      <c r="D75" s="165"/>
      <c r="E75" s="31"/>
      <c r="F75" s="30"/>
      <c r="G75" s="31"/>
      <c r="H75" s="30"/>
      <c r="I75" s="31"/>
      <c r="J75" s="30"/>
      <c r="K75" s="31"/>
      <c r="L75" s="30"/>
      <c r="M75" s="31"/>
      <c r="N75" s="30"/>
      <c r="O75" s="31"/>
      <c r="Q75" s="27"/>
      <c r="R75" s="3"/>
      <c r="S75" s="3"/>
    </row>
    <row r="76" spans="2:19" s="11" customFormat="1" ht="15.5" x14ac:dyDescent="0.35">
      <c r="B76" s="22" t="s">
        <v>384</v>
      </c>
      <c r="C76" s="196"/>
      <c r="D76" s="136"/>
      <c r="E76" s="34"/>
      <c r="F76" s="136"/>
      <c r="G76" s="34"/>
      <c r="H76" s="136"/>
      <c r="I76" s="34"/>
      <c r="J76" s="136"/>
      <c r="K76" s="34"/>
      <c r="L76" s="136"/>
      <c r="M76" s="34"/>
      <c r="N76" s="136"/>
      <c r="O76" s="34"/>
      <c r="Q76" s="27"/>
      <c r="R76" s="3"/>
      <c r="S76" s="3"/>
    </row>
    <row r="77" spans="2:19" s="10" customFormat="1" ht="15.5" x14ac:dyDescent="0.35">
      <c r="B77" s="22" t="s">
        <v>385</v>
      </c>
      <c r="C77" s="180"/>
      <c r="D77" s="189"/>
      <c r="E77" s="20"/>
      <c r="F77" s="189"/>
      <c r="G77" s="20"/>
      <c r="H77" s="21"/>
      <c r="I77" s="20"/>
      <c r="J77" s="21"/>
      <c r="K77" s="20"/>
      <c r="L77" s="21"/>
      <c r="M77" s="20"/>
      <c r="N77" s="21"/>
      <c r="O77" s="34"/>
      <c r="Q77" s="21"/>
      <c r="R77"/>
      <c r="S77"/>
    </row>
    <row r="78" spans="2:19" s="11" customFormat="1" ht="15.5" x14ac:dyDescent="0.35">
      <c r="B78" s="10" t="s">
        <v>16</v>
      </c>
      <c r="C78" s="196"/>
      <c r="D78" s="141"/>
      <c r="E78" s="196"/>
      <c r="F78" s="141"/>
      <c r="G78" s="196"/>
      <c r="H78" s="141"/>
      <c r="I78" s="196"/>
      <c r="J78" s="141"/>
      <c r="K78" s="196"/>
      <c r="L78" s="141"/>
      <c r="M78" s="196"/>
      <c r="N78" s="141"/>
      <c r="O78" s="34"/>
      <c r="Q78" s="136"/>
      <c r="R78"/>
      <c r="S78"/>
    </row>
    <row r="79" spans="2:19" s="10" customFormat="1" ht="16" thickBot="1" x14ac:dyDescent="0.4">
      <c r="B79" s="22"/>
      <c r="C79" s="180"/>
      <c r="D79" s="189"/>
      <c r="E79" s="20"/>
      <c r="F79" s="189"/>
      <c r="G79" s="20"/>
      <c r="H79" s="189"/>
      <c r="I79" s="20"/>
      <c r="J79" s="21"/>
      <c r="K79" s="20"/>
      <c r="L79" s="21"/>
      <c r="M79" s="20"/>
      <c r="N79" s="21"/>
      <c r="O79" s="34"/>
      <c r="Q79" s="21"/>
      <c r="R79"/>
      <c r="S79"/>
    </row>
    <row r="80" spans="2:19" s="10" customFormat="1" ht="16" thickBot="1" x14ac:dyDescent="0.4">
      <c r="B80" s="9" t="s">
        <v>102</v>
      </c>
      <c r="C80" s="198">
        <f>SUM(C81:C86)</f>
        <v>0</v>
      </c>
      <c r="D80" s="198"/>
      <c r="E80" s="190"/>
      <c r="F80" s="191"/>
      <c r="G80" s="190"/>
      <c r="H80" s="191"/>
      <c r="I80" s="190"/>
      <c r="J80" s="191"/>
      <c r="K80" s="190"/>
      <c r="L80" s="191"/>
      <c r="M80" s="190"/>
      <c r="N80" s="191"/>
      <c r="O80" s="31"/>
      <c r="Q80" s="21"/>
      <c r="R80"/>
      <c r="S80"/>
    </row>
    <row r="81" spans="2:19" s="10" customFormat="1" ht="15.5" x14ac:dyDescent="0.35">
      <c r="B81" s="22" t="s">
        <v>48</v>
      </c>
      <c r="C81" s="180"/>
      <c r="D81" s="189"/>
      <c r="E81" s="20"/>
      <c r="F81" s="189"/>
      <c r="G81" s="20"/>
      <c r="H81" s="189"/>
      <c r="I81" s="20"/>
      <c r="J81" s="21"/>
      <c r="K81" s="20"/>
      <c r="L81" s="21"/>
      <c r="M81" s="20"/>
      <c r="N81" s="21"/>
      <c r="O81" s="34"/>
      <c r="Q81" s="21"/>
      <c r="S81" s="21"/>
    </row>
    <row r="82" spans="2:19" s="10" customFormat="1" ht="15.5" x14ac:dyDescent="0.35">
      <c r="B82" s="22" t="s">
        <v>49</v>
      </c>
      <c r="C82" s="180"/>
      <c r="D82" s="189"/>
      <c r="E82" s="20"/>
      <c r="F82" s="189"/>
      <c r="G82" s="20"/>
      <c r="H82" s="189"/>
      <c r="I82" s="20"/>
      <c r="J82" s="21"/>
      <c r="K82" s="20"/>
      <c r="L82" s="21"/>
      <c r="M82" s="20"/>
      <c r="N82" s="21"/>
      <c r="O82" s="34"/>
      <c r="Q82" s="21"/>
      <c r="S82" s="21"/>
    </row>
    <row r="83" spans="2:19" s="10" customFormat="1" ht="15.5" x14ac:dyDescent="0.35">
      <c r="B83" s="22" t="s">
        <v>161</v>
      </c>
      <c r="C83" s="180"/>
      <c r="D83" s="189"/>
      <c r="E83" s="20"/>
      <c r="F83" s="189"/>
      <c r="G83" s="20"/>
      <c r="H83" s="189"/>
      <c r="I83" s="20"/>
      <c r="J83" s="21"/>
      <c r="K83" s="20"/>
      <c r="L83" s="21"/>
      <c r="M83" s="20"/>
      <c r="N83" s="21"/>
      <c r="O83" s="34"/>
      <c r="Q83" s="21"/>
      <c r="S83" s="21"/>
    </row>
    <row r="84" spans="2:19" s="10" customFormat="1" ht="15.5" x14ac:dyDescent="0.35">
      <c r="B84" s="22" t="s">
        <v>318</v>
      </c>
      <c r="C84" s="180"/>
      <c r="D84" s="189"/>
      <c r="E84" s="20"/>
      <c r="F84" s="189"/>
      <c r="G84" s="20"/>
      <c r="H84" s="189"/>
      <c r="I84" s="20"/>
      <c r="J84" s="21"/>
      <c r="K84" s="20"/>
      <c r="L84" s="21"/>
      <c r="M84" s="20"/>
      <c r="N84" s="21"/>
      <c r="O84" s="34"/>
      <c r="Q84" s="21"/>
      <c r="S84" s="21"/>
    </row>
    <row r="85" spans="2:19" s="10" customFormat="1" ht="15.5" x14ac:dyDescent="0.35">
      <c r="B85" s="22" t="s">
        <v>149</v>
      </c>
      <c r="C85" s="180"/>
      <c r="D85" s="189"/>
      <c r="E85" s="20"/>
      <c r="F85" s="189"/>
      <c r="G85" s="20"/>
      <c r="H85" s="189"/>
      <c r="I85" s="20"/>
      <c r="J85" s="21"/>
      <c r="K85" s="20"/>
      <c r="L85" s="21"/>
      <c r="M85" s="20"/>
      <c r="N85" s="21"/>
      <c r="O85" s="34"/>
      <c r="Q85" s="21"/>
      <c r="S85" s="21"/>
    </row>
    <row r="86" spans="2:19" s="11" customFormat="1" ht="16" thickBot="1" x14ac:dyDescent="0.4">
      <c r="C86" s="196"/>
      <c r="D86" s="136"/>
      <c r="E86" s="34"/>
      <c r="F86" s="136"/>
      <c r="G86" s="34"/>
      <c r="H86" s="136"/>
      <c r="I86" s="34"/>
      <c r="J86" s="136"/>
      <c r="K86" s="34"/>
      <c r="L86" s="136"/>
      <c r="M86" s="34"/>
      <c r="N86" s="136"/>
      <c r="O86" s="34"/>
      <c r="Q86" s="27"/>
      <c r="S86" s="27"/>
    </row>
    <row r="87" spans="2:19" s="5" customFormat="1" ht="19" thickBot="1" x14ac:dyDescent="0.5">
      <c r="B87" s="5" t="s">
        <v>386</v>
      </c>
      <c r="C87" s="204" t="e">
        <f>+C80+C75+C59+C22+C20</f>
        <v>#REF!</v>
      </c>
      <c r="D87" s="204"/>
      <c r="E87" s="205"/>
      <c r="F87" s="101"/>
      <c r="G87" s="205"/>
      <c r="H87" s="101"/>
      <c r="I87" s="205"/>
      <c r="J87" s="101"/>
      <c r="K87" s="205"/>
      <c r="L87" s="101"/>
      <c r="M87" s="205"/>
      <c r="N87" s="101"/>
      <c r="O87" s="205"/>
      <c r="Q87" s="122"/>
      <c r="S87" s="122"/>
    </row>
    <row r="88" spans="2:19" s="11" customFormat="1" ht="15.5" x14ac:dyDescent="0.35">
      <c r="C88" s="196"/>
      <c r="D88" s="136"/>
      <c r="E88" s="34"/>
      <c r="F88" s="136"/>
      <c r="G88" s="34"/>
      <c r="H88" s="136"/>
      <c r="I88" s="34"/>
      <c r="J88" s="136"/>
      <c r="K88" s="34"/>
      <c r="L88" s="136"/>
      <c r="M88" s="34"/>
      <c r="N88" s="136"/>
      <c r="O88" s="34"/>
      <c r="Q88" s="27"/>
      <c r="S88" s="27"/>
    </row>
    <row r="89" spans="2:19" s="11" customFormat="1" ht="16" thickBot="1" x14ac:dyDescent="0.4">
      <c r="C89" s="196"/>
      <c r="D89" s="136"/>
      <c r="E89" s="34"/>
      <c r="F89" s="136"/>
      <c r="G89" s="34"/>
      <c r="H89" s="136"/>
      <c r="I89" s="34"/>
      <c r="J89" s="136"/>
      <c r="K89" s="34"/>
      <c r="L89" s="136"/>
      <c r="M89" s="34"/>
      <c r="N89" s="136"/>
      <c r="O89" s="34"/>
      <c r="Q89" s="136"/>
      <c r="S89" s="136"/>
    </row>
    <row r="90" spans="2:19" s="11" customFormat="1" ht="16" thickBot="1" x14ac:dyDescent="0.4">
      <c r="B90" s="102" t="s">
        <v>57</v>
      </c>
      <c r="C90" s="165" t="e">
        <f>+C17</f>
        <v>#REF!</v>
      </c>
      <c r="D90" s="165"/>
      <c r="E90" s="31"/>
      <c r="F90" s="30"/>
      <c r="G90" s="31"/>
      <c r="H90" s="30"/>
      <c r="I90" s="31"/>
      <c r="J90" s="30"/>
      <c r="K90" s="31"/>
      <c r="L90" s="30"/>
      <c r="M90" s="31"/>
      <c r="N90" s="30"/>
      <c r="O90" s="31"/>
      <c r="Q90" s="136"/>
      <c r="S90" s="136"/>
    </row>
    <row r="91" spans="2:19" s="11" customFormat="1" ht="16" thickBot="1" x14ac:dyDescent="0.4">
      <c r="B91" s="9" t="s">
        <v>58</v>
      </c>
      <c r="C91" s="165" t="e">
        <f>+C87</f>
        <v>#REF!</v>
      </c>
      <c r="D91" s="165"/>
      <c r="E91" s="31"/>
      <c r="F91" s="30"/>
      <c r="G91" s="31"/>
      <c r="H91" s="30"/>
      <c r="I91" s="31"/>
      <c r="J91" s="30"/>
      <c r="K91" s="31"/>
      <c r="L91" s="30"/>
      <c r="M91" s="31"/>
      <c r="N91" s="30"/>
      <c r="O91" s="328"/>
      <c r="Q91" s="136"/>
      <c r="S91" s="136"/>
    </row>
    <row r="92" spans="2:19" s="11" customFormat="1" ht="16" thickBot="1" x14ac:dyDescent="0.4">
      <c r="C92" s="141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Q92" s="136"/>
      <c r="S92" s="136"/>
    </row>
    <row r="93" spans="2:19" s="10" customFormat="1" ht="16" thickBot="1" x14ac:dyDescent="0.4">
      <c r="B93" s="9" t="s">
        <v>59</v>
      </c>
      <c r="C93" s="198" t="e">
        <f>+C90-C91</f>
        <v>#REF!</v>
      </c>
      <c r="D93" s="198"/>
      <c r="E93" s="190"/>
      <c r="F93" s="191"/>
      <c r="G93" s="190"/>
      <c r="H93" s="191"/>
      <c r="I93" s="190"/>
      <c r="J93" s="191"/>
      <c r="K93" s="190"/>
      <c r="L93" s="191"/>
      <c r="M93" s="190"/>
      <c r="N93" s="191"/>
      <c r="O93" s="328"/>
      <c r="Q93" s="21"/>
      <c r="S93" s="21"/>
    </row>
    <row r="94" spans="2:19" s="10" customFormat="1" ht="15.5" x14ac:dyDescent="0.35">
      <c r="B94" s="19"/>
      <c r="C94" s="180"/>
      <c r="D94" s="189"/>
      <c r="E94" s="20"/>
      <c r="F94" s="189"/>
      <c r="G94" s="20"/>
      <c r="H94" s="21"/>
      <c r="I94" s="20"/>
      <c r="J94" s="21"/>
      <c r="K94" s="20"/>
      <c r="L94" s="21"/>
      <c r="M94" s="20"/>
      <c r="N94" s="21"/>
      <c r="O94" s="34"/>
      <c r="Q94" s="21"/>
      <c r="S94" s="21"/>
    </row>
    <row r="95" spans="2:19" s="10" customFormat="1" ht="15.5" x14ac:dyDescent="0.35">
      <c r="B95" s="19"/>
      <c r="C95" s="180"/>
      <c r="D95" s="189"/>
      <c r="E95" s="20"/>
      <c r="F95" s="189"/>
      <c r="G95" s="20"/>
      <c r="H95" s="21"/>
      <c r="I95" s="20"/>
      <c r="J95" s="21"/>
      <c r="K95" s="20"/>
      <c r="L95" s="21"/>
      <c r="M95" s="20"/>
      <c r="N95" s="21"/>
      <c r="O95" s="34"/>
      <c r="Q95" s="21"/>
      <c r="S95" s="21"/>
    </row>
    <row r="96" spans="2:19" s="10" customFormat="1" ht="15.5" x14ac:dyDescent="0.35">
      <c r="B96" s="19" t="s">
        <v>56</v>
      </c>
      <c r="C96" s="180"/>
      <c r="D96" s="189"/>
      <c r="E96" s="20"/>
      <c r="F96" s="189"/>
      <c r="G96" s="20"/>
      <c r="H96" s="21"/>
      <c r="I96" s="20"/>
      <c r="J96" s="21"/>
      <c r="K96" s="20"/>
      <c r="L96" s="21"/>
      <c r="M96" s="20"/>
      <c r="N96" s="21"/>
      <c r="O96" s="34"/>
      <c r="Q96" s="21"/>
      <c r="S96" s="21"/>
    </row>
    <row r="97" spans="2:19" s="10" customFormat="1" ht="15.5" x14ac:dyDescent="0.35">
      <c r="B97" s="22" t="s">
        <v>169</v>
      </c>
      <c r="C97" s="180"/>
      <c r="D97" s="189"/>
      <c r="E97" s="20"/>
      <c r="F97" s="189"/>
      <c r="G97" s="20"/>
      <c r="H97" s="21"/>
      <c r="I97" s="20"/>
      <c r="J97" s="21"/>
      <c r="K97" s="20"/>
      <c r="L97" s="21"/>
      <c r="M97" s="20"/>
      <c r="N97" s="21"/>
      <c r="O97" s="34"/>
      <c r="Q97" s="21"/>
      <c r="S97" s="21"/>
    </row>
    <row r="98" spans="2:19" s="10" customFormat="1" ht="15.5" x14ac:dyDescent="0.35">
      <c r="B98" s="10" t="s">
        <v>357</v>
      </c>
      <c r="C98" s="180"/>
      <c r="D98" s="189"/>
      <c r="E98" s="20"/>
      <c r="F98" s="189"/>
      <c r="G98" s="20"/>
      <c r="H98" s="21"/>
      <c r="I98" s="20"/>
      <c r="J98" s="21"/>
      <c r="K98" s="20"/>
      <c r="L98" s="21"/>
      <c r="M98" s="20"/>
      <c r="N98" s="21"/>
      <c r="O98" s="34"/>
      <c r="Q98" s="21"/>
      <c r="S98" s="21"/>
    </row>
    <row r="99" spans="2:19" s="10" customFormat="1" ht="15.5" x14ac:dyDescent="0.35">
      <c r="B99" s="10" t="s">
        <v>553</v>
      </c>
      <c r="C99" s="180"/>
      <c r="D99" s="189"/>
      <c r="E99" s="20"/>
      <c r="F99" s="189"/>
      <c r="G99" s="20"/>
      <c r="H99" s="21"/>
      <c r="I99" s="20"/>
      <c r="J99" s="21"/>
      <c r="K99" s="20"/>
      <c r="L99" s="21"/>
      <c r="M99" s="20"/>
      <c r="N99" s="21"/>
      <c r="O99" s="34"/>
      <c r="Q99" s="21"/>
      <c r="S99" s="21"/>
    </row>
    <row r="100" spans="2:19" s="10" customFormat="1" ht="15.5" x14ac:dyDescent="0.35">
      <c r="B100" s="10" t="s">
        <v>551</v>
      </c>
      <c r="C100" s="180"/>
      <c r="D100" s="189"/>
      <c r="E100" s="20"/>
      <c r="F100" s="189"/>
      <c r="G100" s="20"/>
      <c r="H100" s="21"/>
      <c r="I100" s="20"/>
      <c r="J100" s="21"/>
      <c r="K100" s="20"/>
      <c r="L100" s="21"/>
      <c r="M100" s="20"/>
      <c r="N100" s="21"/>
      <c r="O100" s="34"/>
      <c r="Q100" s="21"/>
      <c r="S100" s="21"/>
    </row>
    <row r="101" spans="2:19" s="10" customFormat="1" ht="15.5" x14ac:dyDescent="0.35">
      <c r="B101" s="10" t="s">
        <v>552</v>
      </c>
      <c r="C101" s="180"/>
      <c r="D101" s="189"/>
      <c r="E101" s="20"/>
      <c r="F101" s="189"/>
      <c r="G101" s="20"/>
      <c r="H101" s="21"/>
      <c r="I101" s="20"/>
      <c r="J101" s="21"/>
      <c r="K101" s="20"/>
      <c r="L101" s="21"/>
      <c r="M101" s="20"/>
      <c r="N101" s="21"/>
      <c r="O101" s="34"/>
      <c r="Q101" s="21"/>
      <c r="S101" s="21"/>
    </row>
    <row r="102" spans="2:19" s="10" customFormat="1" ht="16" thickBot="1" x14ac:dyDescent="0.4">
      <c r="B102" s="62" t="s">
        <v>382</v>
      </c>
      <c r="C102" s="197"/>
      <c r="D102" s="189"/>
      <c r="E102" s="20"/>
      <c r="F102" s="189"/>
      <c r="G102" s="23"/>
      <c r="H102" s="21"/>
      <c r="I102" s="20"/>
      <c r="J102" s="21"/>
      <c r="K102" s="20"/>
      <c r="L102" s="21"/>
      <c r="M102" s="23"/>
      <c r="N102" s="21"/>
      <c r="O102" s="34"/>
      <c r="Q102" s="21"/>
      <c r="S102" s="21"/>
    </row>
    <row r="103" spans="2:19" s="10" customFormat="1" ht="16" thickBot="1" x14ac:dyDescent="0.4">
      <c r="B103" s="9" t="s">
        <v>26</v>
      </c>
      <c r="C103" s="166"/>
      <c r="D103" s="159"/>
      <c r="E103" s="165"/>
      <c r="F103" s="161"/>
      <c r="G103" s="166"/>
      <c r="H103" s="159"/>
      <c r="I103" s="165"/>
      <c r="J103" s="160"/>
      <c r="K103" s="165"/>
      <c r="L103" s="199"/>
      <c r="M103" s="166"/>
      <c r="N103" s="159"/>
      <c r="O103" s="31"/>
      <c r="Q103" s="21"/>
      <c r="S103" s="21"/>
    </row>
    <row r="104" spans="2:19" s="10" customFormat="1" ht="15.5" x14ac:dyDescent="0.35">
      <c r="B104" s="19"/>
      <c r="C104" s="141"/>
      <c r="D104" s="136"/>
      <c r="E104" s="136"/>
      <c r="F104" s="136"/>
      <c r="G104" s="27"/>
      <c r="H104" s="27"/>
      <c r="I104" s="27"/>
      <c r="J104" s="27"/>
      <c r="K104" s="27"/>
      <c r="L104" s="27"/>
      <c r="M104" s="27"/>
      <c r="N104" s="27"/>
      <c r="O104" s="27"/>
      <c r="Q104" s="21"/>
      <c r="S104" s="21"/>
    </row>
    <row r="105" spans="2:19" s="10" customFormat="1" ht="15.5" x14ac:dyDescent="0.35">
      <c r="B105" s="22"/>
      <c r="C105" s="140"/>
      <c r="D105" s="189"/>
      <c r="E105" s="189"/>
      <c r="F105" s="189"/>
      <c r="G105" s="21"/>
      <c r="H105" s="21"/>
      <c r="I105" s="21"/>
      <c r="J105" s="21"/>
      <c r="K105" s="21"/>
      <c r="L105" s="21"/>
      <c r="M105" s="21"/>
      <c r="N105" s="21"/>
      <c r="O105" s="27"/>
      <c r="Q105" s="21"/>
      <c r="S105" s="21"/>
    </row>
    <row r="106" spans="2:19" s="10" customFormat="1" ht="15.5" x14ac:dyDescent="0.35">
      <c r="B106" s="1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36"/>
      <c r="Q106" s="189"/>
    </row>
    <row r="107" spans="2:19" s="10" customFormat="1" ht="15.5" x14ac:dyDescent="0.35">
      <c r="C107" s="140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36"/>
      <c r="Q107" s="189"/>
    </row>
    <row r="108" spans="2:19" s="10" customFormat="1" ht="15.5" x14ac:dyDescent="0.35">
      <c r="B108" s="11"/>
      <c r="C108" s="140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36"/>
      <c r="Q108" s="189"/>
    </row>
    <row r="109" spans="2:19" s="33" customFormat="1" ht="15.5" x14ac:dyDescent="0.35">
      <c r="C109" s="143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36"/>
      <c r="Q109" s="186"/>
    </row>
    <row r="110" spans="2:19" s="11" customFormat="1" ht="15.5" x14ac:dyDescent="0.35">
      <c r="C110" s="141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Q110" s="136"/>
    </row>
    <row r="111" spans="2:19" s="11" customFormat="1" ht="15.5" x14ac:dyDescent="0.35">
      <c r="C111" s="141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Q111" s="136"/>
    </row>
    <row r="112" spans="2:19" s="11" customFormat="1" ht="15.5" x14ac:dyDescent="0.35">
      <c r="C112" s="141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Q112" s="136"/>
    </row>
    <row r="113" spans="2:17" s="11" customFormat="1" ht="15.5" x14ac:dyDescent="0.35">
      <c r="C113" s="141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Q113" s="136"/>
    </row>
    <row r="114" spans="2:17" s="11" customFormat="1" ht="15.5" x14ac:dyDescent="0.35">
      <c r="C114" s="141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Q114" s="27"/>
    </row>
    <row r="115" spans="2:17" s="11" customFormat="1" ht="15.5" x14ac:dyDescent="0.35">
      <c r="B115" s="35" t="s">
        <v>60</v>
      </c>
      <c r="C115" s="141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Q115" s="27"/>
    </row>
    <row r="116" spans="2:17" x14ac:dyDescent="0.4">
      <c r="B116" t="s">
        <v>175</v>
      </c>
      <c r="C116" s="173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92"/>
    </row>
    <row r="117" spans="2:17" x14ac:dyDescent="0.4">
      <c r="B117" s="11" t="s">
        <v>363</v>
      </c>
      <c r="C117" s="173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92"/>
    </row>
    <row r="118" spans="2:17" x14ac:dyDescent="0.4">
      <c r="C118" s="173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92"/>
    </row>
    <row r="119" spans="2:17" x14ac:dyDescent="0.4">
      <c r="C119" s="173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92"/>
    </row>
    <row r="120" spans="2:17" x14ac:dyDescent="0.4">
      <c r="C120" s="173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92"/>
    </row>
    <row r="121" spans="2:17" x14ac:dyDescent="0.4">
      <c r="B121" t="s">
        <v>131</v>
      </c>
      <c r="C121" s="173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92"/>
    </row>
    <row r="122" spans="2:17" x14ac:dyDescent="0.4">
      <c r="B122" t="s">
        <v>78</v>
      </c>
      <c r="C122" s="173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92"/>
    </row>
    <row r="123" spans="2:17" x14ac:dyDescent="0.4">
      <c r="B123" t="s">
        <v>79</v>
      </c>
      <c r="C123" s="173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92"/>
    </row>
    <row r="124" spans="2:17" x14ac:dyDescent="0.4">
      <c r="B124" t="s">
        <v>80</v>
      </c>
      <c r="C124" s="173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92"/>
    </row>
    <row r="125" spans="2:17" x14ac:dyDescent="0.4">
      <c r="B125" t="s">
        <v>81</v>
      </c>
      <c r="C125" s="173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92"/>
    </row>
    <row r="126" spans="2:17" x14ac:dyDescent="0.4">
      <c r="B126" t="s">
        <v>104</v>
      </c>
      <c r="C126" s="173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92"/>
    </row>
    <row r="127" spans="2:17" x14ac:dyDescent="0.4">
      <c r="B127" t="s">
        <v>105</v>
      </c>
      <c r="C127" s="173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92"/>
    </row>
    <row r="128" spans="2:17" x14ac:dyDescent="0.4">
      <c r="B128" t="s">
        <v>132</v>
      </c>
      <c r="C128" s="173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92"/>
    </row>
    <row r="129" spans="2:15" x14ac:dyDescent="0.4">
      <c r="B129" t="s">
        <v>133</v>
      </c>
      <c r="C129" s="173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92"/>
    </row>
    <row r="130" spans="2:15" x14ac:dyDescent="0.4">
      <c r="B130" t="s">
        <v>108</v>
      </c>
      <c r="C130" s="173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92"/>
    </row>
    <row r="131" spans="2:15" x14ac:dyDescent="0.4">
      <c r="B131" t="s">
        <v>134</v>
      </c>
      <c r="C131" s="173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92"/>
    </row>
    <row r="132" spans="2:15" x14ac:dyDescent="0.4">
      <c r="B132" t="s">
        <v>135</v>
      </c>
      <c r="C132" s="173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92"/>
    </row>
    <row r="133" spans="2:15" x14ac:dyDescent="0.4">
      <c r="C133" s="173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92"/>
    </row>
    <row r="134" spans="2:15" x14ac:dyDescent="0.4">
      <c r="C134" s="173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92"/>
    </row>
    <row r="135" spans="2:15" x14ac:dyDescent="0.4">
      <c r="C135" s="173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92"/>
    </row>
    <row r="136" spans="2:15" x14ac:dyDescent="0.4">
      <c r="C136" s="173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92"/>
    </row>
    <row r="137" spans="2:15" x14ac:dyDescent="0.4">
      <c r="C137" s="173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92"/>
    </row>
    <row r="138" spans="2:15" x14ac:dyDescent="0.4">
      <c r="C138" s="173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92"/>
    </row>
    <row r="139" spans="2:15" x14ac:dyDescent="0.4">
      <c r="C139" s="173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92"/>
    </row>
    <row r="140" spans="2:15" x14ac:dyDescent="0.4">
      <c r="C140" s="173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92"/>
    </row>
    <row r="141" spans="2:15" x14ac:dyDescent="0.4">
      <c r="C141" s="173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92"/>
    </row>
    <row r="142" spans="2:15" x14ac:dyDescent="0.4">
      <c r="C142" s="173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92"/>
    </row>
    <row r="143" spans="2:15" x14ac:dyDescent="0.4">
      <c r="C143" s="173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92"/>
    </row>
    <row r="144" spans="2:15" x14ac:dyDescent="0.4">
      <c r="C144" s="173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92"/>
    </row>
    <row r="145" spans="3:15" x14ac:dyDescent="0.4">
      <c r="C145" s="173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92"/>
    </row>
    <row r="146" spans="3:15" x14ac:dyDescent="0.4">
      <c r="C146" s="173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92"/>
    </row>
    <row r="147" spans="3:15" x14ac:dyDescent="0.4">
      <c r="C147" s="173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9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="130" zoomScaleNormal="130" workbookViewId="0">
      <pane ySplit="1" topLeftCell="A14" activePane="bottomLeft" state="frozen"/>
      <selection activeCell="E377" sqref="E377"/>
      <selection pane="bottomLeft" sqref="A1:XFD1048576"/>
    </sheetView>
  </sheetViews>
  <sheetFormatPr defaultRowHeight="14.5" x14ac:dyDescent="0.35"/>
  <sheetData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23"/>
  <sheetViews>
    <sheetView topLeftCell="E1" zoomScaleNormal="100" workbookViewId="0">
      <pane ySplit="1" topLeftCell="A208" activePane="bottomLeft" state="frozen"/>
      <selection activeCell="E377" sqref="E377"/>
      <selection pane="bottomLeft" activeCell="K170" sqref="K170"/>
    </sheetView>
  </sheetViews>
  <sheetFormatPr defaultRowHeight="14.5" x14ac:dyDescent="0.35"/>
  <cols>
    <col min="1" max="1" width="11.54296875" customWidth="1"/>
    <col min="2" max="2" width="31.54296875" style="104" customWidth="1"/>
    <col min="3" max="3" width="12.453125" style="46" customWidth="1"/>
    <col min="4" max="4" width="10.453125" style="50" customWidth="1"/>
    <col min="5" max="5" width="10.54296875" style="15" customWidth="1"/>
    <col min="6" max="6" width="10.54296875" style="133" customWidth="1"/>
    <col min="7" max="7" width="14.26953125" style="46" customWidth="1"/>
    <col min="8" max="8" width="1.1796875" style="48" customWidth="1"/>
    <col min="9" max="9" width="12.7265625" style="230" customWidth="1"/>
    <col min="10" max="10" width="38.453125" style="245" customWidth="1"/>
    <col min="11" max="11" width="13.81640625" style="18" customWidth="1"/>
    <col min="12" max="12" width="10.54296875" style="135" customWidth="1"/>
    <col min="13" max="13" width="21" customWidth="1"/>
    <col min="14" max="14" width="14.1796875" customWidth="1"/>
    <col min="15" max="15" width="11.81640625" customWidth="1"/>
    <col min="16" max="16" width="11.26953125" bestFit="1" customWidth="1"/>
    <col min="17" max="17" width="10.453125" customWidth="1"/>
    <col min="18" max="18" width="11.26953125" customWidth="1"/>
    <col min="19" max="19" width="12.453125" customWidth="1"/>
  </cols>
  <sheetData>
    <row r="1" spans="1:12" s="5" customFormat="1" ht="48" customHeight="1" x14ac:dyDescent="0.45">
      <c r="A1" s="5" t="s">
        <v>534</v>
      </c>
      <c r="B1" s="89"/>
      <c r="C1" s="130" t="s">
        <v>238</v>
      </c>
      <c r="D1" s="131" t="s">
        <v>86</v>
      </c>
      <c r="E1" s="132" t="s">
        <v>239</v>
      </c>
      <c r="F1" s="134" t="s">
        <v>240</v>
      </c>
      <c r="G1" s="45" t="s">
        <v>26</v>
      </c>
      <c r="H1" s="47"/>
      <c r="I1" s="91"/>
      <c r="J1" s="257" t="s">
        <v>24</v>
      </c>
      <c r="K1" s="14" t="s">
        <v>12</v>
      </c>
      <c r="L1" s="144" t="s">
        <v>41</v>
      </c>
    </row>
    <row r="2" spans="1:12" s="148" customFormat="1" x14ac:dyDescent="0.35">
      <c r="B2" s="719"/>
      <c r="C2" s="720"/>
      <c r="D2" s="721"/>
      <c r="E2" s="722"/>
      <c r="F2" s="723"/>
      <c r="G2" s="720"/>
      <c r="H2" s="724"/>
      <c r="I2" s="725"/>
      <c r="J2" s="695" t="s">
        <v>2135</v>
      </c>
      <c r="K2" s="726"/>
      <c r="L2" s="727"/>
    </row>
    <row r="3" spans="1:12" x14ac:dyDescent="0.35">
      <c r="F3" s="728"/>
      <c r="J3" s="387" t="s">
        <v>2160</v>
      </c>
      <c r="K3" s="195"/>
    </row>
    <row r="4" spans="1:12" x14ac:dyDescent="0.35">
      <c r="F4" s="728"/>
      <c r="J4" s="245" t="s">
        <v>2257</v>
      </c>
      <c r="K4" s="195">
        <f>+(6044+60+91+4200+63)/25</f>
        <v>418.32</v>
      </c>
    </row>
    <row r="5" spans="1:12" x14ac:dyDescent="0.35">
      <c r="F5" s="728"/>
      <c r="K5" s="195"/>
    </row>
    <row r="6" spans="1:12" x14ac:dyDescent="0.35">
      <c r="F6" s="728"/>
      <c r="K6" s="195"/>
    </row>
    <row r="7" spans="1:12" x14ac:dyDescent="0.35">
      <c r="F7" s="728"/>
      <c r="K7" s="195"/>
    </row>
    <row r="8" spans="1:12" x14ac:dyDescent="0.35">
      <c r="F8" s="728"/>
      <c r="J8" s="387" t="s">
        <v>2159</v>
      </c>
      <c r="K8" s="195"/>
    </row>
    <row r="9" spans="1:12" x14ac:dyDescent="0.35">
      <c r="F9" s="728"/>
      <c r="J9" s="245" t="s">
        <v>2156</v>
      </c>
      <c r="K9" s="18">
        <v>80</v>
      </c>
    </row>
    <row r="10" spans="1:12" x14ac:dyDescent="0.35">
      <c r="F10" s="728"/>
      <c r="J10" s="245" t="s">
        <v>2157</v>
      </c>
      <c r="K10" s="18">
        <v>80</v>
      </c>
    </row>
    <row r="11" spans="1:12" x14ac:dyDescent="0.35">
      <c r="F11" s="728"/>
      <c r="J11" s="245" t="s">
        <v>2158</v>
      </c>
      <c r="K11" s="18">
        <v>20</v>
      </c>
    </row>
    <row r="12" spans="1:12" x14ac:dyDescent="0.35">
      <c r="F12" s="728"/>
      <c r="J12" s="387" t="s">
        <v>2161</v>
      </c>
      <c r="K12" s="195"/>
    </row>
    <row r="13" spans="1:12" x14ac:dyDescent="0.35">
      <c r="F13" s="728"/>
      <c r="J13" s="245" t="s">
        <v>2259</v>
      </c>
      <c r="K13" s="195">
        <v>200</v>
      </c>
    </row>
    <row r="14" spans="1:12" x14ac:dyDescent="0.35">
      <c r="F14" s="728"/>
      <c r="J14" s="245" t="s">
        <v>35</v>
      </c>
      <c r="K14" s="195">
        <v>50</v>
      </c>
    </row>
    <row r="15" spans="1:12" x14ac:dyDescent="0.35">
      <c r="F15" s="728"/>
      <c r="J15" s="245" t="s">
        <v>36</v>
      </c>
      <c r="K15" s="195">
        <v>50</v>
      </c>
    </row>
    <row r="16" spans="1:12" x14ac:dyDescent="0.35">
      <c r="F16" s="728"/>
      <c r="J16" s="245" t="s">
        <v>34</v>
      </c>
      <c r="K16" s="195">
        <v>50</v>
      </c>
    </row>
    <row r="17" spans="6:13" x14ac:dyDescent="0.35">
      <c r="F17" s="728"/>
      <c r="J17" s="387" t="s">
        <v>40</v>
      </c>
      <c r="K17" s="195"/>
      <c r="M17">
        <f>1129/52</f>
        <v>21.71153846153846</v>
      </c>
    </row>
    <row r="18" spans="6:13" x14ac:dyDescent="0.35">
      <c r="F18" s="728"/>
      <c r="J18" s="245" t="s">
        <v>2258</v>
      </c>
      <c r="K18" s="195">
        <v>4609</v>
      </c>
    </row>
    <row r="19" spans="6:13" x14ac:dyDescent="0.35">
      <c r="F19" s="728"/>
      <c r="J19" s="387" t="s">
        <v>2162</v>
      </c>
      <c r="K19" s="195"/>
    </row>
    <row r="20" spans="6:13" x14ac:dyDescent="0.35">
      <c r="F20" s="728"/>
      <c r="J20" s="245" t="s">
        <v>2165</v>
      </c>
      <c r="K20" s="195">
        <v>232</v>
      </c>
    </row>
    <row r="21" spans="6:13" x14ac:dyDescent="0.35">
      <c r="F21" s="728"/>
      <c r="J21" s="245" t="s">
        <v>2260</v>
      </c>
      <c r="K21" s="195">
        <v>200</v>
      </c>
    </row>
    <row r="22" spans="6:13" x14ac:dyDescent="0.35">
      <c r="F22" s="728"/>
      <c r="J22" s="245" t="s">
        <v>2337</v>
      </c>
      <c r="K22" s="195">
        <f>52.2*7+125</f>
        <v>490.40000000000003</v>
      </c>
    </row>
    <row r="23" spans="6:13" x14ac:dyDescent="0.35">
      <c r="F23" s="728"/>
      <c r="J23" s="245" t="s">
        <v>2338</v>
      </c>
      <c r="K23" s="195">
        <f>(14600/33)+120+76</f>
        <v>638.42424242424249</v>
      </c>
    </row>
    <row r="24" spans="6:13" x14ac:dyDescent="0.35">
      <c r="F24" s="728"/>
      <c r="J24" s="387" t="s">
        <v>2163</v>
      </c>
      <c r="K24" s="195"/>
    </row>
    <row r="25" spans="6:13" x14ac:dyDescent="0.35">
      <c r="F25" s="728"/>
      <c r="J25" s="387" t="s">
        <v>2164</v>
      </c>
      <c r="K25" s="195"/>
    </row>
    <row r="26" spans="6:13" x14ac:dyDescent="0.35">
      <c r="F26" s="728"/>
      <c r="J26" s="387" t="s">
        <v>2158</v>
      </c>
      <c r="K26" s="195">
        <v>20</v>
      </c>
    </row>
    <row r="27" spans="6:13" x14ac:dyDescent="0.35">
      <c r="F27" s="728"/>
      <c r="J27" s="387" t="s">
        <v>2273</v>
      </c>
      <c r="K27" s="195"/>
    </row>
    <row r="28" spans="6:13" x14ac:dyDescent="0.35">
      <c r="F28" s="728"/>
      <c r="J28" s="245" t="s">
        <v>2274</v>
      </c>
      <c r="K28" s="195">
        <v>260</v>
      </c>
    </row>
    <row r="29" spans="6:13" x14ac:dyDescent="0.35">
      <c r="F29" s="728"/>
      <c r="J29" s="387" t="s">
        <v>2369</v>
      </c>
      <c r="K29" s="195"/>
    </row>
    <row r="30" spans="6:13" x14ac:dyDescent="0.35">
      <c r="F30" s="728"/>
      <c r="J30" s="245" t="s">
        <v>2370</v>
      </c>
      <c r="K30" s="195">
        <v>100</v>
      </c>
    </row>
    <row r="31" spans="6:13" x14ac:dyDescent="0.35">
      <c r="F31" s="728"/>
      <c r="K31" s="195"/>
    </row>
    <row r="32" spans="6:13" x14ac:dyDescent="0.35">
      <c r="J32"/>
    </row>
    <row r="33" spans="2:12" x14ac:dyDescent="0.35">
      <c r="J33" s="387" t="s">
        <v>41</v>
      </c>
    </row>
    <row r="34" spans="2:12" ht="15" thickBot="1" x14ac:dyDescent="0.4">
      <c r="J34" s="245" t="s">
        <v>2288</v>
      </c>
      <c r="L34" s="135">
        <f>100+10</f>
        <v>110</v>
      </c>
    </row>
    <row r="35" spans="2:12" ht="15" thickBot="1" x14ac:dyDescent="0.4">
      <c r="K35" s="777">
        <f>SUM(K4:K34)</f>
        <v>7498.1442424242414</v>
      </c>
      <c r="L35" s="778">
        <f>SUM(L4:L34)</f>
        <v>110</v>
      </c>
    </row>
    <row r="38" spans="2:12" s="148" customFormat="1" x14ac:dyDescent="0.35">
      <c r="B38" s="719"/>
      <c r="C38" s="720"/>
      <c r="D38" s="721"/>
      <c r="E38" s="722"/>
      <c r="F38" s="723"/>
      <c r="G38" s="720"/>
      <c r="H38" s="724"/>
      <c r="I38" s="725"/>
      <c r="J38" s="695" t="s">
        <v>2411</v>
      </c>
      <c r="K38" s="726"/>
      <c r="L38" s="727"/>
    </row>
    <row r="39" spans="2:12" x14ac:dyDescent="0.35">
      <c r="F39" s="728"/>
      <c r="J39" s="387" t="s">
        <v>2160</v>
      </c>
      <c r="K39" s="195"/>
    </row>
    <row r="40" spans="2:12" x14ac:dyDescent="0.35">
      <c r="F40" s="728"/>
      <c r="J40" s="245" t="s">
        <v>2444</v>
      </c>
      <c r="K40" s="195">
        <f>140+40.625</f>
        <v>180.625</v>
      </c>
    </row>
    <row r="41" spans="2:12" x14ac:dyDescent="0.35">
      <c r="F41" s="728"/>
      <c r="J41" s="245" t="s">
        <v>2566</v>
      </c>
      <c r="K41" s="195">
        <v>93.939393939393938</v>
      </c>
    </row>
    <row r="42" spans="2:12" x14ac:dyDescent="0.35">
      <c r="F42" s="728"/>
      <c r="J42" s="245" t="s">
        <v>2567</v>
      </c>
      <c r="K42" s="195">
        <v>124.24242424242425</v>
      </c>
    </row>
    <row r="43" spans="2:12" x14ac:dyDescent="0.35">
      <c r="F43" s="728"/>
      <c r="J43" s="387" t="s">
        <v>2159</v>
      </c>
      <c r="K43" s="195"/>
    </row>
    <row r="44" spans="2:12" x14ac:dyDescent="0.35">
      <c r="F44" s="728"/>
      <c r="J44" s="245" t="s">
        <v>2445</v>
      </c>
      <c r="K44" s="195">
        <v>200</v>
      </c>
    </row>
    <row r="45" spans="2:12" x14ac:dyDescent="0.35">
      <c r="F45" s="728"/>
      <c r="J45" s="245" t="s">
        <v>2446</v>
      </c>
      <c r="K45" s="195">
        <v>200</v>
      </c>
    </row>
    <row r="46" spans="2:12" x14ac:dyDescent="0.35">
      <c r="F46" s="728"/>
      <c r="J46" s="245" t="s">
        <v>2156</v>
      </c>
      <c r="K46" s="18">
        <v>80</v>
      </c>
    </row>
    <row r="47" spans="2:12" x14ac:dyDescent="0.35">
      <c r="F47" s="728"/>
      <c r="J47" s="245" t="s">
        <v>2157</v>
      </c>
      <c r="K47" s="18">
        <v>80</v>
      </c>
    </row>
    <row r="48" spans="2:12" x14ac:dyDescent="0.35">
      <c r="F48" s="728"/>
      <c r="J48" s="387" t="s">
        <v>2450</v>
      </c>
    </row>
    <row r="49" spans="6:11" x14ac:dyDescent="0.35">
      <c r="F49" s="728"/>
      <c r="J49" s="245" t="s">
        <v>2451</v>
      </c>
      <c r="K49" s="18">
        <v>260</v>
      </c>
    </row>
    <row r="50" spans="6:11" x14ac:dyDescent="0.35">
      <c r="F50" s="728"/>
      <c r="J50" s="245" t="s">
        <v>2452</v>
      </c>
      <c r="K50" s="18">
        <v>44</v>
      </c>
    </row>
    <row r="51" spans="6:11" x14ac:dyDescent="0.35">
      <c r="F51" s="728"/>
    </row>
    <row r="52" spans="6:11" x14ac:dyDescent="0.35">
      <c r="F52" s="728"/>
      <c r="J52" s="387" t="s">
        <v>2161</v>
      </c>
      <c r="K52" s="195"/>
    </row>
    <row r="53" spans="6:11" x14ac:dyDescent="0.35">
      <c r="F53" s="728"/>
      <c r="J53" s="387" t="s">
        <v>40</v>
      </c>
      <c r="K53" s="195"/>
    </row>
    <row r="54" spans="6:11" x14ac:dyDescent="0.35">
      <c r="F54" s="728"/>
      <c r="J54" s="245" t="s">
        <v>2447</v>
      </c>
      <c r="K54" s="195">
        <v>160</v>
      </c>
    </row>
    <row r="55" spans="6:11" x14ac:dyDescent="0.35">
      <c r="F55" s="728"/>
      <c r="J55" s="245" t="s">
        <v>2495</v>
      </c>
      <c r="K55" s="195">
        <v>166</v>
      </c>
    </row>
    <row r="56" spans="6:11" x14ac:dyDescent="0.35">
      <c r="F56" s="728"/>
      <c r="J56" s="245" t="s">
        <v>2496</v>
      </c>
      <c r="K56" s="195">
        <v>250</v>
      </c>
    </row>
    <row r="57" spans="6:11" x14ac:dyDescent="0.35">
      <c r="F57" s="728"/>
      <c r="J57" s="245" t="s">
        <v>2497</v>
      </c>
      <c r="K57" s="195">
        <v>600</v>
      </c>
    </row>
    <row r="58" spans="6:11" x14ac:dyDescent="0.35">
      <c r="F58" s="728"/>
      <c r="J58" s="245" t="s">
        <v>2544</v>
      </c>
      <c r="K58" s="195">
        <v>412</v>
      </c>
    </row>
    <row r="59" spans="6:11" x14ac:dyDescent="0.35">
      <c r="F59" s="728"/>
      <c r="J59" s="245" t="s">
        <v>2545</v>
      </c>
      <c r="K59" s="195">
        <v>140</v>
      </c>
    </row>
    <row r="60" spans="6:11" x14ac:dyDescent="0.35">
      <c r="F60" s="728"/>
      <c r="J60" s="245" t="s">
        <v>2546</v>
      </c>
      <c r="K60" s="195">
        <v>400</v>
      </c>
    </row>
    <row r="61" spans="6:11" x14ac:dyDescent="0.35">
      <c r="F61" s="728"/>
      <c r="K61" s="195"/>
    </row>
    <row r="62" spans="6:11" x14ac:dyDescent="0.35">
      <c r="F62" s="728"/>
      <c r="J62" s="780" t="s">
        <v>2162</v>
      </c>
      <c r="K62" s="195"/>
    </row>
    <row r="63" spans="6:11" x14ac:dyDescent="0.35">
      <c r="F63" s="728"/>
      <c r="J63" s="245" t="s">
        <v>2448</v>
      </c>
      <c r="K63" s="195">
        <f>160*0.045</f>
        <v>7.1999999999999993</v>
      </c>
    </row>
    <row r="64" spans="6:11" x14ac:dyDescent="0.35">
      <c r="F64" s="728"/>
      <c r="J64" s="245" t="s">
        <v>2449</v>
      </c>
      <c r="K64" s="195">
        <v>5</v>
      </c>
    </row>
    <row r="65" spans="5:13" x14ac:dyDescent="0.35">
      <c r="F65" s="728"/>
      <c r="J65" s="245" t="s">
        <v>2498</v>
      </c>
      <c r="K65" s="195">
        <v>32</v>
      </c>
    </row>
    <row r="66" spans="5:13" x14ac:dyDescent="0.35">
      <c r="F66" s="728"/>
      <c r="J66" s="245" t="s">
        <v>2518</v>
      </c>
      <c r="K66" s="195">
        <v>330</v>
      </c>
    </row>
    <row r="67" spans="5:13" x14ac:dyDescent="0.35">
      <c r="F67" s="728"/>
      <c r="J67" s="245" t="s">
        <v>2519</v>
      </c>
      <c r="K67" s="195">
        <f>5.9*14.5+25</f>
        <v>110.55000000000001</v>
      </c>
    </row>
    <row r="68" spans="5:13" x14ac:dyDescent="0.35">
      <c r="F68" s="728"/>
      <c r="J68" s="245" t="s">
        <v>2547</v>
      </c>
      <c r="K68" s="195">
        <v>38</v>
      </c>
    </row>
    <row r="69" spans="5:13" x14ac:dyDescent="0.35">
      <c r="F69" s="728"/>
      <c r="J69" s="387" t="s">
        <v>2163</v>
      </c>
      <c r="K69" s="195"/>
    </row>
    <row r="70" spans="5:13" x14ac:dyDescent="0.35">
      <c r="E70" s="50"/>
      <c r="F70" s="802"/>
      <c r="I70" s="803"/>
      <c r="J70" s="104" t="s">
        <v>2449</v>
      </c>
      <c r="K70" s="804">
        <v>7</v>
      </c>
      <c r="L70" s="805"/>
    </row>
    <row r="71" spans="5:13" x14ac:dyDescent="0.35">
      <c r="E71" s="50"/>
      <c r="F71" s="802"/>
      <c r="I71" s="803"/>
      <c r="J71" s="104"/>
      <c r="K71" s="804"/>
      <c r="L71" s="805"/>
    </row>
    <row r="72" spans="5:13" x14ac:dyDescent="0.35">
      <c r="F72" s="728"/>
      <c r="J72" s="387" t="s">
        <v>2164</v>
      </c>
      <c r="K72" s="195"/>
    </row>
    <row r="73" spans="5:13" x14ac:dyDescent="0.35">
      <c r="F73" s="728"/>
      <c r="J73" s="104" t="s">
        <v>2627</v>
      </c>
      <c r="K73" s="195">
        <f>30+34</f>
        <v>64</v>
      </c>
    </row>
    <row r="74" spans="5:13" x14ac:dyDescent="0.35">
      <c r="F74" s="728"/>
      <c r="J74" s="104" t="s">
        <v>2628</v>
      </c>
      <c r="K74" s="195">
        <v>10</v>
      </c>
    </row>
    <row r="75" spans="5:13" x14ac:dyDescent="0.35">
      <c r="F75" s="728"/>
      <c r="J75" s="387" t="s">
        <v>2273</v>
      </c>
      <c r="K75" s="195"/>
    </row>
    <row r="76" spans="5:13" x14ac:dyDescent="0.35">
      <c r="F76" s="728"/>
      <c r="K76" s="195"/>
    </row>
    <row r="77" spans="5:13" x14ac:dyDescent="0.35">
      <c r="F77" s="728"/>
      <c r="J77" s="387" t="s">
        <v>2369</v>
      </c>
      <c r="K77" s="195"/>
    </row>
    <row r="78" spans="5:13" x14ac:dyDescent="0.35">
      <c r="F78" s="728"/>
      <c r="J78" s="245" t="s">
        <v>2458</v>
      </c>
      <c r="K78" s="195"/>
      <c r="M78" t="s">
        <v>2520</v>
      </c>
    </row>
    <row r="79" spans="5:13" x14ac:dyDescent="0.35">
      <c r="F79" s="728"/>
      <c r="J79" s="245" t="s">
        <v>2459</v>
      </c>
      <c r="K79" s="195">
        <v>376</v>
      </c>
    </row>
    <row r="80" spans="5:13" x14ac:dyDescent="0.35">
      <c r="J80"/>
    </row>
    <row r="81" spans="2:12" x14ac:dyDescent="0.35">
      <c r="J81" s="387" t="s">
        <v>41</v>
      </c>
    </row>
    <row r="82" spans="2:12" x14ac:dyDescent="0.35">
      <c r="J82" s="245" t="s">
        <v>2288</v>
      </c>
      <c r="L82" s="135">
        <f>100+100+40+20</f>
        <v>260</v>
      </c>
    </row>
    <row r="85" spans="2:12" x14ac:dyDescent="0.35">
      <c r="J85" s="387" t="s">
        <v>2453</v>
      </c>
    </row>
    <row r="86" spans="2:12" x14ac:dyDescent="0.35">
      <c r="J86" s="245" t="s">
        <v>2454</v>
      </c>
      <c r="K86" s="18">
        <v>1000</v>
      </c>
    </row>
    <row r="87" spans="2:12" x14ac:dyDescent="0.35">
      <c r="J87" s="245" t="s">
        <v>2455</v>
      </c>
      <c r="K87" s="18">
        <v>300</v>
      </c>
    </row>
    <row r="88" spans="2:12" x14ac:dyDescent="0.35">
      <c r="J88" s="245" t="s">
        <v>2456</v>
      </c>
      <c r="K88" s="18">
        <v>200</v>
      </c>
    </row>
    <row r="89" spans="2:12" x14ac:dyDescent="0.35">
      <c r="J89" s="245" t="s">
        <v>2457</v>
      </c>
    </row>
    <row r="90" spans="2:12" x14ac:dyDescent="0.35">
      <c r="L90" s="18"/>
    </row>
    <row r="92" spans="2:12" s="148" customFormat="1" ht="18.5" x14ac:dyDescent="0.45">
      <c r="B92" s="719"/>
      <c r="C92" s="720"/>
      <c r="D92" s="721"/>
      <c r="E92" s="722"/>
      <c r="F92" s="723"/>
      <c r="G92" s="720"/>
      <c r="H92" s="724"/>
      <c r="I92" s="725"/>
      <c r="J92" s="829" t="s">
        <v>2677</v>
      </c>
      <c r="K92" s="726"/>
      <c r="L92" s="727"/>
    </row>
    <row r="93" spans="2:12" x14ac:dyDescent="0.35">
      <c r="J93" s="387" t="s">
        <v>2160</v>
      </c>
    </row>
    <row r="97" spans="10:12" x14ac:dyDescent="0.35">
      <c r="J97" s="387" t="s">
        <v>2159</v>
      </c>
    </row>
    <row r="98" spans="10:12" x14ac:dyDescent="0.35">
      <c r="J98" s="245" t="s">
        <v>2671</v>
      </c>
      <c r="K98" s="18">
        <v>200</v>
      </c>
    </row>
    <row r="99" spans="10:12" x14ac:dyDescent="0.35">
      <c r="J99" s="245" t="s">
        <v>2672</v>
      </c>
      <c r="K99" s="18">
        <v>200</v>
      </c>
    </row>
    <row r="100" spans="10:12" x14ac:dyDescent="0.35">
      <c r="J100" s="245" t="s">
        <v>2156</v>
      </c>
      <c r="K100" s="18">
        <v>80</v>
      </c>
    </row>
    <row r="101" spans="10:12" x14ac:dyDescent="0.35">
      <c r="J101" s="245" t="s">
        <v>2157</v>
      </c>
      <c r="K101" s="18">
        <v>80</v>
      </c>
    </row>
    <row r="102" spans="10:12" x14ac:dyDescent="0.35">
      <c r="J102" s="245" t="s">
        <v>2673</v>
      </c>
      <c r="K102" s="18">
        <v>2</v>
      </c>
    </row>
    <row r="103" spans="10:12" x14ac:dyDescent="0.35">
      <c r="J103" s="387" t="s">
        <v>2450</v>
      </c>
    </row>
    <row r="104" spans="10:12" x14ac:dyDescent="0.35">
      <c r="J104" s="245" t="s">
        <v>2451</v>
      </c>
    </row>
    <row r="105" spans="10:12" x14ac:dyDescent="0.35">
      <c r="J105" s="245" t="s">
        <v>2452</v>
      </c>
    </row>
    <row r="107" spans="10:12" x14ac:dyDescent="0.35">
      <c r="J107" s="387" t="s">
        <v>2161</v>
      </c>
    </row>
    <row r="108" spans="10:12" x14ac:dyDescent="0.35">
      <c r="J108" s="387" t="s">
        <v>40</v>
      </c>
    </row>
    <row r="109" spans="10:12" x14ac:dyDescent="0.35">
      <c r="J109" s="245" t="s">
        <v>2674</v>
      </c>
      <c r="K109" s="18">
        <v>275</v>
      </c>
    </row>
    <row r="110" spans="10:12" x14ac:dyDescent="0.35">
      <c r="J110" s="245" t="s">
        <v>2675</v>
      </c>
      <c r="K110" s="18">
        <v>110</v>
      </c>
    </row>
    <row r="111" spans="10:12" ht="15" thickBot="1" x14ac:dyDescent="0.4"/>
    <row r="112" spans="10:12" ht="15" thickBot="1" x14ac:dyDescent="0.4">
      <c r="K112" s="777"/>
      <c r="L112" s="851"/>
    </row>
    <row r="115" spans="2:12" s="148" customFormat="1" x14ac:dyDescent="0.35">
      <c r="B115" s="719"/>
      <c r="C115" s="720"/>
      <c r="D115" s="721"/>
      <c r="E115" s="722"/>
      <c r="F115" s="723"/>
      <c r="G115" s="720"/>
      <c r="H115" s="724"/>
      <c r="I115" s="725"/>
      <c r="J115" s="695" t="s">
        <v>2684</v>
      </c>
      <c r="K115" s="726"/>
      <c r="L115" s="727"/>
    </row>
    <row r="116" spans="2:12" x14ac:dyDescent="0.35">
      <c r="F116" s="728"/>
      <c r="J116" s="387" t="s">
        <v>2160</v>
      </c>
      <c r="K116" s="195"/>
    </row>
    <row r="117" spans="2:12" x14ac:dyDescent="0.35">
      <c r="F117" s="728"/>
      <c r="J117" s="387" t="s">
        <v>2862</v>
      </c>
      <c r="K117" s="195">
        <v>300</v>
      </c>
    </row>
    <row r="118" spans="2:12" x14ac:dyDescent="0.35">
      <c r="F118" s="728"/>
      <c r="J118" s="387"/>
      <c r="K118" s="195"/>
    </row>
    <row r="119" spans="2:12" x14ac:dyDescent="0.35">
      <c r="F119" s="728"/>
      <c r="J119" s="387" t="s">
        <v>2817</v>
      </c>
      <c r="K119" s="195"/>
    </row>
    <row r="120" spans="2:12" x14ac:dyDescent="0.35">
      <c r="F120" s="728"/>
      <c r="J120" s="387" t="s">
        <v>2818</v>
      </c>
      <c r="K120" s="195">
        <v>500</v>
      </c>
    </row>
    <row r="121" spans="2:12" x14ac:dyDescent="0.35">
      <c r="F121" s="728"/>
      <c r="J121" s="387"/>
      <c r="K121" s="195"/>
    </row>
    <row r="122" spans="2:12" x14ac:dyDescent="0.35">
      <c r="F122" s="728"/>
      <c r="J122" s="387" t="s">
        <v>2745</v>
      </c>
      <c r="K122" s="195"/>
    </row>
    <row r="123" spans="2:12" x14ac:dyDescent="0.35">
      <c r="F123" s="728"/>
      <c r="J123" s="104" t="s">
        <v>2734</v>
      </c>
      <c r="K123" s="195">
        <v>275</v>
      </c>
    </row>
    <row r="124" spans="2:12" x14ac:dyDescent="0.35">
      <c r="F124" s="728"/>
      <c r="J124" s="104" t="s">
        <v>2735</v>
      </c>
      <c r="K124" s="195">
        <v>275</v>
      </c>
    </row>
    <row r="125" spans="2:12" x14ac:dyDescent="0.35">
      <c r="F125" s="728"/>
      <c r="J125" s="104" t="s">
        <v>2736</v>
      </c>
      <c r="K125" s="195">
        <v>140</v>
      </c>
    </row>
    <row r="126" spans="2:12" x14ac:dyDescent="0.35">
      <c r="F126" s="728"/>
      <c r="J126" s="104" t="s">
        <v>2737</v>
      </c>
      <c r="K126" s="195">
        <v>100</v>
      </c>
    </row>
    <row r="127" spans="2:12" x14ac:dyDescent="0.35">
      <c r="F127" s="728"/>
      <c r="J127" s="104" t="s">
        <v>2746</v>
      </c>
      <c r="K127" s="195">
        <v>350</v>
      </c>
    </row>
    <row r="128" spans="2:12" x14ac:dyDescent="0.35">
      <c r="F128" s="728"/>
      <c r="J128" s="104" t="s">
        <v>2879</v>
      </c>
      <c r="K128" s="195">
        <v>280</v>
      </c>
    </row>
    <row r="129" spans="10:11" x14ac:dyDescent="0.35">
      <c r="J129" s="245" t="s">
        <v>2880</v>
      </c>
      <c r="K129" s="18">
        <v>300</v>
      </c>
    </row>
    <row r="130" spans="10:11" x14ac:dyDescent="0.35">
      <c r="J130" s="780" t="s">
        <v>2162</v>
      </c>
    </row>
    <row r="131" spans="10:11" x14ac:dyDescent="0.35">
      <c r="J131" s="245" t="s">
        <v>2676</v>
      </c>
      <c r="K131" s="18">
        <v>24</v>
      </c>
    </row>
    <row r="132" spans="10:11" x14ac:dyDescent="0.35">
      <c r="J132" s="245" t="s">
        <v>2449</v>
      </c>
      <c r="K132" s="18">
        <v>12</v>
      </c>
    </row>
    <row r="133" spans="10:11" x14ac:dyDescent="0.35">
      <c r="J133" s="245" t="s">
        <v>2691</v>
      </c>
      <c r="K133" s="18">
        <v>237</v>
      </c>
    </row>
    <row r="134" spans="10:11" x14ac:dyDescent="0.35">
      <c r="J134" s="245" t="s">
        <v>2692</v>
      </c>
      <c r="K134" s="18">
        <f>72+45</f>
        <v>117</v>
      </c>
    </row>
    <row r="135" spans="10:11" x14ac:dyDescent="0.35">
      <c r="J135" s="245" t="s">
        <v>2738</v>
      </c>
      <c r="K135" s="18">
        <f>240*0.045</f>
        <v>10.799999999999999</v>
      </c>
    </row>
    <row r="136" spans="10:11" x14ac:dyDescent="0.35">
      <c r="J136" s="245" t="s">
        <v>2747</v>
      </c>
      <c r="K136" s="18">
        <v>16</v>
      </c>
    </row>
    <row r="137" spans="10:11" x14ac:dyDescent="0.35">
      <c r="J137" s="245" t="s">
        <v>2768</v>
      </c>
      <c r="K137" s="18">
        <v>50</v>
      </c>
    </row>
    <row r="138" spans="10:11" x14ac:dyDescent="0.35">
      <c r="J138" s="245" t="s">
        <v>2801</v>
      </c>
      <c r="K138" s="18">
        <f>70+55+20</f>
        <v>145</v>
      </c>
    </row>
    <row r="139" spans="10:11" x14ac:dyDescent="0.35">
      <c r="J139" s="245" t="s">
        <v>2861</v>
      </c>
      <c r="K139" s="18">
        <v>127</v>
      </c>
    </row>
    <row r="140" spans="10:11" x14ac:dyDescent="0.35">
      <c r="J140" s="245" t="s">
        <v>2881</v>
      </c>
      <c r="K140" s="18">
        <f>26+6</f>
        <v>32</v>
      </c>
    </row>
    <row r="141" spans="10:11" x14ac:dyDescent="0.35">
      <c r="J141" s="387" t="s">
        <v>2163</v>
      </c>
    </row>
    <row r="142" spans="10:11" x14ac:dyDescent="0.35">
      <c r="J142" s="104" t="s">
        <v>2449</v>
      </c>
    </row>
    <row r="143" spans="10:11" x14ac:dyDescent="0.35">
      <c r="J143" s="104"/>
    </row>
    <row r="144" spans="10:11" x14ac:dyDescent="0.35">
      <c r="J144" s="387" t="s">
        <v>2164</v>
      </c>
    </row>
    <row r="145" spans="10:12" x14ac:dyDescent="0.35">
      <c r="J145" s="104"/>
    </row>
    <row r="146" spans="10:12" x14ac:dyDescent="0.35">
      <c r="J146" s="104"/>
    </row>
    <row r="147" spans="10:12" x14ac:dyDescent="0.35">
      <c r="J147" s="387" t="s">
        <v>2882</v>
      </c>
    </row>
    <row r="148" spans="10:12" x14ac:dyDescent="0.35">
      <c r="J148" s="387" t="s">
        <v>2896</v>
      </c>
      <c r="K148" s="18">
        <v>116</v>
      </c>
    </row>
    <row r="150" spans="10:12" x14ac:dyDescent="0.35">
      <c r="J150" s="387" t="s">
        <v>2369</v>
      </c>
    </row>
    <row r="151" spans="10:12" x14ac:dyDescent="0.35">
      <c r="J151" s="245" t="s">
        <v>2458</v>
      </c>
      <c r="K151" s="18">
        <v>250</v>
      </c>
    </row>
    <row r="152" spans="10:12" x14ac:dyDescent="0.35">
      <c r="J152" s="245" t="s">
        <v>2459</v>
      </c>
      <c r="K152" s="18">
        <v>405</v>
      </c>
    </row>
    <row r="153" spans="10:12" x14ac:dyDescent="0.35">
      <c r="J153"/>
    </row>
    <row r="154" spans="10:12" x14ac:dyDescent="0.35">
      <c r="J154" s="387" t="s">
        <v>41</v>
      </c>
    </row>
    <row r="155" spans="10:12" x14ac:dyDescent="0.35">
      <c r="J155" s="245" t="s">
        <v>2288</v>
      </c>
      <c r="L155" s="135">
        <v>35</v>
      </c>
    </row>
    <row r="156" spans="10:12" x14ac:dyDescent="0.35">
      <c r="J156" s="245" t="s">
        <v>2733</v>
      </c>
      <c r="L156" s="135">
        <v>150</v>
      </c>
    </row>
    <row r="157" spans="10:12" x14ac:dyDescent="0.35">
      <c r="J157" s="245" t="s">
        <v>2859</v>
      </c>
      <c r="L157" s="135">
        <v>196</v>
      </c>
    </row>
    <row r="158" spans="10:12" x14ac:dyDescent="0.35">
      <c r="J158" s="387" t="s">
        <v>2453</v>
      </c>
    </row>
    <row r="159" spans="10:12" x14ac:dyDescent="0.35">
      <c r="J159" s="245" t="s">
        <v>2454</v>
      </c>
      <c r="K159" s="18">
        <v>400</v>
      </c>
    </row>
    <row r="160" spans="10:12" x14ac:dyDescent="0.35">
      <c r="J160" s="245" t="s">
        <v>2455</v>
      </c>
      <c r="K160" s="18">
        <v>300</v>
      </c>
    </row>
    <row r="161" spans="2:12" x14ac:dyDescent="0.35">
      <c r="J161" s="245" t="s">
        <v>2456</v>
      </c>
      <c r="K161" s="18">
        <v>200</v>
      </c>
    </row>
    <row r="162" spans="2:12" x14ac:dyDescent="0.35">
      <c r="J162" s="245" t="s">
        <v>2457</v>
      </c>
      <c r="K162" s="18">
        <v>400</v>
      </c>
    </row>
    <row r="165" spans="2:12" x14ac:dyDescent="0.35">
      <c r="K165" s="18">
        <f>SUM(K116:K164)</f>
        <v>5361.8</v>
      </c>
      <c r="L165" s="18">
        <f>SUM(L116:L164)</f>
        <v>381</v>
      </c>
    </row>
    <row r="166" spans="2:12" s="148" customFormat="1" x14ac:dyDescent="0.35">
      <c r="B166" s="719"/>
      <c r="C166" s="720"/>
      <c r="D166" s="721"/>
      <c r="E166" s="722"/>
      <c r="F166" s="723"/>
      <c r="G166" s="720"/>
      <c r="H166" s="724"/>
      <c r="I166" s="725"/>
      <c r="J166" s="695" t="s">
        <v>2930</v>
      </c>
      <c r="K166" s="726"/>
      <c r="L166" s="727"/>
    </row>
    <row r="168" spans="2:12" x14ac:dyDescent="0.35">
      <c r="J168" s="387" t="s">
        <v>2160</v>
      </c>
      <c r="K168" s="195">
        <v>191</v>
      </c>
    </row>
    <row r="169" spans="2:12" x14ac:dyDescent="0.35">
      <c r="J169" s="387" t="s">
        <v>3076</v>
      </c>
      <c r="K169" s="195">
        <v>34</v>
      </c>
    </row>
    <row r="170" spans="2:12" x14ac:dyDescent="0.35">
      <c r="J170" s="387" t="s">
        <v>3143</v>
      </c>
      <c r="K170" s="920">
        <f>280+38-90</f>
        <v>228</v>
      </c>
    </row>
    <row r="171" spans="2:12" x14ac:dyDescent="0.35">
      <c r="J171" s="387" t="s">
        <v>2817</v>
      </c>
      <c r="K171" s="195"/>
    </row>
    <row r="172" spans="2:12" x14ac:dyDescent="0.35">
      <c r="J172" s="387" t="s">
        <v>2818</v>
      </c>
      <c r="K172" s="195">
        <v>500</v>
      </c>
    </row>
    <row r="173" spans="2:12" x14ac:dyDescent="0.35">
      <c r="J173" s="387"/>
      <c r="K173" s="195"/>
    </row>
    <row r="174" spans="2:12" x14ac:dyDescent="0.35">
      <c r="J174" s="387" t="s">
        <v>2745</v>
      </c>
      <c r="K174" s="195"/>
    </row>
    <row r="175" spans="2:12" x14ac:dyDescent="0.35">
      <c r="J175" s="104" t="s">
        <v>2931</v>
      </c>
      <c r="K175" s="195">
        <v>100</v>
      </c>
    </row>
    <row r="176" spans="2:12" x14ac:dyDescent="0.35">
      <c r="J176" s="104" t="s">
        <v>1336</v>
      </c>
      <c r="K176" s="195">
        <v>500</v>
      </c>
    </row>
    <row r="177" spans="10:11" x14ac:dyDescent="0.35">
      <c r="J177" s="104" t="s">
        <v>522</v>
      </c>
      <c r="K177" s="195">
        <v>240</v>
      </c>
    </row>
    <row r="178" spans="10:11" x14ac:dyDescent="0.35">
      <c r="J178" s="104" t="s">
        <v>3077</v>
      </c>
      <c r="K178" s="195">
        <v>284</v>
      </c>
    </row>
    <row r="179" spans="10:11" x14ac:dyDescent="0.35">
      <c r="J179" s="245" t="s">
        <v>3078</v>
      </c>
      <c r="K179" s="195">
        <v>104</v>
      </c>
    </row>
    <row r="180" spans="10:11" x14ac:dyDescent="0.35">
      <c r="J180" s="104" t="s">
        <v>3079</v>
      </c>
      <c r="K180" s="195">
        <v>160</v>
      </c>
    </row>
    <row r="181" spans="10:11" x14ac:dyDescent="0.35">
      <c r="J181" s="104"/>
      <c r="K181" s="195"/>
    </row>
    <row r="183" spans="10:11" x14ac:dyDescent="0.35">
      <c r="J183" s="780" t="s">
        <v>2162</v>
      </c>
    </row>
    <row r="184" spans="10:11" x14ac:dyDescent="0.35">
      <c r="J184" s="245" t="s">
        <v>2932</v>
      </c>
      <c r="K184" s="18">
        <f>0.045*740</f>
        <v>33.299999999999997</v>
      </c>
    </row>
    <row r="185" spans="10:11" x14ac:dyDescent="0.35">
      <c r="J185" s="245" t="s">
        <v>2933</v>
      </c>
      <c r="K185" s="18">
        <v>5</v>
      </c>
    </row>
    <row r="186" spans="10:11" x14ac:dyDescent="0.35">
      <c r="J186" s="245" t="s">
        <v>3080</v>
      </c>
      <c r="K186" s="18">
        <v>196</v>
      </c>
    </row>
    <row r="187" spans="10:11" x14ac:dyDescent="0.35">
      <c r="J187" s="245" t="s">
        <v>2933</v>
      </c>
      <c r="K187" s="18">
        <v>4</v>
      </c>
    </row>
    <row r="188" spans="10:11" x14ac:dyDescent="0.35">
      <c r="J188" s="245" t="s">
        <v>3081</v>
      </c>
      <c r="K188" s="18">
        <v>214</v>
      </c>
    </row>
    <row r="189" spans="10:11" x14ac:dyDescent="0.35">
      <c r="J189" s="245" t="s">
        <v>3082</v>
      </c>
      <c r="K189" s="18">
        <v>254</v>
      </c>
    </row>
    <row r="190" spans="10:11" x14ac:dyDescent="0.35">
      <c r="J190" s="245" t="s">
        <v>3083</v>
      </c>
      <c r="K190" s="18">
        <v>90</v>
      </c>
    </row>
    <row r="194" spans="10:11" x14ac:dyDescent="0.35">
      <c r="J194" s="387" t="s">
        <v>2163</v>
      </c>
    </row>
    <row r="195" spans="10:11" x14ac:dyDescent="0.35">
      <c r="J195" s="104" t="s">
        <v>2449</v>
      </c>
      <c r="K195" s="18">
        <v>50</v>
      </c>
    </row>
    <row r="196" spans="10:11" x14ac:dyDescent="0.35">
      <c r="J196" s="104"/>
    </row>
    <row r="197" spans="10:11" x14ac:dyDescent="0.35">
      <c r="J197" s="387" t="s">
        <v>2164</v>
      </c>
    </row>
    <row r="198" spans="10:11" x14ac:dyDescent="0.35">
      <c r="J198" s="104" t="s">
        <v>2934</v>
      </c>
      <c r="K198" s="18">
        <v>12</v>
      </c>
    </row>
    <row r="199" spans="10:11" x14ac:dyDescent="0.35">
      <c r="J199" s="104" t="s">
        <v>3084</v>
      </c>
      <c r="K199" s="18">
        <v>30</v>
      </c>
    </row>
    <row r="200" spans="10:11" x14ac:dyDescent="0.35">
      <c r="J200" s="104" t="s">
        <v>3098</v>
      </c>
      <c r="K200" s="18">
        <v>32</v>
      </c>
    </row>
    <row r="201" spans="10:11" x14ac:dyDescent="0.35">
      <c r="J201" s="387" t="s">
        <v>2882</v>
      </c>
    </row>
    <row r="202" spans="10:11" x14ac:dyDescent="0.35">
      <c r="J202" s="387"/>
    </row>
    <row r="204" spans="10:11" x14ac:dyDescent="0.35">
      <c r="J204" s="387" t="s">
        <v>2369</v>
      </c>
    </row>
    <row r="205" spans="10:11" x14ac:dyDescent="0.35">
      <c r="J205" s="245" t="s">
        <v>2458</v>
      </c>
    </row>
    <row r="206" spans="10:11" x14ac:dyDescent="0.35">
      <c r="J206" s="245" t="s">
        <v>2459</v>
      </c>
      <c r="K206" s="18">
        <v>486</v>
      </c>
    </row>
    <row r="207" spans="10:11" x14ac:dyDescent="0.35">
      <c r="J207"/>
    </row>
    <row r="208" spans="10:11" x14ac:dyDescent="0.35">
      <c r="J208" s="387" t="s">
        <v>41</v>
      </c>
    </row>
    <row r="209" spans="10:12" x14ac:dyDescent="0.35">
      <c r="J209" s="245" t="s">
        <v>2288</v>
      </c>
      <c r="L209" s="135">
        <f>51+55</f>
        <v>106</v>
      </c>
    </row>
    <row r="210" spans="10:12" x14ac:dyDescent="0.35">
      <c r="J210" s="245" t="s">
        <v>2733</v>
      </c>
      <c r="L210" s="135">
        <v>150</v>
      </c>
    </row>
    <row r="211" spans="10:12" x14ac:dyDescent="0.35">
      <c r="J211" s="245" t="s">
        <v>3085</v>
      </c>
      <c r="L211" s="135">
        <v>125</v>
      </c>
    </row>
    <row r="212" spans="10:12" x14ac:dyDescent="0.35">
      <c r="J212" s="245" t="s">
        <v>3111</v>
      </c>
      <c r="L212" s="135">
        <v>80</v>
      </c>
    </row>
    <row r="213" spans="10:12" x14ac:dyDescent="0.35">
      <c r="J213" s="387" t="s">
        <v>2453</v>
      </c>
    </row>
    <row r="214" spans="10:12" x14ac:dyDescent="0.35">
      <c r="J214" s="245" t="s">
        <v>2454</v>
      </c>
    </row>
    <row r="215" spans="10:12" x14ac:dyDescent="0.35">
      <c r="J215" s="245" t="s">
        <v>2455</v>
      </c>
      <c r="K215" s="18">
        <v>300</v>
      </c>
    </row>
    <row r="216" spans="10:12" x14ac:dyDescent="0.35">
      <c r="J216" s="245" t="s">
        <v>2456</v>
      </c>
      <c r="K216" s="18">
        <v>200</v>
      </c>
    </row>
    <row r="217" spans="10:12" x14ac:dyDescent="0.35">
      <c r="J217" s="245" t="s">
        <v>2457</v>
      </c>
      <c r="K217" s="18">
        <v>400</v>
      </c>
    </row>
    <row r="219" spans="10:12" x14ac:dyDescent="0.35">
      <c r="J219" s="245" t="s">
        <v>3086</v>
      </c>
      <c r="K219" s="18">
        <v>6425</v>
      </c>
    </row>
    <row r="220" spans="10:12" x14ac:dyDescent="0.35">
      <c r="J220" s="245" t="s">
        <v>3112</v>
      </c>
      <c r="K220" s="18">
        <f>128+25</f>
        <v>153</v>
      </c>
    </row>
    <row r="222" spans="10:12" ht="15" thickBot="1" x14ac:dyDescent="0.4"/>
    <row r="223" spans="10:12" ht="15" thickBot="1" x14ac:dyDescent="0.4">
      <c r="K223" s="919">
        <f>SUM(K168:K219)</f>
        <v>11072.3</v>
      </c>
      <c r="L223" s="919">
        <f>SUM(L168:L219)</f>
        <v>461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849"/>
  <sheetViews>
    <sheetView zoomScale="70" zoomScaleNormal="70" workbookViewId="0">
      <pane ySplit="1" topLeftCell="A836" activePane="bottomLeft" state="frozen"/>
      <selection activeCell="A2058" sqref="A2058"/>
      <selection pane="bottomLeft" activeCell="E838" sqref="E838"/>
    </sheetView>
  </sheetViews>
  <sheetFormatPr defaultColWidth="9.1796875" defaultRowHeight="18" customHeight="1" x14ac:dyDescent="0.35"/>
  <cols>
    <col min="1" max="1" width="18.54296875" style="685" customWidth="1"/>
    <col min="2" max="2" width="11.1796875" style="683" customWidth="1"/>
    <col min="3" max="3" width="12.54296875" style="683" customWidth="1"/>
    <col min="4" max="4" width="11.1796875" style="683" customWidth="1"/>
    <col min="5" max="5" width="61.7265625" style="206" customWidth="1"/>
    <col min="6" max="7" width="12.1796875" style="21" customWidth="1"/>
    <col min="8" max="8" width="12.7265625" style="496" customWidth="1"/>
    <col min="9" max="9" width="12.36328125" style="10" customWidth="1"/>
    <col min="10" max="10" width="12.7265625" style="10" customWidth="1"/>
    <col min="11" max="11" width="15.08984375" style="32" customWidth="1"/>
    <col min="12" max="12" width="13.26953125" style="10" customWidth="1"/>
    <col min="13" max="13" width="12.08984375" style="10" customWidth="1"/>
    <col min="14" max="14" width="10.81640625" style="10" customWidth="1"/>
    <col min="15" max="15" width="17" style="11" customWidth="1"/>
    <col min="16" max="16" width="12.7265625" style="11" customWidth="1"/>
    <col min="17" max="17" width="13.54296875" style="11" customWidth="1"/>
    <col min="18" max="19" width="9.1796875" style="10"/>
    <col min="20" max="20" width="10.7265625" style="10" bestFit="1" customWidth="1"/>
    <col min="21" max="16384" width="9.1796875" style="10"/>
  </cols>
  <sheetData>
    <row r="1" spans="1:17" s="157" customFormat="1" ht="57.5" customHeight="1" thickBot="1" x14ac:dyDescent="0.4">
      <c r="A1" s="615" t="s">
        <v>22</v>
      </c>
      <c r="B1" s="704" t="s">
        <v>1928</v>
      </c>
      <c r="C1" s="682" t="s">
        <v>1929</v>
      </c>
      <c r="D1" s="682" t="s">
        <v>2102</v>
      </c>
      <c r="E1" s="568" t="s">
        <v>191</v>
      </c>
      <c r="F1" s="673" t="s">
        <v>1820</v>
      </c>
      <c r="G1" s="673" t="s">
        <v>2112</v>
      </c>
      <c r="H1" s="674" t="s">
        <v>2121</v>
      </c>
      <c r="I1" s="674" t="s">
        <v>2197</v>
      </c>
      <c r="J1" s="675" t="s">
        <v>2117</v>
      </c>
      <c r="K1" s="714" t="s">
        <v>2120</v>
      </c>
      <c r="L1" s="158" t="s">
        <v>87</v>
      </c>
      <c r="M1" s="158" t="s">
        <v>88</v>
      </c>
      <c r="N1" s="158" t="s">
        <v>2113</v>
      </c>
      <c r="O1" s="158"/>
      <c r="P1" s="158"/>
      <c r="Q1" s="158"/>
    </row>
    <row r="3" spans="1:17" ht="18" customHeight="1" x14ac:dyDescent="0.35">
      <c r="A3" s="685">
        <v>46024</v>
      </c>
      <c r="E3" s="688" t="s">
        <v>2114</v>
      </c>
      <c r="J3" s="10">
        <v>65</v>
      </c>
    </row>
    <row r="4" spans="1:17" ht="18" customHeight="1" x14ac:dyDescent="0.35">
      <c r="E4" s="692" t="s">
        <v>2122</v>
      </c>
      <c r="G4" s="21">
        <v>110</v>
      </c>
    </row>
    <row r="5" spans="1:17" ht="18" customHeight="1" x14ac:dyDescent="0.35">
      <c r="E5" s="692" t="s">
        <v>2115</v>
      </c>
      <c r="G5" s="21">
        <v>120</v>
      </c>
    </row>
    <row r="6" spans="1:17" ht="18" customHeight="1" x14ac:dyDescent="0.35">
      <c r="E6" s="688" t="s">
        <v>2116</v>
      </c>
      <c r="I6" s="10">
        <v>90</v>
      </c>
    </row>
    <row r="7" spans="1:17" ht="18" customHeight="1" x14ac:dyDescent="0.35">
      <c r="E7" s="692" t="s">
        <v>2118</v>
      </c>
      <c r="H7" s="496">
        <v>110</v>
      </c>
    </row>
    <row r="8" spans="1:17" ht="18" customHeight="1" thickBot="1" x14ac:dyDescent="0.4">
      <c r="D8" s="693" t="s">
        <v>2124</v>
      </c>
      <c r="E8" s="692" t="s">
        <v>2119</v>
      </c>
      <c r="H8" s="496">
        <v>125</v>
      </c>
    </row>
    <row r="9" spans="1:17" s="11" customFormat="1" ht="18" customHeight="1" thickBot="1" x14ac:dyDescent="0.4">
      <c r="A9" s="685"/>
      <c r="B9" s="684">
        <f>+J9</f>
        <v>65</v>
      </c>
      <c r="C9" s="684">
        <f>+G9+I9</f>
        <v>320</v>
      </c>
      <c r="D9" s="684"/>
      <c r="E9" s="339"/>
      <c r="F9" s="686"/>
      <c r="G9" s="30">
        <f>SUM(G3:G8)</f>
        <v>230</v>
      </c>
      <c r="H9" s="687">
        <f t="shared" ref="H9:N9" si="0">SUM(H3:H8)</f>
        <v>235</v>
      </c>
      <c r="I9" s="30">
        <f t="shared" si="0"/>
        <v>90</v>
      </c>
      <c r="J9" s="30">
        <f t="shared" si="0"/>
        <v>65</v>
      </c>
      <c r="K9" s="715">
        <f t="shared" si="0"/>
        <v>0</v>
      </c>
      <c r="L9" s="30">
        <f t="shared" si="0"/>
        <v>0</v>
      </c>
      <c r="M9" s="30">
        <f t="shared" si="0"/>
        <v>0</v>
      </c>
      <c r="N9" s="30">
        <f t="shared" si="0"/>
        <v>0</v>
      </c>
    </row>
    <row r="11" spans="1:17" ht="18" customHeight="1" x14ac:dyDescent="0.35">
      <c r="A11" s="685">
        <v>46025</v>
      </c>
      <c r="E11" s="692" t="s">
        <v>2142</v>
      </c>
      <c r="F11" s="21">
        <v>100</v>
      </c>
    </row>
    <row r="12" spans="1:17" ht="18" customHeight="1" x14ac:dyDescent="0.35">
      <c r="E12" s="692" t="s">
        <v>2143</v>
      </c>
      <c r="F12" s="21">
        <v>25</v>
      </c>
    </row>
    <row r="13" spans="1:17" ht="18" customHeight="1" thickBot="1" x14ac:dyDescent="0.4">
      <c r="E13" s="692" t="s">
        <v>2144</v>
      </c>
      <c r="F13" s="21">
        <v>5</v>
      </c>
    </row>
    <row r="14" spans="1:17" ht="18" customHeight="1" thickBot="1" x14ac:dyDescent="0.4">
      <c r="B14" s="684">
        <f>+F14</f>
        <v>130</v>
      </c>
      <c r="C14" s="684"/>
      <c r="D14" s="684"/>
      <c r="F14" s="710">
        <f>SUM(F11:F13)</f>
        <v>130</v>
      </c>
      <c r="G14" s="191"/>
      <c r="H14" s="711"/>
      <c r="I14" s="712"/>
      <c r="J14" s="712"/>
      <c r="K14" s="716"/>
      <c r="L14" s="712"/>
      <c r="M14" s="712"/>
      <c r="N14" s="713"/>
    </row>
    <row r="15" spans="1:17" ht="18" customHeight="1" x14ac:dyDescent="0.35">
      <c r="F15" s="189"/>
      <c r="G15" s="189"/>
      <c r="K15" s="729"/>
    </row>
    <row r="16" spans="1:17" ht="18" customHeight="1" x14ac:dyDescent="0.35">
      <c r="A16" s="685">
        <v>46027</v>
      </c>
      <c r="E16" s="692" t="s">
        <v>2145</v>
      </c>
      <c r="F16" s="21">
        <v>75</v>
      </c>
    </row>
    <row r="17" spans="1:14" ht="18" customHeight="1" thickBot="1" x14ac:dyDescent="0.4">
      <c r="E17" s="692" t="s">
        <v>2166</v>
      </c>
      <c r="F17" s="21">
        <v>15</v>
      </c>
    </row>
    <row r="18" spans="1:14" ht="18" customHeight="1" thickBot="1" x14ac:dyDescent="0.4">
      <c r="A18" s="10"/>
      <c r="B18" s="684">
        <f>+F18</f>
        <v>90</v>
      </c>
      <c r="C18" s="684"/>
      <c r="D18" s="684"/>
      <c r="E18" s="10"/>
      <c r="F18" s="710">
        <f>SUM(F16:F17)</f>
        <v>90</v>
      </c>
      <c r="G18" s="191"/>
      <c r="H18" s="711"/>
      <c r="I18" s="712"/>
      <c r="J18" s="712"/>
      <c r="K18" s="716"/>
      <c r="L18" s="712"/>
      <c r="M18" s="712"/>
      <c r="N18" s="713"/>
    </row>
    <row r="20" spans="1:14" ht="18" customHeight="1" x14ac:dyDescent="0.35">
      <c r="A20" s="685">
        <v>46028</v>
      </c>
      <c r="E20" s="692" t="s">
        <v>2146</v>
      </c>
      <c r="F20" s="21">
        <v>145</v>
      </c>
    </row>
    <row r="21" spans="1:14" ht="18" customHeight="1" x14ac:dyDescent="0.35">
      <c r="E21" s="692" t="s">
        <v>2147</v>
      </c>
      <c r="F21" s="21">
        <v>60</v>
      </c>
    </row>
    <row r="22" spans="1:14" ht="18" customHeight="1" x14ac:dyDescent="0.35">
      <c r="E22" s="692" t="s">
        <v>2148</v>
      </c>
      <c r="F22" s="21">
        <v>65</v>
      </c>
    </row>
    <row r="23" spans="1:14" ht="18" customHeight="1" x14ac:dyDescent="0.35">
      <c r="E23" s="692" t="s">
        <v>2149</v>
      </c>
      <c r="K23" s="32">
        <v>25</v>
      </c>
    </row>
    <row r="24" spans="1:14" ht="18" customHeight="1" thickBot="1" x14ac:dyDescent="0.4">
      <c r="E24" s="692" t="s">
        <v>2150</v>
      </c>
      <c r="G24" s="21">
        <v>5</v>
      </c>
    </row>
    <row r="25" spans="1:14" ht="18" customHeight="1" thickBot="1" x14ac:dyDescent="0.4">
      <c r="B25" s="684">
        <f>+F25</f>
        <v>270</v>
      </c>
      <c r="C25" s="684">
        <f>+G25</f>
        <v>5</v>
      </c>
      <c r="D25" s="684"/>
      <c r="F25" s="710">
        <f t="shared" ref="F25:K25" si="1">SUM(F20:F24)</f>
        <v>270</v>
      </c>
      <c r="G25" s="710">
        <f t="shared" si="1"/>
        <v>5</v>
      </c>
      <c r="H25" s="710">
        <f t="shared" si="1"/>
        <v>0</v>
      </c>
      <c r="I25" s="710">
        <f t="shared" si="1"/>
        <v>0</v>
      </c>
      <c r="J25" s="710">
        <f t="shared" si="1"/>
        <v>0</v>
      </c>
      <c r="K25" s="710">
        <f t="shared" si="1"/>
        <v>25</v>
      </c>
      <c r="L25" s="712"/>
      <c r="M25" s="712"/>
      <c r="N25" s="713"/>
    </row>
    <row r="27" spans="1:14" ht="18" customHeight="1" x14ac:dyDescent="0.35">
      <c r="A27" s="685">
        <v>46029</v>
      </c>
      <c r="E27" s="688" t="s">
        <v>2167</v>
      </c>
    </row>
    <row r="28" spans="1:14" ht="18" customHeight="1" x14ac:dyDescent="0.35">
      <c r="E28" s="692" t="s">
        <v>2168</v>
      </c>
      <c r="K28" s="32">
        <v>55</v>
      </c>
    </row>
    <row r="29" spans="1:14" ht="18" customHeight="1" x14ac:dyDescent="0.35">
      <c r="E29" s="692" t="s">
        <v>2262</v>
      </c>
      <c r="K29" s="32">
        <v>60</v>
      </c>
    </row>
    <row r="30" spans="1:14" ht="18" customHeight="1" thickBot="1" x14ac:dyDescent="0.4">
      <c r="E30" s="692" t="s">
        <v>2169</v>
      </c>
      <c r="K30" s="32">
        <v>30</v>
      </c>
    </row>
    <row r="31" spans="1:14" ht="18" customHeight="1" thickBot="1" x14ac:dyDescent="0.4">
      <c r="B31" s="684"/>
      <c r="C31" s="684"/>
      <c r="D31" s="684"/>
      <c r="F31" s="710"/>
      <c r="G31" s="191"/>
      <c r="H31" s="711"/>
      <c r="I31" s="712"/>
      <c r="J31" s="712"/>
      <c r="K31" s="716">
        <f>SUM(K28:K30)</f>
        <v>145</v>
      </c>
      <c r="L31" s="712"/>
      <c r="M31" s="712"/>
      <c r="N31" s="713"/>
    </row>
    <row r="33" spans="1:14" ht="18" customHeight="1" x14ac:dyDescent="0.35">
      <c r="A33" s="685">
        <v>46030</v>
      </c>
      <c r="E33" s="692" t="s">
        <v>2046</v>
      </c>
      <c r="F33" s="21">
        <v>50</v>
      </c>
    </row>
    <row r="34" spans="1:14" ht="18" customHeight="1" x14ac:dyDescent="0.35">
      <c r="E34" s="692" t="s">
        <v>2170</v>
      </c>
      <c r="F34" s="21">
        <v>5</v>
      </c>
    </row>
    <row r="35" spans="1:14" ht="18" customHeight="1" x14ac:dyDescent="0.35">
      <c r="E35" s="692" t="s">
        <v>2173</v>
      </c>
      <c r="F35" s="21">
        <v>25</v>
      </c>
    </row>
    <row r="36" spans="1:14" ht="18" customHeight="1" x14ac:dyDescent="0.35">
      <c r="E36" s="692" t="s">
        <v>2172</v>
      </c>
      <c r="F36" s="21">
        <v>25</v>
      </c>
    </row>
    <row r="37" spans="1:14" ht="18" customHeight="1" x14ac:dyDescent="0.35">
      <c r="E37" s="692" t="s">
        <v>2171</v>
      </c>
      <c r="F37" s="21">
        <v>25</v>
      </c>
    </row>
    <row r="38" spans="1:14" ht="18" customHeight="1" x14ac:dyDescent="0.35">
      <c r="E38" s="688" t="s">
        <v>2174</v>
      </c>
    </row>
    <row r="39" spans="1:14" ht="18" customHeight="1" x14ac:dyDescent="0.35">
      <c r="E39" s="692" t="s">
        <v>2175</v>
      </c>
      <c r="K39" s="32">
        <v>10</v>
      </c>
    </row>
    <row r="40" spans="1:14" ht="18" customHeight="1" x14ac:dyDescent="0.35">
      <c r="E40" s="692" t="s">
        <v>2176</v>
      </c>
      <c r="K40" s="32">
        <v>5</v>
      </c>
    </row>
    <row r="41" spans="1:14" ht="18" customHeight="1" x14ac:dyDescent="0.35">
      <c r="E41" s="692" t="s">
        <v>2177</v>
      </c>
      <c r="K41" s="32">
        <v>10</v>
      </c>
    </row>
    <row r="42" spans="1:14" ht="18" customHeight="1" x14ac:dyDescent="0.35">
      <c r="E42" s="692" t="s">
        <v>2178</v>
      </c>
      <c r="K42" s="32">
        <v>10</v>
      </c>
    </row>
    <row r="43" spans="1:14" ht="18" customHeight="1" x14ac:dyDescent="0.35">
      <c r="E43" s="692" t="s">
        <v>2179</v>
      </c>
      <c r="G43" s="21">
        <v>25</v>
      </c>
    </row>
    <row r="44" spans="1:14" ht="18" customHeight="1" thickBot="1" x14ac:dyDescent="0.4">
      <c r="E44" s="692" t="s">
        <v>2180</v>
      </c>
      <c r="F44" s="21">
        <v>70</v>
      </c>
    </row>
    <row r="45" spans="1:14" ht="18" customHeight="1" thickBot="1" x14ac:dyDescent="0.4">
      <c r="B45" s="684">
        <f>+F45</f>
        <v>200</v>
      </c>
      <c r="C45" s="684">
        <f>+G45</f>
        <v>25</v>
      </c>
      <c r="D45" s="684"/>
      <c r="F45" s="710">
        <f>SUM(F33:F44)</f>
        <v>200</v>
      </c>
      <c r="G45" s="710">
        <f t="shared" ref="G45:L45" si="2">SUM(G33:G44)</f>
        <v>25</v>
      </c>
      <c r="H45" s="710">
        <f t="shared" si="2"/>
        <v>0</v>
      </c>
      <c r="I45" s="710">
        <f t="shared" si="2"/>
        <v>0</v>
      </c>
      <c r="J45" s="710">
        <f t="shared" si="2"/>
        <v>0</v>
      </c>
      <c r="K45" s="710">
        <f t="shared" si="2"/>
        <v>35</v>
      </c>
      <c r="L45" s="710">
        <f t="shared" si="2"/>
        <v>0</v>
      </c>
      <c r="M45" s="712"/>
      <c r="N45" s="713"/>
    </row>
    <row r="47" spans="1:14" ht="18" customHeight="1" x14ac:dyDescent="0.35">
      <c r="A47" s="685">
        <v>46031</v>
      </c>
      <c r="E47" s="692" t="s">
        <v>2181</v>
      </c>
      <c r="G47" s="21">
        <v>100</v>
      </c>
    </row>
    <row r="48" spans="1:14" ht="18" customHeight="1" thickBot="1" x14ac:dyDescent="0.4">
      <c r="E48" s="692" t="s">
        <v>2182</v>
      </c>
      <c r="G48" s="21">
        <v>25</v>
      </c>
    </row>
    <row r="49" spans="1:14" ht="18" customHeight="1" thickBot="1" x14ac:dyDescent="0.4">
      <c r="B49" s="684">
        <f>+G49</f>
        <v>125</v>
      </c>
      <c r="C49" s="684"/>
      <c r="D49" s="684"/>
      <c r="F49" s="710"/>
      <c r="G49" s="191">
        <f>SUM(G47:G48)</f>
        <v>125</v>
      </c>
      <c r="H49" s="711"/>
      <c r="I49" s="712"/>
      <c r="J49" s="712"/>
      <c r="K49" s="716"/>
      <c r="L49" s="712"/>
      <c r="M49" s="712"/>
      <c r="N49" s="713"/>
    </row>
    <row r="51" spans="1:14" ht="18" customHeight="1" x14ac:dyDescent="0.35">
      <c r="A51" s="685">
        <v>46032</v>
      </c>
      <c r="E51" s="692" t="s">
        <v>2183</v>
      </c>
      <c r="G51" s="21">
        <v>25</v>
      </c>
    </row>
    <row r="52" spans="1:14" ht="18" customHeight="1" x14ac:dyDescent="0.35">
      <c r="E52" s="692" t="s">
        <v>2184</v>
      </c>
      <c r="G52" s="21">
        <v>35</v>
      </c>
    </row>
    <row r="53" spans="1:14" ht="18" customHeight="1" x14ac:dyDescent="0.35">
      <c r="E53" s="692" t="s">
        <v>2185</v>
      </c>
      <c r="G53" s="21">
        <v>35</v>
      </c>
    </row>
    <row r="54" spans="1:14" ht="18" customHeight="1" x14ac:dyDescent="0.35">
      <c r="E54" s="692" t="s">
        <v>2186</v>
      </c>
      <c r="G54" s="21">
        <v>35</v>
      </c>
    </row>
    <row r="55" spans="1:14" ht="18" customHeight="1" x14ac:dyDescent="0.35">
      <c r="E55" s="692" t="s">
        <v>2187</v>
      </c>
      <c r="G55" s="21">
        <v>25</v>
      </c>
    </row>
    <row r="56" spans="1:14" ht="18" customHeight="1" x14ac:dyDescent="0.35">
      <c r="E56" s="692" t="s">
        <v>2191</v>
      </c>
      <c r="G56" s="21">
        <v>15</v>
      </c>
    </row>
    <row r="57" spans="1:14" ht="18" customHeight="1" x14ac:dyDescent="0.35">
      <c r="E57" s="692" t="s">
        <v>2192</v>
      </c>
      <c r="G57" s="21">
        <v>30</v>
      </c>
    </row>
    <row r="58" spans="1:14" ht="18" customHeight="1" x14ac:dyDescent="0.35">
      <c r="E58" s="692" t="s">
        <v>2193</v>
      </c>
      <c r="G58" s="21">
        <v>6</v>
      </c>
    </row>
    <row r="59" spans="1:14" ht="18" customHeight="1" thickBot="1" x14ac:dyDescent="0.4"/>
    <row r="60" spans="1:14" ht="18" customHeight="1" thickBot="1" x14ac:dyDescent="0.4">
      <c r="B60" s="684">
        <f>+G60</f>
        <v>206</v>
      </c>
      <c r="C60" s="684"/>
      <c r="D60" s="684"/>
      <c r="F60" s="710"/>
      <c r="G60" s="191">
        <f>SUM(G51:G59)</f>
        <v>206</v>
      </c>
      <c r="H60" s="711"/>
      <c r="I60" s="712"/>
      <c r="J60" s="712"/>
      <c r="K60" s="716"/>
      <c r="L60" s="712"/>
      <c r="M60" s="712"/>
      <c r="N60" s="713"/>
    </row>
    <row r="62" spans="1:14" ht="18" customHeight="1" x14ac:dyDescent="0.35">
      <c r="A62" s="685">
        <v>46034</v>
      </c>
      <c r="E62" s="692" t="s">
        <v>2194</v>
      </c>
      <c r="F62" s="21">
        <v>145</v>
      </c>
      <c r="N62" s="10">
        <v>5</v>
      </c>
    </row>
    <row r="63" spans="1:14" ht="18" customHeight="1" x14ac:dyDescent="0.35">
      <c r="E63" s="692" t="s">
        <v>2195</v>
      </c>
      <c r="F63" s="21">
        <v>55</v>
      </c>
      <c r="N63" s="10">
        <v>5</v>
      </c>
    </row>
    <row r="64" spans="1:14" ht="18" customHeight="1" x14ac:dyDescent="0.35">
      <c r="E64" s="688" t="s">
        <v>2196</v>
      </c>
      <c r="I64" s="10">
        <v>20</v>
      </c>
    </row>
    <row r="65" spans="1:17" ht="18" customHeight="1" x14ac:dyDescent="0.35">
      <c r="E65" s="692" t="s">
        <v>2198</v>
      </c>
      <c r="H65" s="496">
        <v>45</v>
      </c>
    </row>
    <row r="66" spans="1:17" ht="18" customHeight="1" thickBot="1" x14ac:dyDescent="0.4">
      <c r="E66" s="692" t="s">
        <v>2199</v>
      </c>
      <c r="F66" s="21">
        <v>30</v>
      </c>
    </row>
    <row r="67" spans="1:17" ht="18" customHeight="1" thickBot="1" x14ac:dyDescent="0.4">
      <c r="B67" s="684">
        <f>+F67+I67</f>
        <v>250</v>
      </c>
      <c r="C67" s="684"/>
      <c r="D67" s="684"/>
      <c r="F67" s="710">
        <f>SUM(F62:F66)</f>
        <v>230</v>
      </c>
      <c r="G67" s="710">
        <f t="shared" ref="G67:N67" si="3">SUM(G62:G66)</f>
        <v>0</v>
      </c>
      <c r="H67" s="710">
        <f t="shared" si="3"/>
        <v>45</v>
      </c>
      <c r="I67" s="710">
        <f t="shared" si="3"/>
        <v>20</v>
      </c>
      <c r="J67" s="710">
        <f t="shared" si="3"/>
        <v>0</v>
      </c>
      <c r="K67" s="710">
        <f t="shared" si="3"/>
        <v>0</v>
      </c>
      <c r="L67" s="710">
        <f t="shared" si="3"/>
        <v>0</v>
      </c>
      <c r="M67" s="710">
        <f t="shared" si="3"/>
        <v>0</v>
      </c>
      <c r="N67" s="710">
        <f t="shared" si="3"/>
        <v>10</v>
      </c>
    </row>
    <row r="68" spans="1:17" ht="18" customHeight="1" x14ac:dyDescent="0.35">
      <c r="F68" s="189"/>
      <c r="G68" s="189"/>
      <c r="H68" s="189"/>
      <c r="I68" s="189"/>
      <c r="J68" s="189"/>
      <c r="K68" s="189"/>
      <c r="L68" s="189"/>
      <c r="M68" s="189"/>
      <c r="N68" s="189"/>
    </row>
    <row r="69" spans="1:17" ht="18" customHeight="1" x14ac:dyDescent="0.35">
      <c r="A69" s="685">
        <v>46035</v>
      </c>
      <c r="E69" s="692" t="s">
        <v>2236</v>
      </c>
      <c r="F69" s="189">
        <v>30</v>
      </c>
      <c r="G69" s="189"/>
      <c r="H69" s="189"/>
      <c r="I69" s="189"/>
      <c r="J69" s="189"/>
      <c r="K69" s="189"/>
      <c r="L69" s="189"/>
      <c r="M69" s="189"/>
      <c r="N69" s="189"/>
    </row>
    <row r="70" spans="1:17" ht="18" customHeight="1" x14ac:dyDescent="0.35">
      <c r="E70" s="692" t="s">
        <v>2237</v>
      </c>
      <c r="F70" s="189"/>
      <c r="G70" s="189"/>
      <c r="H70" s="189"/>
      <c r="I70" s="189"/>
      <c r="J70" s="189"/>
      <c r="K70" s="189"/>
      <c r="L70" s="189"/>
      <c r="M70" s="189"/>
      <c r="N70" s="189"/>
    </row>
    <row r="71" spans="1:17" ht="18" customHeight="1" x14ac:dyDescent="0.35">
      <c r="E71" s="692" t="s">
        <v>2238</v>
      </c>
      <c r="F71" s="189"/>
      <c r="G71" s="189"/>
      <c r="H71" s="189"/>
      <c r="I71" s="189"/>
      <c r="J71" s="189"/>
      <c r="K71" s="189">
        <v>125</v>
      </c>
      <c r="L71" s="189"/>
      <c r="M71" s="189"/>
      <c r="N71" s="189"/>
    </row>
    <row r="72" spans="1:17" ht="18" customHeight="1" x14ac:dyDescent="0.35">
      <c r="E72" s="692" t="s">
        <v>2239</v>
      </c>
      <c r="F72" s="189"/>
      <c r="G72" s="189"/>
      <c r="H72" s="189"/>
      <c r="I72" s="189"/>
      <c r="J72" s="189"/>
      <c r="K72" s="189">
        <v>25</v>
      </c>
      <c r="L72" s="189"/>
      <c r="M72" s="189"/>
      <c r="N72" s="189"/>
    </row>
    <row r="73" spans="1:17" ht="18" customHeight="1" thickBot="1" x14ac:dyDescent="0.4">
      <c r="F73" s="189"/>
      <c r="G73" s="189"/>
      <c r="H73" s="189"/>
      <c r="I73" s="189"/>
      <c r="J73" s="189"/>
      <c r="K73" s="189"/>
      <c r="L73" s="189"/>
      <c r="M73" s="189"/>
      <c r="N73" s="189"/>
    </row>
    <row r="74" spans="1:17" ht="18" customHeight="1" thickBot="1" x14ac:dyDescent="0.4">
      <c r="B74" s="684">
        <f>+F74</f>
        <v>30</v>
      </c>
      <c r="C74" s="684"/>
      <c r="D74" s="684"/>
      <c r="F74" s="710">
        <f>SUM(F69:F73)</f>
        <v>30</v>
      </c>
      <c r="G74" s="191"/>
      <c r="H74" s="191"/>
      <c r="I74" s="191"/>
      <c r="J74" s="191"/>
      <c r="K74" s="191">
        <f>SUM(K71:K73)</f>
        <v>150</v>
      </c>
      <c r="L74" s="191"/>
      <c r="M74" s="191"/>
      <c r="N74" s="731"/>
    </row>
    <row r="75" spans="1:17" ht="18" customHeight="1" x14ac:dyDescent="0.35">
      <c r="F75" s="189"/>
      <c r="G75" s="189"/>
      <c r="H75" s="189"/>
      <c r="I75" s="189"/>
      <c r="J75" s="189"/>
      <c r="K75" s="189"/>
      <c r="L75" s="189"/>
      <c r="M75" s="189"/>
      <c r="N75" s="189"/>
    </row>
    <row r="76" spans="1:17" s="109" customFormat="1" ht="18" customHeight="1" x14ac:dyDescent="0.35">
      <c r="A76" s="732">
        <v>46036</v>
      </c>
      <c r="B76" s="693"/>
      <c r="C76" s="693"/>
      <c r="D76" s="693"/>
      <c r="E76" s="733"/>
      <c r="F76" s="325"/>
      <c r="G76" s="325"/>
      <c r="H76" s="325"/>
      <c r="I76" s="325"/>
      <c r="J76" s="325"/>
      <c r="K76" s="325"/>
      <c r="L76" s="325"/>
      <c r="M76" s="325"/>
      <c r="N76" s="325"/>
      <c r="O76" s="278"/>
      <c r="P76" s="278"/>
      <c r="Q76" s="278"/>
    </row>
    <row r="77" spans="1:17" ht="18" customHeight="1" x14ac:dyDescent="0.35">
      <c r="F77" s="189"/>
      <c r="G77" s="189"/>
      <c r="H77" s="189"/>
      <c r="I77" s="189"/>
      <c r="J77" s="189"/>
      <c r="K77" s="189"/>
      <c r="L77" s="189"/>
      <c r="M77" s="189"/>
      <c r="N77" s="189"/>
    </row>
    <row r="78" spans="1:17" ht="18" customHeight="1" x14ac:dyDescent="0.35">
      <c r="A78" s="685">
        <v>46037</v>
      </c>
      <c r="E78" s="692" t="s">
        <v>2240</v>
      </c>
      <c r="F78" s="189">
        <v>125</v>
      </c>
      <c r="G78" s="189"/>
      <c r="H78" s="189"/>
      <c r="I78" s="189"/>
      <c r="J78" s="189"/>
      <c r="K78" s="189"/>
      <c r="L78" s="189"/>
      <c r="M78" s="189"/>
      <c r="N78" s="189"/>
    </row>
    <row r="79" spans="1:17" ht="18" customHeight="1" thickBot="1" x14ac:dyDescent="0.4">
      <c r="E79" s="692" t="s">
        <v>2241</v>
      </c>
      <c r="F79" s="189">
        <v>125</v>
      </c>
      <c r="G79" s="189"/>
      <c r="H79" s="189"/>
      <c r="I79" s="189"/>
      <c r="J79" s="189"/>
      <c r="K79" s="189"/>
      <c r="L79" s="189"/>
      <c r="M79" s="189"/>
      <c r="N79" s="189"/>
    </row>
    <row r="80" spans="1:17" ht="18" customHeight="1" thickBot="1" x14ac:dyDescent="0.4">
      <c r="B80" s="684">
        <f>+F80</f>
        <v>250</v>
      </c>
      <c r="C80" s="684"/>
      <c r="D80" s="684"/>
      <c r="F80" s="710">
        <f>SUM(F78:F79)</f>
        <v>250</v>
      </c>
      <c r="G80" s="191"/>
      <c r="H80" s="191"/>
      <c r="I80" s="191"/>
      <c r="J80" s="191"/>
      <c r="K80" s="191"/>
      <c r="L80" s="191"/>
      <c r="M80" s="191"/>
      <c r="N80" s="731"/>
    </row>
    <row r="81" spans="1:14" ht="18" customHeight="1" x14ac:dyDescent="0.35">
      <c r="F81" s="189"/>
      <c r="G81" s="189"/>
      <c r="H81" s="189"/>
      <c r="I81" s="189"/>
      <c r="J81" s="189"/>
      <c r="K81" s="189"/>
      <c r="L81" s="189"/>
      <c r="M81" s="189"/>
      <c r="N81" s="189"/>
    </row>
    <row r="82" spans="1:14" ht="18" customHeight="1" x14ac:dyDescent="0.35">
      <c r="A82" s="685">
        <v>46038</v>
      </c>
      <c r="E82" s="692" t="s">
        <v>2242</v>
      </c>
      <c r="F82" s="189">
        <v>120</v>
      </c>
      <c r="G82" s="189"/>
      <c r="H82" s="189"/>
      <c r="I82" s="189"/>
      <c r="J82" s="189"/>
      <c r="K82" s="189"/>
      <c r="L82" s="189"/>
      <c r="M82" s="189"/>
      <c r="N82" s="189">
        <v>5</v>
      </c>
    </row>
    <row r="83" spans="1:14" ht="18" customHeight="1" x14ac:dyDescent="0.35">
      <c r="E83" s="692" t="s">
        <v>2243</v>
      </c>
      <c r="F83" s="189"/>
      <c r="G83" s="189"/>
      <c r="H83" s="189"/>
      <c r="I83" s="189"/>
      <c r="J83" s="189"/>
      <c r="K83" s="189"/>
      <c r="L83" s="189"/>
      <c r="M83" s="189">
        <v>20</v>
      </c>
      <c r="N83" s="189"/>
    </row>
    <row r="84" spans="1:14" ht="18" customHeight="1" x14ac:dyDescent="0.35">
      <c r="E84" s="692" t="s">
        <v>2244</v>
      </c>
      <c r="F84" s="189"/>
      <c r="G84" s="189"/>
      <c r="H84" s="189"/>
      <c r="I84" s="189"/>
      <c r="J84" s="189"/>
      <c r="K84" s="189"/>
      <c r="L84" s="189"/>
      <c r="M84" s="189">
        <v>15</v>
      </c>
      <c r="N84" s="189"/>
    </row>
    <row r="85" spans="1:14" ht="18" customHeight="1" thickBot="1" x14ac:dyDescent="0.4">
      <c r="F85" s="189"/>
      <c r="G85" s="189"/>
      <c r="H85" s="189"/>
      <c r="I85" s="189"/>
      <c r="J85" s="189"/>
      <c r="K85" s="189"/>
      <c r="L85" s="189"/>
      <c r="M85" s="189"/>
      <c r="N85" s="189"/>
    </row>
    <row r="86" spans="1:14" ht="18" customHeight="1" thickBot="1" x14ac:dyDescent="0.4">
      <c r="B86" s="684">
        <f>+F86</f>
        <v>120</v>
      </c>
      <c r="C86" s="684">
        <f>+M86</f>
        <v>35</v>
      </c>
      <c r="D86" s="684"/>
      <c r="F86" s="710">
        <f>SUM(F82:F85)</f>
        <v>120</v>
      </c>
      <c r="G86" s="191"/>
      <c r="H86" s="191"/>
      <c r="I86" s="191"/>
      <c r="J86" s="191"/>
      <c r="K86" s="191"/>
      <c r="L86" s="191"/>
      <c r="M86" s="191">
        <f>SUM(M83:M85)</f>
        <v>35</v>
      </c>
      <c r="N86" s="731"/>
    </row>
    <row r="87" spans="1:14" ht="18" customHeight="1" x14ac:dyDescent="0.35">
      <c r="F87" s="189"/>
      <c r="G87" s="189"/>
      <c r="H87" s="189"/>
      <c r="I87" s="189"/>
      <c r="J87" s="189"/>
      <c r="K87" s="189"/>
      <c r="L87" s="189"/>
      <c r="M87" s="189"/>
      <c r="N87" s="189"/>
    </row>
    <row r="88" spans="1:14" ht="18" customHeight="1" x14ac:dyDescent="0.35">
      <c r="A88" s="685">
        <v>46039</v>
      </c>
      <c r="E88" s="692" t="s">
        <v>2245</v>
      </c>
      <c r="F88" s="189"/>
      <c r="G88" s="189"/>
      <c r="H88" s="189">
        <v>65</v>
      </c>
      <c r="I88" s="189">
        <v>30</v>
      </c>
      <c r="J88" s="189"/>
      <c r="K88" s="189"/>
      <c r="L88" s="189"/>
      <c r="M88" s="189"/>
      <c r="N88" s="189"/>
    </row>
    <row r="89" spans="1:14" ht="18" customHeight="1" thickBot="1" x14ac:dyDescent="0.4">
      <c r="E89" s="692" t="s">
        <v>2246</v>
      </c>
      <c r="F89" s="189">
        <v>35</v>
      </c>
      <c r="G89" s="189"/>
      <c r="H89" s="189"/>
      <c r="I89" s="189"/>
      <c r="J89" s="189"/>
      <c r="K89" s="189"/>
      <c r="L89" s="189"/>
      <c r="M89" s="189"/>
      <c r="N89" s="189"/>
    </row>
    <row r="90" spans="1:14" ht="18" customHeight="1" thickBot="1" x14ac:dyDescent="0.4">
      <c r="B90" s="684">
        <f>+F90+I90</f>
        <v>65</v>
      </c>
      <c r="C90" s="684"/>
      <c r="D90" s="684"/>
      <c r="F90" s="710">
        <f>SUM(F89)</f>
        <v>35</v>
      </c>
      <c r="G90" s="191"/>
      <c r="H90" s="191">
        <f>SUM(H88:H89)</f>
        <v>65</v>
      </c>
      <c r="I90" s="191">
        <f>SUM(I88:I89)</f>
        <v>30</v>
      </c>
      <c r="J90" s="191"/>
      <c r="K90" s="191"/>
      <c r="L90" s="191"/>
      <c r="M90" s="191"/>
      <c r="N90" s="731"/>
    </row>
    <row r="91" spans="1:14" ht="18" customHeight="1" x14ac:dyDescent="0.35">
      <c r="F91" s="189"/>
      <c r="G91" s="189"/>
      <c r="H91" s="189"/>
      <c r="I91" s="189"/>
      <c r="J91" s="189"/>
      <c r="K91" s="189"/>
      <c r="L91" s="189"/>
      <c r="M91" s="189"/>
      <c r="N91" s="189"/>
    </row>
    <row r="92" spans="1:14" ht="18" customHeight="1" x14ac:dyDescent="0.35">
      <c r="A92" s="685">
        <v>46041</v>
      </c>
      <c r="E92" s="692" t="s">
        <v>2166</v>
      </c>
      <c r="F92" s="189">
        <v>15</v>
      </c>
      <c r="G92" s="189"/>
      <c r="H92" s="189"/>
      <c r="I92" s="189"/>
      <c r="J92" s="189"/>
      <c r="K92" s="189"/>
      <c r="L92" s="189"/>
      <c r="M92" s="189"/>
      <c r="N92" s="189"/>
    </row>
    <row r="93" spans="1:14" ht="18" customHeight="1" x14ac:dyDescent="0.35">
      <c r="E93" s="692" t="s">
        <v>2247</v>
      </c>
      <c r="F93" s="189">
        <v>26</v>
      </c>
      <c r="G93" s="189"/>
      <c r="H93" s="189"/>
      <c r="I93" s="189"/>
      <c r="J93" s="189"/>
      <c r="K93" s="189"/>
      <c r="L93" s="189"/>
      <c r="M93" s="189"/>
      <c r="N93" s="189"/>
    </row>
    <row r="94" spans="1:14" ht="18" customHeight="1" x14ac:dyDescent="0.35">
      <c r="E94" s="692" t="s">
        <v>1904</v>
      </c>
      <c r="F94" s="189">
        <v>5</v>
      </c>
      <c r="G94" s="189"/>
      <c r="H94" s="189"/>
      <c r="I94" s="189"/>
      <c r="J94" s="189"/>
      <c r="K94" s="189"/>
      <c r="L94" s="189"/>
      <c r="M94" s="189"/>
      <c r="N94" s="189"/>
    </row>
    <row r="95" spans="1:14" ht="18" customHeight="1" thickBot="1" x14ac:dyDescent="0.4">
      <c r="F95" s="189"/>
      <c r="G95" s="189"/>
      <c r="H95" s="189"/>
      <c r="I95" s="189"/>
      <c r="J95" s="189"/>
      <c r="K95" s="189"/>
      <c r="L95" s="189"/>
      <c r="M95" s="189"/>
      <c r="N95" s="189"/>
    </row>
    <row r="96" spans="1:14" ht="18" customHeight="1" thickBot="1" x14ac:dyDescent="0.4">
      <c r="B96" s="684">
        <f>+F96</f>
        <v>46</v>
      </c>
      <c r="C96" s="684"/>
      <c r="D96" s="684"/>
      <c r="F96" s="710">
        <f>SUM(F92:F95)</f>
        <v>46</v>
      </c>
      <c r="G96" s="191"/>
      <c r="H96" s="191"/>
      <c r="I96" s="191"/>
      <c r="J96" s="191"/>
      <c r="K96" s="191"/>
      <c r="L96" s="191"/>
      <c r="M96" s="191"/>
      <c r="N96" s="731"/>
    </row>
    <row r="97" spans="1:14" ht="18" customHeight="1" x14ac:dyDescent="0.35">
      <c r="F97" s="189"/>
      <c r="G97" s="189"/>
      <c r="H97" s="189"/>
      <c r="I97" s="189"/>
      <c r="J97" s="189"/>
      <c r="K97" s="189"/>
      <c r="L97" s="189"/>
      <c r="M97" s="189"/>
      <c r="N97" s="189"/>
    </row>
    <row r="98" spans="1:14" ht="18" customHeight="1" x14ac:dyDescent="0.35">
      <c r="A98" s="685">
        <v>46042</v>
      </c>
      <c r="E98" s="339" t="s">
        <v>2249</v>
      </c>
      <c r="F98" s="189"/>
      <c r="G98" s="189"/>
      <c r="H98" s="189"/>
      <c r="I98" s="189"/>
      <c r="J98" s="189"/>
      <c r="K98" s="189"/>
      <c r="L98" s="189"/>
      <c r="M98" s="189"/>
      <c r="N98" s="189"/>
    </row>
    <row r="99" spans="1:14" ht="18" customHeight="1" x14ac:dyDescent="0.35">
      <c r="E99" s="692" t="s">
        <v>2248</v>
      </c>
      <c r="F99" s="189"/>
      <c r="G99" s="189"/>
      <c r="H99" s="189">
        <v>180</v>
      </c>
      <c r="I99" s="189">
        <v>100</v>
      </c>
      <c r="J99" s="189"/>
      <c r="K99" s="189"/>
      <c r="L99" s="189"/>
      <c r="M99" s="189"/>
      <c r="N99" s="189"/>
    </row>
    <row r="100" spans="1:14" ht="18" customHeight="1" x14ac:dyDescent="0.35">
      <c r="E100" s="692" t="s">
        <v>2250</v>
      </c>
      <c r="F100" s="189"/>
      <c r="G100" s="189"/>
      <c r="H100" s="189">
        <v>15</v>
      </c>
      <c r="I100" s="189"/>
      <c r="J100" s="189"/>
      <c r="K100" s="189"/>
      <c r="L100" s="189"/>
      <c r="M100" s="189"/>
      <c r="N100" s="189"/>
    </row>
    <row r="101" spans="1:14" ht="18" customHeight="1" thickBot="1" x14ac:dyDescent="0.4">
      <c r="F101" s="189"/>
      <c r="G101" s="189"/>
      <c r="H101" s="189"/>
      <c r="I101" s="189"/>
      <c r="J101" s="189"/>
      <c r="K101" s="189"/>
      <c r="L101" s="189"/>
      <c r="M101" s="189"/>
      <c r="N101" s="189"/>
    </row>
    <row r="102" spans="1:14" ht="18" customHeight="1" thickBot="1" x14ac:dyDescent="0.4">
      <c r="B102" s="684">
        <f>+I102</f>
        <v>100</v>
      </c>
      <c r="C102" s="684"/>
      <c r="D102" s="684"/>
      <c r="F102" s="710"/>
      <c r="G102" s="191"/>
      <c r="H102" s="191">
        <f>SUM(H99:H101)</f>
        <v>195</v>
      </c>
      <c r="I102" s="191">
        <f>SUM(I99:I101)</f>
        <v>100</v>
      </c>
      <c r="J102" s="191"/>
      <c r="K102" s="191"/>
      <c r="L102" s="191"/>
      <c r="M102" s="191"/>
      <c r="N102" s="731"/>
    </row>
    <row r="103" spans="1:14" ht="18" customHeight="1" x14ac:dyDescent="0.35">
      <c r="F103" s="189"/>
      <c r="G103" s="189"/>
      <c r="H103" s="189"/>
      <c r="I103" s="189"/>
      <c r="J103" s="189"/>
      <c r="K103" s="189"/>
      <c r="L103" s="189"/>
      <c r="M103" s="189"/>
      <c r="N103" s="189"/>
    </row>
    <row r="104" spans="1:14" ht="18" customHeight="1" x14ac:dyDescent="0.35">
      <c r="A104" s="685">
        <v>46043</v>
      </c>
      <c r="E104" s="692" t="s">
        <v>2251</v>
      </c>
      <c r="F104" s="189"/>
      <c r="G104" s="189">
        <v>150</v>
      </c>
      <c r="H104" s="189"/>
      <c r="I104" s="189"/>
      <c r="J104" s="189"/>
      <c r="K104" s="189"/>
      <c r="L104" s="189"/>
      <c r="M104" s="189"/>
      <c r="N104" s="189"/>
    </row>
    <row r="105" spans="1:14" ht="18" customHeight="1" x14ac:dyDescent="0.35">
      <c r="E105" s="692" t="s">
        <v>2252</v>
      </c>
      <c r="F105" s="189"/>
      <c r="G105" s="189">
        <v>65</v>
      </c>
      <c r="H105" s="189"/>
      <c r="I105" s="189"/>
      <c r="J105" s="189"/>
      <c r="K105" s="189"/>
      <c r="L105" s="189"/>
      <c r="M105" s="189"/>
      <c r="N105" s="189"/>
    </row>
    <row r="106" spans="1:14" ht="18" customHeight="1" x14ac:dyDescent="0.35">
      <c r="E106" s="692" t="s">
        <v>2253</v>
      </c>
      <c r="F106" s="189"/>
      <c r="G106" s="189">
        <v>80</v>
      </c>
      <c r="H106" s="189"/>
      <c r="I106" s="189"/>
      <c r="J106" s="189"/>
      <c r="K106" s="189"/>
      <c r="L106" s="189"/>
      <c r="M106" s="189"/>
      <c r="N106" s="189"/>
    </row>
    <row r="107" spans="1:14" ht="18" customHeight="1" x14ac:dyDescent="0.35">
      <c r="E107" s="692" t="s">
        <v>2254</v>
      </c>
      <c r="F107" s="189">
        <v>55</v>
      </c>
      <c r="G107" s="189"/>
      <c r="H107" s="189"/>
      <c r="I107" s="189"/>
      <c r="J107" s="189"/>
      <c r="K107" s="189"/>
      <c r="L107" s="189"/>
      <c r="M107" s="189"/>
      <c r="N107" s="189"/>
    </row>
    <row r="108" spans="1:14" ht="18" customHeight="1" x14ac:dyDescent="0.35">
      <c r="E108" s="688" t="s">
        <v>2255</v>
      </c>
      <c r="F108" s="189"/>
      <c r="G108" s="189"/>
      <c r="H108" s="189"/>
      <c r="I108" s="189"/>
      <c r="J108" s="189"/>
      <c r="K108" s="189"/>
      <c r="L108" s="189">
        <v>125</v>
      </c>
      <c r="M108" s="189"/>
      <c r="N108" s="189"/>
    </row>
    <row r="109" spans="1:14" ht="18" customHeight="1" x14ac:dyDescent="0.35">
      <c r="E109" s="688" t="s">
        <v>2256</v>
      </c>
      <c r="F109" s="189"/>
      <c r="G109" s="189"/>
      <c r="H109" s="189"/>
      <c r="I109" s="189"/>
      <c r="J109" s="189"/>
      <c r="K109" s="189">
        <v>180</v>
      </c>
      <c r="L109" s="189">
        <v>55</v>
      </c>
      <c r="M109" s="189"/>
      <c r="N109" s="189"/>
    </row>
    <row r="110" spans="1:14" ht="18" customHeight="1" x14ac:dyDescent="0.35">
      <c r="E110" s="688" t="s">
        <v>2269</v>
      </c>
      <c r="F110" s="189"/>
      <c r="G110" s="189"/>
      <c r="H110" s="189"/>
      <c r="I110" s="189"/>
      <c r="J110" s="189">
        <v>25</v>
      </c>
      <c r="K110" s="189"/>
      <c r="L110" s="189"/>
      <c r="M110" s="189"/>
      <c r="N110" s="189"/>
    </row>
    <row r="111" spans="1:14" ht="18" customHeight="1" x14ac:dyDescent="0.35">
      <c r="E111" s="688" t="s">
        <v>2271</v>
      </c>
      <c r="F111" s="189"/>
      <c r="G111" s="189"/>
      <c r="H111" s="189"/>
      <c r="I111" s="189"/>
      <c r="J111" s="189"/>
      <c r="K111" s="189"/>
      <c r="L111" s="189">
        <v>60</v>
      </c>
      <c r="M111" s="189"/>
      <c r="N111" s="189"/>
    </row>
    <row r="112" spans="1:14" ht="18" customHeight="1" x14ac:dyDescent="0.35">
      <c r="E112" s="688" t="s">
        <v>2272</v>
      </c>
      <c r="F112" s="189"/>
      <c r="G112" s="189"/>
      <c r="H112" s="189"/>
      <c r="I112" s="189"/>
      <c r="J112" s="189"/>
      <c r="K112" s="189"/>
      <c r="L112" s="189">
        <v>55</v>
      </c>
      <c r="M112" s="189"/>
      <c r="N112" s="189"/>
    </row>
    <row r="113" spans="1:14" ht="18" customHeight="1" thickBot="1" x14ac:dyDescent="0.4">
      <c r="E113" s="688" t="s">
        <v>2289</v>
      </c>
      <c r="F113" s="189">
        <v>60</v>
      </c>
      <c r="G113" s="189"/>
      <c r="H113" s="189"/>
      <c r="I113" s="189"/>
      <c r="J113" s="189"/>
      <c r="K113" s="189"/>
      <c r="L113" s="189"/>
      <c r="M113" s="189"/>
      <c r="N113" s="189"/>
    </row>
    <row r="114" spans="1:14" ht="18" customHeight="1" thickBot="1" x14ac:dyDescent="0.4">
      <c r="B114" s="684">
        <f>+F114+J114+L114</f>
        <v>435</v>
      </c>
      <c r="C114" s="684">
        <f>+G114</f>
        <v>295</v>
      </c>
      <c r="D114" s="684"/>
      <c r="F114" s="710">
        <f>SUM(F104:F113)</f>
        <v>115</v>
      </c>
      <c r="G114" s="710">
        <f>SUM(G104:G112)</f>
        <v>295</v>
      </c>
      <c r="H114" s="710">
        <f t="shared" ref="H114:N114" si="4">SUM(H104:H112)</f>
        <v>0</v>
      </c>
      <c r="I114" s="710">
        <f t="shared" si="4"/>
        <v>0</v>
      </c>
      <c r="J114" s="710">
        <f t="shared" si="4"/>
        <v>25</v>
      </c>
      <c r="K114" s="710">
        <f t="shared" si="4"/>
        <v>180</v>
      </c>
      <c r="L114" s="710">
        <f t="shared" si="4"/>
        <v>295</v>
      </c>
      <c r="M114" s="710">
        <f t="shared" si="4"/>
        <v>0</v>
      </c>
      <c r="N114" s="710">
        <f t="shared" si="4"/>
        <v>0</v>
      </c>
    </row>
    <row r="115" spans="1:14" ht="18" customHeight="1" thickBot="1" x14ac:dyDescent="0.4">
      <c r="F115" s="189"/>
      <c r="G115" s="189"/>
      <c r="H115" s="189"/>
      <c r="I115" s="189"/>
      <c r="J115" s="189"/>
      <c r="K115" s="189"/>
      <c r="L115" s="189"/>
      <c r="M115" s="189"/>
      <c r="N115" s="189"/>
    </row>
    <row r="116" spans="1:14" ht="18" customHeight="1" thickBot="1" x14ac:dyDescent="0.4">
      <c r="A116" s="685">
        <v>46044</v>
      </c>
      <c r="B116" s="684">
        <f>+F116</f>
        <v>40</v>
      </c>
      <c r="C116" s="684"/>
      <c r="D116" s="684"/>
      <c r="E116" s="692" t="s">
        <v>2290</v>
      </c>
      <c r="F116" s="710">
        <v>40</v>
      </c>
      <c r="G116" s="191"/>
      <c r="H116" s="191"/>
      <c r="I116" s="191"/>
      <c r="J116" s="191"/>
      <c r="K116" s="191"/>
      <c r="L116" s="191"/>
      <c r="M116" s="191"/>
      <c r="N116" s="731"/>
    </row>
    <row r="117" spans="1:14" ht="18" customHeight="1" x14ac:dyDescent="0.35">
      <c r="F117" s="189"/>
      <c r="G117" s="189"/>
      <c r="H117" s="189"/>
      <c r="I117" s="189"/>
      <c r="J117" s="189"/>
      <c r="K117" s="189"/>
      <c r="L117" s="189"/>
      <c r="M117" s="189"/>
      <c r="N117" s="189"/>
    </row>
    <row r="118" spans="1:14" ht="18" customHeight="1" x14ac:dyDescent="0.35">
      <c r="A118" s="685">
        <v>46045</v>
      </c>
      <c r="E118" s="692" t="s">
        <v>2291</v>
      </c>
      <c r="F118" s="189">
        <v>95</v>
      </c>
      <c r="G118" s="189"/>
      <c r="H118" s="189"/>
      <c r="I118" s="189"/>
      <c r="J118" s="189"/>
      <c r="K118" s="189"/>
      <c r="L118" s="189"/>
      <c r="M118" s="189"/>
      <c r="N118" s="189"/>
    </row>
    <row r="119" spans="1:14" ht="18" customHeight="1" x14ac:dyDescent="0.35">
      <c r="D119" s="693"/>
      <c r="E119" s="692" t="s">
        <v>2292</v>
      </c>
      <c r="F119" s="189">
        <v>125</v>
      </c>
      <c r="G119" s="189"/>
      <c r="H119" s="189"/>
      <c r="I119" s="189"/>
      <c r="J119" s="189"/>
      <c r="K119" s="189"/>
      <c r="L119" s="189"/>
      <c r="M119" s="189"/>
      <c r="N119" s="189"/>
    </row>
    <row r="120" spans="1:14" ht="18" customHeight="1" x14ac:dyDescent="0.35">
      <c r="E120" s="692" t="s">
        <v>2293</v>
      </c>
      <c r="F120" s="189">
        <v>30</v>
      </c>
      <c r="G120" s="189"/>
      <c r="H120" s="189"/>
      <c r="I120" s="189"/>
      <c r="J120" s="189"/>
      <c r="K120" s="189"/>
      <c r="L120" s="189"/>
      <c r="M120" s="189"/>
      <c r="N120" s="189"/>
    </row>
    <row r="121" spans="1:14" ht="18" customHeight="1" x14ac:dyDescent="0.35">
      <c r="E121" s="692" t="s">
        <v>2294</v>
      </c>
      <c r="F121" s="189">
        <v>125</v>
      </c>
      <c r="G121" s="189"/>
      <c r="H121" s="189"/>
      <c r="I121" s="189"/>
      <c r="J121" s="189"/>
      <c r="K121" s="189"/>
      <c r="L121" s="189"/>
      <c r="M121" s="189"/>
      <c r="N121" s="189"/>
    </row>
    <row r="122" spans="1:14" ht="18" customHeight="1" thickBot="1" x14ac:dyDescent="0.4">
      <c r="F122" s="189"/>
      <c r="G122" s="189"/>
      <c r="H122" s="189"/>
      <c r="I122" s="189"/>
      <c r="J122" s="189"/>
      <c r="K122" s="189"/>
      <c r="L122" s="189"/>
      <c r="M122" s="189"/>
      <c r="N122" s="189"/>
    </row>
    <row r="123" spans="1:14" ht="18" customHeight="1" thickBot="1" x14ac:dyDescent="0.4">
      <c r="B123" s="684">
        <f>+F123</f>
        <v>375</v>
      </c>
      <c r="C123" s="684">
        <f>+G123</f>
        <v>0</v>
      </c>
      <c r="D123" s="684">
        <f>+H123</f>
        <v>0</v>
      </c>
      <c r="F123" s="710">
        <f>SUM(F118:F122)</f>
        <v>375</v>
      </c>
      <c r="G123" s="191"/>
      <c r="H123" s="191"/>
      <c r="I123" s="191"/>
      <c r="J123" s="191"/>
      <c r="K123" s="191"/>
      <c r="L123" s="191"/>
      <c r="M123" s="191"/>
      <c r="N123" s="731"/>
    </row>
    <row r="124" spans="1:14" ht="18" customHeight="1" x14ac:dyDescent="0.35">
      <c r="F124" s="189"/>
      <c r="G124" s="189"/>
      <c r="H124" s="189"/>
      <c r="I124" s="189"/>
      <c r="J124" s="189"/>
      <c r="K124" s="189"/>
      <c r="L124" s="189"/>
      <c r="M124" s="189"/>
      <c r="N124" s="189"/>
    </row>
    <row r="125" spans="1:14" ht="18" customHeight="1" x14ac:dyDescent="0.35">
      <c r="A125" s="685">
        <v>46046</v>
      </c>
      <c r="E125" s="692" t="s">
        <v>2295</v>
      </c>
      <c r="F125" s="189">
        <v>55</v>
      </c>
      <c r="G125" s="189"/>
      <c r="H125" s="189"/>
      <c r="I125" s="189"/>
      <c r="J125" s="189"/>
      <c r="K125" s="189"/>
      <c r="L125" s="189"/>
      <c r="M125" s="189"/>
      <c r="N125" s="189"/>
    </row>
    <row r="126" spans="1:14" ht="18" customHeight="1" x14ac:dyDescent="0.35">
      <c r="E126" s="692" t="s">
        <v>2302</v>
      </c>
      <c r="F126" s="189"/>
      <c r="G126" s="189"/>
      <c r="H126" s="189">
        <v>65</v>
      </c>
      <c r="I126" s="189">
        <v>35</v>
      </c>
      <c r="J126" s="189"/>
      <c r="K126" s="189"/>
      <c r="L126" s="189"/>
      <c r="M126" s="189"/>
      <c r="N126" s="189"/>
    </row>
    <row r="127" spans="1:14" ht="18" customHeight="1" x14ac:dyDescent="0.35">
      <c r="E127" s="692" t="s">
        <v>2296</v>
      </c>
      <c r="F127" s="189">
        <v>35</v>
      </c>
      <c r="G127" s="189"/>
      <c r="H127" s="189"/>
      <c r="I127" s="189"/>
      <c r="J127" s="189"/>
      <c r="K127" s="189"/>
      <c r="L127" s="189"/>
      <c r="M127" s="189"/>
      <c r="N127" s="189"/>
    </row>
    <row r="128" spans="1:14" ht="18" customHeight="1" x14ac:dyDescent="0.35">
      <c r="E128" s="692" t="s">
        <v>2297</v>
      </c>
      <c r="F128" s="189"/>
      <c r="G128" s="189"/>
      <c r="H128" s="189"/>
      <c r="I128" s="189"/>
      <c r="J128" s="189"/>
      <c r="K128" s="189">
        <v>120</v>
      </c>
      <c r="L128" s="189">
        <v>100</v>
      </c>
      <c r="M128" s="189"/>
      <c r="N128" s="189"/>
    </row>
    <row r="129" spans="1:14" ht="18" customHeight="1" thickBot="1" x14ac:dyDescent="0.4">
      <c r="E129" s="692" t="s">
        <v>2306</v>
      </c>
      <c r="F129" s="189">
        <v>25</v>
      </c>
      <c r="G129" s="189"/>
      <c r="H129" s="189"/>
      <c r="I129" s="189"/>
      <c r="J129" s="189"/>
      <c r="K129" s="189"/>
      <c r="L129" s="189"/>
      <c r="M129" s="189"/>
      <c r="N129" s="189"/>
    </row>
    <row r="130" spans="1:14" ht="18" customHeight="1" thickBot="1" x14ac:dyDescent="0.4">
      <c r="B130" s="684">
        <f>+F130+I130+L130</f>
        <v>250</v>
      </c>
      <c r="C130" s="684"/>
      <c r="D130" s="684"/>
      <c r="F130" s="710">
        <f>SUM(F125:F129)</f>
        <v>115</v>
      </c>
      <c r="G130" s="710">
        <f t="shared" ref="G130:M130" si="5">SUM(G125:G129)</f>
        <v>0</v>
      </c>
      <c r="H130" s="710">
        <f t="shared" si="5"/>
        <v>65</v>
      </c>
      <c r="I130" s="710">
        <f t="shared" si="5"/>
        <v>35</v>
      </c>
      <c r="J130" s="710">
        <f t="shared" si="5"/>
        <v>0</v>
      </c>
      <c r="K130" s="710">
        <f t="shared" si="5"/>
        <v>120</v>
      </c>
      <c r="L130" s="710">
        <f t="shared" si="5"/>
        <v>100</v>
      </c>
      <c r="M130" s="710">
        <f t="shared" si="5"/>
        <v>0</v>
      </c>
      <c r="N130" s="731"/>
    </row>
    <row r="131" spans="1:14" ht="18" customHeight="1" x14ac:dyDescent="0.35">
      <c r="F131" s="189"/>
      <c r="G131" s="189"/>
      <c r="H131" s="189"/>
      <c r="I131" s="189"/>
      <c r="J131" s="189"/>
      <c r="K131" s="189"/>
      <c r="L131" s="189"/>
      <c r="M131" s="189"/>
      <c r="N131" s="189"/>
    </row>
    <row r="132" spans="1:14" ht="18" customHeight="1" x14ac:dyDescent="0.35">
      <c r="A132" s="685">
        <v>46199</v>
      </c>
      <c r="E132" s="692" t="s">
        <v>2309</v>
      </c>
      <c r="F132" s="189">
        <v>125</v>
      </c>
      <c r="G132" s="189"/>
      <c r="H132" s="189"/>
      <c r="I132" s="189"/>
      <c r="J132" s="189"/>
      <c r="K132" s="189"/>
      <c r="L132" s="189"/>
      <c r="M132" s="189"/>
      <c r="N132" s="189"/>
    </row>
    <row r="133" spans="1:14" ht="18" customHeight="1" x14ac:dyDescent="0.35">
      <c r="E133" s="692" t="s">
        <v>2310</v>
      </c>
      <c r="F133" s="189">
        <v>150</v>
      </c>
      <c r="G133" s="189"/>
      <c r="H133" s="189"/>
      <c r="I133" s="189"/>
      <c r="J133" s="189"/>
      <c r="K133" s="189"/>
      <c r="L133" s="189"/>
      <c r="M133" s="189"/>
      <c r="N133" s="189"/>
    </row>
    <row r="134" spans="1:14" ht="18" customHeight="1" x14ac:dyDescent="0.35">
      <c r="E134" s="692" t="s">
        <v>2311</v>
      </c>
      <c r="F134" s="189">
        <v>65</v>
      </c>
      <c r="G134" s="189"/>
      <c r="H134" s="189"/>
      <c r="I134" s="189"/>
      <c r="J134" s="189"/>
      <c r="K134" s="189"/>
      <c r="L134" s="189"/>
      <c r="M134" s="189"/>
      <c r="N134" s="189"/>
    </row>
    <row r="135" spans="1:14" ht="18" customHeight="1" x14ac:dyDescent="0.35">
      <c r="E135" s="692" t="s">
        <v>2312</v>
      </c>
      <c r="F135" s="189">
        <v>125</v>
      </c>
      <c r="G135" s="189"/>
      <c r="H135" s="189"/>
      <c r="I135" s="189"/>
      <c r="J135" s="189"/>
      <c r="K135" s="189"/>
      <c r="L135" s="189"/>
      <c r="M135" s="189"/>
      <c r="N135" s="189"/>
    </row>
    <row r="136" spans="1:14" ht="18" customHeight="1" x14ac:dyDescent="0.35">
      <c r="E136" s="692" t="s">
        <v>2313</v>
      </c>
      <c r="F136" s="189">
        <v>125</v>
      </c>
      <c r="G136" s="189"/>
      <c r="H136" s="189"/>
      <c r="I136" s="189"/>
      <c r="J136" s="189"/>
      <c r="K136" s="189"/>
      <c r="L136" s="189"/>
      <c r="M136" s="189"/>
      <c r="N136" s="189"/>
    </row>
    <row r="137" spans="1:14" ht="18" customHeight="1" thickBot="1" x14ac:dyDescent="0.4">
      <c r="E137" s="692" t="s">
        <v>2314</v>
      </c>
      <c r="F137" s="189">
        <v>15</v>
      </c>
      <c r="G137" s="189"/>
      <c r="H137" s="189"/>
      <c r="I137" s="189"/>
      <c r="J137" s="189"/>
      <c r="K137" s="189"/>
      <c r="L137" s="189"/>
      <c r="M137" s="189"/>
      <c r="N137" s="189"/>
    </row>
    <row r="138" spans="1:14" ht="18" customHeight="1" thickBot="1" x14ac:dyDescent="0.4">
      <c r="B138" s="684">
        <f>+F138</f>
        <v>605</v>
      </c>
      <c r="C138" s="684"/>
      <c r="D138" s="684"/>
      <c r="F138" s="710">
        <f>SUM(F132:F137)</f>
        <v>605</v>
      </c>
      <c r="G138" s="191"/>
      <c r="H138" s="191"/>
      <c r="I138" s="191"/>
      <c r="J138" s="191"/>
      <c r="K138" s="191"/>
      <c r="L138" s="191"/>
      <c r="M138" s="191"/>
      <c r="N138" s="731"/>
    </row>
    <row r="139" spans="1:14" ht="18" customHeight="1" x14ac:dyDescent="0.35">
      <c r="F139" s="189"/>
      <c r="G139" s="189"/>
      <c r="H139" s="189"/>
      <c r="I139" s="189"/>
      <c r="J139" s="189"/>
      <c r="K139" s="189"/>
      <c r="L139" s="189"/>
      <c r="M139" s="189"/>
      <c r="N139" s="189"/>
    </row>
    <row r="140" spans="1:14" ht="18" customHeight="1" x14ac:dyDescent="0.35">
      <c r="A140" s="685">
        <v>46049</v>
      </c>
      <c r="E140" s="692" t="s">
        <v>2331</v>
      </c>
      <c r="F140" s="189">
        <v>110</v>
      </c>
      <c r="G140" s="189"/>
      <c r="H140" s="189"/>
      <c r="I140" s="189"/>
      <c r="J140" s="189"/>
      <c r="K140" s="189"/>
      <c r="L140" s="189"/>
      <c r="M140" s="189"/>
      <c r="N140" s="189"/>
    </row>
    <row r="141" spans="1:14" ht="18" customHeight="1" x14ac:dyDescent="0.35">
      <c r="E141" s="692" t="s">
        <v>2332</v>
      </c>
      <c r="F141" s="189"/>
      <c r="G141" s="189"/>
      <c r="H141" s="189"/>
      <c r="I141" s="189"/>
      <c r="J141" s="189"/>
      <c r="K141" s="189">
        <v>100</v>
      </c>
      <c r="L141" s="189">
        <v>40</v>
      </c>
      <c r="M141" s="189"/>
      <c r="N141" s="189"/>
    </row>
    <row r="142" spans="1:14" ht="18" customHeight="1" x14ac:dyDescent="0.35">
      <c r="D142" s="771"/>
      <c r="E142" s="692" t="s">
        <v>2333</v>
      </c>
      <c r="F142" s="189">
        <v>80</v>
      </c>
      <c r="G142" s="189"/>
      <c r="H142" s="189"/>
      <c r="I142" s="189"/>
      <c r="J142" s="189"/>
      <c r="K142" s="189"/>
      <c r="L142" s="189"/>
      <c r="M142" s="189"/>
      <c r="N142" s="189"/>
    </row>
    <row r="143" spans="1:14" ht="18" customHeight="1" x14ac:dyDescent="0.35">
      <c r="D143" s="771"/>
      <c r="E143" s="692" t="s">
        <v>2334</v>
      </c>
      <c r="F143" s="189">
        <v>35</v>
      </c>
      <c r="G143" s="189"/>
      <c r="H143" s="189"/>
      <c r="I143" s="189"/>
      <c r="J143" s="189"/>
      <c r="K143" s="189"/>
      <c r="L143" s="189"/>
      <c r="M143" s="189"/>
      <c r="N143" s="189"/>
    </row>
    <row r="144" spans="1:14" ht="18" customHeight="1" x14ac:dyDescent="0.35">
      <c r="D144" s="771"/>
      <c r="E144" s="692" t="s">
        <v>2335</v>
      </c>
      <c r="F144" s="189">
        <v>30</v>
      </c>
      <c r="G144" s="189"/>
      <c r="H144" s="189"/>
      <c r="I144" s="189"/>
      <c r="J144" s="189"/>
      <c r="K144" s="189"/>
      <c r="L144" s="189"/>
      <c r="M144" s="189"/>
      <c r="N144" s="189"/>
    </row>
    <row r="145" spans="1:14" ht="18" customHeight="1" x14ac:dyDescent="0.35">
      <c r="D145" s="771"/>
      <c r="E145" s="692" t="s">
        <v>2336</v>
      </c>
      <c r="F145" s="189">
        <v>35</v>
      </c>
      <c r="G145" s="189"/>
      <c r="H145" s="189"/>
      <c r="I145" s="189"/>
      <c r="J145" s="189"/>
      <c r="K145" s="189"/>
      <c r="L145" s="189"/>
      <c r="M145" s="189"/>
      <c r="N145" s="189"/>
    </row>
    <row r="146" spans="1:14" ht="18" customHeight="1" thickBot="1" x14ac:dyDescent="0.4">
      <c r="D146" s="771"/>
      <c r="E146" s="692" t="s">
        <v>2341</v>
      </c>
      <c r="F146" s="189"/>
      <c r="G146" s="189"/>
      <c r="H146" s="189"/>
      <c r="I146" s="189"/>
      <c r="J146" s="189"/>
      <c r="K146" s="189"/>
      <c r="L146" s="189">
        <v>20</v>
      </c>
      <c r="M146" s="189"/>
      <c r="N146" s="189"/>
    </row>
    <row r="147" spans="1:14" ht="18" customHeight="1" thickBot="1" x14ac:dyDescent="0.4">
      <c r="B147" s="684">
        <f>+F147+L147</f>
        <v>350</v>
      </c>
      <c r="C147" s="684"/>
      <c r="D147" s="684"/>
      <c r="F147" s="710">
        <f>SUM(F140:F146)</f>
        <v>290</v>
      </c>
      <c r="G147" s="710">
        <f t="shared" ref="G147:N147" si="6">SUM(G140:G146)</f>
        <v>0</v>
      </c>
      <c r="H147" s="710">
        <f t="shared" si="6"/>
        <v>0</v>
      </c>
      <c r="I147" s="710">
        <f t="shared" si="6"/>
        <v>0</v>
      </c>
      <c r="J147" s="710">
        <f t="shared" si="6"/>
        <v>0</v>
      </c>
      <c r="K147" s="710">
        <f t="shared" si="6"/>
        <v>100</v>
      </c>
      <c r="L147" s="710">
        <f t="shared" si="6"/>
        <v>60</v>
      </c>
      <c r="M147" s="710">
        <f t="shared" si="6"/>
        <v>0</v>
      </c>
      <c r="N147" s="710">
        <f t="shared" si="6"/>
        <v>0</v>
      </c>
    </row>
    <row r="148" spans="1:14" ht="18" customHeight="1" x14ac:dyDescent="0.35">
      <c r="F148" s="189"/>
      <c r="G148" s="189"/>
      <c r="H148" s="189"/>
      <c r="I148" s="189"/>
      <c r="J148" s="189"/>
      <c r="K148" s="189"/>
      <c r="L148" s="189"/>
      <c r="M148" s="189"/>
      <c r="N148" s="189"/>
    </row>
    <row r="149" spans="1:14" ht="18" customHeight="1" x14ac:dyDescent="0.35">
      <c r="A149" s="685">
        <v>46050</v>
      </c>
      <c r="E149" s="692" t="s">
        <v>2340</v>
      </c>
      <c r="F149" s="189"/>
      <c r="G149" s="189"/>
      <c r="H149" s="189"/>
      <c r="I149" s="189"/>
      <c r="J149" s="189"/>
      <c r="K149" s="189"/>
      <c r="L149" s="189">
        <v>60</v>
      </c>
      <c r="M149" s="189"/>
      <c r="N149" s="189"/>
    </row>
    <row r="150" spans="1:14" ht="18" customHeight="1" thickBot="1" x14ac:dyDescent="0.4">
      <c r="D150" s="762"/>
      <c r="E150" s="692" t="s">
        <v>2361</v>
      </c>
      <c r="F150" s="189">
        <v>125</v>
      </c>
      <c r="G150" s="189"/>
      <c r="H150" s="189"/>
      <c r="I150" s="189"/>
      <c r="J150" s="189"/>
      <c r="K150" s="189"/>
      <c r="L150" s="189"/>
      <c r="M150" s="189"/>
      <c r="N150" s="189"/>
    </row>
    <row r="151" spans="1:14" ht="18" customHeight="1" thickBot="1" x14ac:dyDescent="0.4">
      <c r="B151" s="684">
        <f>+F151+L151</f>
        <v>185</v>
      </c>
      <c r="C151" s="684"/>
      <c r="D151" s="763"/>
      <c r="F151" s="710">
        <f>SUM(F150)</f>
        <v>125</v>
      </c>
      <c r="G151" s="191"/>
      <c r="H151" s="191"/>
      <c r="I151" s="191"/>
      <c r="J151" s="191"/>
      <c r="K151" s="191"/>
      <c r="L151" s="191">
        <f>SUM(L149:L150)</f>
        <v>60</v>
      </c>
      <c r="M151" s="191"/>
      <c r="N151" s="731"/>
    </row>
    <row r="152" spans="1:14" ht="18" customHeight="1" x14ac:dyDescent="0.35">
      <c r="D152" s="762"/>
      <c r="F152" s="189"/>
      <c r="G152" s="189"/>
      <c r="H152" s="189"/>
      <c r="I152" s="189"/>
      <c r="J152" s="189"/>
      <c r="K152" s="189"/>
      <c r="L152" s="189"/>
      <c r="M152" s="189"/>
      <c r="N152" s="189"/>
    </row>
    <row r="153" spans="1:14" ht="18" customHeight="1" x14ac:dyDescent="0.35">
      <c r="A153" s="685">
        <v>46051</v>
      </c>
      <c r="E153" s="692" t="s">
        <v>2362</v>
      </c>
      <c r="F153" s="189"/>
      <c r="G153" s="189"/>
      <c r="H153" s="189"/>
      <c r="I153" s="189"/>
      <c r="J153" s="189"/>
      <c r="K153" s="189"/>
      <c r="L153" s="189">
        <v>100</v>
      </c>
      <c r="M153" s="189"/>
      <c r="N153" s="189"/>
    </row>
    <row r="154" spans="1:14" ht="18" customHeight="1" x14ac:dyDescent="0.35">
      <c r="E154" s="741" t="s">
        <v>3159</v>
      </c>
      <c r="F154" s="189"/>
      <c r="G154" s="189"/>
      <c r="H154" s="189"/>
      <c r="I154" s="189"/>
      <c r="J154" s="189"/>
      <c r="K154" s="189"/>
      <c r="L154" s="189"/>
      <c r="M154" s="189"/>
      <c r="N154" s="189"/>
    </row>
    <row r="155" spans="1:14" ht="18" customHeight="1" x14ac:dyDescent="0.35">
      <c r="E155" s="733" t="s">
        <v>2363</v>
      </c>
      <c r="F155" s="189"/>
      <c r="G155" s="189"/>
      <c r="H155" s="189"/>
      <c r="I155" s="189"/>
      <c r="J155" s="189"/>
      <c r="K155" s="189"/>
      <c r="L155" s="189"/>
      <c r="M155" s="189"/>
      <c r="N155" s="189"/>
    </row>
    <row r="156" spans="1:14" ht="18" customHeight="1" x14ac:dyDescent="0.35">
      <c r="E156" s="733" t="s">
        <v>2364</v>
      </c>
      <c r="F156" s="189"/>
      <c r="G156" s="189"/>
      <c r="H156" s="189"/>
      <c r="I156" s="189"/>
      <c r="J156" s="189"/>
      <c r="K156" s="189"/>
      <c r="L156" s="189"/>
      <c r="M156" s="189"/>
      <c r="N156" s="189"/>
    </row>
    <row r="157" spans="1:14" ht="18" customHeight="1" x14ac:dyDescent="0.35">
      <c r="E157" s="733" t="s">
        <v>2365</v>
      </c>
      <c r="F157" s="189"/>
      <c r="G157" s="189"/>
      <c r="H157" s="189"/>
      <c r="I157" s="189"/>
      <c r="J157" s="189"/>
      <c r="K157" s="189"/>
      <c r="L157" s="189"/>
      <c r="M157" s="189"/>
      <c r="N157" s="189"/>
    </row>
    <row r="158" spans="1:14" ht="18" customHeight="1" x14ac:dyDescent="0.35">
      <c r="E158" s="733" t="s">
        <v>2366</v>
      </c>
      <c r="F158" s="189"/>
      <c r="G158" s="189"/>
      <c r="H158" s="189"/>
      <c r="I158" s="189"/>
      <c r="J158" s="189"/>
      <c r="K158" s="189"/>
      <c r="L158" s="189"/>
      <c r="M158" s="189"/>
      <c r="N158" s="189"/>
    </row>
    <row r="159" spans="1:14" ht="18" customHeight="1" x14ac:dyDescent="0.35">
      <c r="E159" s="733" t="s">
        <v>2367</v>
      </c>
      <c r="F159" s="136"/>
      <c r="G159" s="136"/>
      <c r="H159" s="11"/>
      <c r="I159" s="136"/>
      <c r="J159" s="136"/>
      <c r="K159" s="189"/>
      <c r="L159" s="189"/>
      <c r="M159" s="189"/>
      <c r="N159" s="189"/>
    </row>
    <row r="160" spans="1:14" ht="18" customHeight="1" thickBot="1" x14ac:dyDescent="0.4">
      <c r="E160" s="692" t="s">
        <v>2368</v>
      </c>
      <c r="F160" s="136"/>
      <c r="G160" s="189"/>
      <c r="H160" s="189"/>
      <c r="I160" s="189"/>
      <c r="J160" s="189"/>
      <c r="K160" s="189">
        <v>125</v>
      </c>
      <c r="L160" s="189"/>
      <c r="M160" s="189"/>
      <c r="N160" s="189"/>
    </row>
    <row r="161" spans="1:14" ht="18" customHeight="1" thickBot="1" x14ac:dyDescent="0.4">
      <c r="B161" s="684">
        <f>+L161</f>
        <v>100</v>
      </c>
      <c r="C161" s="684"/>
      <c r="D161" s="684"/>
      <c r="F161" s="686">
        <f t="shared" ref="F161:N161" si="7">SUM(F153:F160)</f>
        <v>0</v>
      </c>
      <c r="G161" s="686">
        <f t="shared" si="7"/>
        <v>0</v>
      </c>
      <c r="H161" s="686">
        <f t="shared" si="7"/>
        <v>0</v>
      </c>
      <c r="I161" s="686">
        <f t="shared" si="7"/>
        <v>0</v>
      </c>
      <c r="J161" s="686">
        <f t="shared" si="7"/>
        <v>0</v>
      </c>
      <c r="K161" s="686">
        <f t="shared" si="7"/>
        <v>125</v>
      </c>
      <c r="L161" s="686">
        <f t="shared" si="7"/>
        <v>100</v>
      </c>
      <c r="M161" s="686">
        <f t="shared" si="7"/>
        <v>0</v>
      </c>
      <c r="N161" s="686">
        <f t="shared" si="7"/>
        <v>0</v>
      </c>
    </row>
    <row r="162" spans="1:14" ht="18" customHeight="1" x14ac:dyDescent="0.35">
      <c r="F162" s="136"/>
      <c r="G162" s="136"/>
      <c r="H162" s="136"/>
      <c r="I162" s="136"/>
      <c r="J162" s="136"/>
      <c r="K162" s="136"/>
      <c r="L162" s="136"/>
      <c r="M162" s="136"/>
      <c r="N162" s="136"/>
    </row>
    <row r="163" spans="1:14" ht="18" customHeight="1" x14ac:dyDescent="0.35">
      <c r="A163" s="685">
        <v>46052</v>
      </c>
      <c r="E163" s="692" t="s">
        <v>2371</v>
      </c>
      <c r="F163" s="136"/>
      <c r="G163" s="136"/>
      <c r="H163" s="136"/>
      <c r="I163" s="136"/>
      <c r="J163" s="136"/>
      <c r="K163" s="136">
        <v>160</v>
      </c>
      <c r="L163" s="136">
        <v>10</v>
      </c>
      <c r="M163" s="136"/>
      <c r="N163" s="136"/>
    </row>
    <row r="164" spans="1:14" ht="18" customHeight="1" x14ac:dyDescent="0.35">
      <c r="E164" s="692" t="s">
        <v>2372</v>
      </c>
      <c r="F164" s="136">
        <v>25</v>
      </c>
      <c r="G164" s="136"/>
      <c r="H164" s="136"/>
      <c r="I164" s="136"/>
      <c r="J164" s="136"/>
      <c r="K164" s="136"/>
      <c r="L164" s="136"/>
      <c r="M164" s="136"/>
      <c r="N164" s="136"/>
    </row>
    <row r="165" spans="1:14" ht="18" customHeight="1" x14ac:dyDescent="0.35">
      <c r="E165" s="692" t="s">
        <v>2373</v>
      </c>
      <c r="F165" s="136">
        <v>25</v>
      </c>
      <c r="G165" s="136"/>
      <c r="H165" s="136"/>
      <c r="I165" s="136"/>
      <c r="J165" s="136"/>
      <c r="K165" s="136"/>
      <c r="L165" s="136"/>
      <c r="M165" s="136"/>
      <c r="N165" s="136"/>
    </row>
    <row r="166" spans="1:14" ht="18" customHeight="1" x14ac:dyDescent="0.35">
      <c r="E166" s="692" t="s">
        <v>2374</v>
      </c>
      <c r="F166" s="136">
        <v>15</v>
      </c>
      <c r="G166" s="136"/>
      <c r="H166" s="136"/>
      <c r="I166" s="136"/>
      <c r="J166" s="136"/>
      <c r="K166" s="136"/>
      <c r="L166" s="136"/>
      <c r="M166" s="136"/>
      <c r="N166" s="136"/>
    </row>
    <row r="167" spans="1:14" ht="18" customHeight="1" x14ac:dyDescent="0.35">
      <c r="E167" s="692" t="s">
        <v>2375</v>
      </c>
      <c r="F167" s="136">
        <v>5</v>
      </c>
      <c r="G167" s="136"/>
      <c r="H167" s="136"/>
      <c r="I167" s="136"/>
      <c r="J167" s="136"/>
      <c r="K167" s="136"/>
      <c r="L167" s="136"/>
      <c r="M167" s="136"/>
      <c r="N167" s="136"/>
    </row>
    <row r="168" spans="1:14" ht="18" customHeight="1" x14ac:dyDescent="0.35">
      <c r="E168" s="688" t="s">
        <v>2384</v>
      </c>
      <c r="F168" s="141"/>
      <c r="G168" s="141"/>
      <c r="H168" s="141"/>
      <c r="I168" s="141"/>
      <c r="J168" s="141"/>
      <c r="K168" s="141"/>
      <c r="L168" s="141"/>
      <c r="M168" s="141"/>
      <c r="N168" s="141"/>
    </row>
    <row r="169" spans="1:14" ht="18" customHeight="1" x14ac:dyDescent="0.35">
      <c r="E169" s="692" t="s">
        <v>2385</v>
      </c>
      <c r="F169" s="141"/>
      <c r="G169" s="141"/>
      <c r="H169" s="141"/>
      <c r="I169" s="141"/>
      <c r="J169" s="141"/>
      <c r="K169" s="141">
        <v>150</v>
      </c>
      <c r="L169" s="141"/>
      <c r="M169" s="141"/>
      <c r="N169" s="141"/>
    </row>
    <row r="170" spans="1:14" ht="18" customHeight="1" x14ac:dyDescent="0.35">
      <c r="E170" s="692" t="s">
        <v>2386</v>
      </c>
      <c r="F170" s="141"/>
      <c r="G170" s="141"/>
      <c r="H170" s="141"/>
      <c r="I170" s="141"/>
      <c r="J170" s="141"/>
      <c r="K170" s="141">
        <v>55</v>
      </c>
      <c r="L170" s="141"/>
      <c r="M170" s="141"/>
      <c r="N170" s="141"/>
    </row>
    <row r="171" spans="1:14" ht="18" customHeight="1" x14ac:dyDescent="0.35">
      <c r="E171" s="688" t="s">
        <v>2383</v>
      </c>
      <c r="F171" s="136">
        <v>90</v>
      </c>
      <c r="G171" s="136"/>
      <c r="H171" s="136"/>
      <c r="I171" s="136"/>
      <c r="J171" s="136"/>
      <c r="K171" s="136"/>
      <c r="L171" s="136"/>
      <c r="M171" s="136"/>
      <c r="N171" s="136"/>
    </row>
    <row r="172" spans="1:14" ht="18" customHeight="1" x14ac:dyDescent="0.35">
      <c r="E172" s="692" t="s">
        <v>2387</v>
      </c>
      <c r="F172" s="141"/>
      <c r="G172" s="141"/>
      <c r="H172" s="141">
        <v>25</v>
      </c>
      <c r="I172" s="141"/>
      <c r="J172" s="141"/>
      <c r="K172" s="141"/>
      <c r="L172" s="141"/>
      <c r="M172" s="141"/>
      <c r="N172" s="141"/>
    </row>
    <row r="173" spans="1:14" ht="18" customHeight="1" x14ac:dyDescent="0.35">
      <c r="E173" s="692" t="s">
        <v>2388</v>
      </c>
      <c r="F173" s="141"/>
      <c r="G173" s="141"/>
      <c r="H173" s="141">
        <v>35</v>
      </c>
      <c r="I173" s="141"/>
      <c r="J173" s="141"/>
      <c r="K173" s="141"/>
      <c r="L173" s="141"/>
      <c r="M173" s="141"/>
      <c r="N173" s="141"/>
    </row>
    <row r="174" spans="1:14" ht="18" customHeight="1" x14ac:dyDescent="0.35">
      <c r="E174" s="692" t="s">
        <v>2389</v>
      </c>
      <c r="F174" s="141"/>
      <c r="G174" s="141"/>
      <c r="H174" s="141">
        <v>65</v>
      </c>
      <c r="I174" s="141"/>
      <c r="J174" s="141"/>
      <c r="K174" s="141"/>
      <c r="L174" s="141"/>
      <c r="M174" s="141"/>
      <c r="N174" s="141"/>
    </row>
    <row r="175" spans="1:14" ht="18" customHeight="1" x14ac:dyDescent="0.35">
      <c r="E175" s="692" t="s">
        <v>2390</v>
      </c>
      <c r="F175" s="141"/>
      <c r="G175" s="141"/>
      <c r="H175" s="141">
        <v>65</v>
      </c>
      <c r="I175" s="141"/>
      <c r="J175" s="141"/>
      <c r="K175" s="141"/>
      <c r="L175" s="141"/>
      <c r="M175" s="141"/>
      <c r="N175" s="141"/>
    </row>
    <row r="176" spans="1:14" ht="18" customHeight="1" x14ac:dyDescent="0.35">
      <c r="D176" s="922"/>
      <c r="E176" s="692" t="s">
        <v>2410</v>
      </c>
      <c r="F176" s="141">
        <v>110</v>
      </c>
      <c r="G176" s="141"/>
      <c r="H176" s="141"/>
      <c r="I176" s="141"/>
      <c r="J176" s="141"/>
      <c r="K176" s="141"/>
      <c r="L176" s="141"/>
      <c r="M176" s="141"/>
      <c r="N176" s="141"/>
    </row>
    <row r="177" spans="1:14" ht="18" customHeight="1" x14ac:dyDescent="0.35">
      <c r="E177" s="692" t="s">
        <v>2391</v>
      </c>
      <c r="F177" s="141">
        <v>30</v>
      </c>
      <c r="G177" s="141"/>
      <c r="H177" s="141"/>
      <c r="I177" s="141"/>
      <c r="J177" s="141"/>
      <c r="K177" s="141"/>
      <c r="L177" s="141"/>
      <c r="M177" s="141"/>
      <c r="N177" s="141"/>
    </row>
    <row r="178" spans="1:14" ht="18" customHeight="1" x14ac:dyDescent="0.35">
      <c r="E178" s="692" t="s">
        <v>2394</v>
      </c>
      <c r="F178" s="141">
        <v>35</v>
      </c>
      <c r="G178" s="141"/>
      <c r="H178" s="141"/>
      <c r="I178" s="141"/>
      <c r="J178" s="141"/>
      <c r="K178" s="141"/>
      <c r="L178" s="141"/>
      <c r="M178" s="141"/>
      <c r="N178" s="141"/>
    </row>
    <row r="179" spans="1:14" ht="18" customHeight="1" thickBot="1" x14ac:dyDescent="0.4">
      <c r="D179" s="922"/>
      <c r="E179" s="692" t="s">
        <v>2395</v>
      </c>
      <c r="F179" s="141">
        <v>35</v>
      </c>
      <c r="G179" s="141"/>
      <c r="H179" s="141"/>
      <c r="I179" s="141"/>
      <c r="J179" s="141"/>
      <c r="K179" s="141"/>
      <c r="L179" s="141"/>
      <c r="M179" s="141"/>
      <c r="N179" s="141"/>
    </row>
    <row r="180" spans="1:14" ht="18" customHeight="1" thickBot="1" x14ac:dyDescent="0.4">
      <c r="B180" s="684">
        <f>+F180+L180</f>
        <v>380</v>
      </c>
      <c r="C180" s="684"/>
      <c r="D180" s="684"/>
      <c r="F180" s="686">
        <f>SUM(F164:F179)</f>
        <v>370</v>
      </c>
      <c r="G180" s="30"/>
      <c r="H180" s="30">
        <f>SUM(H172:H177)</f>
        <v>190</v>
      </c>
      <c r="I180" s="30"/>
      <c r="J180" s="30"/>
      <c r="K180" s="30">
        <f>SUM(K163:K171)</f>
        <v>365</v>
      </c>
      <c r="L180" s="30">
        <f>SUM(L163:L171)</f>
        <v>10</v>
      </c>
      <c r="M180" s="30"/>
      <c r="N180" s="770"/>
    </row>
    <row r="181" spans="1:14" ht="18" customHeight="1" x14ac:dyDescent="0.35">
      <c r="F181" s="136"/>
      <c r="G181" s="136"/>
      <c r="H181" s="136"/>
      <c r="I181" s="136"/>
      <c r="J181" s="136"/>
      <c r="K181" s="136"/>
      <c r="L181" s="136"/>
      <c r="M181" s="136"/>
      <c r="N181" s="136"/>
    </row>
    <row r="182" spans="1:14" ht="18" customHeight="1" x14ac:dyDescent="0.35">
      <c r="A182" s="685">
        <v>46053</v>
      </c>
      <c r="E182" s="692" t="s">
        <v>2392</v>
      </c>
      <c r="F182" s="136">
        <v>25</v>
      </c>
      <c r="G182" s="141"/>
      <c r="H182" s="136"/>
      <c r="I182" s="136"/>
      <c r="J182" s="136"/>
      <c r="K182" s="136"/>
      <c r="L182" s="136"/>
      <c r="M182" s="136"/>
      <c r="N182" s="136"/>
    </row>
    <row r="183" spans="1:14" ht="18" customHeight="1" x14ac:dyDescent="0.35">
      <c r="E183" s="692" t="s">
        <v>2393</v>
      </c>
      <c r="F183" s="136">
        <v>55</v>
      </c>
      <c r="G183" s="136"/>
      <c r="H183" s="136"/>
      <c r="I183" s="136"/>
      <c r="J183" s="136"/>
      <c r="K183" s="136"/>
      <c r="L183" s="136"/>
      <c r="M183" s="136"/>
      <c r="N183" s="136"/>
    </row>
    <row r="184" spans="1:14" ht="18" customHeight="1" x14ac:dyDescent="0.35">
      <c r="E184" s="692" t="s">
        <v>2376</v>
      </c>
      <c r="F184" s="136">
        <v>65</v>
      </c>
      <c r="G184" s="136"/>
      <c r="H184" s="136"/>
      <c r="I184" s="136"/>
      <c r="J184" s="136"/>
      <c r="K184" s="136"/>
      <c r="L184" s="136"/>
      <c r="M184" s="136"/>
      <c r="N184" s="136"/>
    </row>
    <row r="185" spans="1:14" ht="18" customHeight="1" x14ac:dyDescent="0.35">
      <c r="E185" s="692" t="s">
        <v>2377</v>
      </c>
      <c r="F185" s="136"/>
      <c r="G185" s="136"/>
      <c r="H185" s="136"/>
      <c r="I185" s="136"/>
      <c r="J185" s="136"/>
      <c r="K185" s="136">
        <v>140</v>
      </c>
      <c r="L185" s="136"/>
      <c r="M185" s="136"/>
      <c r="N185" s="136">
        <v>10</v>
      </c>
    </row>
    <row r="186" spans="1:14" ht="18" customHeight="1" thickBot="1" x14ac:dyDescent="0.4">
      <c r="E186" s="692" t="s">
        <v>2378</v>
      </c>
      <c r="F186" s="136">
        <v>150</v>
      </c>
      <c r="G186" s="136"/>
      <c r="H186" s="136"/>
      <c r="I186" s="136"/>
      <c r="J186" s="136"/>
      <c r="K186" s="136"/>
      <c r="L186" s="136"/>
      <c r="M186" s="136"/>
      <c r="N186" s="136"/>
    </row>
    <row r="187" spans="1:14" ht="18" customHeight="1" thickBot="1" x14ac:dyDescent="0.4">
      <c r="B187" s="684">
        <f>+F187</f>
        <v>295</v>
      </c>
      <c r="C187" s="684"/>
      <c r="D187" s="684"/>
      <c r="F187" s="686">
        <f>SUM(F182:F186)</f>
        <v>295</v>
      </c>
      <c r="G187" s="686">
        <f t="shared" ref="G187:N187" si="8">SUM(G182:G186)</f>
        <v>0</v>
      </c>
      <c r="H187" s="686">
        <f t="shared" si="8"/>
        <v>0</v>
      </c>
      <c r="I187" s="686">
        <f t="shared" si="8"/>
        <v>0</v>
      </c>
      <c r="J187" s="686">
        <f t="shared" si="8"/>
        <v>0</v>
      </c>
      <c r="K187" s="686">
        <f t="shared" si="8"/>
        <v>140</v>
      </c>
      <c r="L187" s="686">
        <f t="shared" si="8"/>
        <v>0</v>
      </c>
      <c r="M187" s="686">
        <f t="shared" si="8"/>
        <v>0</v>
      </c>
      <c r="N187" s="686">
        <f t="shared" si="8"/>
        <v>10</v>
      </c>
    </row>
    <row r="189" spans="1:14" ht="18" customHeight="1" thickBot="1" x14ac:dyDescent="0.4"/>
    <row r="190" spans="1:14" customFormat="1" ht="36" customHeight="1" thickBot="1" x14ac:dyDescent="0.4">
      <c r="B190" s="705" t="s">
        <v>1820</v>
      </c>
      <c r="C190" s="776" t="s">
        <v>2127</v>
      </c>
      <c r="D190" s="703"/>
      <c r="F190" s="698"/>
      <c r="K190" s="244"/>
    </row>
    <row r="191" spans="1:14" customFormat="1" ht="16" thickBot="1" x14ac:dyDescent="0.4">
      <c r="A191" s="699" t="s">
        <v>2128</v>
      </c>
      <c r="B191" s="701">
        <f>+B9+B14+B18+B25+B31+B45+B49+B60+B67+B74+B80+B86+B90+B96+B102+B114+B116+B123+B130+B138+B147+B151+B161+B180+B187</f>
        <v>4962</v>
      </c>
      <c r="C191" s="701">
        <f>+C9+C14+C18+C25+C31+C45+C49+C60+C67+C74+C80+C86+C90+C96+C102+C114+C116+C123+C130+C138+C147+C151+C161+C180+C187</f>
        <v>680</v>
      </c>
      <c r="D191" s="48"/>
      <c r="F191" s="782">
        <f>+F9+F14+F18+F25+F31+F45+F49+F60+F67+F74+F80+F86+F90+F96+F102+F114+F116+F123+F130+F138+F147+F151+F161+F180+F187</f>
        <v>3731</v>
      </c>
      <c r="G191" s="782">
        <f t="shared" ref="G191:N191" si="9">+G9+G14+G18+G25+G31+G45+G49+G60+G67+G74+G80+G86+G90+G96+G102+G114+G116+G123+G130+G138+G147+G151+G161+G180+G187</f>
        <v>886</v>
      </c>
      <c r="H191" s="782">
        <f t="shared" si="9"/>
        <v>795</v>
      </c>
      <c r="I191" s="782">
        <f t="shared" si="9"/>
        <v>275</v>
      </c>
      <c r="J191" s="782">
        <f t="shared" si="9"/>
        <v>90</v>
      </c>
      <c r="K191" s="782">
        <f t="shared" si="9"/>
        <v>1385</v>
      </c>
      <c r="L191" s="782">
        <f t="shared" si="9"/>
        <v>625</v>
      </c>
      <c r="M191" s="782">
        <f t="shared" si="9"/>
        <v>35</v>
      </c>
      <c r="N191" s="782">
        <f t="shared" si="9"/>
        <v>20</v>
      </c>
    </row>
    <row r="192" spans="1:14" customFormat="1" ht="15.5" x14ac:dyDescent="0.35">
      <c r="A192" s="700" t="s">
        <v>2129</v>
      </c>
      <c r="B192" s="706"/>
      <c r="C192" s="702"/>
      <c r="D192" s="48"/>
      <c r="F192" s="698"/>
      <c r="K192" s="244"/>
    </row>
    <row r="193" spans="1:14" customFormat="1" ht="15.5" x14ac:dyDescent="0.35">
      <c r="A193" s="700" t="s">
        <v>2130</v>
      </c>
      <c r="B193" s="706">
        <f>+C191</f>
        <v>680</v>
      </c>
      <c r="C193" s="702"/>
      <c r="D193" s="48"/>
      <c r="F193" s="698"/>
      <c r="K193" s="244"/>
    </row>
    <row r="194" spans="1:14" customFormat="1" ht="15.5" x14ac:dyDescent="0.35">
      <c r="A194" s="700" t="s">
        <v>2131</v>
      </c>
      <c r="B194" s="706"/>
      <c r="C194" s="702"/>
      <c r="D194" s="48"/>
      <c r="F194" s="698"/>
      <c r="K194" s="244"/>
    </row>
    <row r="195" spans="1:14" customFormat="1" ht="15.5" x14ac:dyDescent="0.35">
      <c r="A195" s="700" t="s">
        <v>2132</v>
      </c>
      <c r="B195" s="706">
        <f>SUM(B191:B194)</f>
        <v>5642</v>
      </c>
      <c r="C195" s="702"/>
      <c r="D195" s="48"/>
      <c r="F195" s="698"/>
      <c r="K195" s="244"/>
    </row>
    <row r="196" spans="1:14" customFormat="1" ht="15.5" x14ac:dyDescent="0.35">
      <c r="A196" s="700" t="s">
        <v>2133</v>
      </c>
      <c r="B196" s="706">
        <f>+B195-7500</f>
        <v>-1858</v>
      </c>
      <c r="C196" s="702"/>
      <c r="D196" s="48"/>
      <c r="F196" s="698"/>
      <c r="K196" s="244"/>
    </row>
    <row r="197" spans="1:14" customFormat="1" ht="15.5" x14ac:dyDescent="0.35">
      <c r="A197" s="700" t="s">
        <v>2134</v>
      </c>
      <c r="B197" s="706">
        <f>0.01*B196</f>
        <v>-18.580000000000002</v>
      </c>
      <c r="C197" s="702"/>
      <c r="D197" s="48"/>
      <c r="F197" s="698"/>
      <c r="K197" s="244"/>
    </row>
    <row r="199" spans="1:14" s="856" customFormat="1" ht="18" customHeight="1" x14ac:dyDescent="0.5">
      <c r="A199" s="852"/>
      <c r="B199" s="853"/>
      <c r="C199" s="853"/>
      <c r="D199" s="853"/>
      <c r="E199" s="707" t="s">
        <v>2411</v>
      </c>
      <c r="F199" s="854"/>
      <c r="G199" s="854"/>
      <c r="H199" s="855"/>
      <c r="K199" s="857"/>
    </row>
    <row r="200" spans="1:14" ht="18" customHeight="1" x14ac:dyDescent="0.35">
      <c r="A200" s="685">
        <v>46055</v>
      </c>
      <c r="E200" s="692" t="s">
        <v>2412</v>
      </c>
      <c r="L200" s="10">
        <v>100</v>
      </c>
    </row>
    <row r="201" spans="1:14" ht="18" customHeight="1" x14ac:dyDescent="0.35">
      <c r="E201" s="692" t="s">
        <v>2413</v>
      </c>
    </row>
    <row r="202" spans="1:14" ht="18" customHeight="1" x14ac:dyDescent="0.35">
      <c r="E202" s="692" t="s">
        <v>2420</v>
      </c>
      <c r="K202" s="32">
        <v>55</v>
      </c>
    </row>
    <row r="203" spans="1:14" ht="18" customHeight="1" x14ac:dyDescent="0.35">
      <c r="E203" s="692" t="s">
        <v>2414</v>
      </c>
      <c r="K203" s="32">
        <v>30</v>
      </c>
    </row>
    <row r="204" spans="1:14" ht="18" customHeight="1" x14ac:dyDescent="0.35">
      <c r="E204" s="692" t="s">
        <v>2255</v>
      </c>
      <c r="L204" s="10">
        <v>100</v>
      </c>
    </row>
    <row r="205" spans="1:14" ht="18" customHeight="1" x14ac:dyDescent="0.35">
      <c r="E205" s="692" t="s">
        <v>2417</v>
      </c>
      <c r="G205" s="21">
        <v>25</v>
      </c>
    </row>
    <row r="206" spans="1:14" ht="18" customHeight="1" x14ac:dyDescent="0.35">
      <c r="E206" s="692" t="s">
        <v>2416</v>
      </c>
      <c r="G206" s="21">
        <v>25</v>
      </c>
    </row>
    <row r="207" spans="1:14" ht="18" customHeight="1" x14ac:dyDescent="0.35">
      <c r="E207" s="692" t="s">
        <v>2418</v>
      </c>
      <c r="F207" s="21">
        <v>150</v>
      </c>
      <c r="N207" s="10">
        <v>30</v>
      </c>
    </row>
    <row r="208" spans="1:14" ht="18" customHeight="1" thickBot="1" x14ac:dyDescent="0.4">
      <c r="E208" s="692" t="s">
        <v>2419</v>
      </c>
      <c r="F208" s="21">
        <v>150</v>
      </c>
      <c r="N208" s="10">
        <v>30</v>
      </c>
    </row>
    <row r="209" spans="1:14" ht="18" customHeight="1" thickBot="1" x14ac:dyDescent="0.4">
      <c r="B209" s="684">
        <f>+F209+L209</f>
        <v>500</v>
      </c>
      <c r="C209" s="684">
        <f>+G209</f>
        <v>50</v>
      </c>
      <c r="D209" s="684"/>
      <c r="F209" s="710">
        <f>SUM(F200:F208)</f>
        <v>300</v>
      </c>
      <c r="G209" s="710">
        <f t="shared" ref="G209:N209" si="10">SUM(G200:G208)</f>
        <v>50</v>
      </c>
      <c r="H209" s="710">
        <f t="shared" si="10"/>
        <v>0</v>
      </c>
      <c r="I209" s="710">
        <f t="shared" si="10"/>
        <v>0</v>
      </c>
      <c r="J209" s="710">
        <f t="shared" si="10"/>
        <v>0</v>
      </c>
      <c r="K209" s="710">
        <f t="shared" si="10"/>
        <v>85</v>
      </c>
      <c r="L209" s="710">
        <f t="shared" si="10"/>
        <v>200</v>
      </c>
      <c r="M209" s="710">
        <f t="shared" si="10"/>
        <v>0</v>
      </c>
      <c r="N209" s="710">
        <f t="shared" si="10"/>
        <v>60</v>
      </c>
    </row>
    <row r="210" spans="1:14" ht="18" customHeight="1" x14ac:dyDescent="0.35">
      <c r="F210" s="189"/>
      <c r="G210" s="189"/>
      <c r="H210" s="189"/>
      <c r="I210" s="189"/>
      <c r="J210" s="189"/>
      <c r="K210" s="189"/>
      <c r="L210" s="189"/>
      <c r="M210" s="189"/>
      <c r="N210" s="189"/>
    </row>
    <row r="211" spans="1:14" ht="18" customHeight="1" x14ac:dyDescent="0.35">
      <c r="A211" s="685">
        <v>46056</v>
      </c>
      <c r="E211" s="688" t="s">
        <v>2421</v>
      </c>
      <c r="F211" s="189"/>
      <c r="G211" s="189"/>
      <c r="H211" s="189"/>
      <c r="I211" s="189"/>
      <c r="J211" s="189"/>
      <c r="K211" s="189"/>
      <c r="L211" s="189">
        <v>300</v>
      </c>
      <c r="M211" s="189"/>
      <c r="N211" s="189"/>
    </row>
    <row r="212" spans="1:14" ht="18" customHeight="1" x14ac:dyDescent="0.35">
      <c r="E212" s="692" t="s">
        <v>2423</v>
      </c>
      <c r="F212" s="189"/>
      <c r="G212" s="189"/>
      <c r="H212" s="189"/>
      <c r="I212" s="189"/>
      <c r="J212" s="189"/>
      <c r="K212" s="189">
        <v>180</v>
      </c>
      <c r="L212" s="189"/>
      <c r="M212" s="189"/>
      <c r="N212" s="189"/>
    </row>
    <row r="213" spans="1:14" ht="18" customHeight="1" x14ac:dyDescent="0.35">
      <c r="E213" s="692" t="s">
        <v>2424</v>
      </c>
      <c r="F213" s="189"/>
      <c r="G213" s="189"/>
      <c r="H213" s="189"/>
      <c r="I213" s="189"/>
      <c r="J213" s="189"/>
      <c r="K213" s="189">
        <v>150</v>
      </c>
      <c r="L213" s="189"/>
      <c r="M213" s="189"/>
      <c r="N213" s="189"/>
    </row>
    <row r="214" spans="1:14" ht="18" customHeight="1" x14ac:dyDescent="0.35">
      <c r="E214" s="692" t="s">
        <v>2425</v>
      </c>
      <c r="F214" s="189"/>
      <c r="G214" s="189"/>
      <c r="H214" s="189"/>
      <c r="I214" s="189"/>
      <c r="J214" s="189"/>
      <c r="K214" s="189">
        <v>50</v>
      </c>
      <c r="L214" s="189"/>
      <c r="M214" s="189"/>
      <c r="N214" s="189">
        <v>5</v>
      </c>
    </row>
    <row r="215" spans="1:14" ht="18" customHeight="1" x14ac:dyDescent="0.35">
      <c r="E215" s="692" t="s">
        <v>2470</v>
      </c>
      <c r="F215" s="189"/>
      <c r="G215" s="189"/>
      <c r="H215" s="189"/>
      <c r="I215" s="189"/>
      <c r="J215" s="189"/>
      <c r="K215" s="189">
        <v>50</v>
      </c>
      <c r="L215" s="189"/>
      <c r="M215" s="189"/>
      <c r="N215" s="189">
        <v>5</v>
      </c>
    </row>
    <row r="216" spans="1:14" ht="18" customHeight="1" x14ac:dyDescent="0.35">
      <c r="E216" s="692" t="s">
        <v>2426</v>
      </c>
      <c r="F216" s="189"/>
      <c r="G216" s="189"/>
      <c r="H216" s="189"/>
      <c r="I216" s="189"/>
      <c r="J216" s="189"/>
      <c r="K216" s="189">
        <v>60</v>
      </c>
      <c r="L216" s="189"/>
      <c r="M216" s="189"/>
      <c r="N216" s="189">
        <v>10</v>
      </c>
    </row>
    <row r="217" spans="1:14" ht="18" customHeight="1" thickBot="1" x14ac:dyDescent="0.4">
      <c r="E217" s="692" t="s">
        <v>2427</v>
      </c>
      <c r="F217" s="189"/>
      <c r="G217" s="189"/>
      <c r="H217" s="189"/>
      <c r="I217" s="189"/>
      <c r="J217" s="189"/>
      <c r="K217" s="189">
        <v>35</v>
      </c>
      <c r="L217" s="189"/>
      <c r="M217" s="189"/>
      <c r="N217" s="189">
        <v>10</v>
      </c>
    </row>
    <row r="218" spans="1:14" ht="18" customHeight="1" thickBot="1" x14ac:dyDescent="0.4">
      <c r="B218" s="684">
        <f>+L218</f>
        <v>300</v>
      </c>
      <c r="C218" s="684"/>
      <c r="D218" s="684"/>
      <c r="F218" s="710"/>
      <c r="G218" s="191"/>
      <c r="H218" s="191"/>
      <c r="I218" s="191"/>
      <c r="J218" s="191"/>
      <c r="K218" s="191">
        <f>SUM(K212:K217)</f>
        <v>525</v>
      </c>
      <c r="L218" s="191">
        <f>SUM(L211:L217)</f>
        <v>300</v>
      </c>
      <c r="M218" s="191"/>
      <c r="N218" s="731"/>
    </row>
    <row r="219" spans="1:14" ht="18" customHeight="1" x14ac:dyDescent="0.35">
      <c r="F219" s="189"/>
      <c r="G219" s="189"/>
      <c r="H219" s="189"/>
      <c r="I219" s="189"/>
      <c r="J219" s="189"/>
      <c r="K219" s="189"/>
      <c r="L219" s="189"/>
      <c r="M219" s="189"/>
      <c r="N219" s="189"/>
    </row>
    <row r="220" spans="1:14" ht="18" customHeight="1" x14ac:dyDescent="0.35">
      <c r="A220" s="685">
        <v>46057</v>
      </c>
      <c r="E220" s="692" t="s">
        <v>2431</v>
      </c>
      <c r="G220" s="189"/>
      <c r="H220" s="189"/>
      <c r="I220" s="189"/>
      <c r="J220" s="189"/>
      <c r="K220" s="189"/>
      <c r="L220" s="189">
        <v>75</v>
      </c>
      <c r="M220" s="189"/>
      <c r="N220" s="189"/>
    </row>
    <row r="221" spans="1:14" ht="18" customHeight="1" x14ac:dyDescent="0.35">
      <c r="E221" s="692" t="s">
        <v>2428</v>
      </c>
      <c r="F221" s="189">
        <v>90</v>
      </c>
      <c r="G221" s="189"/>
      <c r="H221" s="189"/>
      <c r="I221" s="189"/>
      <c r="J221" s="189"/>
      <c r="K221" s="189"/>
      <c r="L221" s="189"/>
      <c r="M221" s="189"/>
      <c r="N221" s="189"/>
    </row>
    <row r="222" spans="1:14" ht="18" customHeight="1" x14ac:dyDescent="0.35">
      <c r="E222" s="692" t="s">
        <v>2472</v>
      </c>
      <c r="F222" s="189">
        <v>45</v>
      </c>
      <c r="G222" s="189"/>
      <c r="H222" s="189"/>
      <c r="I222" s="189"/>
      <c r="J222" s="189"/>
      <c r="K222" s="189"/>
      <c r="L222" s="189"/>
      <c r="M222" s="189"/>
      <c r="N222" s="189"/>
    </row>
    <row r="223" spans="1:14" ht="18" customHeight="1" x14ac:dyDescent="0.35">
      <c r="E223" s="692" t="s">
        <v>2429</v>
      </c>
      <c r="F223" s="189">
        <v>35</v>
      </c>
      <c r="G223" s="189"/>
      <c r="H223" s="189"/>
      <c r="I223" s="189"/>
      <c r="J223" s="189"/>
      <c r="K223" s="189"/>
      <c r="L223" s="189"/>
      <c r="M223" s="189"/>
      <c r="N223" s="189"/>
    </row>
    <row r="224" spans="1:14" ht="18" customHeight="1" x14ac:dyDescent="0.35">
      <c r="E224" s="692" t="s">
        <v>2430</v>
      </c>
      <c r="F224" s="189">
        <v>25</v>
      </c>
      <c r="G224" s="189"/>
      <c r="H224" s="189"/>
      <c r="I224" s="189"/>
      <c r="J224" s="189"/>
      <c r="K224" s="189"/>
      <c r="L224" s="189"/>
      <c r="M224" s="189"/>
      <c r="N224" s="189"/>
    </row>
    <row r="225" spans="1:14" ht="18" customHeight="1" x14ac:dyDescent="0.35">
      <c r="E225" s="688" t="s">
        <v>2432</v>
      </c>
      <c r="F225" s="189"/>
      <c r="G225" s="189"/>
      <c r="H225" s="189"/>
      <c r="I225" s="189">
        <v>100</v>
      </c>
      <c r="J225" s="189"/>
      <c r="K225" s="189"/>
      <c r="L225" s="189"/>
      <c r="M225" s="189"/>
      <c r="N225" s="189"/>
    </row>
    <row r="226" spans="1:14" ht="18" customHeight="1" x14ac:dyDescent="0.35">
      <c r="E226" s="692" t="s">
        <v>2434</v>
      </c>
      <c r="F226" s="189">
        <v>85</v>
      </c>
      <c r="G226" s="189"/>
      <c r="H226" s="189"/>
      <c r="I226" s="189"/>
      <c r="J226" s="189"/>
      <c r="K226" s="189"/>
      <c r="L226" s="189"/>
      <c r="M226" s="189"/>
      <c r="N226" s="189"/>
    </row>
    <row r="227" spans="1:14" ht="18" customHeight="1" x14ac:dyDescent="0.35">
      <c r="E227" s="688" t="s">
        <v>2433</v>
      </c>
      <c r="F227" s="189"/>
      <c r="G227" s="189"/>
      <c r="H227" s="189"/>
      <c r="I227" s="189">
        <v>40</v>
      </c>
      <c r="J227" s="189"/>
      <c r="K227" s="189"/>
      <c r="L227" s="189"/>
      <c r="M227" s="189"/>
      <c r="N227" s="189"/>
    </row>
    <row r="228" spans="1:14" ht="18" customHeight="1" x14ac:dyDescent="0.35">
      <c r="E228" s="692" t="s">
        <v>2435</v>
      </c>
      <c r="F228" s="189"/>
      <c r="G228" s="189"/>
      <c r="H228" s="189">
        <v>35</v>
      </c>
      <c r="I228" s="189"/>
      <c r="J228" s="189"/>
      <c r="K228" s="189"/>
      <c r="L228" s="189"/>
      <c r="M228" s="189"/>
      <c r="N228" s="189"/>
    </row>
    <row r="229" spans="1:14" ht="18" customHeight="1" x14ac:dyDescent="0.35">
      <c r="E229" s="692" t="s">
        <v>2436</v>
      </c>
      <c r="F229" s="189"/>
      <c r="G229" s="189"/>
      <c r="H229" s="189">
        <v>35</v>
      </c>
      <c r="I229" s="189"/>
      <c r="J229" s="189"/>
      <c r="K229" s="189"/>
      <c r="L229" s="189"/>
      <c r="M229" s="189"/>
      <c r="N229" s="189"/>
    </row>
    <row r="230" spans="1:14" ht="18" customHeight="1" x14ac:dyDescent="0.35">
      <c r="E230" s="692" t="s">
        <v>2437</v>
      </c>
      <c r="F230" s="189"/>
      <c r="G230" s="189"/>
      <c r="H230" s="189">
        <v>25</v>
      </c>
      <c r="I230" s="189"/>
      <c r="J230" s="189"/>
      <c r="K230" s="189"/>
      <c r="L230" s="189"/>
      <c r="M230" s="189"/>
      <c r="N230" s="189"/>
    </row>
    <row r="231" spans="1:14" ht="18" customHeight="1" x14ac:dyDescent="0.35">
      <c r="E231" s="688" t="s">
        <v>2441</v>
      </c>
      <c r="F231" s="189"/>
      <c r="G231" s="189"/>
      <c r="H231" s="189"/>
      <c r="I231" s="189"/>
      <c r="J231" s="189"/>
      <c r="K231" s="189"/>
      <c r="L231" s="189"/>
      <c r="M231" s="189"/>
      <c r="N231" s="189"/>
    </row>
    <row r="232" spans="1:14" ht="18" customHeight="1" x14ac:dyDescent="0.35">
      <c r="E232" s="692" t="s">
        <v>2439</v>
      </c>
      <c r="F232" s="189">
        <v>70</v>
      </c>
      <c r="G232" s="189"/>
      <c r="H232" s="189"/>
      <c r="I232" s="189"/>
      <c r="J232" s="189"/>
      <c r="K232" s="189"/>
      <c r="L232" s="189"/>
      <c r="M232" s="189"/>
      <c r="N232" s="189"/>
    </row>
    <row r="233" spans="1:14" ht="18" customHeight="1" x14ac:dyDescent="0.35">
      <c r="E233" s="692" t="s">
        <v>2438</v>
      </c>
      <c r="F233" s="189"/>
      <c r="G233" s="189">
        <v>100</v>
      </c>
      <c r="H233" s="189"/>
      <c r="I233" s="189"/>
      <c r="J233" s="189"/>
      <c r="K233" s="189"/>
      <c r="L233" s="189"/>
      <c r="M233" s="189"/>
      <c r="N233" s="189"/>
    </row>
    <row r="234" spans="1:14" ht="18" customHeight="1" x14ac:dyDescent="0.35">
      <c r="E234" s="692" t="s">
        <v>2440</v>
      </c>
      <c r="F234" s="21">
        <v>30</v>
      </c>
      <c r="G234" s="21">
        <v>5</v>
      </c>
    </row>
    <row r="235" spans="1:14" ht="18" customHeight="1" x14ac:dyDescent="0.35">
      <c r="E235" s="692" t="s">
        <v>2442</v>
      </c>
      <c r="F235" s="21">
        <v>80</v>
      </c>
    </row>
    <row r="236" spans="1:14" ht="18" customHeight="1" thickBot="1" x14ac:dyDescent="0.4"/>
    <row r="237" spans="1:14" ht="18" customHeight="1" thickBot="1" x14ac:dyDescent="0.4">
      <c r="B237" s="684">
        <f>+F237+I237+L237</f>
        <v>675</v>
      </c>
      <c r="C237" s="684">
        <f>+G237</f>
        <v>105</v>
      </c>
      <c r="D237" s="684"/>
      <c r="F237" s="710">
        <f>SUM(F220:F236)</f>
        <v>460</v>
      </c>
      <c r="G237" s="710">
        <f t="shared" ref="G237:N237" si="11">SUM(G220:G236)</f>
        <v>105</v>
      </c>
      <c r="H237" s="710">
        <f t="shared" si="11"/>
        <v>95</v>
      </c>
      <c r="I237" s="710">
        <f t="shared" si="11"/>
        <v>140</v>
      </c>
      <c r="J237" s="710">
        <f t="shared" si="11"/>
        <v>0</v>
      </c>
      <c r="K237" s="710">
        <f t="shared" si="11"/>
        <v>0</v>
      </c>
      <c r="L237" s="710">
        <f t="shared" si="11"/>
        <v>75</v>
      </c>
      <c r="M237" s="710">
        <f t="shared" si="11"/>
        <v>0</v>
      </c>
      <c r="N237" s="710">
        <f t="shared" si="11"/>
        <v>0</v>
      </c>
    </row>
    <row r="238" spans="1:14" ht="18" customHeight="1" x14ac:dyDescent="0.35">
      <c r="F238" s="189"/>
      <c r="G238" s="189"/>
      <c r="H238" s="189"/>
      <c r="I238" s="189"/>
      <c r="J238" s="189"/>
      <c r="K238" s="189"/>
      <c r="L238" s="189"/>
      <c r="M238" s="189"/>
      <c r="N238" s="189"/>
    </row>
    <row r="239" spans="1:14" ht="18" customHeight="1" x14ac:dyDescent="0.35">
      <c r="A239" s="685">
        <v>46058</v>
      </c>
      <c r="E239" s="692" t="s">
        <v>2460</v>
      </c>
      <c r="F239" s="189">
        <v>125</v>
      </c>
      <c r="G239" s="189"/>
      <c r="H239" s="189"/>
      <c r="I239" s="189"/>
      <c r="J239" s="189"/>
      <c r="K239" s="189"/>
      <c r="L239" s="189"/>
      <c r="M239" s="189"/>
      <c r="N239" s="189"/>
    </row>
    <row r="240" spans="1:14" ht="18" customHeight="1" x14ac:dyDescent="0.35">
      <c r="E240" s="692" t="s">
        <v>2483</v>
      </c>
      <c r="F240" s="189">
        <v>125</v>
      </c>
      <c r="G240" s="189"/>
      <c r="H240" s="189"/>
      <c r="I240" s="189"/>
      <c r="J240" s="189"/>
      <c r="K240" s="189"/>
      <c r="L240" s="189"/>
      <c r="M240" s="189"/>
      <c r="N240" s="189"/>
    </row>
    <row r="241" spans="1:14" ht="18" customHeight="1" x14ac:dyDescent="0.35">
      <c r="E241" s="692" t="s">
        <v>2461</v>
      </c>
      <c r="F241" s="189"/>
      <c r="G241" s="189"/>
      <c r="H241" s="189"/>
      <c r="I241" s="189"/>
      <c r="J241" s="189"/>
      <c r="K241" s="189"/>
      <c r="L241" s="189">
        <v>50</v>
      </c>
      <c r="M241" s="189"/>
      <c r="N241" s="189"/>
    </row>
    <row r="242" spans="1:14" ht="18" customHeight="1" x14ac:dyDescent="0.35">
      <c r="E242" s="692" t="s">
        <v>2462</v>
      </c>
      <c r="F242" s="189">
        <v>180</v>
      </c>
      <c r="G242" s="189"/>
      <c r="H242" s="189"/>
      <c r="I242" s="189"/>
      <c r="J242" s="189"/>
      <c r="K242" s="189"/>
      <c r="L242" s="189"/>
      <c r="M242" s="189"/>
      <c r="N242" s="189"/>
    </row>
    <row r="243" spans="1:14" ht="18" customHeight="1" x14ac:dyDescent="0.35">
      <c r="E243" s="688" t="s">
        <v>2480</v>
      </c>
      <c r="F243" s="189"/>
      <c r="G243" s="189"/>
      <c r="H243" s="189"/>
      <c r="I243" s="189"/>
      <c r="J243" s="189"/>
      <c r="K243" s="189"/>
      <c r="L243" s="189"/>
      <c r="M243" s="189"/>
      <c r="N243" s="189"/>
    </row>
    <row r="244" spans="1:14" ht="18" customHeight="1" x14ac:dyDescent="0.35">
      <c r="E244" s="692" t="s">
        <v>2463</v>
      </c>
      <c r="F244" s="189"/>
      <c r="G244" s="189"/>
      <c r="H244" s="189"/>
      <c r="I244" s="189"/>
      <c r="J244" s="189"/>
      <c r="K244" s="189">
        <v>125</v>
      </c>
      <c r="L244" s="189"/>
      <c r="M244" s="189"/>
      <c r="N244" s="189"/>
    </row>
    <row r="245" spans="1:14" ht="18" customHeight="1" x14ac:dyDescent="0.35">
      <c r="E245" s="692" t="s">
        <v>2464</v>
      </c>
      <c r="F245" s="189"/>
      <c r="G245" s="189"/>
      <c r="H245" s="189"/>
      <c r="I245" s="189"/>
      <c r="J245" s="189"/>
      <c r="K245" s="189">
        <v>55</v>
      </c>
      <c r="L245" s="189"/>
      <c r="M245" s="189"/>
      <c r="N245" s="189"/>
    </row>
    <row r="246" spans="1:14" ht="18" customHeight="1" thickBot="1" x14ac:dyDescent="0.4">
      <c r="E246" s="692" t="s">
        <v>2465</v>
      </c>
      <c r="F246" s="189"/>
      <c r="G246" s="189"/>
      <c r="H246" s="189"/>
      <c r="I246" s="189"/>
      <c r="J246" s="189"/>
      <c r="K246" s="189">
        <v>10</v>
      </c>
      <c r="L246" s="189"/>
      <c r="M246" s="189"/>
      <c r="N246" s="189"/>
    </row>
    <row r="247" spans="1:14" ht="18" customHeight="1" thickBot="1" x14ac:dyDescent="0.4">
      <c r="B247" s="684">
        <f>+F247+L247</f>
        <v>480</v>
      </c>
      <c r="C247" s="684"/>
      <c r="D247" s="684"/>
      <c r="F247" s="710">
        <f>SUM(F239:F242)</f>
        <v>430</v>
      </c>
      <c r="G247" s="710">
        <f t="shared" ref="G247:N247" si="12">SUM(G239:G242)</f>
        <v>0</v>
      </c>
      <c r="H247" s="710">
        <f t="shared" si="12"/>
        <v>0</v>
      </c>
      <c r="I247" s="710">
        <f t="shared" si="12"/>
        <v>0</v>
      </c>
      <c r="J247" s="710">
        <f t="shared" si="12"/>
        <v>0</v>
      </c>
      <c r="K247" s="710">
        <f t="shared" si="12"/>
        <v>0</v>
      </c>
      <c r="L247" s="710">
        <f t="shared" si="12"/>
        <v>50</v>
      </c>
      <c r="M247" s="710">
        <f t="shared" si="12"/>
        <v>0</v>
      </c>
      <c r="N247" s="710">
        <f t="shared" si="12"/>
        <v>0</v>
      </c>
    </row>
    <row r="248" spans="1:14" ht="18" customHeight="1" x14ac:dyDescent="0.35">
      <c r="F248" s="189"/>
      <c r="G248" s="189"/>
      <c r="H248" s="189"/>
      <c r="I248" s="189"/>
      <c r="J248" s="189"/>
      <c r="K248" s="189"/>
      <c r="L248" s="189"/>
      <c r="M248" s="189"/>
      <c r="N248" s="189"/>
    </row>
    <row r="249" spans="1:14" ht="18" customHeight="1" x14ac:dyDescent="0.35">
      <c r="A249" s="685">
        <v>46059</v>
      </c>
      <c r="E249" s="692" t="s">
        <v>2484</v>
      </c>
      <c r="F249" s="189">
        <v>150</v>
      </c>
      <c r="G249" s="189"/>
      <c r="H249" s="189"/>
      <c r="I249" s="189"/>
      <c r="J249" s="189"/>
      <c r="K249" s="189"/>
      <c r="L249" s="189"/>
      <c r="M249" s="189"/>
      <c r="N249" s="189"/>
    </row>
    <row r="250" spans="1:14" ht="18" customHeight="1" x14ac:dyDescent="0.35">
      <c r="E250" s="692" t="s">
        <v>2485</v>
      </c>
      <c r="F250" s="189">
        <v>160</v>
      </c>
      <c r="G250" s="189"/>
      <c r="H250" s="189"/>
      <c r="I250" s="189"/>
      <c r="J250" s="189"/>
      <c r="K250" s="189"/>
      <c r="L250" s="189"/>
      <c r="M250" s="189"/>
      <c r="N250" s="189"/>
    </row>
    <row r="251" spans="1:14" ht="18" customHeight="1" x14ac:dyDescent="0.35">
      <c r="E251" s="692" t="s">
        <v>2486</v>
      </c>
      <c r="F251" s="189">
        <v>65</v>
      </c>
      <c r="G251" s="189"/>
      <c r="H251" s="189"/>
      <c r="I251" s="189"/>
      <c r="J251" s="189"/>
      <c r="K251" s="189"/>
      <c r="L251" s="189"/>
      <c r="M251" s="189"/>
      <c r="N251" s="189"/>
    </row>
    <row r="252" spans="1:14" ht="18" customHeight="1" x14ac:dyDescent="0.35">
      <c r="E252" s="692" t="s">
        <v>2487</v>
      </c>
      <c r="F252" s="189">
        <v>45</v>
      </c>
      <c r="G252" s="189"/>
      <c r="H252" s="189"/>
      <c r="I252" s="189"/>
      <c r="J252" s="189"/>
      <c r="K252" s="189"/>
      <c r="L252" s="189"/>
      <c r="M252" s="189"/>
      <c r="N252" s="189"/>
    </row>
    <row r="253" spans="1:14" ht="18" customHeight="1" x14ac:dyDescent="0.35">
      <c r="E253" s="692" t="s">
        <v>2488</v>
      </c>
      <c r="F253" s="189">
        <v>125</v>
      </c>
      <c r="G253" s="189"/>
      <c r="H253" s="189"/>
      <c r="I253" s="189"/>
      <c r="J253" s="189"/>
      <c r="K253" s="189"/>
      <c r="L253" s="189"/>
      <c r="M253" s="189"/>
      <c r="N253" s="189"/>
    </row>
    <row r="254" spans="1:14" ht="18" customHeight="1" x14ac:dyDescent="0.35">
      <c r="E254" s="688" t="s">
        <v>2489</v>
      </c>
      <c r="M254" s="10">
        <v>150</v>
      </c>
    </row>
    <row r="255" spans="1:14" ht="18" customHeight="1" x14ac:dyDescent="0.35">
      <c r="E255" s="692" t="s">
        <v>2490</v>
      </c>
      <c r="K255" s="32">
        <v>85</v>
      </c>
    </row>
    <row r="256" spans="1:14" ht="18" customHeight="1" x14ac:dyDescent="0.35">
      <c r="E256" s="692" t="s">
        <v>2491</v>
      </c>
      <c r="K256" s="32">
        <v>75</v>
      </c>
    </row>
    <row r="257" spans="1:14" ht="18" customHeight="1" x14ac:dyDescent="0.35">
      <c r="E257" s="692" t="s">
        <v>2492</v>
      </c>
      <c r="K257" s="32">
        <v>150</v>
      </c>
    </row>
    <row r="258" spans="1:14" ht="18" customHeight="1" thickBot="1" x14ac:dyDescent="0.4"/>
    <row r="259" spans="1:14" ht="18" customHeight="1" thickBot="1" x14ac:dyDescent="0.4">
      <c r="B259" s="684">
        <f>+F259</f>
        <v>545</v>
      </c>
      <c r="C259" s="684">
        <f>+M259</f>
        <v>150</v>
      </c>
      <c r="D259" s="684"/>
      <c r="F259" s="710">
        <f>SUM(F249:F258)</f>
        <v>545</v>
      </c>
      <c r="G259" s="191"/>
      <c r="H259" s="711"/>
      <c r="I259" s="712"/>
      <c r="J259" s="712"/>
      <c r="K259" s="716">
        <f>SUM(K255:K258)</f>
        <v>310</v>
      </c>
      <c r="L259" s="712"/>
      <c r="M259" s="712">
        <f>SUM(M254:M258)</f>
        <v>150</v>
      </c>
      <c r="N259" s="713"/>
    </row>
    <row r="261" spans="1:14" ht="18" customHeight="1" x14ac:dyDescent="0.35">
      <c r="A261" s="685">
        <v>46062</v>
      </c>
      <c r="E261" s="692" t="s">
        <v>2501</v>
      </c>
      <c r="L261" s="10">
        <v>25</v>
      </c>
    </row>
    <row r="262" spans="1:14" ht="18" customHeight="1" x14ac:dyDescent="0.35">
      <c r="E262" s="692" t="s">
        <v>2502</v>
      </c>
      <c r="F262" s="21">
        <v>25</v>
      </c>
    </row>
    <row r="263" spans="1:14" ht="18" customHeight="1" x14ac:dyDescent="0.35">
      <c r="E263" s="692" t="s">
        <v>2503</v>
      </c>
      <c r="L263" s="10">
        <v>50</v>
      </c>
    </row>
    <row r="264" spans="1:14" ht="18" customHeight="1" x14ac:dyDescent="0.35">
      <c r="E264" s="692" t="s">
        <v>2236</v>
      </c>
      <c r="L264" s="10">
        <v>50</v>
      </c>
    </row>
    <row r="265" spans="1:14" ht="18" customHeight="1" thickBot="1" x14ac:dyDescent="0.4"/>
    <row r="266" spans="1:14" ht="18" customHeight="1" thickBot="1" x14ac:dyDescent="0.4">
      <c r="B266" s="684">
        <f>+F266+L266</f>
        <v>150</v>
      </c>
      <c r="C266" s="684"/>
      <c r="D266" s="684"/>
      <c r="F266" s="710">
        <f>SUM(F262:F265)</f>
        <v>25</v>
      </c>
      <c r="G266" s="191"/>
      <c r="H266" s="711"/>
      <c r="I266" s="712"/>
      <c r="J266" s="712"/>
      <c r="K266" s="716"/>
      <c r="L266" s="712">
        <f>SUM(L261:L265)</f>
        <v>125</v>
      </c>
      <c r="M266" s="712"/>
      <c r="N266" s="713"/>
    </row>
    <row r="268" spans="1:14" ht="18" customHeight="1" x14ac:dyDescent="0.35">
      <c r="A268" s="685">
        <v>46064</v>
      </c>
      <c r="E268" s="692" t="s">
        <v>2504</v>
      </c>
      <c r="F268" s="21">
        <v>125</v>
      </c>
    </row>
    <row r="269" spans="1:14" ht="18" customHeight="1" x14ac:dyDescent="0.35">
      <c r="E269" s="692" t="s">
        <v>2505</v>
      </c>
      <c r="F269" s="21">
        <v>55</v>
      </c>
    </row>
    <row r="270" spans="1:14" ht="18" customHeight="1" x14ac:dyDescent="0.35">
      <c r="E270" s="692" t="s">
        <v>2506</v>
      </c>
      <c r="F270" s="21">
        <v>90</v>
      </c>
    </row>
    <row r="271" spans="1:14" ht="18" customHeight="1" x14ac:dyDescent="0.35">
      <c r="E271" s="692" t="s">
        <v>2507</v>
      </c>
      <c r="F271" s="21">
        <v>65</v>
      </c>
    </row>
    <row r="272" spans="1:14" ht="18" customHeight="1" x14ac:dyDescent="0.35">
      <c r="E272" s="688" t="s">
        <v>2508</v>
      </c>
      <c r="L272" s="10">
        <v>145</v>
      </c>
    </row>
    <row r="273" spans="1:14" ht="18" customHeight="1" x14ac:dyDescent="0.35">
      <c r="E273" s="692" t="s">
        <v>2509</v>
      </c>
      <c r="K273" s="32">
        <v>125</v>
      </c>
    </row>
    <row r="274" spans="1:14" ht="18" customHeight="1" x14ac:dyDescent="0.35">
      <c r="E274" s="692" t="s">
        <v>2510</v>
      </c>
      <c r="K274" s="32">
        <v>100</v>
      </c>
    </row>
    <row r="275" spans="1:14" ht="18" customHeight="1" x14ac:dyDescent="0.35">
      <c r="E275" s="692" t="s">
        <v>2512</v>
      </c>
      <c r="K275" s="32">
        <v>25</v>
      </c>
    </row>
    <row r="276" spans="1:14" ht="18" customHeight="1" x14ac:dyDescent="0.35">
      <c r="E276" s="692" t="s">
        <v>2511</v>
      </c>
      <c r="K276" s="32">
        <v>65</v>
      </c>
    </row>
    <row r="277" spans="1:14" ht="18" customHeight="1" x14ac:dyDescent="0.35">
      <c r="E277" s="692" t="s">
        <v>2513</v>
      </c>
      <c r="K277" s="32">
        <v>75</v>
      </c>
    </row>
    <row r="278" spans="1:14" ht="18" customHeight="1" thickBot="1" x14ac:dyDescent="0.4">
      <c r="E278" s="692" t="s">
        <v>2514</v>
      </c>
      <c r="F278" s="21">
        <v>25</v>
      </c>
    </row>
    <row r="279" spans="1:14" ht="18" customHeight="1" thickBot="1" x14ac:dyDescent="0.4">
      <c r="B279" s="684">
        <f>+F279+L279</f>
        <v>505</v>
      </c>
      <c r="C279" s="684"/>
      <c r="D279" s="684"/>
      <c r="F279" s="710">
        <f>SUM(F268:F278)</f>
        <v>360</v>
      </c>
      <c r="G279" s="710">
        <f t="shared" ref="G279:N279" si="13">SUM(G268:G278)</f>
        <v>0</v>
      </c>
      <c r="H279" s="710">
        <f t="shared" si="13"/>
        <v>0</v>
      </c>
      <c r="I279" s="710">
        <f t="shared" si="13"/>
        <v>0</v>
      </c>
      <c r="J279" s="710">
        <f t="shared" si="13"/>
        <v>0</v>
      </c>
      <c r="K279" s="710">
        <f t="shared" si="13"/>
        <v>390</v>
      </c>
      <c r="L279" s="710">
        <f t="shared" si="13"/>
        <v>145</v>
      </c>
      <c r="M279" s="710">
        <f t="shared" si="13"/>
        <v>0</v>
      </c>
      <c r="N279" s="710">
        <f t="shared" si="13"/>
        <v>0</v>
      </c>
    </row>
    <row r="280" spans="1:14" ht="18" customHeight="1" x14ac:dyDescent="0.35">
      <c r="F280" s="189"/>
      <c r="G280" s="189"/>
      <c r="H280" s="189"/>
      <c r="I280" s="189"/>
      <c r="J280" s="189"/>
      <c r="K280" s="189"/>
      <c r="L280" s="189"/>
      <c r="M280" s="189"/>
      <c r="N280" s="189"/>
    </row>
    <row r="281" spans="1:14" ht="18" customHeight="1" x14ac:dyDescent="0.35">
      <c r="A281" s="685">
        <v>46065</v>
      </c>
      <c r="E281" s="692" t="s">
        <v>2521</v>
      </c>
      <c r="F281" s="189">
        <v>75</v>
      </c>
      <c r="G281" s="189"/>
      <c r="H281" s="189"/>
      <c r="I281" s="189"/>
      <c r="J281" s="189"/>
      <c r="K281" s="189"/>
      <c r="L281" s="189"/>
      <c r="M281" s="189"/>
      <c r="N281" s="189"/>
    </row>
    <row r="282" spans="1:14" ht="18" customHeight="1" x14ac:dyDescent="0.35">
      <c r="E282" s="692" t="s">
        <v>2522</v>
      </c>
      <c r="F282" s="189">
        <v>65</v>
      </c>
      <c r="G282" s="189"/>
      <c r="H282" s="189"/>
      <c r="I282" s="189"/>
      <c r="J282" s="189"/>
      <c r="K282" s="189"/>
      <c r="L282" s="189"/>
      <c r="M282" s="189"/>
      <c r="N282" s="189">
        <f>1000*1.3</f>
        <v>1300</v>
      </c>
    </row>
    <row r="283" spans="1:14" ht="18" customHeight="1" x14ac:dyDescent="0.35">
      <c r="E283" s="692" t="s">
        <v>2523</v>
      </c>
      <c r="F283" s="189">
        <v>125</v>
      </c>
      <c r="G283" s="189"/>
      <c r="H283" s="189"/>
      <c r="I283" s="189"/>
      <c r="J283" s="189"/>
      <c r="K283" s="189"/>
      <c r="L283" s="189"/>
      <c r="M283" s="189"/>
      <c r="N283" s="189"/>
    </row>
    <row r="284" spans="1:14" ht="18" customHeight="1" thickBot="1" x14ac:dyDescent="0.4">
      <c r="F284" s="189"/>
      <c r="G284" s="189"/>
      <c r="H284" s="189"/>
      <c r="I284" s="189"/>
      <c r="J284" s="189"/>
      <c r="K284" s="189"/>
      <c r="L284" s="189"/>
      <c r="M284" s="189"/>
      <c r="N284" s="189"/>
    </row>
    <row r="285" spans="1:14" ht="18" customHeight="1" thickBot="1" x14ac:dyDescent="0.4">
      <c r="B285" s="684">
        <f>+F285</f>
        <v>265</v>
      </c>
      <c r="C285" s="684"/>
      <c r="D285" s="684"/>
      <c r="F285" s="710">
        <f>SUM(F281:F284)</f>
        <v>265</v>
      </c>
      <c r="G285" s="191"/>
      <c r="H285" s="191"/>
      <c r="I285" s="191"/>
      <c r="J285" s="191"/>
      <c r="K285" s="191"/>
      <c r="L285" s="191"/>
      <c r="M285" s="191"/>
      <c r="N285" s="731"/>
    </row>
    <row r="286" spans="1:14" ht="18" customHeight="1" x14ac:dyDescent="0.35">
      <c r="F286" s="189"/>
      <c r="G286" s="189"/>
      <c r="H286" s="189"/>
      <c r="I286" s="189"/>
      <c r="J286" s="189"/>
      <c r="K286" s="189"/>
      <c r="L286" s="189"/>
      <c r="M286" s="189"/>
      <c r="N286" s="189"/>
    </row>
    <row r="287" spans="1:14" ht="18" customHeight="1" x14ac:dyDescent="0.35">
      <c r="A287" s="685">
        <v>46066</v>
      </c>
      <c r="E287" s="692" t="s">
        <v>2524</v>
      </c>
      <c r="F287" s="189"/>
      <c r="G287" s="189"/>
      <c r="H287" s="189"/>
      <c r="I287" s="189"/>
      <c r="J287" s="189"/>
      <c r="K287" s="189">
        <v>150</v>
      </c>
      <c r="L287" s="189">
        <v>100</v>
      </c>
      <c r="M287" s="189"/>
      <c r="N287" s="189"/>
    </row>
    <row r="288" spans="1:14" ht="18" customHeight="1" x14ac:dyDescent="0.35">
      <c r="E288" s="692" t="s">
        <v>2525</v>
      </c>
      <c r="F288" s="189"/>
      <c r="G288" s="189"/>
      <c r="H288" s="189"/>
      <c r="I288" s="189"/>
      <c r="J288" s="189"/>
      <c r="K288" s="189"/>
      <c r="L288" s="189">
        <v>100</v>
      </c>
      <c r="M288" s="189"/>
      <c r="N288" s="189"/>
    </row>
    <row r="289" spans="1:14" ht="18" customHeight="1" x14ac:dyDescent="0.35">
      <c r="E289" s="692" t="s">
        <v>2526</v>
      </c>
      <c r="F289" s="189"/>
      <c r="G289" s="189"/>
      <c r="H289" s="189"/>
      <c r="I289" s="189"/>
      <c r="J289" s="189"/>
      <c r="K289" s="189">
        <v>150</v>
      </c>
      <c r="L289" s="189"/>
      <c r="M289" s="189"/>
      <c r="N289" s="189"/>
    </row>
    <row r="290" spans="1:14" ht="18" customHeight="1" thickBot="1" x14ac:dyDescent="0.4">
      <c r="E290" s="692" t="s">
        <v>2527</v>
      </c>
      <c r="F290" s="189"/>
      <c r="G290" s="189"/>
      <c r="H290" s="189"/>
      <c r="I290" s="189"/>
      <c r="J290" s="189"/>
      <c r="K290" s="189">
        <v>160</v>
      </c>
      <c r="L290" s="189">
        <v>60</v>
      </c>
      <c r="M290" s="189"/>
      <c r="N290" s="189"/>
    </row>
    <row r="291" spans="1:14" ht="18" customHeight="1" thickBot="1" x14ac:dyDescent="0.4">
      <c r="B291" s="684">
        <f>+L291</f>
        <v>260</v>
      </c>
      <c r="C291" s="684"/>
      <c r="D291" s="684"/>
      <c r="F291" s="710"/>
      <c r="G291" s="191"/>
      <c r="H291" s="191"/>
      <c r="I291" s="191"/>
      <c r="J291" s="191"/>
      <c r="K291" s="191">
        <f>SUM(K287:K290)</f>
        <v>460</v>
      </c>
      <c r="L291" s="191">
        <f>SUM(L287:L290)</f>
        <v>260</v>
      </c>
      <c r="M291" s="191"/>
      <c r="N291" s="731"/>
    </row>
    <row r="293" spans="1:14" ht="18" customHeight="1" x14ac:dyDescent="0.35">
      <c r="A293" s="685">
        <v>46067</v>
      </c>
      <c r="E293" s="692" t="s">
        <v>2541</v>
      </c>
      <c r="F293" s="21">
        <v>20</v>
      </c>
    </row>
    <row r="294" spans="1:14" ht="18" customHeight="1" x14ac:dyDescent="0.35">
      <c r="E294" s="688" t="s">
        <v>2528</v>
      </c>
      <c r="L294" s="10">
        <v>100</v>
      </c>
    </row>
    <row r="295" spans="1:14" ht="18" customHeight="1" x14ac:dyDescent="0.35">
      <c r="E295" s="692" t="s">
        <v>2529</v>
      </c>
      <c r="K295" s="32">
        <v>55</v>
      </c>
    </row>
    <row r="296" spans="1:14" ht="18" customHeight="1" x14ac:dyDescent="0.35">
      <c r="E296" s="692" t="s">
        <v>2534</v>
      </c>
      <c r="K296" s="32">
        <v>55</v>
      </c>
    </row>
    <row r="297" spans="1:14" ht="18" customHeight="1" x14ac:dyDescent="0.35">
      <c r="E297" s="692" t="s">
        <v>2533</v>
      </c>
      <c r="K297" s="32">
        <v>55</v>
      </c>
    </row>
    <row r="298" spans="1:14" ht="18" customHeight="1" x14ac:dyDescent="0.35">
      <c r="E298" s="692" t="s">
        <v>2531</v>
      </c>
      <c r="K298" s="32">
        <v>35</v>
      </c>
    </row>
    <row r="299" spans="1:14" ht="18" customHeight="1" x14ac:dyDescent="0.35">
      <c r="E299" s="692" t="s">
        <v>2532</v>
      </c>
      <c r="K299" s="32">
        <v>35</v>
      </c>
    </row>
    <row r="300" spans="1:14" ht="18" customHeight="1" x14ac:dyDescent="0.35">
      <c r="E300" s="692" t="s">
        <v>2530</v>
      </c>
      <c r="K300" s="32">
        <v>65</v>
      </c>
    </row>
    <row r="301" spans="1:14" ht="18" customHeight="1" x14ac:dyDescent="0.35">
      <c r="E301" s="692" t="s">
        <v>2542</v>
      </c>
      <c r="F301" s="137">
        <v>5</v>
      </c>
      <c r="G301" s="137"/>
      <c r="K301" s="783"/>
    </row>
    <row r="302" spans="1:14" ht="18" customHeight="1" thickBot="1" x14ac:dyDescent="0.4">
      <c r="E302" s="692" t="s">
        <v>2543</v>
      </c>
      <c r="F302" s="21">
        <v>15</v>
      </c>
    </row>
    <row r="303" spans="1:14" ht="18" customHeight="1" thickBot="1" x14ac:dyDescent="0.4">
      <c r="B303" s="684">
        <f>+F303+L303</f>
        <v>140</v>
      </c>
      <c r="C303" s="684"/>
      <c r="D303" s="684"/>
      <c r="F303" s="710">
        <f>SUM(F293:F302)</f>
        <v>40</v>
      </c>
      <c r="G303" s="191"/>
      <c r="H303" s="711"/>
      <c r="I303" s="712"/>
      <c r="J303" s="712"/>
      <c r="K303" s="716">
        <f>SUM(K295:K302)</f>
        <v>300</v>
      </c>
      <c r="L303" s="712">
        <f>SUM(L294:L302)</f>
        <v>100</v>
      </c>
      <c r="M303" s="712"/>
      <c r="N303" s="713"/>
    </row>
    <row r="304" spans="1:14" ht="18" customHeight="1" x14ac:dyDescent="0.35">
      <c r="F304" s="189"/>
      <c r="G304" s="189"/>
      <c r="K304" s="729"/>
    </row>
    <row r="305" spans="1:14" ht="18" customHeight="1" x14ac:dyDescent="0.35">
      <c r="A305" s="685">
        <v>46069</v>
      </c>
      <c r="E305" s="692" t="s">
        <v>2548</v>
      </c>
      <c r="F305" s="189">
        <v>110</v>
      </c>
      <c r="G305" s="189"/>
      <c r="K305" s="729"/>
    </row>
    <row r="306" spans="1:14" ht="18" customHeight="1" x14ac:dyDescent="0.35">
      <c r="E306" s="692" t="s">
        <v>2549</v>
      </c>
      <c r="F306" s="189">
        <v>60</v>
      </c>
      <c r="G306" s="189"/>
      <c r="K306" s="729"/>
    </row>
    <row r="307" spans="1:14" ht="18" customHeight="1" x14ac:dyDescent="0.35">
      <c r="E307" s="688" t="s">
        <v>2550</v>
      </c>
      <c r="F307" s="189"/>
      <c r="G307" s="189"/>
      <c r="K307" s="729"/>
    </row>
    <row r="308" spans="1:14" ht="18" customHeight="1" x14ac:dyDescent="0.35">
      <c r="E308" s="692" t="s">
        <v>2551</v>
      </c>
      <c r="G308" s="189"/>
      <c r="K308" s="189">
        <v>65</v>
      </c>
    </row>
    <row r="309" spans="1:14" ht="18" customHeight="1" thickBot="1" x14ac:dyDescent="0.4">
      <c r="E309" s="692" t="s">
        <v>2552</v>
      </c>
      <c r="G309" s="189"/>
      <c r="K309" s="189">
        <v>70</v>
      </c>
    </row>
    <row r="310" spans="1:14" ht="18" customHeight="1" thickBot="1" x14ac:dyDescent="0.4">
      <c r="B310" s="684">
        <f>+F310</f>
        <v>170</v>
      </c>
      <c r="C310" s="684"/>
      <c r="D310" s="684"/>
      <c r="F310" s="710">
        <f>SUM(F305:F309)</f>
        <v>170</v>
      </c>
      <c r="G310" s="191"/>
      <c r="H310" s="711"/>
      <c r="I310" s="712"/>
      <c r="J310" s="712"/>
      <c r="K310" s="716">
        <f>SUM(K308:K309)</f>
        <v>135</v>
      </c>
      <c r="L310" s="712"/>
      <c r="M310" s="712"/>
      <c r="N310" s="713"/>
    </row>
    <row r="311" spans="1:14" ht="18" customHeight="1" thickBot="1" x14ac:dyDescent="0.4">
      <c r="F311" s="189"/>
      <c r="G311" s="189"/>
      <c r="K311" s="729"/>
    </row>
    <row r="312" spans="1:14" ht="18" customHeight="1" thickBot="1" x14ac:dyDescent="0.4">
      <c r="A312" s="685">
        <v>46070</v>
      </c>
      <c r="B312" s="684">
        <f>+L312</f>
        <v>70</v>
      </c>
      <c r="C312" s="684"/>
      <c r="D312" s="684"/>
      <c r="E312" s="692" t="s">
        <v>2553</v>
      </c>
      <c r="F312" s="710"/>
      <c r="G312" s="191"/>
      <c r="H312" s="711"/>
      <c r="I312" s="712"/>
      <c r="J312" s="712"/>
      <c r="K312" s="716"/>
      <c r="L312" s="712">
        <v>70</v>
      </c>
      <c r="M312" s="712"/>
      <c r="N312" s="713"/>
    </row>
    <row r="313" spans="1:14" ht="18" customHeight="1" x14ac:dyDescent="0.35">
      <c r="F313" s="189"/>
      <c r="G313" s="189"/>
      <c r="K313" s="729"/>
    </row>
    <row r="314" spans="1:14" ht="18" customHeight="1" x14ac:dyDescent="0.35">
      <c r="A314" s="685">
        <v>46071</v>
      </c>
      <c r="E314" s="692" t="s">
        <v>2554</v>
      </c>
      <c r="K314" s="32">
        <v>160</v>
      </c>
      <c r="L314" s="10">
        <v>100</v>
      </c>
    </row>
    <row r="315" spans="1:14" ht="18" customHeight="1" x14ac:dyDescent="0.35">
      <c r="E315" s="692" t="s">
        <v>2555</v>
      </c>
      <c r="F315" s="21">
        <v>90</v>
      </c>
    </row>
    <row r="316" spans="1:14" ht="18" customHeight="1" thickBot="1" x14ac:dyDescent="0.4"/>
    <row r="317" spans="1:14" ht="18" customHeight="1" thickBot="1" x14ac:dyDescent="0.4">
      <c r="B317" s="684">
        <f>+F317+L317</f>
        <v>190</v>
      </c>
      <c r="C317" s="684"/>
      <c r="D317" s="684"/>
      <c r="F317" s="710">
        <f>SUM(F315:F316)</f>
        <v>90</v>
      </c>
      <c r="G317" s="191"/>
      <c r="H317" s="711"/>
      <c r="I317" s="712"/>
      <c r="J317" s="712"/>
      <c r="K317" s="716">
        <f>SUM(K314:K316)</f>
        <v>160</v>
      </c>
      <c r="L317" s="784">
        <f>SUM(L314:L316)</f>
        <v>100</v>
      </c>
      <c r="M317" s="712"/>
      <c r="N317" s="713"/>
    </row>
    <row r="318" spans="1:14" ht="18" customHeight="1" x14ac:dyDescent="0.35">
      <c r="F318" s="189"/>
      <c r="G318" s="189"/>
      <c r="K318" s="729"/>
      <c r="L318" s="56"/>
    </row>
    <row r="319" spans="1:14" ht="18" customHeight="1" x14ac:dyDescent="0.35">
      <c r="A319" s="685">
        <v>46072</v>
      </c>
      <c r="E319" s="692" t="s">
        <v>2568</v>
      </c>
      <c r="F319" s="189"/>
      <c r="G319" s="189"/>
      <c r="H319" s="496">
        <v>75</v>
      </c>
      <c r="I319" s="10">
        <v>30</v>
      </c>
      <c r="K319" s="729"/>
      <c r="L319" s="56"/>
    </row>
    <row r="320" spans="1:14" ht="18" customHeight="1" x14ac:dyDescent="0.35">
      <c r="E320" s="692" t="s">
        <v>2569</v>
      </c>
      <c r="F320" s="189">
        <v>30</v>
      </c>
      <c r="G320" s="189"/>
      <c r="K320" s="729"/>
      <c r="L320" s="56"/>
    </row>
    <row r="321" spans="1:14" ht="18" customHeight="1" thickBot="1" x14ac:dyDescent="0.4">
      <c r="E321" s="692" t="s">
        <v>2575</v>
      </c>
      <c r="F321" s="189">
        <v>110</v>
      </c>
      <c r="G321" s="189"/>
      <c r="K321" s="729"/>
      <c r="L321" s="56"/>
    </row>
    <row r="322" spans="1:14" ht="18" customHeight="1" thickBot="1" x14ac:dyDescent="0.4">
      <c r="B322" s="684">
        <f>+F322+I322</f>
        <v>170</v>
      </c>
      <c r="C322" s="684"/>
      <c r="D322" s="684"/>
      <c r="F322" s="710">
        <f>SUM(F320:F321)</f>
        <v>140</v>
      </c>
      <c r="G322" s="191"/>
      <c r="H322" s="711">
        <f>SUM(H319:H321)</f>
        <v>75</v>
      </c>
      <c r="I322" s="712">
        <f>SUM(I319:I321)</f>
        <v>30</v>
      </c>
      <c r="J322" s="712"/>
      <c r="K322" s="716"/>
      <c r="L322" s="712"/>
      <c r="M322" s="712"/>
      <c r="N322" s="713"/>
    </row>
    <row r="323" spans="1:14" ht="18" customHeight="1" x14ac:dyDescent="0.35">
      <c r="F323" s="189"/>
      <c r="G323" s="189"/>
      <c r="K323" s="729"/>
    </row>
    <row r="324" spans="1:14" ht="18" customHeight="1" x14ac:dyDescent="0.35">
      <c r="A324" s="685">
        <v>46073</v>
      </c>
      <c r="E324" s="692" t="s">
        <v>2243</v>
      </c>
      <c r="F324" s="189"/>
      <c r="G324" s="189"/>
      <c r="K324" s="729"/>
      <c r="L324" s="10">
        <v>100</v>
      </c>
    </row>
    <row r="325" spans="1:14" ht="18" customHeight="1" x14ac:dyDescent="0.35">
      <c r="E325" s="692" t="s">
        <v>2576</v>
      </c>
      <c r="F325" s="189"/>
      <c r="G325" s="189"/>
      <c r="K325" s="729"/>
      <c r="L325" s="10">
        <v>290</v>
      </c>
    </row>
    <row r="326" spans="1:14" ht="18" customHeight="1" thickBot="1" x14ac:dyDescent="0.4">
      <c r="E326" s="692" t="s">
        <v>2577</v>
      </c>
      <c r="F326" s="189">
        <v>65</v>
      </c>
      <c r="G326" s="189"/>
      <c r="K326" s="729"/>
    </row>
    <row r="327" spans="1:14" ht="18" customHeight="1" thickBot="1" x14ac:dyDescent="0.4">
      <c r="B327" s="684">
        <f>+F327+L327</f>
        <v>455</v>
      </c>
      <c r="C327" s="684"/>
      <c r="D327" s="684"/>
      <c r="F327" s="710">
        <f>SUM(F326:F326)</f>
        <v>65</v>
      </c>
      <c r="G327" s="191"/>
      <c r="H327" s="711"/>
      <c r="I327" s="712"/>
      <c r="J327" s="712"/>
      <c r="K327" s="716"/>
      <c r="L327" s="712">
        <f>SUM(L324:L326)</f>
        <v>390</v>
      </c>
      <c r="M327" s="712"/>
      <c r="N327" s="713"/>
    </row>
    <row r="328" spans="1:14" ht="18" customHeight="1" thickBot="1" x14ac:dyDescent="0.4">
      <c r="F328" s="189"/>
      <c r="G328" s="189"/>
      <c r="K328" s="729"/>
    </row>
    <row r="329" spans="1:14" ht="18" customHeight="1" thickBot="1" x14ac:dyDescent="0.4">
      <c r="A329" s="685">
        <v>46074</v>
      </c>
      <c r="B329" s="684">
        <f>+F329</f>
        <v>35</v>
      </c>
      <c r="C329" s="684"/>
      <c r="D329" s="684"/>
      <c r="E329" s="692" t="s">
        <v>2608</v>
      </c>
      <c r="F329" s="710">
        <v>35</v>
      </c>
      <c r="G329" s="191"/>
      <c r="H329" s="711"/>
      <c r="I329" s="712"/>
      <c r="J329" s="712"/>
      <c r="K329" s="716"/>
      <c r="L329" s="712"/>
      <c r="M329" s="712"/>
      <c r="N329" s="713"/>
    </row>
    <row r="330" spans="1:14" ht="18" customHeight="1" thickBot="1" x14ac:dyDescent="0.4">
      <c r="F330" s="189"/>
      <c r="G330" s="189"/>
      <c r="K330" s="729"/>
    </row>
    <row r="331" spans="1:14" ht="18" customHeight="1" thickBot="1" x14ac:dyDescent="0.4">
      <c r="A331" s="685">
        <v>46076</v>
      </c>
      <c r="B331" s="684">
        <f>+F331</f>
        <v>90</v>
      </c>
      <c r="C331" s="684"/>
      <c r="D331" s="684"/>
      <c r="E331" s="692" t="s">
        <v>2623</v>
      </c>
      <c r="F331" s="710">
        <v>90</v>
      </c>
      <c r="G331" s="191"/>
      <c r="H331" s="711"/>
      <c r="I331" s="712"/>
      <c r="J331" s="712"/>
      <c r="K331" s="716"/>
      <c r="L331" s="712"/>
      <c r="M331" s="712"/>
      <c r="N331" s="713"/>
    </row>
    <row r="332" spans="1:14" ht="18" customHeight="1" x14ac:dyDescent="0.35">
      <c r="F332" s="189"/>
      <c r="G332" s="189"/>
      <c r="K332" s="729"/>
    </row>
    <row r="333" spans="1:14" ht="18" customHeight="1" x14ac:dyDescent="0.35">
      <c r="A333" s="685">
        <v>46077</v>
      </c>
      <c r="E333" s="692" t="s">
        <v>2629</v>
      </c>
      <c r="F333" s="189">
        <v>75</v>
      </c>
      <c r="G333" s="189"/>
      <c r="K333" s="729"/>
    </row>
    <row r="334" spans="1:14" ht="18" customHeight="1" x14ac:dyDescent="0.35">
      <c r="E334" s="692" t="s">
        <v>2630</v>
      </c>
      <c r="F334" s="189">
        <v>90</v>
      </c>
      <c r="G334" s="189"/>
      <c r="K334" s="729"/>
    </row>
    <row r="335" spans="1:14" ht="18" customHeight="1" x14ac:dyDescent="0.35">
      <c r="E335" s="793" t="s">
        <v>2631</v>
      </c>
      <c r="F335" s="189">
        <v>75</v>
      </c>
      <c r="G335" s="189"/>
      <c r="K335" s="729"/>
    </row>
    <row r="336" spans="1:14" ht="18" customHeight="1" thickBot="1" x14ac:dyDescent="0.4">
      <c r="F336" s="189"/>
      <c r="G336" s="189"/>
      <c r="K336" s="729"/>
    </row>
    <row r="337" spans="1:17" ht="18" customHeight="1" thickBot="1" x14ac:dyDescent="0.4">
      <c r="B337" s="684">
        <f>+F337</f>
        <v>240</v>
      </c>
      <c r="C337" s="684"/>
      <c r="D337" s="684"/>
      <c r="F337" s="710">
        <f>SUM(F333:F336)</f>
        <v>240</v>
      </c>
      <c r="G337" s="191"/>
      <c r="H337" s="711"/>
      <c r="I337" s="712"/>
      <c r="J337" s="712"/>
      <c r="K337" s="716"/>
      <c r="L337" s="712"/>
      <c r="M337" s="712"/>
      <c r="N337" s="713"/>
    </row>
    <row r="338" spans="1:17" ht="18" customHeight="1" x14ac:dyDescent="0.35">
      <c r="D338" s="10"/>
      <c r="F338" s="189"/>
      <c r="G338" s="189"/>
      <c r="K338" s="729"/>
    </row>
    <row r="339" spans="1:17" ht="18" customHeight="1" x14ac:dyDescent="0.35">
      <c r="A339" s="685">
        <v>46078</v>
      </c>
      <c r="E339" s="692" t="s">
        <v>2632</v>
      </c>
      <c r="F339" s="189">
        <v>10</v>
      </c>
      <c r="G339" s="189"/>
      <c r="K339" s="729"/>
    </row>
    <row r="340" spans="1:17" ht="18" customHeight="1" x14ac:dyDescent="0.35">
      <c r="E340" s="692" t="s">
        <v>2633</v>
      </c>
      <c r="F340" s="189">
        <v>15</v>
      </c>
      <c r="G340" s="189"/>
      <c r="K340" s="729"/>
    </row>
    <row r="341" spans="1:17" ht="18" customHeight="1" x14ac:dyDescent="0.35">
      <c r="E341" s="692" t="s">
        <v>2640</v>
      </c>
      <c r="F341" s="189">
        <v>125</v>
      </c>
      <c r="G341" s="189"/>
      <c r="K341" s="729"/>
    </row>
    <row r="342" spans="1:17" ht="18" customHeight="1" x14ac:dyDescent="0.35">
      <c r="E342" s="692" t="s">
        <v>2634</v>
      </c>
      <c r="F342" s="189">
        <v>10</v>
      </c>
      <c r="G342" s="189"/>
      <c r="K342" s="729"/>
    </row>
    <row r="343" spans="1:17" ht="18" customHeight="1" x14ac:dyDescent="0.35">
      <c r="E343" s="692" t="s">
        <v>2643</v>
      </c>
      <c r="F343" s="189"/>
      <c r="G343" s="189"/>
      <c r="H343" s="799">
        <v>125</v>
      </c>
      <c r="I343" s="10">
        <v>80</v>
      </c>
      <c r="K343" s="729"/>
    </row>
    <row r="344" spans="1:17" ht="18" customHeight="1" thickBot="1" x14ac:dyDescent="0.4">
      <c r="E344" s="692" t="s">
        <v>2644</v>
      </c>
      <c r="F344" s="189">
        <v>10</v>
      </c>
      <c r="G344" s="189"/>
      <c r="K344" s="729"/>
    </row>
    <row r="345" spans="1:17" ht="18" customHeight="1" thickBot="1" x14ac:dyDescent="0.4">
      <c r="B345" s="684">
        <f>+F345+I345</f>
        <v>250</v>
      </c>
      <c r="C345" s="684"/>
      <c r="D345" s="684"/>
      <c r="F345" s="710">
        <f>SUM(F339:F344)</f>
        <v>170</v>
      </c>
      <c r="G345" s="710">
        <f>SUM(G339:G344)</f>
        <v>0</v>
      </c>
      <c r="H345" s="710">
        <f>SUM(H339:H344)</f>
        <v>125</v>
      </c>
      <c r="I345" s="710">
        <f>SUM(I339:I344)</f>
        <v>80</v>
      </c>
      <c r="J345" s="712"/>
      <c r="K345" s="716"/>
      <c r="L345" s="712"/>
      <c r="M345" s="712"/>
      <c r="N345" s="713"/>
    </row>
    <row r="346" spans="1:17" ht="18" customHeight="1" x14ac:dyDescent="0.35">
      <c r="F346" s="189"/>
      <c r="G346" s="189"/>
      <c r="K346" s="729"/>
    </row>
    <row r="347" spans="1:17" s="57" customFormat="1" ht="18" customHeight="1" x14ac:dyDescent="0.35">
      <c r="A347" s="800">
        <v>46079</v>
      </c>
      <c r="B347" s="801"/>
      <c r="C347" s="801"/>
      <c r="D347" s="801"/>
      <c r="E347" s="820" t="s">
        <v>2645</v>
      </c>
      <c r="F347" s="729">
        <v>55</v>
      </c>
      <c r="G347" s="729"/>
      <c r="K347" s="729"/>
      <c r="O347" s="33"/>
      <c r="P347" s="33"/>
      <c r="Q347" s="33"/>
    </row>
    <row r="348" spans="1:17" s="57" customFormat="1" ht="18" customHeight="1" x14ac:dyDescent="0.35">
      <c r="A348" s="800"/>
      <c r="B348" s="801"/>
      <c r="C348" s="801"/>
      <c r="D348" s="801"/>
      <c r="E348" s="821" t="s">
        <v>2653</v>
      </c>
      <c r="F348" s="729"/>
      <c r="G348" s="729"/>
      <c r="I348" s="57">
        <v>5</v>
      </c>
      <c r="K348" s="729"/>
      <c r="O348" s="33"/>
      <c r="P348" s="33"/>
      <c r="Q348" s="33"/>
    </row>
    <row r="349" spans="1:17" s="57" customFormat="1" ht="18" customHeight="1" x14ac:dyDescent="0.35">
      <c r="A349" s="800"/>
      <c r="B349" s="801"/>
      <c r="C349" s="801"/>
      <c r="D349" s="801"/>
      <c r="E349" s="820" t="s">
        <v>2646</v>
      </c>
      <c r="F349" s="729"/>
      <c r="G349" s="729"/>
      <c r="H349" s="57">
        <v>55</v>
      </c>
      <c r="K349" s="729"/>
      <c r="O349" s="33"/>
      <c r="P349" s="33"/>
      <c r="Q349" s="33"/>
    </row>
    <row r="350" spans="1:17" s="57" customFormat="1" ht="18" customHeight="1" x14ac:dyDescent="0.35">
      <c r="A350" s="800"/>
      <c r="B350" s="801"/>
      <c r="C350" s="801"/>
      <c r="D350" s="801"/>
      <c r="E350" s="820" t="s">
        <v>2647</v>
      </c>
      <c r="F350" s="729"/>
      <c r="G350" s="729"/>
      <c r="H350" s="57">
        <v>25</v>
      </c>
      <c r="K350" s="729"/>
      <c r="O350" s="33"/>
      <c r="P350" s="33"/>
      <c r="Q350" s="33"/>
    </row>
    <row r="351" spans="1:17" s="57" customFormat="1" ht="18" customHeight="1" x14ac:dyDescent="0.35">
      <c r="A351" s="800"/>
      <c r="B351" s="801"/>
      <c r="C351" s="801"/>
      <c r="D351" s="801"/>
      <c r="E351" s="820" t="s">
        <v>2648</v>
      </c>
      <c r="F351" s="32"/>
      <c r="G351" s="32"/>
      <c r="K351" s="32"/>
      <c r="L351" s="57">
        <v>225</v>
      </c>
      <c r="O351" s="33"/>
      <c r="P351" s="33"/>
      <c r="Q351" s="33"/>
    </row>
    <row r="352" spans="1:17" s="57" customFormat="1" ht="18" customHeight="1" x14ac:dyDescent="0.35">
      <c r="A352" s="800"/>
      <c r="B352" s="801"/>
      <c r="C352" s="801"/>
      <c r="D352" s="801"/>
      <c r="E352" s="820" t="s">
        <v>2655</v>
      </c>
      <c r="F352" s="32">
        <v>140</v>
      </c>
      <c r="G352" s="32"/>
      <c r="K352" s="32"/>
      <c r="O352" s="33"/>
      <c r="P352" s="33"/>
      <c r="Q352" s="33"/>
    </row>
    <row r="353" spans="1:17" s="57" customFormat="1" ht="18" customHeight="1" x14ac:dyDescent="0.35">
      <c r="A353" s="800"/>
      <c r="B353" s="801"/>
      <c r="C353" s="801"/>
      <c r="D353" s="801"/>
      <c r="E353" s="820" t="s">
        <v>2649</v>
      </c>
      <c r="F353" s="32">
        <v>140</v>
      </c>
      <c r="G353" s="32"/>
      <c r="K353" s="32"/>
      <c r="O353" s="33"/>
      <c r="P353" s="33"/>
      <c r="Q353" s="33"/>
    </row>
    <row r="354" spans="1:17" s="57" customFormat="1" ht="18" customHeight="1" x14ac:dyDescent="0.35">
      <c r="A354" s="800"/>
      <c r="B354" s="801"/>
      <c r="C354" s="801"/>
      <c r="D354" s="801"/>
      <c r="E354" s="820" t="s">
        <v>2650</v>
      </c>
      <c r="F354" s="32"/>
      <c r="G354" s="32">
        <v>150</v>
      </c>
      <c r="K354" s="32"/>
      <c r="O354" s="33"/>
      <c r="P354" s="33"/>
      <c r="Q354" s="33"/>
    </row>
    <row r="355" spans="1:17" s="57" customFormat="1" ht="18" customHeight="1" x14ac:dyDescent="0.35">
      <c r="A355" s="800"/>
      <c r="B355" s="801"/>
      <c r="C355" s="801"/>
      <c r="D355" s="801"/>
      <c r="E355" s="820" t="s">
        <v>2651</v>
      </c>
      <c r="F355" s="32"/>
      <c r="G355" s="32"/>
      <c r="H355" s="57">
        <v>25</v>
      </c>
      <c r="I355" s="57">
        <v>10</v>
      </c>
      <c r="K355" s="32"/>
      <c r="O355" s="33"/>
      <c r="P355" s="33"/>
      <c r="Q355" s="33"/>
    </row>
    <row r="356" spans="1:17" s="57" customFormat="1" ht="18" customHeight="1" thickBot="1" x14ac:dyDescent="0.4">
      <c r="A356" s="800"/>
      <c r="B356" s="801"/>
      <c r="C356" s="801"/>
      <c r="D356" s="801"/>
      <c r="E356" s="820" t="s">
        <v>2652</v>
      </c>
      <c r="F356" s="32">
        <v>55</v>
      </c>
      <c r="G356" s="32"/>
      <c r="K356" s="32"/>
      <c r="O356" s="33"/>
      <c r="P356" s="33"/>
      <c r="Q356" s="33"/>
    </row>
    <row r="357" spans="1:17" s="57" customFormat="1" ht="18" customHeight="1" thickBot="1" x14ac:dyDescent="0.4">
      <c r="A357" s="800"/>
      <c r="B357" s="807">
        <f>+F357+I357+L357</f>
        <v>630</v>
      </c>
      <c r="C357" s="807">
        <f>+G357</f>
        <v>150</v>
      </c>
      <c r="D357" s="807"/>
      <c r="E357" s="269"/>
      <c r="F357" s="806">
        <f>SUM(F347:F356)</f>
        <v>390</v>
      </c>
      <c r="G357" s="806">
        <f t="shared" ref="G357:N357" si="14">SUM(G347:G356)</f>
        <v>150</v>
      </c>
      <c r="H357" s="806">
        <f t="shared" si="14"/>
        <v>105</v>
      </c>
      <c r="I357" s="806">
        <f t="shared" si="14"/>
        <v>15</v>
      </c>
      <c r="J357" s="806">
        <f t="shared" si="14"/>
        <v>0</v>
      </c>
      <c r="K357" s="806">
        <f t="shared" si="14"/>
        <v>0</v>
      </c>
      <c r="L357" s="806">
        <f t="shared" si="14"/>
        <v>225</v>
      </c>
      <c r="M357" s="806">
        <f t="shared" si="14"/>
        <v>0</v>
      </c>
      <c r="N357" s="806">
        <f t="shared" si="14"/>
        <v>0</v>
      </c>
      <c r="O357" s="33"/>
      <c r="P357" s="33"/>
      <c r="Q357" s="33"/>
    </row>
    <row r="358" spans="1:17" s="57" customFormat="1" ht="18" customHeight="1" x14ac:dyDescent="0.35">
      <c r="A358" s="800"/>
      <c r="B358" s="801"/>
      <c r="C358" s="801"/>
      <c r="D358" s="801"/>
      <c r="E358" s="269"/>
      <c r="F358" s="32"/>
      <c r="G358" s="32"/>
      <c r="K358" s="32"/>
      <c r="O358" s="33"/>
      <c r="P358" s="33"/>
      <c r="Q358" s="33"/>
    </row>
    <row r="359" spans="1:17" s="57" customFormat="1" ht="18" customHeight="1" x14ac:dyDescent="0.35">
      <c r="A359" s="800">
        <v>46080</v>
      </c>
      <c r="B359" s="801"/>
      <c r="C359" s="801"/>
      <c r="D359" s="801"/>
      <c r="E359" s="820" t="s">
        <v>2660</v>
      </c>
      <c r="F359" s="32">
        <v>10</v>
      </c>
      <c r="G359" s="32"/>
      <c r="K359" s="32"/>
      <c r="O359" s="33"/>
      <c r="P359" s="33"/>
      <c r="Q359" s="33"/>
    </row>
    <row r="360" spans="1:17" s="57" customFormat="1" ht="18" customHeight="1" x14ac:dyDescent="0.35">
      <c r="A360" s="800"/>
      <c r="B360" s="801"/>
      <c r="C360" s="801"/>
      <c r="D360" s="801"/>
      <c r="E360" s="820" t="s">
        <v>2661</v>
      </c>
      <c r="F360" s="32">
        <v>10</v>
      </c>
      <c r="G360" s="32"/>
      <c r="K360" s="32"/>
      <c r="O360" s="33"/>
      <c r="P360" s="33"/>
      <c r="Q360" s="33"/>
    </row>
    <row r="361" spans="1:17" s="57" customFormat="1" ht="18" customHeight="1" x14ac:dyDescent="0.35">
      <c r="A361" s="800"/>
      <c r="B361" s="801"/>
      <c r="C361" s="801"/>
      <c r="D361" s="801"/>
      <c r="E361" s="820" t="s">
        <v>2525</v>
      </c>
      <c r="F361" s="32"/>
      <c r="G361" s="32"/>
      <c r="K361" s="32"/>
      <c r="L361" s="57">
        <v>120</v>
      </c>
      <c r="O361" s="33"/>
      <c r="P361" s="33"/>
      <c r="Q361" s="33"/>
    </row>
    <row r="362" spans="1:17" s="57" customFormat="1" ht="18" customHeight="1" x14ac:dyDescent="0.35">
      <c r="A362" s="800"/>
      <c r="B362" s="801"/>
      <c r="C362" s="801"/>
      <c r="D362" s="801"/>
      <c r="E362" s="820" t="s">
        <v>2662</v>
      </c>
      <c r="F362" s="32"/>
      <c r="G362" s="32"/>
      <c r="K362" s="32"/>
      <c r="O362" s="33"/>
      <c r="P362" s="33"/>
      <c r="Q362" s="33"/>
    </row>
    <row r="363" spans="1:17" s="57" customFormat="1" ht="18" customHeight="1" x14ac:dyDescent="0.35">
      <c r="A363" s="800"/>
      <c r="B363" s="801"/>
      <c r="C363" s="801"/>
      <c r="D363" s="801"/>
      <c r="E363" s="820" t="s">
        <v>2663</v>
      </c>
      <c r="F363" s="32"/>
      <c r="G363" s="32"/>
      <c r="K363" s="32"/>
      <c r="O363" s="33"/>
      <c r="P363" s="33"/>
      <c r="Q363" s="33"/>
    </row>
    <row r="364" spans="1:17" s="57" customFormat="1" ht="18" customHeight="1" thickBot="1" x14ac:dyDescent="0.4">
      <c r="A364" s="800"/>
      <c r="B364" s="801"/>
      <c r="C364" s="801"/>
      <c r="D364" s="801"/>
      <c r="E364" s="820" t="s">
        <v>2664</v>
      </c>
      <c r="F364" s="32"/>
      <c r="G364" s="32"/>
      <c r="K364" s="32">
        <v>75</v>
      </c>
      <c r="O364" s="33"/>
      <c r="P364" s="33"/>
      <c r="Q364" s="33"/>
    </row>
    <row r="365" spans="1:17" s="57" customFormat="1" ht="18" customHeight="1" thickBot="1" x14ac:dyDescent="0.4">
      <c r="A365" s="800"/>
      <c r="B365" s="807">
        <f>+F365+L365</f>
        <v>140</v>
      </c>
      <c r="C365" s="807"/>
      <c r="D365" s="807"/>
      <c r="E365" s="269"/>
      <c r="F365" s="806">
        <f>SUM(F359:F364)</f>
        <v>20</v>
      </c>
      <c r="G365" s="806">
        <f t="shared" ref="G365:N365" si="15">SUM(G359:G364)</f>
        <v>0</v>
      </c>
      <c r="H365" s="806">
        <f t="shared" si="15"/>
        <v>0</v>
      </c>
      <c r="I365" s="806">
        <f t="shared" si="15"/>
        <v>0</v>
      </c>
      <c r="J365" s="806">
        <f t="shared" si="15"/>
        <v>0</v>
      </c>
      <c r="K365" s="806">
        <f t="shared" si="15"/>
        <v>75</v>
      </c>
      <c r="L365" s="806">
        <f t="shared" si="15"/>
        <v>120</v>
      </c>
      <c r="M365" s="806">
        <f t="shared" si="15"/>
        <v>0</v>
      </c>
      <c r="N365" s="806">
        <f t="shared" si="15"/>
        <v>0</v>
      </c>
      <c r="O365" s="33"/>
      <c r="P365" s="33"/>
      <c r="Q365" s="33"/>
    </row>
    <row r="366" spans="1:17" s="57" customFormat="1" ht="18" customHeight="1" x14ac:dyDescent="0.35">
      <c r="A366" s="800"/>
      <c r="B366" s="801"/>
      <c r="C366" s="801"/>
      <c r="D366" s="801"/>
      <c r="E366" s="269"/>
      <c r="F366" s="32"/>
      <c r="G366" s="32"/>
      <c r="K366" s="32"/>
      <c r="O366" s="33"/>
      <c r="P366" s="33"/>
      <c r="Q366" s="33"/>
    </row>
    <row r="367" spans="1:17" s="57" customFormat="1" ht="18" customHeight="1" x14ac:dyDescent="0.35">
      <c r="A367" s="800">
        <v>46081</v>
      </c>
      <c r="B367" s="801"/>
      <c r="C367" s="801"/>
      <c r="D367" s="801"/>
      <c r="E367" s="268" t="s">
        <v>2665</v>
      </c>
      <c r="F367" s="32"/>
      <c r="G367" s="32"/>
      <c r="K367" s="32"/>
      <c r="O367" s="33"/>
      <c r="P367" s="33"/>
      <c r="Q367" s="33"/>
    </row>
    <row r="368" spans="1:17" s="57" customFormat="1" ht="18" customHeight="1" x14ac:dyDescent="0.35">
      <c r="A368" s="800"/>
      <c r="B368" s="801"/>
      <c r="C368" s="801"/>
      <c r="D368" s="801"/>
      <c r="E368" s="820" t="s">
        <v>2666</v>
      </c>
      <c r="F368" s="32"/>
      <c r="G368" s="32"/>
      <c r="H368" s="32">
        <v>150</v>
      </c>
      <c r="I368" s="57">
        <v>100</v>
      </c>
      <c r="O368" s="33"/>
      <c r="P368" s="33"/>
      <c r="Q368" s="33"/>
    </row>
    <row r="369" spans="1:17" s="57" customFormat="1" ht="18" customHeight="1" x14ac:dyDescent="0.35">
      <c r="A369" s="800"/>
      <c r="B369" s="801"/>
      <c r="C369" s="801"/>
      <c r="D369" s="801"/>
      <c r="E369" s="820" t="s">
        <v>2667</v>
      </c>
      <c r="F369" s="32"/>
      <c r="G369" s="32"/>
      <c r="H369" s="32">
        <v>45</v>
      </c>
      <c r="O369" s="33"/>
      <c r="P369" s="33"/>
      <c r="Q369" s="33"/>
    </row>
    <row r="370" spans="1:17" s="57" customFormat="1" ht="18" customHeight="1" thickBot="1" x14ac:dyDescent="0.4">
      <c r="A370" s="800"/>
      <c r="B370" s="801"/>
      <c r="C370" s="801"/>
      <c r="D370" s="801"/>
      <c r="E370" s="820" t="s">
        <v>2668</v>
      </c>
      <c r="F370" s="32">
        <v>100</v>
      </c>
      <c r="G370" s="32"/>
      <c r="K370" s="32"/>
      <c r="O370" s="33"/>
      <c r="P370" s="33"/>
      <c r="Q370" s="33"/>
    </row>
    <row r="371" spans="1:17" s="57" customFormat="1" ht="18" customHeight="1" thickBot="1" x14ac:dyDescent="0.4">
      <c r="A371" s="800"/>
      <c r="B371" s="807">
        <f>+F371+I371</f>
        <v>200</v>
      </c>
      <c r="C371" s="807"/>
      <c r="D371" s="807"/>
      <c r="E371" s="269"/>
      <c r="F371" s="806">
        <f>SUM(F370)</f>
        <v>100</v>
      </c>
      <c r="G371" s="716"/>
      <c r="H371" s="823">
        <f>SUM(H368:H370)</f>
        <v>195</v>
      </c>
      <c r="I371" s="823">
        <f>SUM(I368:I370)</f>
        <v>100</v>
      </c>
      <c r="J371" s="822"/>
      <c r="K371" s="716"/>
      <c r="L371" s="822"/>
      <c r="M371" s="822"/>
      <c r="N371" s="386"/>
      <c r="O371" s="33"/>
      <c r="P371" s="33"/>
      <c r="Q371" s="33"/>
    </row>
    <row r="372" spans="1:17" s="57" customFormat="1" ht="18" customHeight="1" thickBot="1" x14ac:dyDescent="0.4">
      <c r="A372" s="800"/>
      <c r="B372" s="801"/>
      <c r="C372" s="801"/>
      <c r="D372" s="801"/>
      <c r="E372" s="269"/>
      <c r="F372" s="729"/>
      <c r="G372" s="729"/>
      <c r="H372" s="65"/>
      <c r="I372" s="65"/>
      <c r="K372" s="729"/>
      <c r="O372" s="33"/>
      <c r="P372" s="33"/>
      <c r="Q372" s="33"/>
    </row>
    <row r="373" spans="1:17" ht="18" customHeight="1" x14ac:dyDescent="0.35">
      <c r="A373"/>
      <c r="B373" s="705" t="s">
        <v>1820</v>
      </c>
      <c r="C373" s="776" t="s">
        <v>2127</v>
      </c>
    </row>
    <row r="374" spans="1:17" ht="18" customHeight="1" x14ac:dyDescent="0.35">
      <c r="A374" s="699" t="s">
        <v>2128</v>
      </c>
      <c r="B374" s="701">
        <f>+B209+B218+B237+B247+B259+B266+B279+B285+B291+B303+B310+B312+B317+B322+B327+B329+B331+B337+B345+B357+B365+B371</f>
        <v>6460</v>
      </c>
      <c r="C374" s="701">
        <f>+C209+C218+C237+C247+C259+C266+C279+C285+C291+C303+C310+C312+C317+C322+C327+C329+C331+C337+C345+C357+C365+C371</f>
        <v>455</v>
      </c>
    </row>
    <row r="375" spans="1:17" ht="18" customHeight="1" x14ac:dyDescent="0.35">
      <c r="A375" s="700" t="s">
        <v>2129</v>
      </c>
      <c r="B375" s="706"/>
      <c r="C375" s="702"/>
    </row>
    <row r="376" spans="1:17" ht="18" customHeight="1" x14ac:dyDescent="0.35">
      <c r="A376" s="700" t="s">
        <v>2130</v>
      </c>
      <c r="B376" s="706">
        <f>+C374</f>
        <v>455</v>
      </c>
      <c r="C376" s="702"/>
    </row>
    <row r="377" spans="1:17" ht="18" customHeight="1" x14ac:dyDescent="0.35">
      <c r="A377" s="700" t="s">
        <v>2131</v>
      </c>
      <c r="B377" s="706"/>
      <c r="C377" s="702"/>
    </row>
    <row r="378" spans="1:17" ht="18" customHeight="1" x14ac:dyDescent="0.35">
      <c r="A378" s="700" t="s">
        <v>2132</v>
      </c>
      <c r="B378" s="706">
        <f>SUM(B374:B377)</f>
        <v>6915</v>
      </c>
      <c r="C378" s="702"/>
    </row>
    <row r="379" spans="1:17" ht="18" customHeight="1" x14ac:dyDescent="0.35">
      <c r="A379" s="700" t="s">
        <v>2133</v>
      </c>
      <c r="B379" s="706">
        <f>+B378-7500</f>
        <v>-585</v>
      </c>
      <c r="C379" s="702"/>
    </row>
    <row r="380" spans="1:17" ht="18" customHeight="1" x14ac:dyDescent="0.35">
      <c r="A380" s="700" t="s">
        <v>2134</v>
      </c>
      <c r="B380" s="706">
        <f>0.01*B379</f>
        <v>-5.8500000000000005</v>
      </c>
      <c r="C380" s="702"/>
    </row>
    <row r="382" spans="1:17" s="150" customFormat="1" ht="18" customHeight="1" thickBot="1" x14ac:dyDescent="0.5">
      <c r="A382" s="615"/>
      <c r="B382" s="847"/>
      <c r="C382" s="847"/>
      <c r="D382" s="847"/>
      <c r="E382" s="829" t="s">
        <v>2684</v>
      </c>
      <c r="F382" s="848"/>
      <c r="G382" s="848"/>
      <c r="H382" s="849"/>
      <c r="K382" s="850"/>
      <c r="O382" s="157"/>
      <c r="P382" s="157"/>
      <c r="Q382" s="157"/>
    </row>
    <row r="383" spans="1:17" ht="18" customHeight="1" thickBot="1" x14ac:dyDescent="0.5">
      <c r="E383" s="89"/>
      <c r="F383" s="888"/>
      <c r="G383" s="889"/>
      <c r="H383" s="890"/>
      <c r="I383" s="891"/>
      <c r="J383" s="891"/>
      <c r="K383" s="892"/>
      <c r="L383" s="891"/>
      <c r="M383" s="891"/>
      <c r="N383" s="893"/>
    </row>
    <row r="384" spans="1:17" ht="18" customHeight="1" thickBot="1" x14ac:dyDescent="0.5">
      <c r="A384" s="685">
        <v>46083</v>
      </c>
      <c r="B384" s="684"/>
      <c r="C384" s="684"/>
      <c r="D384" s="684"/>
      <c r="E384" s="864" t="s">
        <v>2751</v>
      </c>
      <c r="F384" s="894"/>
      <c r="G384" s="895"/>
      <c r="H384" s="896"/>
      <c r="I384" s="897"/>
      <c r="J384" s="897"/>
      <c r="K384" s="898">
        <v>75</v>
      </c>
      <c r="L384" s="897"/>
      <c r="M384" s="897"/>
      <c r="N384" s="899"/>
    </row>
    <row r="386" spans="1:14" ht="18" customHeight="1" x14ac:dyDescent="0.35">
      <c r="A386" s="685">
        <v>46084</v>
      </c>
      <c r="E386" s="692" t="s">
        <v>2685</v>
      </c>
      <c r="I386" s="10">
        <v>95</v>
      </c>
    </row>
    <row r="387" spans="1:14" ht="18" customHeight="1" x14ac:dyDescent="0.35">
      <c r="E387" s="692" t="s">
        <v>2376</v>
      </c>
      <c r="L387" s="10">
        <v>100</v>
      </c>
    </row>
    <row r="388" spans="1:14" ht="18" customHeight="1" x14ac:dyDescent="0.35">
      <c r="E388" s="692" t="s">
        <v>2686</v>
      </c>
      <c r="L388" s="10">
        <v>50</v>
      </c>
    </row>
    <row r="389" spans="1:14" ht="18" customHeight="1" thickBot="1" x14ac:dyDescent="0.4"/>
    <row r="390" spans="1:14" ht="18" customHeight="1" thickBot="1" x14ac:dyDescent="0.4">
      <c r="B390" s="684">
        <f>+I390+L390</f>
        <v>245</v>
      </c>
      <c r="C390" s="684">
        <f t="shared" ref="C390:D390" si="16">+J390+M390</f>
        <v>0</v>
      </c>
      <c r="D390" s="684">
        <f t="shared" si="16"/>
        <v>0</v>
      </c>
      <c r="F390" s="710"/>
      <c r="G390" s="191"/>
      <c r="H390" s="711"/>
      <c r="I390" s="712">
        <f>SUM(I386:I389)</f>
        <v>95</v>
      </c>
      <c r="J390" s="712">
        <f t="shared" ref="J390:N390" si="17">SUM(J386:J389)</f>
        <v>0</v>
      </c>
      <c r="K390" s="712">
        <f t="shared" si="17"/>
        <v>0</v>
      </c>
      <c r="L390" s="712">
        <f t="shared" si="17"/>
        <v>150</v>
      </c>
      <c r="M390" s="712">
        <f t="shared" si="17"/>
        <v>0</v>
      </c>
      <c r="N390" s="712">
        <f t="shared" si="17"/>
        <v>0</v>
      </c>
    </row>
    <row r="392" spans="1:14" ht="18" customHeight="1" x14ac:dyDescent="0.35">
      <c r="A392" s="685">
        <v>46085</v>
      </c>
      <c r="E392" s="692" t="s">
        <v>2687</v>
      </c>
      <c r="F392" s="21">
        <v>25</v>
      </c>
    </row>
    <row r="393" spans="1:14" ht="18" customHeight="1" x14ac:dyDescent="0.35">
      <c r="E393" s="692" t="s">
        <v>2688</v>
      </c>
      <c r="H393" s="496">
        <v>65</v>
      </c>
      <c r="I393" s="10">
        <v>20</v>
      </c>
    </row>
    <row r="394" spans="1:14" ht="18" customHeight="1" x14ac:dyDescent="0.35">
      <c r="E394" s="692" t="s">
        <v>2689</v>
      </c>
      <c r="L394" s="10">
        <v>100</v>
      </c>
      <c r="M394" s="10">
        <v>50</v>
      </c>
    </row>
    <row r="395" spans="1:14" ht="18" customHeight="1" x14ac:dyDescent="0.35">
      <c r="E395" s="692" t="s">
        <v>2690</v>
      </c>
      <c r="I395" s="10">
        <v>55</v>
      </c>
    </row>
    <row r="396" spans="1:14" ht="18" customHeight="1" thickBot="1" x14ac:dyDescent="0.4">
      <c r="E396" s="692" t="s">
        <v>2046</v>
      </c>
      <c r="F396" s="21">
        <v>55</v>
      </c>
    </row>
    <row r="397" spans="1:14" ht="18" customHeight="1" thickBot="1" x14ac:dyDescent="0.4">
      <c r="B397" s="684">
        <f>+F397+I397+L397</f>
        <v>255</v>
      </c>
      <c r="C397" s="684">
        <f>+M397</f>
        <v>50</v>
      </c>
      <c r="D397" s="684"/>
      <c r="F397" s="710">
        <f>SUM(F392:F396)</f>
        <v>80</v>
      </c>
      <c r="G397" s="710">
        <f t="shared" ref="G397:N397" si="18">SUM(G392:G396)</f>
        <v>0</v>
      </c>
      <c r="H397" s="710">
        <f t="shared" si="18"/>
        <v>65</v>
      </c>
      <c r="I397" s="710">
        <f t="shared" si="18"/>
        <v>75</v>
      </c>
      <c r="J397" s="710">
        <f t="shared" si="18"/>
        <v>0</v>
      </c>
      <c r="K397" s="710">
        <f t="shared" si="18"/>
        <v>0</v>
      </c>
      <c r="L397" s="710">
        <f t="shared" si="18"/>
        <v>100</v>
      </c>
      <c r="M397" s="710">
        <f t="shared" si="18"/>
        <v>50</v>
      </c>
      <c r="N397" s="710">
        <f t="shared" si="18"/>
        <v>0</v>
      </c>
    </row>
    <row r="399" spans="1:14" ht="18" customHeight="1" x14ac:dyDescent="0.35">
      <c r="A399" s="685">
        <v>46086</v>
      </c>
      <c r="E399" s="692" t="s">
        <v>2693</v>
      </c>
      <c r="L399" s="10">
        <v>50</v>
      </c>
    </row>
    <row r="400" spans="1:14" ht="18" customHeight="1" x14ac:dyDescent="0.35">
      <c r="E400" s="692" t="s">
        <v>2694</v>
      </c>
      <c r="I400" s="10">
        <v>15</v>
      </c>
    </row>
    <row r="401" spans="1:14" ht="18" customHeight="1" x14ac:dyDescent="0.35">
      <c r="E401" s="688" t="s">
        <v>2695</v>
      </c>
    </row>
    <row r="402" spans="1:14" ht="18" customHeight="1" x14ac:dyDescent="0.35">
      <c r="E402" s="692" t="s">
        <v>2696</v>
      </c>
      <c r="K402" s="32">
        <v>80</v>
      </c>
    </row>
    <row r="403" spans="1:14" ht="18" customHeight="1" x14ac:dyDescent="0.35">
      <c r="E403" s="692" t="s">
        <v>2697</v>
      </c>
      <c r="K403" s="32">
        <v>25</v>
      </c>
    </row>
    <row r="404" spans="1:14" ht="18" customHeight="1" x14ac:dyDescent="0.35">
      <c r="E404" s="692" t="s">
        <v>2759</v>
      </c>
      <c r="F404" s="21">
        <v>25</v>
      </c>
    </row>
    <row r="405" spans="1:14" ht="18" customHeight="1" x14ac:dyDescent="0.35">
      <c r="E405" s="692" t="s">
        <v>2706</v>
      </c>
      <c r="F405" s="21">
        <v>75</v>
      </c>
    </row>
    <row r="406" spans="1:14" ht="18" customHeight="1" thickBot="1" x14ac:dyDescent="0.4"/>
    <row r="407" spans="1:14" ht="18" customHeight="1" thickBot="1" x14ac:dyDescent="0.4">
      <c r="B407" s="684">
        <f>+I407+L407+F407</f>
        <v>165</v>
      </c>
      <c r="C407" s="684"/>
      <c r="D407" s="684"/>
      <c r="F407" s="710">
        <f>SUM(F399:F406)</f>
        <v>100</v>
      </c>
      <c r="G407" s="710">
        <f t="shared" ref="G407:N407" si="19">SUM(G399:G406)</f>
        <v>0</v>
      </c>
      <c r="H407" s="710">
        <f t="shared" si="19"/>
        <v>0</v>
      </c>
      <c r="I407" s="710">
        <f t="shared" si="19"/>
        <v>15</v>
      </c>
      <c r="J407" s="710">
        <f t="shared" si="19"/>
        <v>0</v>
      </c>
      <c r="K407" s="710">
        <f t="shared" si="19"/>
        <v>105</v>
      </c>
      <c r="L407" s="710">
        <f t="shared" si="19"/>
        <v>50</v>
      </c>
      <c r="M407" s="710">
        <f t="shared" si="19"/>
        <v>0</v>
      </c>
      <c r="N407" s="710">
        <f t="shared" si="19"/>
        <v>0</v>
      </c>
    </row>
    <row r="409" spans="1:14" ht="18" customHeight="1" x14ac:dyDescent="0.35">
      <c r="A409" s="685">
        <v>46087</v>
      </c>
      <c r="E409" s="692" t="s">
        <v>2707</v>
      </c>
      <c r="F409" s="21">
        <v>10</v>
      </c>
    </row>
    <row r="410" spans="1:14" ht="18" customHeight="1" x14ac:dyDescent="0.35">
      <c r="E410" s="692" t="s">
        <v>2708</v>
      </c>
      <c r="F410" s="21">
        <v>170</v>
      </c>
      <c r="N410" s="10">
        <v>10</v>
      </c>
    </row>
    <row r="411" spans="1:14" ht="18" customHeight="1" x14ac:dyDescent="0.35">
      <c r="E411" s="692" t="s">
        <v>2709</v>
      </c>
      <c r="F411" s="21">
        <v>20</v>
      </c>
    </row>
    <row r="412" spans="1:14" ht="18" customHeight="1" x14ac:dyDescent="0.35">
      <c r="E412" s="865" t="s">
        <v>2710</v>
      </c>
    </row>
    <row r="413" spans="1:14" ht="18" customHeight="1" x14ac:dyDescent="0.35">
      <c r="E413" s="688" t="s">
        <v>2711</v>
      </c>
    </row>
    <row r="414" spans="1:14" ht="18" customHeight="1" x14ac:dyDescent="0.35">
      <c r="E414" s="692" t="s">
        <v>2712</v>
      </c>
      <c r="K414" s="32">
        <v>160</v>
      </c>
    </row>
    <row r="415" spans="1:14" ht="18" customHeight="1" thickBot="1" x14ac:dyDescent="0.4">
      <c r="E415" s="872" t="s">
        <v>2713</v>
      </c>
    </row>
    <row r="416" spans="1:14" ht="18" customHeight="1" x14ac:dyDescent="0.35">
      <c r="A416"/>
      <c r="B416" s="705"/>
      <c r="C416" s="776"/>
      <c r="E416" s="865" t="s">
        <v>2714</v>
      </c>
    </row>
    <row r="417" spans="1:14" ht="18" customHeight="1" x14ac:dyDescent="0.35">
      <c r="A417"/>
      <c r="B417" s="705"/>
      <c r="C417" s="859"/>
      <c r="E417" s="865" t="s">
        <v>2715</v>
      </c>
    </row>
    <row r="418" spans="1:14" ht="18" customHeight="1" x14ac:dyDescent="0.35">
      <c r="A418"/>
      <c r="B418" s="705"/>
      <c r="C418" s="859"/>
      <c r="E418" s="692" t="s">
        <v>2716</v>
      </c>
      <c r="F418" s="21">
        <v>30</v>
      </c>
    </row>
    <row r="419" spans="1:14" ht="18" customHeight="1" thickBot="1" x14ac:dyDescent="0.4">
      <c r="A419"/>
      <c r="B419" s="705"/>
      <c r="C419" s="859"/>
      <c r="E419" s="692" t="s">
        <v>2717</v>
      </c>
      <c r="F419" s="21">
        <v>100</v>
      </c>
    </row>
    <row r="420" spans="1:14" ht="18" customHeight="1" thickBot="1" x14ac:dyDescent="0.4">
      <c r="A420"/>
      <c r="B420" s="862">
        <f>+F420</f>
        <v>330</v>
      </c>
      <c r="C420" s="861"/>
      <c r="D420" s="684"/>
      <c r="F420" s="710">
        <f>SUM(F409:F419)</f>
        <v>330</v>
      </c>
      <c r="G420" s="710">
        <f t="shared" ref="G420:N420" si="20">SUM(G409:G419)</f>
        <v>0</v>
      </c>
      <c r="H420" s="710">
        <f t="shared" si="20"/>
        <v>0</v>
      </c>
      <c r="I420" s="710">
        <f t="shared" si="20"/>
        <v>0</v>
      </c>
      <c r="J420" s="710">
        <f t="shared" si="20"/>
        <v>0</v>
      </c>
      <c r="K420" s="710">
        <f t="shared" si="20"/>
        <v>160</v>
      </c>
      <c r="L420" s="710">
        <f t="shared" si="20"/>
        <v>0</v>
      </c>
      <c r="M420" s="710">
        <f t="shared" si="20"/>
        <v>0</v>
      </c>
      <c r="N420" s="710">
        <f t="shared" si="20"/>
        <v>10</v>
      </c>
    </row>
    <row r="421" spans="1:14" ht="18" customHeight="1" x14ac:dyDescent="0.35">
      <c r="A421"/>
      <c r="B421" s="705"/>
      <c r="C421" s="859"/>
    </row>
    <row r="422" spans="1:14" ht="18" customHeight="1" x14ac:dyDescent="0.35">
      <c r="A422" s="6">
        <v>46088</v>
      </c>
      <c r="B422" s="705"/>
      <c r="C422" s="859"/>
      <c r="E422" s="692" t="s">
        <v>2718</v>
      </c>
      <c r="F422" s="21">
        <v>120</v>
      </c>
    </row>
    <row r="423" spans="1:14" ht="18" customHeight="1" x14ac:dyDescent="0.35">
      <c r="A423"/>
      <c r="B423" s="705"/>
      <c r="C423" s="859"/>
      <c r="E423" s="692" t="s">
        <v>2719</v>
      </c>
      <c r="K423" s="32">
        <v>110</v>
      </c>
    </row>
    <row r="424" spans="1:14" ht="18" customHeight="1" x14ac:dyDescent="0.35">
      <c r="A424"/>
      <c r="B424" s="705"/>
      <c r="C424" s="859"/>
      <c r="E424" s="692" t="s">
        <v>2720</v>
      </c>
      <c r="G424" s="21">
        <v>90</v>
      </c>
    </row>
    <row r="425" spans="1:14" ht="18" customHeight="1" x14ac:dyDescent="0.35">
      <c r="A425"/>
      <c r="B425" s="705"/>
      <c r="C425" s="859"/>
      <c r="E425" s="692" t="s">
        <v>2722</v>
      </c>
      <c r="G425" s="21">
        <v>110</v>
      </c>
    </row>
    <row r="426" spans="1:14" ht="18" customHeight="1" x14ac:dyDescent="0.35">
      <c r="A426"/>
      <c r="B426" s="705"/>
      <c r="C426" s="859"/>
      <c r="E426" s="692" t="s">
        <v>2721</v>
      </c>
      <c r="F426" s="21">
        <v>110</v>
      </c>
    </row>
    <row r="427" spans="1:14" ht="18" customHeight="1" x14ac:dyDescent="0.35">
      <c r="A427"/>
      <c r="B427" s="705"/>
      <c r="C427" s="859"/>
      <c r="E427" s="692" t="s">
        <v>2723</v>
      </c>
      <c r="F427" s="10"/>
      <c r="G427" s="21">
        <v>35</v>
      </c>
    </row>
    <row r="428" spans="1:14" ht="18" customHeight="1" x14ac:dyDescent="0.35">
      <c r="A428"/>
      <c r="B428" s="705"/>
      <c r="C428" s="859"/>
      <c r="E428" s="692" t="s">
        <v>2724</v>
      </c>
      <c r="F428" s="10"/>
      <c r="G428" s="21">
        <v>80</v>
      </c>
    </row>
    <row r="429" spans="1:14" ht="18" customHeight="1" x14ac:dyDescent="0.35">
      <c r="A429"/>
      <c r="B429" s="705"/>
      <c r="C429" s="859"/>
      <c r="E429" s="692" t="s">
        <v>2725</v>
      </c>
      <c r="F429" s="10"/>
      <c r="G429" s="21">
        <v>65</v>
      </c>
    </row>
    <row r="430" spans="1:14" ht="18" customHeight="1" x14ac:dyDescent="0.35">
      <c r="A430"/>
      <c r="B430" s="705"/>
      <c r="C430" s="859"/>
      <c r="E430" s="692" t="s">
        <v>2726</v>
      </c>
      <c r="F430" s="10"/>
      <c r="G430" s="21">
        <v>20</v>
      </c>
    </row>
    <row r="431" spans="1:14" ht="18" customHeight="1" x14ac:dyDescent="0.35">
      <c r="A431"/>
      <c r="B431" s="705"/>
      <c r="C431" s="859"/>
      <c r="E431" s="692" t="s">
        <v>2727</v>
      </c>
      <c r="F431" s="21">
        <v>100</v>
      </c>
    </row>
    <row r="432" spans="1:14" ht="18" customHeight="1" thickBot="1" x14ac:dyDescent="0.4">
      <c r="A432"/>
      <c r="B432" s="705"/>
      <c r="C432" s="859"/>
      <c r="E432" s="692" t="s">
        <v>2728</v>
      </c>
      <c r="F432" s="21">
        <v>125</v>
      </c>
    </row>
    <row r="433" spans="1:14" ht="18" customHeight="1" thickBot="1" x14ac:dyDescent="0.4">
      <c r="A433"/>
      <c r="B433" s="862">
        <f>+F433+L433</f>
        <v>455</v>
      </c>
      <c r="C433" s="861">
        <f>+G433</f>
        <v>400</v>
      </c>
      <c r="D433" s="684"/>
      <c r="F433" s="710">
        <f>SUM(F422:F432)</f>
        <v>455</v>
      </c>
      <c r="G433" s="710">
        <f>SUM(G422:G432)</f>
        <v>400</v>
      </c>
      <c r="H433" s="711"/>
      <c r="I433" s="712"/>
      <c r="J433" s="712"/>
      <c r="K433" s="716"/>
      <c r="L433" s="712"/>
      <c r="M433" s="713"/>
      <c r="N433" s="863"/>
    </row>
    <row r="434" spans="1:14" ht="18" customHeight="1" x14ac:dyDescent="0.35">
      <c r="A434"/>
      <c r="B434" s="705"/>
      <c r="C434" s="859"/>
    </row>
    <row r="435" spans="1:14" ht="18" customHeight="1" x14ac:dyDescent="0.35">
      <c r="A435" s="6">
        <v>46090</v>
      </c>
      <c r="B435" s="705"/>
      <c r="C435" s="859"/>
      <c r="E435" s="692" t="s">
        <v>2729</v>
      </c>
      <c r="L435" s="10">
        <v>100</v>
      </c>
    </row>
    <row r="436" spans="1:14" ht="18" customHeight="1" x14ac:dyDescent="0.35">
      <c r="A436" s="6"/>
      <c r="B436" s="705"/>
      <c r="C436" s="859"/>
      <c r="E436" s="692" t="s">
        <v>2731</v>
      </c>
      <c r="K436" s="32">
        <v>55</v>
      </c>
    </row>
    <row r="437" spans="1:14" ht="18" customHeight="1" x14ac:dyDescent="0.35">
      <c r="A437"/>
      <c r="B437" s="705"/>
      <c r="C437" s="859"/>
      <c r="E437" s="692" t="s">
        <v>2730</v>
      </c>
      <c r="L437" s="10">
        <v>45</v>
      </c>
    </row>
    <row r="438" spans="1:14" ht="18" customHeight="1" thickBot="1" x14ac:dyDescent="0.4">
      <c r="A438"/>
      <c r="B438" s="705"/>
      <c r="C438" s="859"/>
      <c r="E438" s="692" t="s">
        <v>2739</v>
      </c>
      <c r="K438" s="32">
        <v>150</v>
      </c>
    </row>
    <row r="439" spans="1:14" ht="18" customHeight="1" thickBot="1" x14ac:dyDescent="0.4">
      <c r="A439"/>
      <c r="B439" s="860">
        <f>+L439</f>
        <v>145</v>
      </c>
      <c r="C439" s="861"/>
      <c r="D439" s="684"/>
      <c r="F439" s="710"/>
      <c r="G439" s="191"/>
      <c r="H439" s="711"/>
      <c r="I439" s="712"/>
      <c r="J439" s="712"/>
      <c r="K439" s="716"/>
      <c r="L439" s="712">
        <f>SUM(L435:L437)</f>
        <v>145</v>
      </c>
      <c r="M439" s="713"/>
      <c r="N439" s="863"/>
    </row>
    <row r="440" spans="1:14" ht="18" customHeight="1" x14ac:dyDescent="0.35">
      <c r="A440"/>
      <c r="B440" s="705"/>
      <c r="C440" s="859"/>
    </row>
    <row r="441" spans="1:14" ht="18" customHeight="1" x14ac:dyDescent="0.35">
      <c r="A441" s="6">
        <v>46091</v>
      </c>
      <c r="B441" s="705"/>
      <c r="C441" s="859"/>
      <c r="E441" s="692" t="s">
        <v>1904</v>
      </c>
      <c r="F441" s="21">
        <v>5</v>
      </c>
    </row>
    <row r="442" spans="1:14" ht="18" customHeight="1" x14ac:dyDescent="0.35">
      <c r="A442"/>
      <c r="B442" s="705"/>
      <c r="C442" s="859"/>
      <c r="E442" s="692" t="s">
        <v>2763</v>
      </c>
      <c r="F442" s="21">
        <v>125</v>
      </c>
    </row>
    <row r="443" spans="1:14" ht="18" customHeight="1" thickBot="1" x14ac:dyDescent="0.4">
      <c r="A443"/>
      <c r="B443" s="705"/>
      <c r="C443" s="859"/>
      <c r="E443" s="692" t="s">
        <v>2732</v>
      </c>
      <c r="F443" s="21">
        <v>65</v>
      </c>
    </row>
    <row r="444" spans="1:14" ht="18" customHeight="1" thickBot="1" x14ac:dyDescent="0.4">
      <c r="A444"/>
      <c r="B444" s="862">
        <f ca="1">+F444+L447</f>
        <v>260</v>
      </c>
      <c r="C444" s="861">
        <f>+G444</f>
        <v>0</v>
      </c>
      <c r="D444" s="684"/>
      <c r="F444" s="710">
        <f ca="1">SUM(F441:F447)</f>
        <v>195</v>
      </c>
      <c r="G444" s="710"/>
      <c r="H444" s="711"/>
      <c r="I444" s="712"/>
      <c r="J444" s="712"/>
      <c r="K444" s="716"/>
      <c r="L444" s="712">
        <f>SUM(L447)</f>
        <v>65</v>
      </c>
      <c r="M444" s="713"/>
      <c r="N444" s="863"/>
    </row>
    <row r="445" spans="1:14" ht="18" customHeight="1" x14ac:dyDescent="0.35">
      <c r="A445"/>
      <c r="B445" s="873"/>
      <c r="C445" s="859"/>
      <c r="F445" s="189"/>
      <c r="G445" s="189"/>
      <c r="K445" s="729"/>
    </row>
    <row r="446" spans="1:14" ht="18" customHeight="1" x14ac:dyDescent="0.35">
      <c r="A446" s="6">
        <v>46092</v>
      </c>
      <c r="B446" s="705"/>
      <c r="C446" s="859"/>
      <c r="E446" s="692" t="s">
        <v>2744</v>
      </c>
      <c r="F446" s="21">
        <v>140</v>
      </c>
    </row>
    <row r="447" spans="1:14" ht="18" customHeight="1" x14ac:dyDescent="0.35">
      <c r="A447"/>
      <c r="B447" s="705"/>
      <c r="C447" s="859"/>
      <c r="E447" s="692" t="s">
        <v>2840</v>
      </c>
      <c r="L447" s="10">
        <v>65</v>
      </c>
    </row>
    <row r="448" spans="1:14" ht="18" customHeight="1" x14ac:dyDescent="0.35">
      <c r="A448"/>
      <c r="B448" s="705"/>
      <c r="C448" s="859"/>
      <c r="E448" s="692" t="s">
        <v>2740</v>
      </c>
      <c r="G448" s="21">
        <v>25</v>
      </c>
    </row>
    <row r="449" spans="1:14" ht="18" customHeight="1" x14ac:dyDescent="0.35">
      <c r="A449"/>
      <c r="B449" s="705"/>
      <c r="C449" s="859"/>
      <c r="E449" s="692" t="s">
        <v>2928</v>
      </c>
      <c r="F449" s="137"/>
      <c r="G449" s="137"/>
      <c r="K449" s="783"/>
      <c r="L449" s="10">
        <v>100</v>
      </c>
    </row>
    <row r="450" spans="1:14" ht="18" customHeight="1" thickBot="1" x14ac:dyDescent="0.4">
      <c r="A450"/>
      <c r="B450" s="705"/>
      <c r="C450" s="859"/>
      <c r="E450" s="692" t="s">
        <v>2929</v>
      </c>
      <c r="F450" s="137"/>
      <c r="G450" s="137"/>
      <c r="K450" s="783"/>
      <c r="L450" s="10">
        <v>100</v>
      </c>
    </row>
    <row r="451" spans="1:14" ht="18" customHeight="1" thickBot="1" x14ac:dyDescent="0.4">
      <c r="A451"/>
      <c r="B451" s="862">
        <f>+F451+L451</f>
        <v>405</v>
      </c>
      <c r="C451" s="861">
        <f>+G451</f>
        <v>25</v>
      </c>
      <c r="D451" s="684"/>
      <c r="F451" s="887">
        <f>SUM(F446:F450)</f>
        <v>140</v>
      </c>
      <c r="G451" s="887">
        <f t="shared" ref="G451:L451" si="21">SUM(G446:G450)</f>
        <v>25</v>
      </c>
      <c r="H451" s="887">
        <f t="shared" si="21"/>
        <v>0</v>
      </c>
      <c r="I451" s="887">
        <f t="shared" si="21"/>
        <v>0</v>
      </c>
      <c r="J451" s="887">
        <f t="shared" si="21"/>
        <v>0</v>
      </c>
      <c r="K451" s="887">
        <f t="shared" si="21"/>
        <v>0</v>
      </c>
      <c r="L451" s="887">
        <f t="shared" si="21"/>
        <v>265</v>
      </c>
      <c r="M451" s="712"/>
      <c r="N451" s="713"/>
    </row>
    <row r="452" spans="1:14" ht="18" customHeight="1" x14ac:dyDescent="0.35">
      <c r="A452"/>
      <c r="B452" s="705"/>
      <c r="C452" s="859"/>
    </row>
    <row r="453" spans="1:14" ht="18" customHeight="1" x14ac:dyDescent="0.35">
      <c r="A453" s="6">
        <v>46093</v>
      </c>
      <c r="B453" s="705"/>
      <c r="C453" s="859"/>
      <c r="E453" s="692" t="s">
        <v>2741</v>
      </c>
      <c r="F453" s="21">
        <v>25</v>
      </c>
    </row>
    <row r="454" spans="1:14" ht="18" customHeight="1" x14ac:dyDescent="0.35">
      <c r="A454"/>
      <c r="B454" s="705"/>
      <c r="C454" s="859"/>
      <c r="E454" s="692" t="s">
        <v>2742</v>
      </c>
      <c r="F454" s="21">
        <v>25</v>
      </c>
    </row>
    <row r="455" spans="1:14" ht="18" customHeight="1" x14ac:dyDescent="0.35">
      <c r="A455"/>
      <c r="B455" s="705"/>
      <c r="C455" s="859"/>
      <c r="E455" s="692" t="s">
        <v>2743</v>
      </c>
      <c r="F455" s="21">
        <v>10</v>
      </c>
    </row>
    <row r="456" spans="1:14" ht="18" customHeight="1" x14ac:dyDescent="0.35">
      <c r="A456"/>
      <c r="B456" s="705"/>
      <c r="C456" s="859"/>
      <c r="E456" s="692" t="s">
        <v>2764</v>
      </c>
      <c r="F456" s="137"/>
      <c r="G456" s="137"/>
      <c r="I456" s="10">
        <v>45</v>
      </c>
      <c r="K456" s="783"/>
    </row>
    <row r="457" spans="1:14" ht="18" customHeight="1" thickBot="1" x14ac:dyDescent="0.4">
      <c r="A457"/>
      <c r="B457" s="705"/>
      <c r="C457" s="859"/>
      <c r="E457" s="692" t="s">
        <v>2765</v>
      </c>
      <c r="F457" s="137">
        <v>35</v>
      </c>
      <c r="G457" s="137"/>
      <c r="K457" s="783"/>
    </row>
    <row r="458" spans="1:14" ht="18" customHeight="1" thickBot="1" x14ac:dyDescent="0.4">
      <c r="A458"/>
      <c r="B458" s="862">
        <f>+F458+I458</f>
        <v>140</v>
      </c>
      <c r="C458" s="861"/>
      <c r="D458" s="684"/>
      <c r="F458" s="710">
        <f>SUM(F453:F457)</f>
        <v>95</v>
      </c>
      <c r="G458" s="710">
        <f t="shared" ref="G458:I458" si="22">SUM(G453:G457)</f>
        <v>0</v>
      </c>
      <c r="H458" s="710">
        <f t="shared" si="22"/>
        <v>0</v>
      </c>
      <c r="I458" s="710">
        <f t="shared" si="22"/>
        <v>45</v>
      </c>
      <c r="J458" s="712"/>
      <c r="K458" s="716"/>
      <c r="L458" s="712"/>
      <c r="M458" s="713"/>
    </row>
    <row r="459" spans="1:14" ht="18" customHeight="1" x14ac:dyDescent="0.35">
      <c r="A459"/>
      <c r="B459" s="705"/>
      <c r="C459" s="859"/>
    </row>
    <row r="460" spans="1:14" ht="18" customHeight="1" x14ac:dyDescent="0.35">
      <c r="A460" s="6">
        <v>46094</v>
      </c>
      <c r="B460" s="705"/>
      <c r="C460" s="859"/>
      <c r="E460" s="692" t="s">
        <v>2766</v>
      </c>
      <c r="F460" s="21">
        <v>150</v>
      </c>
    </row>
    <row r="461" spans="1:14" ht="18" customHeight="1" x14ac:dyDescent="0.35">
      <c r="A461"/>
      <c r="B461" s="705"/>
      <c r="C461" s="859"/>
      <c r="E461" s="692" t="s">
        <v>2767</v>
      </c>
      <c r="H461" s="496">
        <v>150</v>
      </c>
      <c r="I461" s="10">
        <v>75</v>
      </c>
    </row>
    <row r="462" spans="1:14" ht="18" customHeight="1" thickBot="1" x14ac:dyDescent="0.4">
      <c r="A462"/>
      <c r="B462" s="705"/>
      <c r="C462" s="859"/>
    </row>
    <row r="463" spans="1:14" ht="18" customHeight="1" thickBot="1" x14ac:dyDescent="0.4">
      <c r="A463"/>
      <c r="B463" s="862">
        <f>+F463+I463</f>
        <v>225</v>
      </c>
      <c r="C463" s="861"/>
      <c r="D463" s="684"/>
      <c r="F463" s="710">
        <f>SUM(F460:F462)</f>
        <v>150</v>
      </c>
      <c r="G463" s="710">
        <f>SUM(G460:G462)</f>
        <v>0</v>
      </c>
      <c r="H463" s="710">
        <f>SUM(H460:H462)</f>
        <v>150</v>
      </c>
      <c r="I463" s="710">
        <f>SUM(I460:I462)</f>
        <v>75</v>
      </c>
      <c r="J463" s="712"/>
      <c r="K463" s="716"/>
      <c r="L463" s="712"/>
      <c r="M463" s="713"/>
    </row>
    <row r="464" spans="1:14" ht="18" customHeight="1" x14ac:dyDescent="0.35">
      <c r="A464"/>
      <c r="B464" s="705"/>
      <c r="C464" s="859"/>
    </row>
    <row r="465" spans="1:13" ht="18" customHeight="1" x14ac:dyDescent="0.35">
      <c r="A465" s="6">
        <v>46095</v>
      </c>
      <c r="B465" s="705"/>
      <c r="C465" s="859"/>
      <c r="E465" s="688" t="s">
        <v>2774</v>
      </c>
      <c r="K465" s="32">
        <v>75</v>
      </c>
    </row>
    <row r="466" spans="1:13" ht="18" customHeight="1" x14ac:dyDescent="0.35">
      <c r="A466"/>
      <c r="B466" s="705"/>
      <c r="C466" s="859"/>
      <c r="E466" s="688" t="s">
        <v>2775</v>
      </c>
    </row>
    <row r="467" spans="1:13" ht="18" customHeight="1" x14ac:dyDescent="0.35">
      <c r="A467"/>
      <c r="B467" s="705"/>
      <c r="C467" s="859"/>
      <c r="E467" s="692" t="s">
        <v>2779</v>
      </c>
      <c r="K467" s="32">
        <v>150</v>
      </c>
    </row>
    <row r="468" spans="1:13" ht="18" customHeight="1" x14ac:dyDescent="0.35">
      <c r="A468"/>
      <c r="B468" s="705"/>
      <c r="C468" s="859"/>
      <c r="E468" s="692" t="s">
        <v>2780</v>
      </c>
      <c r="K468" s="32">
        <v>55</v>
      </c>
    </row>
    <row r="469" spans="1:13" ht="18" customHeight="1" x14ac:dyDescent="0.35">
      <c r="A469"/>
      <c r="B469" s="705"/>
      <c r="C469" s="859"/>
      <c r="E469" s="692" t="s">
        <v>2776</v>
      </c>
      <c r="K469" s="32">
        <v>45</v>
      </c>
    </row>
    <row r="470" spans="1:13" ht="18" customHeight="1" x14ac:dyDescent="0.35">
      <c r="A470"/>
      <c r="B470" s="705"/>
      <c r="C470" s="859"/>
      <c r="E470" s="692" t="s">
        <v>2777</v>
      </c>
      <c r="F470" s="21">
        <v>145</v>
      </c>
    </row>
    <row r="471" spans="1:13" ht="18" customHeight="1" thickBot="1" x14ac:dyDescent="0.4">
      <c r="A471"/>
      <c r="B471" s="705"/>
      <c r="C471" s="859"/>
      <c r="E471" s="692" t="s">
        <v>2782</v>
      </c>
      <c r="F471" s="21">
        <v>25</v>
      </c>
    </row>
    <row r="472" spans="1:13" ht="18" customHeight="1" thickBot="1" x14ac:dyDescent="0.4">
      <c r="A472"/>
      <c r="B472" s="862">
        <f>+F472</f>
        <v>170</v>
      </c>
      <c r="C472" s="861"/>
      <c r="D472" s="684"/>
      <c r="F472" s="710">
        <f>SUM(F470:F471)</f>
        <v>170</v>
      </c>
      <c r="G472" s="191"/>
      <c r="H472" s="711"/>
      <c r="I472" s="712"/>
      <c r="J472" s="712"/>
      <c r="K472" s="716">
        <f>SUM(K465:K471)</f>
        <v>325</v>
      </c>
      <c r="L472" s="712"/>
      <c r="M472" s="713"/>
    </row>
    <row r="473" spans="1:13" ht="18" customHeight="1" x14ac:dyDescent="0.35">
      <c r="A473"/>
      <c r="B473" s="873"/>
      <c r="C473" s="859"/>
      <c r="F473" s="189"/>
      <c r="G473" s="189"/>
      <c r="K473" s="729"/>
    </row>
    <row r="474" spans="1:13" ht="18" customHeight="1" x14ac:dyDescent="0.35">
      <c r="A474" s="6">
        <v>46097</v>
      </c>
      <c r="B474" s="873"/>
      <c r="C474" s="859"/>
      <c r="E474" s="692" t="s">
        <v>2778</v>
      </c>
      <c r="F474" s="189"/>
      <c r="G474" s="189"/>
      <c r="K474" s="729"/>
      <c r="L474" s="10">
        <v>50</v>
      </c>
    </row>
    <row r="475" spans="1:13" ht="18" customHeight="1" x14ac:dyDescent="0.35">
      <c r="A475"/>
      <c r="B475" s="873"/>
      <c r="C475" s="859"/>
      <c r="E475" s="692" t="s">
        <v>2795</v>
      </c>
      <c r="F475" s="189"/>
      <c r="G475" s="189"/>
      <c r="K475" s="729">
        <v>90</v>
      </c>
      <c r="L475" s="10">
        <v>50</v>
      </c>
    </row>
    <row r="476" spans="1:13" ht="18" customHeight="1" x14ac:dyDescent="0.35">
      <c r="A476"/>
      <c r="B476" s="873"/>
      <c r="C476" s="859"/>
      <c r="E476" s="692" t="s">
        <v>2936</v>
      </c>
      <c r="F476" s="189">
        <v>160</v>
      </c>
      <c r="G476" s="189"/>
      <c r="K476" s="729"/>
    </row>
    <row r="477" spans="1:13" ht="18" customHeight="1" x14ac:dyDescent="0.35">
      <c r="A477"/>
      <c r="B477" s="873"/>
      <c r="C477" s="859"/>
      <c r="E477" s="692" t="s">
        <v>2796</v>
      </c>
      <c r="F477" s="189">
        <v>10</v>
      </c>
      <c r="G477" s="189"/>
      <c r="K477" s="729"/>
    </row>
    <row r="478" spans="1:13" ht="18" customHeight="1" x14ac:dyDescent="0.35">
      <c r="A478"/>
      <c r="B478" s="873"/>
      <c r="C478" s="859"/>
      <c r="E478" s="688" t="s">
        <v>2798</v>
      </c>
      <c r="F478" s="189"/>
      <c r="G478" s="189"/>
      <c r="K478" s="729"/>
      <c r="L478" s="10">
        <v>100</v>
      </c>
    </row>
    <row r="479" spans="1:13" ht="18" customHeight="1" x14ac:dyDescent="0.35">
      <c r="A479"/>
      <c r="B479" s="873"/>
      <c r="C479" s="859"/>
      <c r="E479" s="688" t="s">
        <v>2797</v>
      </c>
      <c r="F479" s="189"/>
      <c r="G479" s="189"/>
      <c r="K479" s="729"/>
    </row>
    <row r="480" spans="1:13" ht="18" customHeight="1" x14ac:dyDescent="0.35">
      <c r="A480"/>
      <c r="B480" s="873"/>
      <c r="C480" s="859"/>
      <c r="E480" s="692" t="s">
        <v>2799</v>
      </c>
      <c r="F480" s="189"/>
      <c r="G480" s="189"/>
      <c r="K480" s="729">
        <v>160</v>
      </c>
    </row>
    <row r="481" spans="1:13" ht="18" customHeight="1" x14ac:dyDescent="0.35">
      <c r="A481"/>
      <c r="B481" s="873"/>
      <c r="C481" s="859"/>
      <c r="D481" s="683" t="s">
        <v>2809</v>
      </c>
      <c r="E481" s="865" t="s">
        <v>2829</v>
      </c>
      <c r="F481" s="189"/>
      <c r="G481" s="189"/>
      <c r="K481" s="729"/>
    </row>
    <row r="482" spans="1:13" ht="18" customHeight="1" thickBot="1" x14ac:dyDescent="0.4">
      <c r="A482"/>
      <c r="B482" s="873"/>
      <c r="C482" s="859"/>
      <c r="E482" s="692" t="s">
        <v>2800</v>
      </c>
      <c r="F482" s="189">
        <v>140</v>
      </c>
      <c r="G482" s="189"/>
      <c r="K482" s="729"/>
    </row>
    <row r="483" spans="1:13" ht="18" customHeight="1" thickBot="1" x14ac:dyDescent="0.4">
      <c r="A483"/>
      <c r="B483" s="862">
        <f>+F483+I483+L483</f>
        <v>510</v>
      </c>
      <c r="C483" s="861"/>
      <c r="D483" s="684"/>
      <c r="F483" s="710">
        <f>SUM(F474:F482)</f>
        <v>310</v>
      </c>
      <c r="G483" s="191"/>
      <c r="H483" s="711"/>
      <c r="I483" s="712"/>
      <c r="J483" s="712"/>
      <c r="K483" s="716">
        <f>SUM(K474:K482)</f>
        <v>250</v>
      </c>
      <c r="L483" s="716">
        <f>SUM(L474:L482)</f>
        <v>200</v>
      </c>
      <c r="M483" s="713"/>
    </row>
    <row r="484" spans="1:13" ht="18" customHeight="1" x14ac:dyDescent="0.35">
      <c r="A484"/>
      <c r="B484" s="873"/>
      <c r="C484" s="859"/>
      <c r="F484" s="189"/>
      <c r="G484" s="189"/>
      <c r="K484" s="729"/>
      <c r="L484" s="729"/>
    </row>
    <row r="485" spans="1:13" ht="18" customHeight="1" x14ac:dyDescent="0.35">
      <c r="A485" s="6">
        <v>46098</v>
      </c>
      <c r="B485" s="873"/>
      <c r="C485" s="859"/>
      <c r="E485" s="692" t="s">
        <v>2802</v>
      </c>
      <c r="F485" s="189">
        <v>125</v>
      </c>
      <c r="G485" s="189"/>
      <c r="K485" s="729"/>
      <c r="L485" s="729"/>
    </row>
    <row r="486" spans="1:13" ht="18" customHeight="1" x14ac:dyDescent="0.35">
      <c r="A486"/>
      <c r="B486" s="873"/>
      <c r="C486" s="859"/>
      <c r="E486" s="692" t="s">
        <v>2803</v>
      </c>
      <c r="F486" s="189">
        <v>30</v>
      </c>
      <c r="G486" s="189"/>
      <c r="K486" s="729"/>
      <c r="L486" s="729"/>
    </row>
    <row r="487" spans="1:13" ht="18" customHeight="1" x14ac:dyDescent="0.35">
      <c r="A487"/>
      <c r="B487" s="873"/>
      <c r="C487" s="859"/>
      <c r="E487" s="692" t="s">
        <v>2804</v>
      </c>
      <c r="F487" s="189">
        <v>90</v>
      </c>
      <c r="G487" s="189"/>
      <c r="K487" s="729"/>
      <c r="L487" s="729"/>
    </row>
    <row r="488" spans="1:13" ht="18" customHeight="1" thickBot="1" x14ac:dyDescent="0.4">
      <c r="A488"/>
      <c r="B488" s="873"/>
      <c r="C488" s="859"/>
      <c r="E488" s="692" t="s">
        <v>2815</v>
      </c>
      <c r="F488" s="189">
        <v>140</v>
      </c>
      <c r="G488" s="189"/>
      <c r="K488" s="729"/>
      <c r="L488" s="729"/>
    </row>
    <row r="489" spans="1:13" ht="18" customHeight="1" thickBot="1" x14ac:dyDescent="0.4">
      <c r="A489"/>
      <c r="B489" s="862">
        <f>+F489</f>
        <v>385</v>
      </c>
      <c r="C489" s="861"/>
      <c r="D489" s="684"/>
      <c r="F489" s="710">
        <f>SUM(F485:F488)</f>
        <v>385</v>
      </c>
      <c r="G489" s="191"/>
      <c r="H489" s="711"/>
      <c r="I489" s="712"/>
      <c r="J489" s="712"/>
      <c r="K489" s="716"/>
      <c r="L489" s="716"/>
      <c r="M489" s="713"/>
    </row>
    <row r="490" spans="1:13" ht="18" customHeight="1" x14ac:dyDescent="0.35">
      <c r="A490"/>
      <c r="B490" s="873"/>
      <c r="C490" s="859"/>
      <c r="F490" s="189"/>
      <c r="G490" s="189"/>
      <c r="K490" s="729"/>
      <c r="L490" s="729"/>
    </row>
    <row r="491" spans="1:13" ht="18" customHeight="1" x14ac:dyDescent="0.35">
      <c r="A491" s="6">
        <v>46099</v>
      </c>
      <c r="B491" s="873"/>
      <c r="C491" s="859"/>
      <c r="E491" s="692" t="s">
        <v>2805</v>
      </c>
      <c r="F491" s="189">
        <v>30</v>
      </c>
      <c r="G491" s="189"/>
      <c r="K491" s="729"/>
      <c r="L491" s="729"/>
    </row>
    <row r="492" spans="1:13" ht="18" customHeight="1" thickBot="1" x14ac:dyDescent="0.4">
      <c r="A492"/>
      <c r="B492" s="873"/>
      <c r="C492" s="859"/>
      <c r="E492" s="692" t="s">
        <v>2812</v>
      </c>
      <c r="F492" s="189">
        <v>10</v>
      </c>
      <c r="G492" s="189"/>
      <c r="K492" s="729"/>
      <c r="L492" s="729"/>
    </row>
    <row r="493" spans="1:13" ht="18" customHeight="1" thickBot="1" x14ac:dyDescent="0.4">
      <c r="A493"/>
      <c r="B493" s="862">
        <f>+F493</f>
        <v>40</v>
      </c>
      <c r="C493" s="861"/>
      <c r="D493" s="684"/>
      <c r="F493" s="710">
        <f>SUM(F491:F492)</f>
        <v>40</v>
      </c>
      <c r="G493" s="191"/>
      <c r="H493" s="711"/>
      <c r="I493" s="712"/>
      <c r="J493" s="712"/>
      <c r="K493" s="716"/>
      <c r="L493" s="716"/>
      <c r="M493" s="713"/>
    </row>
    <row r="494" spans="1:13" ht="18" customHeight="1" x14ac:dyDescent="0.35">
      <c r="A494"/>
      <c r="B494" s="873"/>
      <c r="C494" s="859"/>
      <c r="F494" s="189"/>
      <c r="G494" s="189"/>
      <c r="K494" s="729"/>
      <c r="L494" s="729"/>
    </row>
    <row r="495" spans="1:13" ht="18" customHeight="1" x14ac:dyDescent="0.35">
      <c r="A495" s="6">
        <v>46100</v>
      </c>
      <c r="B495" s="873"/>
      <c r="C495" s="859"/>
      <c r="E495" s="692" t="s">
        <v>2806</v>
      </c>
      <c r="F495" s="189">
        <v>55</v>
      </c>
      <c r="G495" s="189"/>
      <c r="K495" s="729"/>
      <c r="L495" s="729"/>
    </row>
    <row r="496" spans="1:13" ht="18" customHeight="1" x14ac:dyDescent="0.35">
      <c r="A496"/>
      <c r="B496" s="873"/>
      <c r="C496" s="859"/>
      <c r="E496" s="692" t="s">
        <v>2807</v>
      </c>
      <c r="F496" s="189">
        <v>150</v>
      </c>
      <c r="G496" s="140"/>
      <c r="K496" s="729"/>
      <c r="L496" s="729"/>
    </row>
    <row r="497" spans="1:13" ht="18" customHeight="1" x14ac:dyDescent="0.35">
      <c r="A497"/>
      <c r="B497" s="873"/>
      <c r="C497" s="859"/>
      <c r="E497" s="692" t="s">
        <v>2808</v>
      </c>
      <c r="F497" s="189">
        <v>125</v>
      </c>
      <c r="G497" s="189"/>
      <c r="K497" s="729"/>
      <c r="L497" s="729"/>
    </row>
    <row r="498" spans="1:13" ht="18" customHeight="1" x14ac:dyDescent="0.35">
      <c r="A498"/>
      <c r="B498" s="873"/>
      <c r="C498" s="859"/>
      <c r="E498" s="692" t="s">
        <v>2831</v>
      </c>
      <c r="F498" s="140">
        <v>45</v>
      </c>
      <c r="G498" s="140"/>
      <c r="K498" s="147"/>
      <c r="L498" s="147"/>
    </row>
    <row r="499" spans="1:13" ht="18" customHeight="1" thickBot="1" x14ac:dyDescent="0.4">
      <c r="A499"/>
      <c r="B499" s="873"/>
      <c r="C499" s="859"/>
      <c r="E499" s="692" t="s">
        <v>2832</v>
      </c>
      <c r="F499" s="140">
        <v>5</v>
      </c>
      <c r="G499" s="140"/>
      <c r="K499" s="147"/>
      <c r="L499" s="147"/>
    </row>
    <row r="500" spans="1:13" ht="18" customHeight="1" thickBot="1" x14ac:dyDescent="0.4">
      <c r="A500"/>
      <c r="B500" s="862">
        <f>+F500</f>
        <v>380</v>
      </c>
      <c r="C500" s="861"/>
      <c r="D500" s="684"/>
      <c r="F500" s="710">
        <f>SUM(F495:F499)</f>
        <v>380</v>
      </c>
      <c r="G500" s="191"/>
      <c r="H500" s="711"/>
      <c r="I500" s="712"/>
      <c r="J500" s="712"/>
      <c r="K500" s="716"/>
      <c r="L500" s="716"/>
      <c r="M500" s="713"/>
    </row>
    <row r="501" spans="1:13" ht="18" customHeight="1" x14ac:dyDescent="0.35">
      <c r="A501"/>
      <c r="B501" s="873"/>
      <c r="C501" s="859"/>
      <c r="F501" s="189"/>
      <c r="G501" s="189"/>
      <c r="K501" s="729"/>
      <c r="L501" s="729"/>
    </row>
    <row r="502" spans="1:13" ht="18" customHeight="1" x14ac:dyDescent="0.35">
      <c r="A502" s="6">
        <v>46101</v>
      </c>
      <c r="B502" s="873"/>
      <c r="C502" s="859"/>
      <c r="E502" s="692" t="s">
        <v>2819</v>
      </c>
      <c r="F502" s="189">
        <v>250</v>
      </c>
      <c r="G502" s="189"/>
      <c r="K502" s="729"/>
      <c r="L502" s="729"/>
    </row>
    <row r="503" spans="1:13" ht="18" customHeight="1" x14ac:dyDescent="0.35">
      <c r="A503"/>
      <c r="B503" s="873"/>
      <c r="C503" s="859"/>
      <c r="E503" s="692" t="s">
        <v>2820</v>
      </c>
      <c r="F503" s="189">
        <v>100</v>
      </c>
      <c r="G503" s="189"/>
      <c r="K503" s="729"/>
      <c r="L503" s="729"/>
    </row>
    <row r="504" spans="1:13" ht="18" customHeight="1" x14ac:dyDescent="0.35">
      <c r="A504"/>
      <c r="B504" s="873"/>
      <c r="C504" s="859"/>
      <c r="E504" s="692" t="s">
        <v>2821</v>
      </c>
      <c r="F504" s="189">
        <v>150</v>
      </c>
      <c r="G504" s="189"/>
      <c r="K504" s="729"/>
      <c r="L504" s="729"/>
    </row>
    <row r="505" spans="1:13" ht="18" customHeight="1" x14ac:dyDescent="0.35">
      <c r="A505"/>
      <c r="B505" s="873"/>
      <c r="C505" s="859"/>
      <c r="E505" s="692" t="s">
        <v>2822</v>
      </c>
      <c r="F505" s="189">
        <v>110</v>
      </c>
      <c r="G505" s="189"/>
      <c r="K505" s="729"/>
      <c r="L505" s="729"/>
    </row>
    <row r="506" spans="1:13" ht="18" customHeight="1" x14ac:dyDescent="0.35">
      <c r="A506"/>
      <c r="B506" s="873"/>
      <c r="C506" s="859"/>
      <c r="E506" s="692" t="s">
        <v>2823</v>
      </c>
      <c r="F506" s="189">
        <v>90</v>
      </c>
      <c r="G506" s="189"/>
      <c r="K506" s="729"/>
      <c r="L506" s="729"/>
    </row>
    <row r="507" spans="1:13" ht="18" customHeight="1" x14ac:dyDescent="0.35">
      <c r="A507"/>
      <c r="B507" s="873"/>
      <c r="C507" s="859"/>
      <c r="E507" s="692" t="s">
        <v>2824</v>
      </c>
      <c r="F507" s="189">
        <v>75</v>
      </c>
      <c r="G507" s="189"/>
      <c r="K507" s="729"/>
      <c r="L507" s="729"/>
    </row>
    <row r="508" spans="1:13" ht="18" customHeight="1" x14ac:dyDescent="0.35">
      <c r="A508"/>
      <c r="B508" s="873"/>
      <c r="C508" s="859"/>
      <c r="E508" s="692" t="s">
        <v>2825</v>
      </c>
      <c r="F508" s="189">
        <v>50</v>
      </c>
      <c r="G508" s="189"/>
      <c r="K508" s="729"/>
      <c r="L508" s="729"/>
    </row>
    <row r="509" spans="1:13" ht="18" customHeight="1" x14ac:dyDescent="0.35">
      <c r="A509"/>
      <c r="B509" s="873"/>
      <c r="C509" s="859"/>
      <c r="E509" s="692" t="s">
        <v>2826</v>
      </c>
      <c r="F509" s="189">
        <v>55</v>
      </c>
      <c r="G509" s="189"/>
      <c r="K509" s="729"/>
      <c r="L509" s="729"/>
    </row>
    <row r="510" spans="1:13" ht="18" customHeight="1" x14ac:dyDescent="0.35">
      <c r="A510"/>
      <c r="B510" s="873"/>
      <c r="C510" s="859"/>
      <c r="E510" s="692" t="s">
        <v>2827</v>
      </c>
      <c r="F510" s="189">
        <v>150</v>
      </c>
      <c r="G510" s="189"/>
      <c r="K510" s="729"/>
      <c r="L510" s="729"/>
    </row>
    <row r="511" spans="1:13" ht="18" customHeight="1" x14ac:dyDescent="0.35">
      <c r="A511"/>
      <c r="B511" s="873"/>
      <c r="C511" s="859"/>
      <c r="E511" s="692" t="s">
        <v>2828</v>
      </c>
      <c r="F511" s="189">
        <v>125</v>
      </c>
      <c r="G511" s="189"/>
      <c r="K511" s="729"/>
      <c r="L511" s="729"/>
    </row>
    <row r="512" spans="1:13" ht="18" customHeight="1" x14ac:dyDescent="0.35">
      <c r="A512"/>
      <c r="B512" s="873"/>
      <c r="C512" s="859"/>
      <c r="E512" s="692" t="s">
        <v>2821</v>
      </c>
      <c r="F512" s="189">
        <v>150</v>
      </c>
      <c r="G512" s="189"/>
      <c r="K512" s="729"/>
      <c r="L512" s="729"/>
    </row>
    <row r="513" spans="1:17" ht="18" customHeight="1" x14ac:dyDescent="0.35">
      <c r="A513"/>
      <c r="B513" s="873"/>
      <c r="C513" s="859"/>
      <c r="E513" s="692" t="s">
        <v>2857</v>
      </c>
      <c r="F513" s="189">
        <v>35</v>
      </c>
      <c r="G513" s="189"/>
      <c r="K513" s="729"/>
      <c r="L513" s="729"/>
    </row>
    <row r="514" spans="1:17" ht="18" customHeight="1" x14ac:dyDescent="0.35">
      <c r="A514"/>
      <c r="B514" s="873"/>
      <c r="C514" s="859"/>
      <c r="E514" s="692" t="s">
        <v>2858</v>
      </c>
      <c r="F514" s="189">
        <v>35</v>
      </c>
      <c r="G514" s="189"/>
      <c r="K514" s="729"/>
      <c r="L514" s="729"/>
    </row>
    <row r="515" spans="1:17" ht="18" customHeight="1" thickBot="1" x14ac:dyDescent="0.4">
      <c r="A515"/>
      <c r="B515" s="705"/>
      <c r="C515" s="859"/>
    </row>
    <row r="516" spans="1:17" ht="18" customHeight="1" thickBot="1" x14ac:dyDescent="0.4">
      <c r="A516"/>
      <c r="B516" s="862">
        <f>+F516</f>
        <v>1375</v>
      </c>
      <c r="C516" s="861"/>
      <c r="D516" s="684"/>
      <c r="F516" s="710">
        <f>SUM(F502:F515)</f>
        <v>1375</v>
      </c>
      <c r="G516" s="191"/>
      <c r="H516" s="711"/>
      <c r="I516" s="712"/>
      <c r="J516" s="712"/>
      <c r="K516" s="716"/>
      <c r="L516" s="712"/>
      <c r="M516" s="713"/>
    </row>
    <row r="517" spans="1:17" ht="18" customHeight="1" x14ac:dyDescent="0.35">
      <c r="A517"/>
      <c r="B517" s="873"/>
      <c r="C517" s="859"/>
      <c r="F517" s="189"/>
      <c r="G517" s="189"/>
      <c r="K517" s="729"/>
    </row>
    <row r="518" spans="1:17" ht="18" customHeight="1" x14ac:dyDescent="0.35">
      <c r="A518" s="6">
        <v>46102</v>
      </c>
      <c r="B518" s="873"/>
      <c r="C518" s="859"/>
      <c r="E518" s="692" t="s">
        <v>2833</v>
      </c>
      <c r="F518" s="189">
        <v>35</v>
      </c>
      <c r="G518" s="189"/>
      <c r="K518" s="729"/>
    </row>
    <row r="519" spans="1:17" ht="18" customHeight="1" x14ac:dyDescent="0.35">
      <c r="A519"/>
      <c r="B519" s="873"/>
      <c r="C519" s="859"/>
      <c r="E519" s="692" t="s">
        <v>2834</v>
      </c>
      <c r="F519" s="189">
        <v>55</v>
      </c>
      <c r="G519" s="189"/>
      <c r="K519" s="729"/>
    </row>
    <row r="520" spans="1:17" ht="18" customHeight="1" x14ac:dyDescent="0.35">
      <c r="A520"/>
      <c r="B520" s="873"/>
      <c r="C520" s="859"/>
      <c r="E520" s="692" t="s">
        <v>2835</v>
      </c>
      <c r="F520" s="189">
        <v>35</v>
      </c>
      <c r="G520" s="189"/>
      <c r="K520" s="729"/>
    </row>
    <row r="521" spans="1:17" ht="18" customHeight="1" x14ac:dyDescent="0.35">
      <c r="A521"/>
      <c r="B521" s="873"/>
      <c r="C521" s="859"/>
      <c r="E521" s="692" t="s">
        <v>2836</v>
      </c>
      <c r="F521" s="189">
        <v>75</v>
      </c>
      <c r="G521" s="189"/>
      <c r="K521" s="729"/>
    </row>
    <row r="522" spans="1:17" ht="18" customHeight="1" x14ac:dyDescent="0.35">
      <c r="A522"/>
      <c r="B522" s="873"/>
      <c r="C522" s="859"/>
      <c r="E522" s="692" t="s">
        <v>2837</v>
      </c>
      <c r="F522" s="189">
        <v>75</v>
      </c>
      <c r="G522" s="189"/>
      <c r="K522" s="729"/>
    </row>
    <row r="523" spans="1:17" ht="18" customHeight="1" x14ac:dyDescent="0.35">
      <c r="A523"/>
      <c r="B523" s="873"/>
      <c r="C523" s="859"/>
      <c r="E523" s="692" t="s">
        <v>2838</v>
      </c>
      <c r="F523" s="189"/>
      <c r="G523" s="189"/>
      <c r="K523" s="729"/>
      <c r="L523" s="10">
        <v>100</v>
      </c>
    </row>
    <row r="524" spans="1:17" ht="18" customHeight="1" thickBot="1" x14ac:dyDescent="0.4">
      <c r="A524"/>
      <c r="B524" s="873"/>
      <c r="C524" s="859"/>
      <c r="E524" s="692" t="s">
        <v>2839</v>
      </c>
      <c r="F524" s="189">
        <v>55</v>
      </c>
      <c r="G524" s="189"/>
      <c r="K524" s="729"/>
    </row>
    <row r="525" spans="1:17" ht="18" customHeight="1" thickBot="1" x14ac:dyDescent="0.4">
      <c r="A525"/>
      <c r="B525" s="862">
        <f>+F525+L525</f>
        <v>430</v>
      </c>
      <c r="C525" s="861"/>
      <c r="D525" s="684"/>
      <c r="F525" s="710">
        <f>SUM(F518:F524)</f>
        <v>330</v>
      </c>
      <c r="G525" s="191"/>
      <c r="H525" s="711"/>
      <c r="I525" s="712"/>
      <c r="J525" s="712"/>
      <c r="K525" s="716"/>
      <c r="L525" s="712">
        <f>SUM(L523:L524)</f>
        <v>100</v>
      </c>
      <c r="M525" s="713"/>
      <c r="N525" s="863"/>
    </row>
    <row r="526" spans="1:17" ht="18" customHeight="1" x14ac:dyDescent="0.35">
      <c r="A526"/>
      <c r="B526" s="873"/>
      <c r="C526" s="859"/>
      <c r="F526" s="189"/>
      <c r="G526" s="189"/>
      <c r="K526" s="729"/>
    </row>
    <row r="527" spans="1:17" ht="18" customHeight="1" x14ac:dyDescent="0.35">
      <c r="A527" s="6">
        <v>46104</v>
      </c>
      <c r="B527" s="873"/>
      <c r="C527" s="859"/>
      <c r="E527" s="692" t="s">
        <v>2841</v>
      </c>
      <c r="F527" s="189">
        <v>150</v>
      </c>
      <c r="G527" s="189"/>
      <c r="K527" s="729"/>
    </row>
    <row r="528" spans="1:17" s="57" customFormat="1" ht="18" customHeight="1" x14ac:dyDescent="0.35">
      <c r="A528" s="244"/>
      <c r="B528" s="880"/>
      <c r="C528" s="881"/>
      <c r="D528" s="801"/>
      <c r="E528" s="820" t="s">
        <v>2842</v>
      </c>
      <c r="F528" s="729"/>
      <c r="G528" s="729"/>
      <c r="H528" s="799">
        <v>65</v>
      </c>
      <c r="I528" s="57">
        <v>20</v>
      </c>
      <c r="K528" s="729"/>
      <c r="O528" s="33"/>
      <c r="P528" s="33"/>
      <c r="Q528" s="33"/>
    </row>
    <row r="529" spans="1:14" ht="18" customHeight="1" thickBot="1" x14ac:dyDescent="0.4">
      <c r="A529"/>
      <c r="B529" s="705"/>
      <c r="C529" s="859"/>
      <c r="D529" s="683" t="s">
        <v>402</v>
      </c>
      <c r="E529" s="692" t="s">
        <v>2860</v>
      </c>
      <c r="F529" s="21">
        <v>65</v>
      </c>
    </row>
    <row r="530" spans="1:14" ht="18" customHeight="1" thickBot="1" x14ac:dyDescent="0.4">
      <c r="A530"/>
      <c r="B530" s="862">
        <f>+F530+I530</f>
        <v>235</v>
      </c>
      <c r="C530" s="861"/>
      <c r="D530" s="684"/>
      <c r="F530" s="710">
        <f>SUM(F527:F529)</f>
        <v>215</v>
      </c>
      <c r="G530" s="710">
        <f>SUM(G527:G529)</f>
        <v>0</v>
      </c>
      <c r="H530" s="710">
        <f>SUM(H527:H529)</f>
        <v>65</v>
      </c>
      <c r="I530" s="710">
        <f>SUM(I527:I529)</f>
        <v>20</v>
      </c>
      <c r="J530" s="712"/>
      <c r="K530" s="716"/>
      <c r="L530" s="712"/>
      <c r="M530" s="712"/>
      <c r="N530" s="713"/>
    </row>
    <row r="531" spans="1:14" ht="18" customHeight="1" x14ac:dyDescent="0.35">
      <c r="A531"/>
      <c r="B531" s="873"/>
      <c r="C531" s="859"/>
      <c r="F531" s="189"/>
      <c r="G531" s="189"/>
      <c r="H531" s="189"/>
      <c r="I531" s="189"/>
      <c r="K531" s="729"/>
    </row>
    <row r="532" spans="1:14" ht="18" customHeight="1" x14ac:dyDescent="0.35">
      <c r="A532" s="6">
        <v>46105</v>
      </c>
      <c r="B532" s="873"/>
      <c r="C532" s="859"/>
      <c r="E532" s="692" t="s">
        <v>2883</v>
      </c>
      <c r="F532" s="189">
        <v>180</v>
      </c>
      <c r="G532" s="189"/>
      <c r="H532" s="189"/>
      <c r="I532" s="189"/>
      <c r="K532" s="729"/>
    </row>
    <row r="533" spans="1:14" ht="18" customHeight="1" x14ac:dyDescent="0.35">
      <c r="A533"/>
      <c r="B533" s="873"/>
      <c r="C533" s="859"/>
      <c r="E533" s="692" t="s">
        <v>2868</v>
      </c>
      <c r="F533" s="189">
        <v>25</v>
      </c>
      <c r="G533" s="189"/>
      <c r="H533" s="189"/>
      <c r="I533" s="189"/>
      <c r="K533" s="729"/>
    </row>
    <row r="534" spans="1:14" ht="18" customHeight="1" thickBot="1" x14ac:dyDescent="0.4">
      <c r="A534"/>
      <c r="B534" s="873"/>
      <c r="C534" s="859"/>
      <c r="E534" s="692" t="s">
        <v>2864</v>
      </c>
      <c r="F534" s="189"/>
      <c r="G534" s="189"/>
      <c r="H534" s="189"/>
      <c r="I534" s="189"/>
      <c r="K534" s="729">
        <v>15</v>
      </c>
    </row>
    <row r="535" spans="1:14" ht="18" customHeight="1" thickBot="1" x14ac:dyDescent="0.4">
      <c r="A535"/>
      <c r="B535" s="882">
        <f>+F535</f>
        <v>205</v>
      </c>
      <c r="C535" s="883"/>
      <c r="D535" s="884"/>
      <c r="F535" s="710">
        <f>SUM(F532:F534)</f>
        <v>205</v>
      </c>
      <c r="G535" s="191"/>
      <c r="H535" s="191"/>
      <c r="I535" s="191"/>
      <c r="J535" s="712"/>
      <c r="K535" s="716"/>
      <c r="L535" s="712"/>
      <c r="M535" s="713"/>
      <c r="N535" s="863"/>
    </row>
    <row r="536" spans="1:14" ht="18" customHeight="1" x14ac:dyDescent="0.35">
      <c r="A536"/>
      <c r="B536" s="873"/>
      <c r="C536" s="859"/>
      <c r="F536" s="189"/>
      <c r="G536" s="189"/>
      <c r="H536" s="189"/>
      <c r="I536" s="189"/>
      <c r="K536" s="729"/>
    </row>
    <row r="537" spans="1:14" ht="18" customHeight="1" x14ac:dyDescent="0.35">
      <c r="A537" s="6">
        <v>46106</v>
      </c>
      <c r="B537" s="873"/>
      <c r="C537" s="859"/>
      <c r="E537" s="692" t="s">
        <v>2869</v>
      </c>
      <c r="F537" s="189">
        <v>115</v>
      </c>
      <c r="G537" s="189"/>
      <c r="H537" s="189"/>
      <c r="I537" s="189"/>
      <c r="K537" s="729"/>
    </row>
    <row r="538" spans="1:14" ht="18" customHeight="1" x14ac:dyDescent="0.35">
      <c r="A538"/>
      <c r="B538" s="873"/>
      <c r="C538" s="859"/>
      <c r="E538" s="692" t="s">
        <v>2870</v>
      </c>
      <c r="F538" s="189">
        <v>150</v>
      </c>
      <c r="G538" s="189"/>
      <c r="H538" s="189"/>
      <c r="I538" s="189"/>
      <c r="K538" s="729"/>
    </row>
    <row r="539" spans="1:14" ht="18" customHeight="1" x14ac:dyDescent="0.35">
      <c r="A539"/>
      <c r="B539" s="873"/>
      <c r="C539" s="859"/>
      <c r="E539" s="692" t="s">
        <v>2871</v>
      </c>
      <c r="F539" s="189"/>
      <c r="G539" s="189"/>
      <c r="H539" s="189"/>
      <c r="I539" s="189">
        <v>45</v>
      </c>
      <c r="K539" s="729"/>
    </row>
    <row r="540" spans="1:14" ht="18" customHeight="1" x14ac:dyDescent="0.35">
      <c r="A540"/>
      <c r="B540" s="873"/>
      <c r="C540" s="859"/>
      <c r="E540" s="692" t="s">
        <v>2872</v>
      </c>
      <c r="F540" s="189">
        <v>5</v>
      </c>
      <c r="G540" s="189"/>
      <c r="H540" s="189"/>
      <c r="I540" s="189"/>
      <c r="K540" s="729"/>
    </row>
    <row r="541" spans="1:14" ht="18" customHeight="1" x14ac:dyDescent="0.35">
      <c r="A541"/>
      <c r="B541" s="873"/>
      <c r="C541" s="859"/>
      <c r="E541" s="688" t="s">
        <v>2775</v>
      </c>
      <c r="F541" s="189"/>
      <c r="G541" s="189"/>
      <c r="H541" s="189"/>
      <c r="I541" s="189"/>
      <c r="K541" s="729"/>
    </row>
    <row r="542" spans="1:14" ht="18" customHeight="1" x14ac:dyDescent="0.35">
      <c r="A542"/>
      <c r="B542" s="873"/>
      <c r="C542" s="859"/>
      <c r="E542" s="692" t="s">
        <v>2873</v>
      </c>
      <c r="F542" s="189"/>
      <c r="G542" s="189"/>
      <c r="H542" s="189"/>
      <c r="I542" s="189"/>
      <c r="K542" s="729">
        <v>180</v>
      </c>
      <c r="L542" s="10">
        <v>110</v>
      </c>
    </row>
    <row r="543" spans="1:14" ht="18" customHeight="1" thickBot="1" x14ac:dyDescent="0.4">
      <c r="A543"/>
      <c r="B543" s="873"/>
      <c r="C543" s="859"/>
      <c r="E543" s="692" t="s">
        <v>2874</v>
      </c>
      <c r="F543" s="189"/>
      <c r="G543" s="189"/>
      <c r="H543" s="189"/>
      <c r="I543" s="189"/>
      <c r="K543" s="729">
        <v>25</v>
      </c>
    </row>
    <row r="544" spans="1:14" ht="18" customHeight="1" thickBot="1" x14ac:dyDescent="0.4">
      <c r="A544"/>
      <c r="B544" s="862">
        <f>+F544+I544+L544</f>
        <v>425</v>
      </c>
      <c r="C544" s="861"/>
      <c r="D544" s="684"/>
      <c r="F544" s="710">
        <f>SUM(F537:F543)</f>
        <v>270</v>
      </c>
      <c r="G544" s="710">
        <f t="shared" ref="G544:L544" si="23">SUM(G537:G543)</f>
        <v>0</v>
      </c>
      <c r="H544" s="710">
        <f t="shared" si="23"/>
        <v>0</v>
      </c>
      <c r="I544" s="710">
        <f t="shared" si="23"/>
        <v>45</v>
      </c>
      <c r="J544" s="710">
        <f t="shared" si="23"/>
        <v>0</v>
      </c>
      <c r="K544" s="710">
        <f t="shared" si="23"/>
        <v>205</v>
      </c>
      <c r="L544" s="710">
        <f t="shared" si="23"/>
        <v>110</v>
      </c>
      <c r="M544" s="712"/>
      <c r="N544" s="713"/>
    </row>
    <row r="545" spans="1:14" ht="18" customHeight="1" x14ac:dyDescent="0.35">
      <c r="A545"/>
      <c r="B545" s="705"/>
      <c r="C545" s="859"/>
      <c r="D545" s="683">
        <v>425</v>
      </c>
      <c r="F545" s="189"/>
      <c r="G545" s="189"/>
      <c r="H545" s="189"/>
      <c r="I545" s="189"/>
      <c r="J545" s="189"/>
      <c r="K545" s="189"/>
      <c r="L545" s="189"/>
    </row>
    <row r="546" spans="1:14" ht="18" customHeight="1" x14ac:dyDescent="0.35">
      <c r="A546" s="6">
        <v>46107</v>
      </c>
      <c r="B546" s="705"/>
      <c r="C546" s="859"/>
      <c r="E546" s="692" t="s">
        <v>2875</v>
      </c>
      <c r="F546" s="189">
        <v>150</v>
      </c>
      <c r="G546" s="189"/>
      <c r="H546" s="189"/>
      <c r="I546" s="189"/>
      <c r="J546" s="189"/>
      <c r="K546" s="189"/>
      <c r="L546" s="189"/>
    </row>
    <row r="547" spans="1:14" ht="18" customHeight="1" x14ac:dyDescent="0.35">
      <c r="A547"/>
      <c r="B547" s="705"/>
      <c r="C547" s="859"/>
      <c r="E547" s="692" t="s">
        <v>2877</v>
      </c>
      <c r="F547" s="189">
        <v>150</v>
      </c>
      <c r="G547" s="189"/>
      <c r="H547" s="189"/>
      <c r="I547" s="189"/>
      <c r="J547" s="189"/>
      <c r="K547" s="189"/>
      <c r="L547" s="189"/>
    </row>
    <row r="548" spans="1:14" ht="18" customHeight="1" x14ac:dyDescent="0.35">
      <c r="A548"/>
      <c r="B548" s="705"/>
      <c r="C548" s="859"/>
      <c r="E548" s="692" t="s">
        <v>2876</v>
      </c>
      <c r="F548" s="189">
        <v>125</v>
      </c>
      <c r="G548" s="189"/>
      <c r="H548" s="189"/>
      <c r="I548" s="189"/>
      <c r="J548" s="189"/>
      <c r="K548" s="189"/>
      <c r="L548" s="189"/>
    </row>
    <row r="549" spans="1:14" ht="18" customHeight="1" x14ac:dyDescent="0.35">
      <c r="A549"/>
      <c r="B549" s="705"/>
      <c r="C549" s="859"/>
      <c r="E549" s="692" t="s">
        <v>2893</v>
      </c>
      <c r="F549" s="140">
        <v>55</v>
      </c>
      <c r="G549" s="140"/>
      <c r="H549" s="140"/>
      <c r="I549" s="140"/>
      <c r="J549" s="140"/>
      <c r="K549" s="140"/>
      <c r="L549" s="140"/>
    </row>
    <row r="550" spans="1:14" ht="18" customHeight="1" x14ac:dyDescent="0.35">
      <c r="A550"/>
      <c r="B550" s="705"/>
      <c r="C550" s="859"/>
      <c r="E550" s="692" t="s">
        <v>2885</v>
      </c>
      <c r="F550" s="21">
        <v>25</v>
      </c>
    </row>
    <row r="551" spans="1:14" ht="18" customHeight="1" thickBot="1" x14ac:dyDescent="0.4">
      <c r="A551"/>
      <c r="B551" s="705"/>
      <c r="C551" s="859"/>
      <c r="E551" s="692" t="s">
        <v>2891</v>
      </c>
    </row>
    <row r="552" spans="1:14" ht="18" customHeight="1" thickBot="1" x14ac:dyDescent="0.4">
      <c r="A552"/>
      <c r="B552" s="862">
        <f>+F552+L552</f>
        <v>505</v>
      </c>
      <c r="C552" s="861"/>
      <c r="D552" s="684"/>
      <c r="E552" s="206" t="s">
        <v>2935</v>
      </c>
      <c r="F552" s="710">
        <f>SUM(F546:F551)</f>
        <v>505</v>
      </c>
      <c r="G552" s="191"/>
      <c r="H552" s="191"/>
      <c r="I552" s="191"/>
      <c r="J552" s="191"/>
      <c r="K552" s="191"/>
      <c r="L552" s="191"/>
      <c r="M552" s="712"/>
      <c r="N552" s="713"/>
    </row>
    <row r="553" spans="1:14" ht="18" customHeight="1" x14ac:dyDescent="0.35">
      <c r="A553"/>
      <c r="B553" s="705"/>
      <c r="C553" s="859"/>
      <c r="F553" s="189"/>
      <c r="G553" s="189"/>
      <c r="H553" s="189"/>
      <c r="I553" s="189"/>
      <c r="J553" s="189"/>
      <c r="K553" s="189"/>
      <c r="L553" s="189"/>
    </row>
    <row r="554" spans="1:14" ht="18" customHeight="1" x14ac:dyDescent="0.35">
      <c r="A554" s="6">
        <v>46108</v>
      </c>
      <c r="B554" s="705"/>
      <c r="C554" s="859"/>
      <c r="E554" s="692" t="s">
        <v>2878</v>
      </c>
      <c r="F554" s="189"/>
      <c r="G554" s="189"/>
      <c r="H554" s="189"/>
      <c r="I554" s="189"/>
      <c r="J554" s="189"/>
      <c r="K554" s="189"/>
      <c r="L554" s="189">
        <v>110</v>
      </c>
    </row>
    <row r="555" spans="1:14" ht="18" customHeight="1" x14ac:dyDescent="0.35">
      <c r="A555"/>
      <c r="B555" s="705"/>
      <c r="C555" s="859"/>
      <c r="E555" s="692" t="s">
        <v>2886</v>
      </c>
      <c r="F555" s="189">
        <v>100</v>
      </c>
      <c r="G555" s="189"/>
      <c r="H555" s="189"/>
      <c r="I555" s="189"/>
      <c r="J555" s="189"/>
      <c r="K555" s="189"/>
      <c r="L555" s="189"/>
    </row>
    <row r="556" spans="1:14" ht="18" customHeight="1" thickBot="1" x14ac:dyDescent="0.4">
      <c r="A556"/>
      <c r="B556" s="705"/>
      <c r="C556" s="859"/>
      <c r="E556" s="692" t="s">
        <v>3000</v>
      </c>
      <c r="F556" s="189">
        <v>125</v>
      </c>
      <c r="G556" s="189"/>
      <c r="H556" s="189"/>
      <c r="I556" s="189"/>
      <c r="J556" s="189"/>
      <c r="K556" s="189"/>
      <c r="L556" s="189"/>
    </row>
    <row r="557" spans="1:14" ht="18" customHeight="1" thickBot="1" x14ac:dyDescent="0.4">
      <c r="A557"/>
      <c r="B557" s="862">
        <f>+F557+L557</f>
        <v>335</v>
      </c>
      <c r="C557" s="861"/>
      <c r="D557" s="684"/>
      <c r="F557" s="710">
        <f>SUM(F555:F556)</f>
        <v>225</v>
      </c>
      <c r="G557" s="191"/>
      <c r="H557" s="711"/>
      <c r="I557" s="712"/>
      <c r="J557" s="712"/>
      <c r="K557" s="716"/>
      <c r="L557" s="784">
        <f>SUM(L554:L556)</f>
        <v>110</v>
      </c>
      <c r="M557" s="712"/>
      <c r="N557" s="713"/>
    </row>
    <row r="558" spans="1:14" ht="18" customHeight="1" x14ac:dyDescent="0.35">
      <c r="A558"/>
      <c r="B558" s="873"/>
      <c r="C558" s="859"/>
      <c r="F558" s="189"/>
      <c r="G558" s="189"/>
      <c r="K558" s="729"/>
      <c r="L558" s="56"/>
    </row>
    <row r="559" spans="1:14" ht="18" customHeight="1" thickBot="1" x14ac:dyDescent="0.4">
      <c r="A559" s="6">
        <v>46109</v>
      </c>
      <c r="B559" s="873"/>
      <c r="C559" s="859"/>
      <c r="E559" s="692" t="s">
        <v>2895</v>
      </c>
      <c r="F559" s="189">
        <v>85</v>
      </c>
      <c r="G559" s="189"/>
      <c r="K559" s="729"/>
      <c r="L559" s="56"/>
    </row>
    <row r="560" spans="1:14" ht="18" customHeight="1" thickBot="1" x14ac:dyDescent="0.4">
      <c r="A560"/>
      <c r="B560" s="862">
        <f>+F560</f>
        <v>85</v>
      </c>
      <c r="C560" s="861"/>
      <c r="D560" s="684"/>
      <c r="F560" s="710">
        <f>SUM(F559:F559)</f>
        <v>85</v>
      </c>
      <c r="G560" s="191"/>
      <c r="H560" s="711"/>
      <c r="I560" s="712"/>
      <c r="J560" s="712"/>
      <c r="K560" s="716"/>
      <c r="L560" s="784"/>
      <c r="M560" s="712"/>
      <c r="N560" s="713"/>
    </row>
    <row r="561" spans="1:14" ht="18" customHeight="1" x14ac:dyDescent="0.35">
      <c r="A561"/>
      <c r="B561" s="873"/>
      <c r="C561" s="859"/>
      <c r="F561" s="189"/>
      <c r="G561" s="189"/>
      <c r="K561" s="729"/>
      <c r="L561" s="56"/>
    </row>
    <row r="562" spans="1:14" ht="18" customHeight="1" x14ac:dyDescent="0.35">
      <c r="A562" s="6">
        <v>46111</v>
      </c>
      <c r="B562" s="873"/>
      <c r="C562" s="859"/>
      <c r="E562" s="688" t="s">
        <v>2907</v>
      </c>
      <c r="F562" s="189"/>
      <c r="G562" s="189"/>
      <c r="K562" s="729"/>
      <c r="L562" s="56">
        <v>50</v>
      </c>
    </row>
    <row r="563" spans="1:14" ht="18" customHeight="1" x14ac:dyDescent="0.35">
      <c r="A563"/>
      <c r="B563" s="873"/>
      <c r="C563" s="859"/>
      <c r="E563" s="688" t="s">
        <v>2908</v>
      </c>
      <c r="F563" s="189"/>
      <c r="G563" s="189"/>
      <c r="K563" s="729"/>
      <c r="L563" s="56"/>
    </row>
    <row r="564" spans="1:14" ht="18" customHeight="1" x14ac:dyDescent="0.35">
      <c r="A564"/>
      <c r="B564" s="873"/>
      <c r="C564" s="859"/>
      <c r="E564" s="692" t="s">
        <v>2909</v>
      </c>
      <c r="F564" s="189"/>
      <c r="G564" s="189"/>
      <c r="K564" s="729">
        <v>35</v>
      </c>
      <c r="L564" s="56"/>
    </row>
    <row r="565" spans="1:14" ht="18" customHeight="1" x14ac:dyDescent="0.35">
      <c r="A565"/>
      <c r="B565" s="873"/>
      <c r="C565" s="859"/>
      <c r="E565" s="692" t="s">
        <v>2910</v>
      </c>
      <c r="F565" s="189"/>
      <c r="G565" s="189"/>
      <c r="K565" s="729">
        <v>35</v>
      </c>
      <c r="L565" s="56"/>
    </row>
    <row r="566" spans="1:14" ht="18" customHeight="1" x14ac:dyDescent="0.35">
      <c r="A566"/>
      <c r="B566" s="705"/>
      <c r="C566" s="859"/>
      <c r="E566" s="692" t="s">
        <v>2939</v>
      </c>
      <c r="F566" s="189"/>
      <c r="G566" s="189"/>
      <c r="K566" s="729">
        <v>55</v>
      </c>
      <c r="L566" s="56"/>
    </row>
    <row r="567" spans="1:14" ht="18" customHeight="1" x14ac:dyDescent="0.35">
      <c r="A567"/>
      <c r="B567" s="705"/>
      <c r="C567" s="859"/>
      <c r="E567" s="692" t="s">
        <v>2911</v>
      </c>
      <c r="F567" s="189"/>
      <c r="G567" s="189"/>
      <c r="K567" s="729">
        <v>75</v>
      </c>
      <c r="L567" s="56"/>
    </row>
    <row r="568" spans="1:14" ht="18" customHeight="1" thickBot="1" x14ac:dyDescent="0.4">
      <c r="A568"/>
      <c r="B568" s="705"/>
      <c r="C568" s="859"/>
      <c r="E568" s="692" t="s">
        <v>2912</v>
      </c>
      <c r="F568" s="189">
        <v>125</v>
      </c>
      <c r="G568" s="189"/>
      <c r="K568" s="729"/>
      <c r="L568" s="56"/>
    </row>
    <row r="569" spans="1:14" ht="18" customHeight="1" thickBot="1" x14ac:dyDescent="0.4">
      <c r="A569"/>
      <c r="B569" s="862">
        <f>+F569+L569</f>
        <v>175</v>
      </c>
      <c r="C569" s="861"/>
      <c r="D569" s="684"/>
      <c r="F569" s="710">
        <f>SUM(F568)</f>
        <v>125</v>
      </c>
      <c r="G569" s="191"/>
      <c r="H569" s="711"/>
      <c r="I569" s="712"/>
      <c r="J569" s="712"/>
      <c r="K569" s="716">
        <f>SUM(K564:K568)</f>
        <v>200</v>
      </c>
      <c r="L569" s="784">
        <f>SUM(L562:L568)</f>
        <v>50</v>
      </c>
      <c r="M569" s="712"/>
      <c r="N569" s="713"/>
    </row>
    <row r="570" spans="1:14" ht="18" customHeight="1" x14ac:dyDescent="0.35">
      <c r="A570"/>
      <c r="B570" s="873"/>
      <c r="C570" s="859"/>
      <c r="F570" s="189"/>
      <c r="G570" s="189"/>
      <c r="K570" s="729"/>
      <c r="L570" s="56"/>
    </row>
    <row r="571" spans="1:14" ht="18" customHeight="1" x14ac:dyDescent="0.35">
      <c r="A571" s="6">
        <v>46112</v>
      </c>
      <c r="B571" s="873"/>
      <c r="C571" s="859"/>
      <c r="E571" s="692" t="s">
        <v>2913</v>
      </c>
      <c r="F571" s="189"/>
      <c r="G571" s="189"/>
      <c r="H571" s="445">
        <v>25</v>
      </c>
      <c r="I571" s="10">
        <v>10</v>
      </c>
      <c r="K571" s="729"/>
      <c r="L571" s="56"/>
    </row>
    <row r="572" spans="1:14" ht="18" customHeight="1" x14ac:dyDescent="0.35">
      <c r="A572"/>
      <c r="B572" s="873"/>
      <c r="C572" s="859"/>
      <c r="E572" s="692" t="s">
        <v>2914</v>
      </c>
      <c r="F572" s="189">
        <v>90</v>
      </c>
      <c r="G572" s="189"/>
      <c r="K572" s="729"/>
      <c r="L572" s="56"/>
    </row>
    <row r="573" spans="1:14" ht="18" customHeight="1" x14ac:dyDescent="0.35">
      <c r="A573"/>
      <c r="B573" s="873"/>
      <c r="C573" s="859"/>
      <c r="E573" s="692" t="s">
        <v>2915</v>
      </c>
      <c r="F573" s="189">
        <v>125</v>
      </c>
      <c r="G573" s="189"/>
      <c r="K573" s="729"/>
      <c r="L573" s="56"/>
    </row>
    <row r="574" spans="1:14" ht="18" customHeight="1" x14ac:dyDescent="0.35">
      <c r="A574"/>
      <c r="B574" s="873"/>
      <c r="C574" s="859"/>
      <c r="E574" s="692" t="s">
        <v>2916</v>
      </c>
      <c r="F574" s="189">
        <v>180</v>
      </c>
      <c r="G574" s="189"/>
      <c r="K574" s="729"/>
      <c r="L574" s="56"/>
    </row>
    <row r="575" spans="1:14" ht="18" customHeight="1" x14ac:dyDescent="0.35">
      <c r="A575"/>
      <c r="B575" s="873"/>
      <c r="C575" s="859"/>
      <c r="E575" s="692" t="s">
        <v>2917</v>
      </c>
      <c r="F575" s="189">
        <v>25</v>
      </c>
      <c r="G575" s="189"/>
      <c r="K575" s="729"/>
      <c r="L575" s="56"/>
    </row>
    <row r="576" spans="1:14" ht="18" customHeight="1" x14ac:dyDescent="0.35">
      <c r="A576"/>
      <c r="B576" s="873"/>
      <c r="C576" s="859"/>
      <c r="E576" s="692" t="s">
        <v>3004</v>
      </c>
      <c r="F576" s="189">
        <v>75</v>
      </c>
      <c r="G576" s="189"/>
      <c r="K576" s="729"/>
      <c r="L576" s="56"/>
    </row>
    <row r="577" spans="1:14" ht="18" customHeight="1" x14ac:dyDescent="0.35">
      <c r="A577"/>
      <c r="B577" s="873"/>
      <c r="C577" s="859"/>
      <c r="E577" s="692" t="s">
        <v>2918</v>
      </c>
      <c r="F577" s="189">
        <v>125</v>
      </c>
      <c r="G577" s="189"/>
      <c r="K577" s="729"/>
      <c r="L577" s="56"/>
    </row>
    <row r="578" spans="1:14" ht="18" customHeight="1" x14ac:dyDescent="0.35">
      <c r="A578"/>
      <c r="B578" s="873"/>
      <c r="C578" s="859"/>
      <c r="E578" s="692" t="s">
        <v>2919</v>
      </c>
      <c r="F578" s="189">
        <v>145</v>
      </c>
      <c r="G578" s="189"/>
      <c r="K578" s="729"/>
      <c r="L578" s="56"/>
      <c r="N578" s="10">
        <v>5</v>
      </c>
    </row>
    <row r="579" spans="1:14" ht="18" customHeight="1" x14ac:dyDescent="0.35">
      <c r="A579"/>
      <c r="B579" s="873"/>
      <c r="C579" s="859"/>
      <c r="D579" s="683" t="s">
        <v>3007</v>
      </c>
      <c r="E579" s="741" t="s">
        <v>2920</v>
      </c>
      <c r="F579" s="189"/>
      <c r="G579" s="189"/>
      <c r="K579" s="729"/>
      <c r="L579" s="56"/>
    </row>
    <row r="580" spans="1:14" ht="18" customHeight="1" x14ac:dyDescent="0.35">
      <c r="A580"/>
      <c r="B580" s="873"/>
      <c r="C580" s="859"/>
      <c r="E580" s="692" t="s">
        <v>2921</v>
      </c>
      <c r="F580" s="189"/>
      <c r="G580" s="189"/>
      <c r="K580" s="729">
        <v>125</v>
      </c>
      <c r="L580" s="56">
        <v>130</v>
      </c>
    </row>
    <row r="581" spans="1:14" ht="18" customHeight="1" x14ac:dyDescent="0.35">
      <c r="A581"/>
      <c r="B581" s="873"/>
      <c r="C581" s="859"/>
      <c r="E581" s="692" t="s">
        <v>2922</v>
      </c>
      <c r="F581" s="189"/>
      <c r="G581" s="189"/>
      <c r="K581" s="729">
        <v>110</v>
      </c>
      <c r="L581" s="56"/>
    </row>
    <row r="582" spans="1:14" ht="18" customHeight="1" x14ac:dyDescent="0.35">
      <c r="A582"/>
      <c r="B582" s="873"/>
      <c r="C582" s="859"/>
      <c r="E582" s="692" t="s">
        <v>2923</v>
      </c>
      <c r="F582" s="189"/>
      <c r="G582" s="189"/>
      <c r="K582" s="729">
        <v>110</v>
      </c>
      <c r="L582" s="56"/>
    </row>
    <row r="583" spans="1:14" ht="18" customHeight="1" x14ac:dyDescent="0.35">
      <c r="A583"/>
      <c r="B583" s="873"/>
      <c r="C583" s="859"/>
      <c r="E583" s="692" t="s">
        <v>2925</v>
      </c>
      <c r="F583" s="189"/>
      <c r="G583" s="189"/>
      <c r="K583" s="729">
        <v>80</v>
      </c>
      <c r="L583" s="56"/>
    </row>
    <row r="584" spans="1:14" ht="18" customHeight="1" x14ac:dyDescent="0.35">
      <c r="A584"/>
      <c r="B584" s="705"/>
      <c r="C584" s="859"/>
      <c r="E584" s="692" t="s">
        <v>3009</v>
      </c>
      <c r="F584" s="189"/>
      <c r="G584" s="189"/>
      <c r="K584" s="729">
        <v>65</v>
      </c>
      <c r="L584" s="56"/>
    </row>
    <row r="585" spans="1:14" ht="18" customHeight="1" x14ac:dyDescent="0.35">
      <c r="A585"/>
      <c r="B585" s="705"/>
      <c r="C585" s="859"/>
      <c r="E585" s="692" t="s">
        <v>2924</v>
      </c>
      <c r="F585" s="189"/>
      <c r="G585" s="189"/>
      <c r="K585" s="729">
        <v>55</v>
      </c>
      <c r="L585" s="56"/>
    </row>
    <row r="586" spans="1:14" ht="18" customHeight="1" x14ac:dyDescent="0.35">
      <c r="A586"/>
      <c r="B586" s="705"/>
      <c r="C586" s="859"/>
      <c r="E586" s="692" t="s">
        <v>3010</v>
      </c>
      <c r="F586" s="189"/>
      <c r="G586" s="189"/>
      <c r="K586" s="729">
        <v>55</v>
      </c>
      <c r="L586" s="56"/>
    </row>
    <row r="587" spans="1:14" ht="18" customHeight="1" x14ac:dyDescent="0.35">
      <c r="A587"/>
      <c r="B587" s="705"/>
      <c r="C587" s="859"/>
      <c r="E587" s="692" t="s">
        <v>2926</v>
      </c>
      <c r="F587" s="189"/>
      <c r="G587" s="189"/>
      <c r="K587" s="729">
        <v>110</v>
      </c>
      <c r="L587" s="56"/>
    </row>
    <row r="588" spans="1:14" ht="18" customHeight="1" x14ac:dyDescent="0.35">
      <c r="A588"/>
      <c r="B588" s="705"/>
      <c r="C588" s="859"/>
      <c r="E588" s="733" t="s">
        <v>2927</v>
      </c>
      <c r="F588" s="189"/>
      <c r="G588" s="189"/>
      <c r="K588" s="490">
        <v>0</v>
      </c>
      <c r="L588" s="56"/>
    </row>
    <row r="589" spans="1:14" ht="18" customHeight="1" thickBot="1" x14ac:dyDescent="0.4">
      <c r="A589"/>
      <c r="B589" s="705"/>
      <c r="C589" s="859"/>
      <c r="E589" s="733" t="s">
        <v>1119</v>
      </c>
      <c r="F589" s="189">
        <v>55</v>
      </c>
      <c r="G589" s="189"/>
      <c r="K589" s="490"/>
      <c r="L589" s="56"/>
    </row>
    <row r="590" spans="1:14" ht="18" customHeight="1" thickBot="1" x14ac:dyDescent="0.4">
      <c r="A590"/>
      <c r="B590" s="862">
        <f>+F590+I590+L590</f>
        <v>960</v>
      </c>
      <c r="C590" s="861"/>
      <c r="D590" s="684"/>
      <c r="F590" s="710">
        <f>SUM(F571:F589)</f>
        <v>820</v>
      </c>
      <c r="G590" s="710">
        <f t="shared" ref="G590:N590" si="24">SUM(G571:G589)</f>
        <v>0</v>
      </c>
      <c r="H590" s="710">
        <f t="shared" si="24"/>
        <v>25</v>
      </c>
      <c r="I590" s="710">
        <f t="shared" si="24"/>
        <v>10</v>
      </c>
      <c r="J590" s="710">
        <f t="shared" si="24"/>
        <v>0</v>
      </c>
      <c r="K590" s="710">
        <f t="shared" si="24"/>
        <v>710</v>
      </c>
      <c r="L590" s="710">
        <f t="shared" si="24"/>
        <v>130</v>
      </c>
      <c r="M590" s="710">
        <f t="shared" si="24"/>
        <v>0</v>
      </c>
      <c r="N590" s="710">
        <f t="shared" si="24"/>
        <v>5</v>
      </c>
    </row>
    <row r="591" spans="1:14" ht="18" customHeight="1" x14ac:dyDescent="0.35">
      <c r="A591"/>
      <c r="B591" s="705"/>
      <c r="C591" s="859"/>
      <c r="D591" s="683">
        <v>8840</v>
      </c>
      <c r="F591" s="189"/>
      <c r="G591" s="189"/>
      <c r="K591" s="729"/>
      <c r="L591" s="56"/>
    </row>
    <row r="592" spans="1:14" ht="18" customHeight="1" x14ac:dyDescent="0.35">
      <c r="A592"/>
      <c r="B592" s="705" t="s">
        <v>12</v>
      </c>
      <c r="C592" s="859" t="s">
        <v>2127</v>
      </c>
    </row>
    <row r="593" spans="1:17" ht="18" customHeight="1" x14ac:dyDescent="0.35">
      <c r="A593" s="699" t="s">
        <v>2128</v>
      </c>
      <c r="B593" s="701">
        <f>+B384+B390+B397+B407+B420+B433+B439+260+B451+B458+B463+B472+B483+B489+B493+B500+B516+B525+B530+B535+B544+B552+B557+B560+B569+B590</f>
        <v>8840</v>
      </c>
      <c r="C593" s="701">
        <v>475</v>
      </c>
    </row>
    <row r="594" spans="1:17" ht="18" customHeight="1" x14ac:dyDescent="0.35">
      <c r="A594" s="700" t="s">
        <v>2129</v>
      </c>
      <c r="B594" s="706"/>
      <c r="C594" s="702"/>
    </row>
    <row r="595" spans="1:17" ht="18" customHeight="1" x14ac:dyDescent="0.35">
      <c r="A595" s="700" t="s">
        <v>2130</v>
      </c>
      <c r="B595" s="706">
        <f>+C593</f>
        <v>475</v>
      </c>
      <c r="C595" s="702"/>
    </row>
    <row r="596" spans="1:17" ht="18" customHeight="1" x14ac:dyDescent="0.35">
      <c r="A596" s="700" t="s">
        <v>2131</v>
      </c>
      <c r="B596" s="706"/>
      <c r="C596" s="702"/>
    </row>
    <row r="597" spans="1:17" ht="18" customHeight="1" x14ac:dyDescent="0.35">
      <c r="A597" s="700" t="s">
        <v>2132</v>
      </c>
      <c r="B597" s="706">
        <f>SUM(B593:B596)</f>
        <v>9315</v>
      </c>
      <c r="C597" s="702"/>
    </row>
    <row r="598" spans="1:17" ht="18" customHeight="1" x14ac:dyDescent="0.35">
      <c r="A598" s="700" t="s">
        <v>2133</v>
      </c>
      <c r="B598" s="706">
        <f>+B597-7500</f>
        <v>1815</v>
      </c>
      <c r="C598" s="702"/>
    </row>
    <row r="599" spans="1:17" ht="18" customHeight="1" x14ac:dyDescent="0.35">
      <c r="A599" s="700" t="s">
        <v>2134</v>
      </c>
      <c r="B599" s="706">
        <f>0.01*B598</f>
        <v>18.150000000000002</v>
      </c>
      <c r="C599" s="702"/>
    </row>
    <row r="601" spans="1:17" s="150" customFormat="1" ht="18" customHeight="1" x14ac:dyDescent="0.5">
      <c r="A601" s="615"/>
      <c r="B601" s="847"/>
      <c r="C601" s="847"/>
      <c r="D601" s="847"/>
      <c r="E601" s="707" t="s">
        <v>2930</v>
      </c>
      <c r="F601" s="848"/>
      <c r="G601" s="848"/>
      <c r="H601" s="849"/>
      <c r="K601" s="850"/>
      <c r="O601" s="157"/>
      <c r="P601" s="157"/>
      <c r="Q601" s="157"/>
    </row>
    <row r="603" spans="1:17" ht="18" customHeight="1" x14ac:dyDescent="0.35">
      <c r="A603" s="685">
        <v>46113</v>
      </c>
      <c r="D603" s="693" t="s">
        <v>3028</v>
      </c>
      <c r="E603" s="733" t="s">
        <v>3021</v>
      </c>
      <c r="F603" s="137"/>
      <c r="G603" s="137">
        <v>150</v>
      </c>
      <c r="K603" s="783"/>
    </row>
    <row r="604" spans="1:17" ht="18" customHeight="1" x14ac:dyDescent="0.35">
      <c r="E604" s="692" t="s">
        <v>3026</v>
      </c>
      <c r="F604" s="21">
        <v>50</v>
      </c>
    </row>
    <row r="605" spans="1:17" ht="18" customHeight="1" x14ac:dyDescent="0.35">
      <c r="E605" s="692" t="s">
        <v>3022</v>
      </c>
      <c r="F605" s="21">
        <v>25</v>
      </c>
    </row>
    <row r="606" spans="1:17" ht="18" customHeight="1" x14ac:dyDescent="0.35">
      <c r="E606" s="692" t="s">
        <v>3023</v>
      </c>
      <c r="F606" s="21">
        <v>25</v>
      </c>
    </row>
    <row r="607" spans="1:17" ht="18" customHeight="1" thickBot="1" x14ac:dyDescent="0.4">
      <c r="E607" s="692" t="s">
        <v>3027</v>
      </c>
      <c r="F607" s="21">
        <v>5</v>
      </c>
    </row>
    <row r="608" spans="1:17" ht="18" customHeight="1" thickBot="1" x14ac:dyDescent="0.4">
      <c r="B608" s="684">
        <f>+F608</f>
        <v>105</v>
      </c>
      <c r="C608" s="684">
        <f>+G608</f>
        <v>150</v>
      </c>
      <c r="D608" s="684"/>
      <c r="F608" s="710">
        <f>SUM(F604:F607)</f>
        <v>105</v>
      </c>
      <c r="G608" s="710">
        <f>SUM(G603:G607)</f>
        <v>150</v>
      </c>
      <c r="H608" s="711"/>
      <c r="I608" s="712"/>
      <c r="J608" s="712"/>
      <c r="K608" s="716"/>
      <c r="L608" s="712"/>
      <c r="M608" s="712"/>
      <c r="N608" s="713"/>
    </row>
    <row r="610" spans="1:12" ht="18" customHeight="1" x14ac:dyDescent="0.35">
      <c r="A610" s="685">
        <v>46114</v>
      </c>
      <c r="E610" s="692" t="s">
        <v>2937</v>
      </c>
      <c r="F610" s="21">
        <v>50</v>
      </c>
    </row>
    <row r="611" spans="1:12" ht="18" customHeight="1" x14ac:dyDescent="0.35">
      <c r="E611" s="692" t="s">
        <v>2943</v>
      </c>
      <c r="G611" s="21">
        <v>60</v>
      </c>
    </row>
    <row r="612" spans="1:12" ht="18" customHeight="1" x14ac:dyDescent="0.35">
      <c r="E612" s="692" t="s">
        <v>2938</v>
      </c>
      <c r="F612" s="21">
        <v>65</v>
      </c>
    </row>
    <row r="613" spans="1:12" ht="18" customHeight="1" x14ac:dyDescent="0.35">
      <c r="E613" s="692" t="s">
        <v>2939</v>
      </c>
      <c r="F613" s="21">
        <v>55</v>
      </c>
    </row>
    <row r="614" spans="1:12" ht="18" customHeight="1" x14ac:dyDescent="0.35">
      <c r="E614" s="692" t="s">
        <v>2940</v>
      </c>
      <c r="F614" s="21">
        <v>50</v>
      </c>
    </row>
    <row r="615" spans="1:12" ht="18" customHeight="1" x14ac:dyDescent="0.35">
      <c r="E615" s="692" t="s">
        <v>2941</v>
      </c>
      <c r="F615" s="21">
        <v>50</v>
      </c>
    </row>
    <row r="616" spans="1:12" ht="18" customHeight="1" x14ac:dyDescent="0.35">
      <c r="E616" s="692" t="s">
        <v>2942</v>
      </c>
      <c r="F616" s="21">
        <v>60</v>
      </c>
    </row>
    <row r="617" spans="1:12" ht="18" customHeight="1" x14ac:dyDescent="0.35">
      <c r="E617" s="692" t="s">
        <v>2944</v>
      </c>
      <c r="F617" s="21">
        <v>25</v>
      </c>
    </row>
    <row r="618" spans="1:12" ht="18" customHeight="1" x14ac:dyDescent="0.35">
      <c r="E618" s="692" t="s">
        <v>2376</v>
      </c>
      <c r="L618" s="10">
        <v>40</v>
      </c>
    </row>
    <row r="619" spans="1:12" ht="18" customHeight="1" x14ac:dyDescent="0.35">
      <c r="E619" s="692" t="s">
        <v>2945</v>
      </c>
      <c r="L619" s="10">
        <v>40</v>
      </c>
    </row>
    <row r="620" spans="1:12" ht="18" customHeight="1" x14ac:dyDescent="0.35">
      <c r="E620" s="692" t="s">
        <v>2942</v>
      </c>
      <c r="F620" s="21">
        <v>60</v>
      </c>
    </row>
    <row r="621" spans="1:12" ht="18" customHeight="1" x14ac:dyDescent="0.35">
      <c r="E621" s="692" t="s">
        <v>2686</v>
      </c>
      <c r="L621" s="10">
        <v>50</v>
      </c>
    </row>
    <row r="622" spans="1:12" ht="18" customHeight="1" x14ac:dyDescent="0.35">
      <c r="E622" s="692" t="s">
        <v>2946</v>
      </c>
      <c r="F622" s="21">
        <v>25</v>
      </c>
    </row>
    <row r="623" spans="1:12" ht="18" customHeight="1" x14ac:dyDescent="0.35">
      <c r="E623" s="692" t="s">
        <v>2253</v>
      </c>
      <c r="F623" s="21">
        <v>95</v>
      </c>
    </row>
    <row r="624" spans="1:12" ht="18" customHeight="1" thickBot="1" x14ac:dyDescent="0.4">
      <c r="E624" s="692" t="s">
        <v>3024</v>
      </c>
      <c r="F624" s="21">
        <v>15</v>
      </c>
    </row>
    <row r="625" spans="1:14" ht="18" customHeight="1" thickBot="1" x14ac:dyDescent="0.4">
      <c r="B625" s="684">
        <f>+F625+L625</f>
        <v>680</v>
      </c>
      <c r="C625" s="684">
        <f>+G625</f>
        <v>60</v>
      </c>
      <c r="D625" s="684"/>
      <c r="F625" s="710">
        <f>SUM(F610:F624)</f>
        <v>550</v>
      </c>
      <c r="G625" s="710">
        <f t="shared" ref="G625:L625" si="25">SUM(G610:G622)</f>
        <v>60</v>
      </c>
      <c r="H625" s="710">
        <f t="shared" si="25"/>
        <v>0</v>
      </c>
      <c r="I625" s="710">
        <f t="shared" si="25"/>
        <v>0</v>
      </c>
      <c r="J625" s="710">
        <f t="shared" si="25"/>
        <v>0</v>
      </c>
      <c r="K625" s="710">
        <f t="shared" si="25"/>
        <v>0</v>
      </c>
      <c r="L625" s="710">
        <f t="shared" si="25"/>
        <v>130</v>
      </c>
      <c r="M625" s="712"/>
      <c r="N625" s="713"/>
    </row>
    <row r="627" spans="1:14" ht="18" customHeight="1" x14ac:dyDescent="0.35">
      <c r="A627" s="685">
        <v>46115</v>
      </c>
      <c r="E627" s="692" t="s">
        <v>2947</v>
      </c>
      <c r="F627" s="21">
        <v>25</v>
      </c>
    </row>
    <row r="628" spans="1:14" ht="18" customHeight="1" x14ac:dyDescent="0.35">
      <c r="E628" s="692" t="s">
        <v>3011</v>
      </c>
      <c r="F628" s="21">
        <v>60</v>
      </c>
    </row>
    <row r="629" spans="1:14" ht="18" customHeight="1" thickBot="1" x14ac:dyDescent="0.4">
      <c r="E629" s="692" t="s">
        <v>2948</v>
      </c>
      <c r="F629" s="21">
        <v>25</v>
      </c>
    </row>
    <row r="630" spans="1:14" ht="18" customHeight="1" thickBot="1" x14ac:dyDescent="0.4">
      <c r="B630" s="684">
        <f>+F630</f>
        <v>110</v>
      </c>
      <c r="C630" s="684"/>
      <c r="D630" s="684"/>
      <c r="F630" s="710">
        <f>SUM(F627:F629)</f>
        <v>110</v>
      </c>
      <c r="G630" s="191"/>
      <c r="H630" s="711"/>
      <c r="I630" s="712"/>
      <c r="J630" s="712"/>
      <c r="K630" s="716"/>
      <c r="L630" s="712"/>
      <c r="M630" s="712"/>
      <c r="N630" s="713"/>
    </row>
    <row r="632" spans="1:14" ht="18" customHeight="1" x14ac:dyDescent="0.35">
      <c r="A632" s="685">
        <v>46116</v>
      </c>
      <c r="E632" s="692" t="s">
        <v>2949</v>
      </c>
      <c r="F632" s="21">
        <v>25</v>
      </c>
    </row>
    <row r="633" spans="1:14" ht="18" customHeight="1" x14ac:dyDescent="0.35">
      <c r="E633" s="692" t="s">
        <v>2950</v>
      </c>
      <c r="F633" s="21">
        <v>15</v>
      </c>
    </row>
    <row r="634" spans="1:14" ht="18" customHeight="1" x14ac:dyDescent="0.35">
      <c r="E634" s="692" t="s">
        <v>2951</v>
      </c>
      <c r="F634" s="21">
        <v>5</v>
      </c>
    </row>
    <row r="635" spans="1:14" ht="18" customHeight="1" x14ac:dyDescent="0.35">
      <c r="E635" s="692" t="s">
        <v>2952</v>
      </c>
      <c r="F635" s="21">
        <v>25</v>
      </c>
    </row>
    <row r="636" spans="1:14" ht="18" customHeight="1" x14ac:dyDescent="0.35">
      <c r="E636" s="741" t="s">
        <v>2953</v>
      </c>
    </row>
    <row r="637" spans="1:14" ht="18" customHeight="1" x14ac:dyDescent="0.35">
      <c r="E637" s="741" t="s">
        <v>2956</v>
      </c>
    </row>
    <row r="638" spans="1:14" ht="18" customHeight="1" x14ac:dyDescent="0.35">
      <c r="E638" s="741" t="s">
        <v>2954</v>
      </c>
    </row>
    <row r="639" spans="1:14" ht="18" customHeight="1" x14ac:dyDescent="0.35">
      <c r="E639" s="741" t="s">
        <v>2955</v>
      </c>
    </row>
    <row r="640" spans="1:14" ht="18" customHeight="1" x14ac:dyDescent="0.35">
      <c r="E640" s="733" t="s">
        <v>2957</v>
      </c>
      <c r="K640" s="32">
        <v>90</v>
      </c>
    </row>
    <row r="641" spans="1:17" ht="18" customHeight="1" x14ac:dyDescent="0.35">
      <c r="E641" s="692" t="s">
        <v>2958</v>
      </c>
      <c r="K641" s="32">
        <v>10</v>
      </c>
    </row>
    <row r="642" spans="1:17" ht="18" customHeight="1" x14ac:dyDescent="0.35">
      <c r="E642" s="692" t="s">
        <v>2959</v>
      </c>
      <c r="F642" s="21">
        <v>110</v>
      </c>
    </row>
    <row r="643" spans="1:17" ht="18" customHeight="1" thickBot="1" x14ac:dyDescent="0.4">
      <c r="E643" s="692" t="s">
        <v>2247</v>
      </c>
      <c r="I643" s="10">
        <v>75</v>
      </c>
    </row>
    <row r="644" spans="1:17" ht="18" customHeight="1" thickBot="1" x14ac:dyDescent="0.4">
      <c r="B644" s="684">
        <f>+F644+I644</f>
        <v>255</v>
      </c>
      <c r="C644" s="684"/>
      <c r="D644" s="684"/>
      <c r="F644" s="710">
        <f>SUM(F632:F643)</f>
        <v>180</v>
      </c>
      <c r="G644" s="710">
        <f t="shared" ref="G644:K644" si="26">SUM(G632:G643)</f>
        <v>0</v>
      </c>
      <c r="H644" s="710">
        <f t="shared" si="26"/>
        <v>0</v>
      </c>
      <c r="I644" s="710">
        <f t="shared" si="26"/>
        <v>75</v>
      </c>
      <c r="J644" s="710">
        <f t="shared" si="26"/>
        <v>0</v>
      </c>
      <c r="K644" s="710">
        <f t="shared" si="26"/>
        <v>100</v>
      </c>
      <c r="L644" s="712"/>
      <c r="M644" s="712"/>
      <c r="N644" s="713"/>
    </row>
    <row r="645" spans="1:17" ht="18" customHeight="1" x14ac:dyDescent="0.35">
      <c r="F645" s="189"/>
      <c r="G645" s="189"/>
      <c r="H645" s="189"/>
      <c r="I645" s="189"/>
      <c r="J645" s="189"/>
      <c r="K645" s="189"/>
    </row>
    <row r="646" spans="1:17" s="397" customFormat="1" ht="18" customHeight="1" x14ac:dyDescent="0.35">
      <c r="A646" s="900">
        <v>46118</v>
      </c>
      <c r="B646" s="901"/>
      <c r="C646" s="901"/>
      <c r="D646" s="901"/>
      <c r="E646" s="692" t="s">
        <v>2971</v>
      </c>
      <c r="F646" s="450"/>
      <c r="G646" s="450"/>
      <c r="H646" s="450"/>
      <c r="I646" s="450"/>
      <c r="J646" s="450"/>
      <c r="K646" s="450"/>
      <c r="O646" s="902"/>
      <c r="P646" s="902"/>
      <c r="Q646" s="902"/>
    </row>
    <row r="647" spans="1:17" ht="18" customHeight="1" x14ac:dyDescent="0.35">
      <c r="F647" s="189"/>
      <c r="G647" s="189"/>
      <c r="H647" s="189"/>
      <c r="I647" s="189"/>
      <c r="J647" s="189"/>
      <c r="K647" s="189"/>
    </row>
    <row r="648" spans="1:17" ht="18" customHeight="1" x14ac:dyDescent="0.35">
      <c r="A648" s="685">
        <v>46119</v>
      </c>
      <c r="E648" s="688" t="s">
        <v>2181</v>
      </c>
      <c r="F648" s="189"/>
      <c r="G648" s="189"/>
      <c r="H648" s="189"/>
      <c r="I648" s="189"/>
      <c r="J648" s="189"/>
      <c r="K648" s="189"/>
      <c r="L648" s="10">
        <v>100</v>
      </c>
    </row>
    <row r="649" spans="1:17" ht="18" customHeight="1" x14ac:dyDescent="0.35">
      <c r="E649" s="688" t="s">
        <v>2972</v>
      </c>
      <c r="F649" s="189"/>
      <c r="G649" s="189"/>
      <c r="H649" s="189"/>
      <c r="I649" s="189"/>
      <c r="J649" s="189"/>
      <c r="K649" s="189"/>
    </row>
    <row r="650" spans="1:17" ht="18" customHeight="1" x14ac:dyDescent="0.35">
      <c r="E650" s="692" t="s">
        <v>2973</v>
      </c>
      <c r="F650" s="189"/>
      <c r="G650" s="189"/>
      <c r="H650" s="189"/>
      <c r="I650" s="189"/>
      <c r="J650" s="189"/>
      <c r="K650" s="189">
        <v>35</v>
      </c>
    </row>
    <row r="651" spans="1:17" ht="18" customHeight="1" x14ac:dyDescent="0.35">
      <c r="E651" s="692" t="s">
        <v>3012</v>
      </c>
      <c r="F651" s="189"/>
      <c r="G651" s="189"/>
      <c r="H651" s="189"/>
      <c r="I651" s="189"/>
      <c r="J651" s="189"/>
      <c r="K651" s="189">
        <v>50</v>
      </c>
    </row>
    <row r="652" spans="1:17" ht="18" customHeight="1" x14ac:dyDescent="0.35">
      <c r="E652" s="692" t="s">
        <v>2943</v>
      </c>
      <c r="F652" s="189">
        <v>60</v>
      </c>
      <c r="G652" s="189"/>
      <c r="H652" s="189"/>
      <c r="I652" s="189"/>
      <c r="J652" s="189"/>
      <c r="K652" s="189"/>
    </row>
    <row r="653" spans="1:17" ht="18" customHeight="1" x14ac:dyDescent="0.35">
      <c r="E653" s="692" t="s">
        <v>2974</v>
      </c>
      <c r="F653" s="189">
        <v>75</v>
      </c>
      <c r="G653" s="189"/>
      <c r="H653" s="189"/>
      <c r="I653" s="189"/>
      <c r="J653" s="189"/>
      <c r="K653" s="189"/>
    </row>
    <row r="654" spans="1:17" ht="18" customHeight="1" x14ac:dyDescent="0.35">
      <c r="E654" s="692" t="s">
        <v>2975</v>
      </c>
      <c r="F654" s="189">
        <v>125</v>
      </c>
      <c r="G654" s="189"/>
      <c r="H654" s="189"/>
      <c r="I654" s="189"/>
      <c r="J654" s="189"/>
      <c r="K654" s="189"/>
    </row>
    <row r="655" spans="1:17" ht="18" customHeight="1" x14ac:dyDescent="0.35">
      <c r="E655" s="692" t="s">
        <v>2976</v>
      </c>
      <c r="F655" s="189">
        <v>50</v>
      </c>
      <c r="G655" s="189"/>
      <c r="H655" s="189"/>
      <c r="I655" s="189"/>
      <c r="J655" s="189"/>
      <c r="K655" s="189"/>
    </row>
    <row r="656" spans="1:17" ht="18" customHeight="1" x14ac:dyDescent="0.35">
      <c r="E656" s="692" t="s">
        <v>2525</v>
      </c>
      <c r="F656" s="189"/>
      <c r="G656" s="189"/>
      <c r="H656" s="189"/>
      <c r="I656" s="189"/>
      <c r="J656" s="189"/>
      <c r="K656" s="189"/>
      <c r="L656" s="10">
        <v>100</v>
      </c>
    </row>
    <row r="657" spans="2:14" ht="18" customHeight="1" x14ac:dyDescent="0.35">
      <c r="E657" s="692" t="s">
        <v>2977</v>
      </c>
      <c r="F657" s="189"/>
      <c r="G657" s="189">
        <v>60</v>
      </c>
      <c r="H657" s="189"/>
      <c r="I657" s="189"/>
      <c r="J657" s="189"/>
      <c r="K657" s="189"/>
    </row>
    <row r="658" spans="2:14" ht="18" customHeight="1" x14ac:dyDescent="0.35">
      <c r="E658" s="692" t="s">
        <v>2978</v>
      </c>
      <c r="F658" s="189">
        <v>160</v>
      </c>
      <c r="G658" s="189"/>
      <c r="H658" s="189"/>
      <c r="I658" s="189"/>
      <c r="J658" s="189"/>
      <c r="K658" s="189"/>
    </row>
    <row r="659" spans="2:14" ht="18" customHeight="1" x14ac:dyDescent="0.35">
      <c r="E659" s="692" t="s">
        <v>2979</v>
      </c>
      <c r="F659" s="189">
        <v>90</v>
      </c>
      <c r="G659" s="189"/>
      <c r="H659" s="189"/>
      <c r="I659" s="189"/>
      <c r="J659" s="189"/>
      <c r="K659" s="189"/>
    </row>
    <row r="660" spans="2:14" ht="18" customHeight="1" x14ac:dyDescent="0.35">
      <c r="C660" s="693" t="s">
        <v>3016</v>
      </c>
      <c r="D660" s="693"/>
      <c r="E660" s="692" t="s">
        <v>2980</v>
      </c>
      <c r="F660" s="189"/>
      <c r="G660" s="189">
        <v>25</v>
      </c>
      <c r="H660" s="189"/>
      <c r="I660" s="189"/>
      <c r="J660" s="189"/>
      <c r="K660" s="189"/>
    </row>
    <row r="661" spans="2:14" ht="18" customHeight="1" x14ac:dyDescent="0.35">
      <c r="E661" s="692" t="s">
        <v>2981</v>
      </c>
      <c r="F661" s="189"/>
      <c r="G661" s="189">
        <v>65</v>
      </c>
      <c r="H661" s="189"/>
      <c r="I661" s="189"/>
      <c r="J661" s="189"/>
      <c r="K661" s="189"/>
    </row>
    <row r="662" spans="2:14" ht="18" customHeight="1" x14ac:dyDescent="0.35">
      <c r="E662" s="692" t="s">
        <v>3017</v>
      </c>
      <c r="F662" s="189"/>
      <c r="G662" s="189">
        <v>65</v>
      </c>
      <c r="H662" s="189"/>
      <c r="I662" s="189"/>
      <c r="J662" s="189"/>
      <c r="K662" s="189"/>
    </row>
    <row r="663" spans="2:14" ht="18" customHeight="1" x14ac:dyDescent="0.35">
      <c r="E663" s="688" t="s">
        <v>2982</v>
      </c>
      <c r="F663" s="189"/>
      <c r="G663" s="189"/>
      <c r="H663" s="189"/>
      <c r="I663" s="189"/>
      <c r="J663" s="189"/>
      <c r="K663" s="189"/>
    </row>
    <row r="664" spans="2:14" ht="18" customHeight="1" x14ac:dyDescent="0.35">
      <c r="E664" s="692" t="s">
        <v>2983</v>
      </c>
      <c r="F664" s="189"/>
      <c r="G664" s="189"/>
      <c r="H664" s="189"/>
      <c r="I664" s="189"/>
      <c r="J664" s="189"/>
      <c r="K664" s="189">
        <v>65</v>
      </c>
    </row>
    <row r="665" spans="2:14" ht="18" customHeight="1" x14ac:dyDescent="0.35">
      <c r="E665" s="692" t="s">
        <v>2984</v>
      </c>
      <c r="F665" s="189"/>
      <c r="G665" s="189"/>
      <c r="H665" s="189"/>
      <c r="I665" s="189"/>
      <c r="J665" s="189"/>
      <c r="K665" s="189">
        <v>45</v>
      </c>
    </row>
    <row r="666" spans="2:14" ht="18" customHeight="1" x14ac:dyDescent="0.35">
      <c r="E666" s="692" t="s">
        <v>2985</v>
      </c>
      <c r="F666" s="189"/>
      <c r="G666" s="189"/>
      <c r="H666" s="189"/>
      <c r="I666" s="189"/>
      <c r="J666" s="189"/>
      <c r="K666" s="189">
        <v>65</v>
      </c>
    </row>
    <row r="667" spans="2:14" ht="18" customHeight="1" x14ac:dyDescent="0.35">
      <c r="E667" s="688" t="s">
        <v>2986</v>
      </c>
      <c r="F667" s="189"/>
      <c r="G667" s="189"/>
      <c r="H667" s="189"/>
      <c r="I667" s="189"/>
      <c r="J667" s="189"/>
      <c r="K667" s="189"/>
    </row>
    <row r="668" spans="2:14" ht="18" customHeight="1" x14ac:dyDescent="0.35">
      <c r="E668" s="692" t="s">
        <v>2987</v>
      </c>
      <c r="F668" s="189"/>
      <c r="G668" s="189"/>
      <c r="H668" s="189"/>
      <c r="I668" s="189"/>
      <c r="J668" s="189"/>
      <c r="K668" s="189">
        <v>110</v>
      </c>
    </row>
    <row r="669" spans="2:14" ht="18" customHeight="1" x14ac:dyDescent="0.35">
      <c r="E669" s="692" t="s">
        <v>2988</v>
      </c>
      <c r="F669" s="189"/>
      <c r="G669" s="189"/>
      <c r="H669" s="189"/>
      <c r="I669" s="189"/>
      <c r="J669" s="189"/>
      <c r="K669" s="189">
        <v>65</v>
      </c>
    </row>
    <row r="670" spans="2:14" ht="18" customHeight="1" x14ac:dyDescent="0.35">
      <c r="E670" s="692" t="s">
        <v>2989</v>
      </c>
      <c r="F670" s="189"/>
      <c r="G670" s="189"/>
      <c r="H670" s="189"/>
      <c r="I670" s="189"/>
      <c r="J670" s="189"/>
      <c r="K670" s="189"/>
      <c r="L670" s="10">
        <v>60</v>
      </c>
    </row>
    <row r="671" spans="2:14" ht="18" customHeight="1" thickBot="1" x14ac:dyDescent="0.4">
      <c r="F671" s="189"/>
      <c r="G671" s="189"/>
      <c r="H671" s="189"/>
      <c r="I671" s="189"/>
      <c r="J671" s="189"/>
      <c r="K671" s="189"/>
    </row>
    <row r="672" spans="2:14" ht="18" customHeight="1" thickBot="1" x14ac:dyDescent="0.4">
      <c r="B672" s="684">
        <f>+F672+L672</f>
        <v>820</v>
      </c>
      <c r="C672" s="684">
        <f>+G672</f>
        <v>215</v>
      </c>
      <c r="D672" s="684"/>
      <c r="F672" s="710">
        <f>SUM(F648:F671)</f>
        <v>560</v>
      </c>
      <c r="G672" s="710">
        <f t="shared" ref="G672:L672" si="27">SUM(G648:G671)</f>
        <v>215</v>
      </c>
      <c r="H672" s="710">
        <f t="shared" si="27"/>
        <v>0</v>
      </c>
      <c r="I672" s="710">
        <f t="shared" si="27"/>
        <v>0</v>
      </c>
      <c r="J672" s="710">
        <f t="shared" si="27"/>
        <v>0</v>
      </c>
      <c r="K672" s="710">
        <f t="shared" si="27"/>
        <v>435</v>
      </c>
      <c r="L672" s="710">
        <f t="shared" si="27"/>
        <v>260</v>
      </c>
      <c r="M672" s="712"/>
      <c r="N672" s="713"/>
    </row>
    <row r="673" spans="1:17" ht="18" customHeight="1" thickBot="1" x14ac:dyDescent="0.4">
      <c r="F673" s="189"/>
      <c r="G673" s="189"/>
      <c r="H673" s="189"/>
      <c r="I673" s="189"/>
      <c r="J673" s="189"/>
      <c r="K673" s="189"/>
    </row>
    <row r="674" spans="1:17" ht="18" customHeight="1" thickBot="1" x14ac:dyDescent="0.4">
      <c r="A674" s="685">
        <v>46120</v>
      </c>
      <c r="B674" s="684">
        <f>+F674</f>
        <v>80</v>
      </c>
      <c r="C674" s="684"/>
      <c r="D674" s="684"/>
      <c r="E674" s="692" t="s">
        <v>3020</v>
      </c>
      <c r="F674" s="710">
        <v>80</v>
      </c>
      <c r="G674" s="191"/>
      <c r="H674" s="191"/>
      <c r="I674" s="191"/>
      <c r="J674" s="191"/>
      <c r="K674" s="191"/>
      <c r="L674" s="712"/>
      <c r="M674" s="712"/>
      <c r="N674" s="713"/>
    </row>
    <row r="675" spans="1:17" ht="18" customHeight="1" x14ac:dyDescent="0.35">
      <c r="F675" s="189"/>
      <c r="G675" s="189"/>
      <c r="H675" s="189"/>
      <c r="I675" s="189"/>
      <c r="J675" s="189"/>
      <c r="K675" s="189"/>
    </row>
    <row r="676" spans="1:17" s="397" customFormat="1" ht="18" customHeight="1" x14ac:dyDescent="0.35">
      <c r="A676" s="900">
        <v>46121</v>
      </c>
      <c r="B676" s="901"/>
      <c r="C676" s="901"/>
      <c r="D676" s="901"/>
      <c r="E676" s="692"/>
      <c r="F676" s="450"/>
      <c r="G676" s="450"/>
      <c r="H676" s="450"/>
      <c r="I676" s="450"/>
      <c r="J676" s="450"/>
      <c r="K676" s="450"/>
      <c r="O676" s="902"/>
      <c r="P676" s="902"/>
      <c r="Q676" s="902"/>
    </row>
    <row r="677" spans="1:17" ht="18" customHeight="1" x14ac:dyDescent="0.35">
      <c r="F677" s="189"/>
      <c r="G677" s="189"/>
      <c r="H677" s="189"/>
      <c r="I677" s="189"/>
      <c r="J677" s="189"/>
      <c r="K677" s="189"/>
    </row>
    <row r="678" spans="1:17" ht="18" customHeight="1" x14ac:dyDescent="0.35">
      <c r="A678" s="685">
        <v>46122</v>
      </c>
      <c r="E678" s="692" t="s">
        <v>2272</v>
      </c>
      <c r="F678" s="189"/>
      <c r="G678" s="189"/>
      <c r="H678" s="189"/>
      <c r="I678" s="189"/>
      <c r="J678" s="189"/>
      <c r="K678" s="189"/>
      <c r="L678" s="10">
        <v>80</v>
      </c>
    </row>
    <row r="679" spans="1:17" ht="18" customHeight="1" x14ac:dyDescent="0.35">
      <c r="E679" s="692" t="s">
        <v>3029</v>
      </c>
      <c r="F679" s="189"/>
      <c r="G679" s="189"/>
      <c r="H679" s="189"/>
      <c r="I679" s="189"/>
      <c r="J679" s="189"/>
      <c r="K679" s="189">
        <v>45</v>
      </c>
      <c r="L679" s="10">
        <v>20</v>
      </c>
    </row>
    <row r="680" spans="1:17" ht="18" customHeight="1" x14ac:dyDescent="0.35">
      <c r="E680" s="692" t="s">
        <v>3030</v>
      </c>
      <c r="F680" s="189"/>
      <c r="G680" s="189"/>
      <c r="H680" s="189"/>
      <c r="I680" s="189"/>
      <c r="J680" s="189"/>
      <c r="K680" s="189">
        <v>50</v>
      </c>
    </row>
    <row r="681" spans="1:17" ht="18" customHeight="1" x14ac:dyDescent="0.35">
      <c r="E681" s="692" t="s">
        <v>3031</v>
      </c>
      <c r="F681" s="189"/>
      <c r="G681" s="189"/>
      <c r="H681" s="189"/>
      <c r="I681" s="189"/>
      <c r="J681" s="189"/>
      <c r="K681" s="189"/>
      <c r="L681" s="10">
        <v>70</v>
      </c>
    </row>
    <row r="682" spans="1:17" ht="18" customHeight="1" x14ac:dyDescent="0.35">
      <c r="F682" s="189"/>
      <c r="G682" s="189"/>
      <c r="H682" s="189"/>
      <c r="I682" s="189"/>
      <c r="J682" s="189"/>
      <c r="K682" s="189"/>
    </row>
    <row r="683" spans="1:17" ht="18" customHeight="1" thickBot="1" x14ac:dyDescent="0.4">
      <c r="F683" s="189"/>
      <c r="G683" s="189"/>
      <c r="H683" s="189"/>
      <c r="I683" s="189"/>
      <c r="J683" s="189"/>
      <c r="K683" s="189"/>
    </row>
    <row r="684" spans="1:17" ht="18" customHeight="1" thickBot="1" x14ac:dyDescent="0.4">
      <c r="B684" s="684">
        <f>+L684</f>
        <v>170</v>
      </c>
      <c r="C684" s="684"/>
      <c r="D684" s="684"/>
      <c r="F684" s="710"/>
      <c r="G684" s="191"/>
      <c r="H684" s="711"/>
      <c r="I684" s="712"/>
      <c r="J684" s="712"/>
      <c r="K684" s="716">
        <f>SUM(K679:K683)</f>
        <v>95</v>
      </c>
      <c r="L684" s="712">
        <f>SUM(L678:L683)</f>
        <v>170</v>
      </c>
      <c r="M684" s="712"/>
      <c r="N684" s="713"/>
    </row>
    <row r="686" spans="1:17" ht="18" customHeight="1" x14ac:dyDescent="0.35">
      <c r="A686" s="685">
        <v>46123</v>
      </c>
      <c r="E686" s="692" t="s">
        <v>3032</v>
      </c>
      <c r="F686" s="21">
        <v>49</v>
      </c>
    </row>
    <row r="687" spans="1:17" ht="18" customHeight="1" x14ac:dyDescent="0.35">
      <c r="E687" s="692" t="s">
        <v>3033</v>
      </c>
    </row>
    <row r="688" spans="1:17" ht="18" customHeight="1" x14ac:dyDescent="0.35">
      <c r="E688" s="692" t="s">
        <v>3034</v>
      </c>
    </row>
    <row r="689" spans="1:14" ht="18" customHeight="1" thickBot="1" x14ac:dyDescent="0.4">
      <c r="E689" s="692" t="s">
        <v>3094</v>
      </c>
      <c r="F689" s="21">
        <v>90</v>
      </c>
    </row>
    <row r="690" spans="1:14" ht="18" customHeight="1" thickBot="1" x14ac:dyDescent="0.4">
      <c r="B690" s="684">
        <f>+F690</f>
        <v>139</v>
      </c>
      <c r="C690" s="684"/>
      <c r="D690" s="684"/>
      <c r="F690" s="710">
        <f>SUM(F686:F689)</f>
        <v>139</v>
      </c>
      <c r="G690" s="191"/>
      <c r="H690" s="711"/>
      <c r="I690" s="712"/>
      <c r="J690" s="712"/>
      <c r="K690" s="716"/>
      <c r="L690" s="712"/>
      <c r="M690" s="712"/>
      <c r="N690" s="713"/>
    </row>
    <row r="691" spans="1:14" ht="18" customHeight="1" x14ac:dyDescent="0.35">
      <c r="F691" s="189"/>
      <c r="G691" s="189"/>
      <c r="K691" s="729"/>
    </row>
    <row r="692" spans="1:14" ht="18" customHeight="1" x14ac:dyDescent="0.35">
      <c r="A692" s="685">
        <v>46125</v>
      </c>
      <c r="E692" s="692" t="s">
        <v>3035</v>
      </c>
      <c r="F692" s="189"/>
      <c r="G692" s="189"/>
      <c r="K692" s="729"/>
      <c r="L692" s="10">
        <v>100</v>
      </c>
    </row>
    <row r="693" spans="1:14" ht="18" customHeight="1" x14ac:dyDescent="0.35">
      <c r="E693" s="688" t="s">
        <v>3090</v>
      </c>
      <c r="F693" s="189"/>
      <c r="G693" s="189"/>
      <c r="K693" s="729"/>
    </row>
    <row r="694" spans="1:14" ht="18" customHeight="1" x14ac:dyDescent="0.35">
      <c r="E694" s="692" t="s">
        <v>3095</v>
      </c>
      <c r="F694" s="189"/>
      <c r="G694" s="189"/>
      <c r="K694" s="729">
        <v>45</v>
      </c>
    </row>
    <row r="695" spans="1:14" ht="18" customHeight="1" x14ac:dyDescent="0.35">
      <c r="E695" s="692" t="s">
        <v>3091</v>
      </c>
      <c r="K695" s="32">
        <v>65</v>
      </c>
    </row>
    <row r="696" spans="1:14" ht="18" customHeight="1" thickBot="1" x14ac:dyDescent="0.4">
      <c r="E696" s="692" t="s">
        <v>3092</v>
      </c>
      <c r="K696" s="32">
        <v>130</v>
      </c>
    </row>
    <row r="697" spans="1:14" ht="18" customHeight="1" thickBot="1" x14ac:dyDescent="0.4">
      <c r="A697" s="10"/>
      <c r="B697" s="684">
        <f>+L697</f>
        <v>100</v>
      </c>
      <c r="C697" s="684"/>
      <c r="D697" s="684"/>
      <c r="E697" s="10"/>
      <c r="F697" s="710"/>
      <c r="G697" s="191"/>
      <c r="H697" s="711"/>
      <c r="I697" s="712"/>
      <c r="J697" s="712"/>
      <c r="K697" s="716">
        <f>SUM(K694:K696)</f>
        <v>240</v>
      </c>
      <c r="L697" s="712">
        <f>SUM(L692:L696)</f>
        <v>100</v>
      </c>
      <c r="M697" s="712"/>
      <c r="N697" s="713"/>
    </row>
    <row r="699" spans="1:14" ht="18" customHeight="1" x14ac:dyDescent="0.35">
      <c r="A699" s="685">
        <v>46126</v>
      </c>
      <c r="E699" s="688" t="s">
        <v>3036</v>
      </c>
      <c r="L699" s="10">
        <v>50</v>
      </c>
    </row>
    <row r="700" spans="1:14" ht="18" customHeight="1" x14ac:dyDescent="0.35">
      <c r="E700" s="688" t="s">
        <v>2689</v>
      </c>
      <c r="M700" s="10">
        <v>70</v>
      </c>
    </row>
    <row r="701" spans="1:14" ht="18" customHeight="1" x14ac:dyDescent="0.35">
      <c r="E701" s="688" t="s">
        <v>2489</v>
      </c>
    </row>
    <row r="702" spans="1:14" ht="18" customHeight="1" x14ac:dyDescent="0.35">
      <c r="E702" s="692" t="s">
        <v>3037</v>
      </c>
      <c r="F702" s="10"/>
      <c r="K702" s="21">
        <v>25</v>
      </c>
    </row>
    <row r="703" spans="1:14" ht="18" customHeight="1" thickBot="1" x14ac:dyDescent="0.4">
      <c r="E703" s="692" t="s">
        <v>3038</v>
      </c>
      <c r="F703" s="10"/>
      <c r="K703" s="21">
        <v>45</v>
      </c>
    </row>
    <row r="704" spans="1:14" ht="18" customHeight="1" thickBot="1" x14ac:dyDescent="0.4">
      <c r="B704" s="684">
        <f>+F704+L704</f>
        <v>50</v>
      </c>
      <c r="C704" s="684">
        <f>+M704</f>
        <v>70</v>
      </c>
      <c r="D704" s="684"/>
      <c r="F704" s="710"/>
      <c r="G704" s="191">
        <f t="shared" ref="G704:N704" si="28">SUM(G702:G703)</f>
        <v>0</v>
      </c>
      <c r="H704" s="904">
        <f t="shared" si="28"/>
        <v>0</v>
      </c>
      <c r="I704" s="784">
        <f t="shared" si="28"/>
        <v>0</v>
      </c>
      <c r="J704" s="784">
        <f t="shared" si="28"/>
        <v>0</v>
      </c>
      <c r="K704" s="716">
        <f>SUM(K702:K703)</f>
        <v>70</v>
      </c>
      <c r="L704" s="784">
        <f>SUM(L699:L703)</f>
        <v>50</v>
      </c>
      <c r="M704" s="784">
        <f>SUM(M699:M703)</f>
        <v>70</v>
      </c>
      <c r="N704" s="905">
        <f t="shared" si="28"/>
        <v>0</v>
      </c>
    </row>
    <row r="706" spans="1:14" ht="18" customHeight="1" x14ac:dyDescent="0.35">
      <c r="A706" s="685">
        <v>46127</v>
      </c>
      <c r="E706" s="692" t="s">
        <v>3072</v>
      </c>
    </row>
    <row r="707" spans="1:14" ht="18" customHeight="1" x14ac:dyDescent="0.35">
      <c r="E707" s="692" t="s">
        <v>3073</v>
      </c>
      <c r="K707" s="32">
        <v>70</v>
      </c>
    </row>
    <row r="708" spans="1:14" ht="18" customHeight="1" x14ac:dyDescent="0.35">
      <c r="E708" s="692" t="s">
        <v>3074</v>
      </c>
      <c r="K708" s="32">
        <v>35</v>
      </c>
    </row>
    <row r="709" spans="1:14" ht="18" customHeight="1" thickBot="1" x14ac:dyDescent="0.4">
      <c r="E709" s="692" t="s">
        <v>3075</v>
      </c>
      <c r="L709" s="10">
        <v>25</v>
      </c>
    </row>
    <row r="710" spans="1:14" ht="18" customHeight="1" thickBot="1" x14ac:dyDescent="0.4">
      <c r="B710" s="684">
        <f>+L710</f>
        <v>25</v>
      </c>
      <c r="C710" s="684"/>
      <c r="D710" s="684"/>
      <c r="F710" s="710"/>
      <c r="G710" s="191"/>
      <c r="H710" s="711"/>
      <c r="I710" s="712"/>
      <c r="J710" s="712"/>
      <c r="K710" s="716">
        <f>SUM(K707:K708)</f>
        <v>105</v>
      </c>
      <c r="L710" s="712">
        <f>SUM(L709)</f>
        <v>25</v>
      </c>
      <c r="M710" s="712"/>
      <c r="N710" s="713"/>
    </row>
    <row r="712" spans="1:14" ht="18" customHeight="1" x14ac:dyDescent="0.35">
      <c r="A712" s="685">
        <v>46128</v>
      </c>
      <c r="E712" s="692" t="s">
        <v>2929</v>
      </c>
      <c r="F712" s="10">
        <v>120</v>
      </c>
      <c r="L712" s="10">
        <v>145</v>
      </c>
    </row>
    <row r="713" spans="1:14" ht="18" customHeight="1" x14ac:dyDescent="0.35">
      <c r="E713" s="692" t="s">
        <v>3087</v>
      </c>
      <c r="F713" s="10">
        <v>75</v>
      </c>
      <c r="L713" s="10">
        <v>75</v>
      </c>
    </row>
    <row r="714" spans="1:14" ht="18" customHeight="1" x14ac:dyDescent="0.35">
      <c r="E714" s="692" t="s">
        <v>3088</v>
      </c>
      <c r="F714" s="10">
        <v>45</v>
      </c>
      <c r="L714" s="10">
        <v>45</v>
      </c>
    </row>
    <row r="715" spans="1:14" ht="18" customHeight="1" x14ac:dyDescent="0.35">
      <c r="E715" s="692" t="s">
        <v>3089</v>
      </c>
      <c r="F715" s="10">
        <v>45</v>
      </c>
      <c r="L715" s="10">
        <v>35</v>
      </c>
    </row>
    <row r="716" spans="1:14" ht="18" customHeight="1" thickBot="1" x14ac:dyDescent="0.4">
      <c r="E716" s="692" t="s">
        <v>3097</v>
      </c>
      <c r="L716" s="10">
        <v>100</v>
      </c>
    </row>
    <row r="717" spans="1:14" ht="18" customHeight="1" thickBot="1" x14ac:dyDescent="0.4">
      <c r="B717" s="684">
        <f>+L717</f>
        <v>400</v>
      </c>
      <c r="C717" s="684"/>
      <c r="D717" s="684"/>
      <c r="F717" s="710"/>
      <c r="G717" s="191"/>
      <c r="H717" s="711"/>
      <c r="I717" s="712"/>
      <c r="J717" s="712"/>
      <c r="K717" s="716"/>
      <c r="L717" s="712">
        <f>SUM(L712:L716)</f>
        <v>400</v>
      </c>
      <c r="M717" s="712"/>
      <c r="N717" s="713"/>
    </row>
    <row r="719" spans="1:14" ht="18" customHeight="1" x14ac:dyDescent="0.35">
      <c r="A719" s="685">
        <v>46129</v>
      </c>
      <c r="E719" s="692" t="s">
        <v>3099</v>
      </c>
      <c r="F719" s="21">
        <v>10</v>
      </c>
    </row>
    <row r="720" spans="1:14" ht="18" customHeight="1" thickBot="1" x14ac:dyDescent="0.4">
      <c r="E720" s="692" t="s">
        <v>3100</v>
      </c>
      <c r="F720" s="21">
        <v>150</v>
      </c>
    </row>
    <row r="721" spans="1:14" ht="18" customHeight="1" thickBot="1" x14ac:dyDescent="0.4">
      <c r="B721" s="684">
        <f>+F721</f>
        <v>160</v>
      </c>
      <c r="C721" s="684"/>
      <c r="D721" s="684"/>
      <c r="F721" s="710">
        <f>SUM(F719:F720)</f>
        <v>160</v>
      </c>
      <c r="G721" s="191"/>
      <c r="H721" s="711"/>
      <c r="I721" s="712"/>
      <c r="J721" s="712"/>
      <c r="K721" s="716"/>
      <c r="L721" s="712"/>
      <c r="M721" s="712"/>
      <c r="N721" s="713"/>
    </row>
    <row r="722" spans="1:14" ht="18" customHeight="1" x14ac:dyDescent="0.35">
      <c r="B722" s="683">
        <v>-32</v>
      </c>
      <c r="C722" s="683" t="s">
        <v>3101</v>
      </c>
    </row>
    <row r="723" spans="1:14" ht="18" customHeight="1" x14ac:dyDescent="0.35">
      <c r="B723" s="683">
        <f>SUM(B721:B722)</f>
        <v>128</v>
      </c>
    </row>
    <row r="724" spans="1:14" ht="18" customHeight="1" x14ac:dyDescent="0.35">
      <c r="A724" s="685">
        <v>46130</v>
      </c>
      <c r="E724" s="692" t="s">
        <v>3110</v>
      </c>
      <c r="F724" s="21">
        <v>55</v>
      </c>
    </row>
    <row r="725" spans="1:14" ht="18" customHeight="1" x14ac:dyDescent="0.35">
      <c r="E725" s="692" t="s">
        <v>3102</v>
      </c>
      <c r="F725" s="21">
        <v>110</v>
      </c>
    </row>
    <row r="726" spans="1:14" ht="18" customHeight="1" x14ac:dyDescent="0.35">
      <c r="E726" s="692" t="s">
        <v>3103</v>
      </c>
      <c r="F726" s="21">
        <v>125</v>
      </c>
    </row>
    <row r="727" spans="1:14" ht="18" customHeight="1" x14ac:dyDescent="0.35">
      <c r="E727" s="692" t="s">
        <v>3104</v>
      </c>
      <c r="F727" s="21">
        <v>125</v>
      </c>
    </row>
    <row r="728" spans="1:14" ht="18" customHeight="1" x14ac:dyDescent="0.35">
      <c r="E728" s="692" t="s">
        <v>3105</v>
      </c>
      <c r="F728" s="21">
        <v>100</v>
      </c>
    </row>
    <row r="729" spans="1:14" ht="18" customHeight="1" x14ac:dyDescent="0.35">
      <c r="E729" s="692" t="s">
        <v>3141</v>
      </c>
      <c r="F729" s="21">
        <v>80</v>
      </c>
    </row>
    <row r="730" spans="1:14" ht="18" customHeight="1" x14ac:dyDescent="0.35">
      <c r="E730" s="692" t="s">
        <v>3106</v>
      </c>
      <c r="F730" s="21">
        <v>20</v>
      </c>
    </row>
    <row r="731" spans="1:14" ht="18" customHeight="1" x14ac:dyDescent="0.35">
      <c r="E731" s="692" t="s">
        <v>3107</v>
      </c>
      <c r="F731" s="21">
        <v>70</v>
      </c>
    </row>
    <row r="732" spans="1:14" ht="18" customHeight="1" x14ac:dyDescent="0.35">
      <c r="E732" s="692" t="s">
        <v>3108</v>
      </c>
      <c r="F732" s="21">
        <v>55</v>
      </c>
    </row>
    <row r="733" spans="1:14" ht="18" customHeight="1" x14ac:dyDescent="0.35">
      <c r="E733" s="692" t="s">
        <v>3142</v>
      </c>
      <c r="F733" s="21">
        <v>35</v>
      </c>
    </row>
    <row r="734" spans="1:14" ht="18" customHeight="1" thickBot="1" x14ac:dyDescent="0.4">
      <c r="E734" s="692" t="s">
        <v>3109</v>
      </c>
      <c r="F734" s="21">
        <v>30</v>
      </c>
    </row>
    <row r="735" spans="1:14" ht="18" customHeight="1" thickBot="1" x14ac:dyDescent="0.4">
      <c r="B735" s="684">
        <f>+F735</f>
        <v>805</v>
      </c>
      <c r="C735" s="684"/>
      <c r="D735" s="684"/>
      <c r="F735" s="710">
        <f>SUM(F724:F734)</f>
        <v>805</v>
      </c>
      <c r="G735" s="191"/>
      <c r="H735" s="711"/>
      <c r="I735" s="712"/>
      <c r="J735" s="712"/>
      <c r="K735" s="716"/>
      <c r="L735" s="712"/>
      <c r="M735" s="712"/>
      <c r="N735" s="713"/>
    </row>
    <row r="736" spans="1:14" ht="18" customHeight="1" x14ac:dyDescent="0.35">
      <c r="F736" s="189"/>
      <c r="G736" s="189"/>
      <c r="K736" s="729"/>
    </row>
    <row r="737" spans="1:17" ht="18" customHeight="1" x14ac:dyDescent="0.35">
      <c r="A737" s="685">
        <v>46132</v>
      </c>
      <c r="E737" s="692" t="s">
        <v>3035</v>
      </c>
      <c r="F737" s="189"/>
      <c r="G737" s="189"/>
      <c r="K737" s="729"/>
      <c r="L737" s="10">
        <v>60</v>
      </c>
    </row>
    <row r="738" spans="1:17" ht="18" customHeight="1" thickBot="1" x14ac:dyDescent="0.4">
      <c r="E738" s="692" t="s">
        <v>3113</v>
      </c>
      <c r="F738" s="189"/>
      <c r="G738" s="189"/>
      <c r="I738" s="10">
        <v>10</v>
      </c>
      <c r="K738" s="729"/>
    </row>
    <row r="739" spans="1:17" ht="18" customHeight="1" thickBot="1" x14ac:dyDescent="0.4">
      <c r="B739" s="684">
        <f>+I739+L739</f>
        <v>70</v>
      </c>
      <c r="C739" s="684"/>
      <c r="D739" s="684"/>
      <c r="F739" s="710"/>
      <c r="G739" s="191"/>
      <c r="H739" s="711"/>
      <c r="I739" s="712">
        <f>SUM(I738)</f>
        <v>10</v>
      </c>
      <c r="J739" s="712"/>
      <c r="K739" s="716"/>
      <c r="L739" s="712">
        <f>SUM(L737:L738)</f>
        <v>60</v>
      </c>
      <c r="M739" s="712"/>
      <c r="N739" s="713"/>
    </row>
    <row r="740" spans="1:17" ht="18" customHeight="1" x14ac:dyDescent="0.35">
      <c r="F740" s="189"/>
      <c r="G740" s="189"/>
      <c r="K740" s="729"/>
    </row>
    <row r="741" spans="1:17" s="109" customFormat="1" ht="18" customHeight="1" x14ac:dyDescent="0.35">
      <c r="A741" s="732">
        <v>46133</v>
      </c>
      <c r="B741" s="693"/>
      <c r="C741" s="693"/>
      <c r="D741" s="693"/>
      <c r="E741" s="733"/>
      <c r="F741" s="325"/>
      <c r="G741" s="325"/>
      <c r="H741" s="858"/>
      <c r="K741" s="490"/>
      <c r="O741" s="278"/>
      <c r="P741" s="278"/>
      <c r="Q741" s="278"/>
    </row>
    <row r="742" spans="1:17" ht="18" customHeight="1" x14ac:dyDescent="0.35">
      <c r="F742" s="189"/>
      <c r="G742" s="189"/>
      <c r="K742" s="729"/>
    </row>
    <row r="743" spans="1:17" ht="18" customHeight="1" x14ac:dyDescent="0.35">
      <c r="A743" s="685">
        <v>46134</v>
      </c>
      <c r="E743" s="692" t="s">
        <v>3114</v>
      </c>
      <c r="F743" s="189"/>
      <c r="G743" s="189"/>
      <c r="I743" s="10">
        <v>10</v>
      </c>
      <c r="K743" s="729"/>
    </row>
    <row r="744" spans="1:17" ht="18" customHeight="1" thickBot="1" x14ac:dyDescent="0.4">
      <c r="E744" s="692" t="s">
        <v>3138</v>
      </c>
      <c r="F744" s="189"/>
      <c r="G744" s="189"/>
      <c r="H744" s="496">
        <v>25</v>
      </c>
      <c r="K744" s="729"/>
    </row>
    <row r="745" spans="1:17" ht="18" customHeight="1" thickBot="1" x14ac:dyDescent="0.4">
      <c r="B745" s="684">
        <f>+I745</f>
        <v>10</v>
      </c>
      <c r="C745" s="684"/>
      <c r="D745" s="684"/>
      <c r="F745" s="710"/>
      <c r="G745" s="191"/>
      <c r="H745" s="711">
        <f>SUM(H744)</f>
        <v>25</v>
      </c>
      <c r="I745" s="712">
        <f>SUM(I743:I744)</f>
        <v>10</v>
      </c>
      <c r="J745" s="712"/>
      <c r="K745" s="716"/>
      <c r="L745" s="712"/>
      <c r="M745" s="712"/>
      <c r="N745" s="713"/>
    </row>
    <row r="747" spans="1:17" ht="18" customHeight="1" x14ac:dyDescent="0.35">
      <c r="A747" s="685">
        <v>46135</v>
      </c>
      <c r="E747" s="692" t="s">
        <v>3115</v>
      </c>
      <c r="K747" s="32">
        <v>50</v>
      </c>
    </row>
    <row r="748" spans="1:17" ht="18" customHeight="1" x14ac:dyDescent="0.35">
      <c r="E748" s="692" t="s">
        <v>3116</v>
      </c>
      <c r="F748" s="21">
        <v>115</v>
      </c>
      <c r="N748" s="10">
        <v>10</v>
      </c>
    </row>
    <row r="749" spans="1:17" ht="18" customHeight="1" x14ac:dyDescent="0.35">
      <c r="E749" s="688" t="s">
        <v>3117</v>
      </c>
    </row>
    <row r="750" spans="1:17" ht="18" customHeight="1" x14ac:dyDescent="0.35">
      <c r="E750" s="692" t="s">
        <v>3118</v>
      </c>
      <c r="K750" s="32">
        <v>50</v>
      </c>
    </row>
    <row r="751" spans="1:17" ht="18" customHeight="1" x14ac:dyDescent="0.35">
      <c r="E751" s="692" t="s">
        <v>3119</v>
      </c>
      <c r="K751" s="32">
        <v>25</v>
      </c>
    </row>
    <row r="752" spans="1:17" ht="18" customHeight="1" x14ac:dyDescent="0.35">
      <c r="E752" s="692" t="s">
        <v>3126</v>
      </c>
      <c r="F752" s="21">
        <v>110</v>
      </c>
    </row>
    <row r="753" spans="1:14" ht="18" customHeight="1" x14ac:dyDescent="0.35">
      <c r="E753" s="692" t="s">
        <v>3128</v>
      </c>
      <c r="F753" s="21">
        <v>25</v>
      </c>
    </row>
    <row r="754" spans="1:14" ht="18" customHeight="1" x14ac:dyDescent="0.35">
      <c r="E754" s="692" t="s">
        <v>3127</v>
      </c>
      <c r="F754" s="21">
        <v>55</v>
      </c>
    </row>
    <row r="755" spans="1:14" ht="18" customHeight="1" thickBot="1" x14ac:dyDescent="0.4"/>
    <row r="756" spans="1:14" ht="18" customHeight="1" thickBot="1" x14ac:dyDescent="0.4">
      <c r="B756" s="684">
        <f>+F756</f>
        <v>305</v>
      </c>
      <c r="C756" s="684"/>
      <c r="D756" s="684"/>
      <c r="F756" s="710">
        <f>SUM(F748:F755)</f>
        <v>305</v>
      </c>
      <c r="G756" s="191"/>
      <c r="H756" s="711"/>
      <c r="I756" s="712"/>
      <c r="J756" s="712"/>
      <c r="K756" s="716">
        <f>SUM(K747:K755)</f>
        <v>125</v>
      </c>
      <c r="L756" s="712"/>
      <c r="M756" s="712"/>
      <c r="N756" s="713">
        <f>SUM(N748:N755)</f>
        <v>10</v>
      </c>
    </row>
    <row r="758" spans="1:14" ht="18" customHeight="1" x14ac:dyDescent="0.35">
      <c r="A758" s="685">
        <v>46136</v>
      </c>
      <c r="E758" s="692" t="s">
        <v>3120</v>
      </c>
      <c r="K758" s="32">
        <v>125</v>
      </c>
      <c r="L758" s="10">
        <v>50</v>
      </c>
    </row>
    <row r="759" spans="1:14" ht="18" customHeight="1" x14ac:dyDescent="0.35">
      <c r="E759" s="692" t="s">
        <v>3121</v>
      </c>
      <c r="F759" s="21">
        <v>70</v>
      </c>
    </row>
    <row r="760" spans="1:14" ht="18" customHeight="1" x14ac:dyDescent="0.35">
      <c r="E760" s="692" t="s">
        <v>3122</v>
      </c>
      <c r="F760" s="21">
        <v>65</v>
      </c>
    </row>
    <row r="761" spans="1:14" ht="18" customHeight="1" x14ac:dyDescent="0.35">
      <c r="E761" s="692" t="s">
        <v>3123</v>
      </c>
      <c r="F761" s="21">
        <v>45</v>
      </c>
    </row>
    <row r="762" spans="1:14" ht="18" customHeight="1" x14ac:dyDescent="0.35">
      <c r="E762" s="692" t="s">
        <v>3130</v>
      </c>
      <c r="F762" s="21">
        <v>55</v>
      </c>
    </row>
    <row r="763" spans="1:14" ht="18" customHeight="1" x14ac:dyDescent="0.35">
      <c r="E763" s="692" t="s">
        <v>3124</v>
      </c>
      <c r="F763" s="21">
        <v>55</v>
      </c>
    </row>
    <row r="764" spans="1:14" ht="18" customHeight="1" x14ac:dyDescent="0.35">
      <c r="E764" s="692" t="s">
        <v>3125</v>
      </c>
      <c r="F764" s="21">
        <v>55</v>
      </c>
    </row>
    <row r="765" spans="1:14" ht="18" customHeight="1" x14ac:dyDescent="0.35">
      <c r="E765" s="692" t="s">
        <v>3129</v>
      </c>
      <c r="F765" s="21">
        <v>15</v>
      </c>
    </row>
    <row r="766" spans="1:14" ht="18" customHeight="1" x14ac:dyDescent="0.35">
      <c r="E766" s="692" t="s">
        <v>3133</v>
      </c>
      <c r="F766" s="21">
        <v>25</v>
      </c>
    </row>
    <row r="767" spans="1:14" ht="18" customHeight="1" thickBot="1" x14ac:dyDescent="0.4">
      <c r="E767" s="692" t="s">
        <v>3144</v>
      </c>
      <c r="F767" s="21">
        <v>60</v>
      </c>
    </row>
    <row r="768" spans="1:14" ht="18" customHeight="1" thickBot="1" x14ac:dyDescent="0.4">
      <c r="B768" s="684">
        <f>+F768+L768</f>
        <v>495</v>
      </c>
      <c r="C768" s="684"/>
      <c r="D768" s="684"/>
      <c r="F768" s="710">
        <f>SUM(F759:F767)</f>
        <v>445</v>
      </c>
      <c r="G768" s="191"/>
      <c r="H768" s="711"/>
      <c r="I768" s="712"/>
      <c r="J768" s="712"/>
      <c r="K768" s="716">
        <f>SUM(K758:K767)</f>
        <v>125</v>
      </c>
      <c r="L768" s="716">
        <f>SUM(L758:L767)</f>
        <v>50</v>
      </c>
      <c r="M768" s="712"/>
      <c r="N768" s="713"/>
    </row>
    <row r="769" spans="1:14" ht="18" customHeight="1" x14ac:dyDescent="0.35">
      <c r="F769" s="189"/>
      <c r="G769" s="189"/>
      <c r="K769" s="729"/>
      <c r="L769" s="729"/>
    </row>
    <row r="770" spans="1:14" ht="18" customHeight="1" x14ac:dyDescent="0.35">
      <c r="A770" s="685">
        <v>46139</v>
      </c>
      <c r="E770" s="688" t="s">
        <v>3146</v>
      </c>
      <c r="F770" s="189"/>
      <c r="G770" s="189"/>
      <c r="K770" s="729"/>
      <c r="L770" s="729">
        <v>150</v>
      </c>
    </row>
    <row r="771" spans="1:14" ht="18" customHeight="1" x14ac:dyDescent="0.35">
      <c r="E771" s="688" t="s">
        <v>3147</v>
      </c>
      <c r="F771" s="189"/>
      <c r="G771" s="189"/>
      <c r="K771" s="729"/>
      <c r="L771" s="729"/>
    </row>
    <row r="772" spans="1:14" ht="18" customHeight="1" x14ac:dyDescent="0.35">
      <c r="E772" s="692" t="s">
        <v>3148</v>
      </c>
      <c r="F772" s="189"/>
      <c r="G772" s="189"/>
      <c r="K772" s="729">
        <v>55</v>
      </c>
      <c r="L772" s="729"/>
    </row>
    <row r="773" spans="1:14" ht="18" customHeight="1" x14ac:dyDescent="0.35">
      <c r="E773" s="692" t="s">
        <v>3149</v>
      </c>
      <c r="F773" s="189"/>
      <c r="G773" s="189"/>
      <c r="K773" s="729">
        <v>110</v>
      </c>
      <c r="L773" s="729"/>
    </row>
    <row r="774" spans="1:14" ht="18" customHeight="1" x14ac:dyDescent="0.35">
      <c r="E774" s="692" t="s">
        <v>3150</v>
      </c>
      <c r="F774" s="189"/>
      <c r="G774" s="189"/>
      <c r="K774" s="729">
        <v>35</v>
      </c>
      <c r="L774" s="729"/>
    </row>
    <row r="775" spans="1:14" ht="18" customHeight="1" x14ac:dyDescent="0.35">
      <c r="D775" s="10"/>
      <c r="E775" s="692" t="s">
        <v>3155</v>
      </c>
      <c r="F775" s="140"/>
      <c r="G775" s="140">
        <v>60</v>
      </c>
      <c r="K775" s="147"/>
      <c r="L775" s="147"/>
    </row>
    <row r="776" spans="1:14" ht="18" customHeight="1" x14ac:dyDescent="0.35">
      <c r="E776" s="692" t="s">
        <v>3151</v>
      </c>
      <c r="F776" s="140">
        <v>75</v>
      </c>
      <c r="G776" s="140"/>
      <c r="K776" s="147"/>
      <c r="L776" s="147"/>
    </row>
    <row r="777" spans="1:14" ht="18" customHeight="1" thickBot="1" x14ac:dyDescent="0.4">
      <c r="E777" s="692" t="s">
        <v>3152</v>
      </c>
      <c r="F777" s="140"/>
      <c r="G777" s="140"/>
      <c r="H777" s="496">
        <v>125</v>
      </c>
      <c r="I777" s="10">
        <v>25</v>
      </c>
      <c r="K777" s="147"/>
      <c r="L777" s="147"/>
    </row>
    <row r="778" spans="1:14" ht="18" customHeight="1" thickBot="1" x14ac:dyDescent="0.4">
      <c r="B778" s="684">
        <f>+F778+I778+L778</f>
        <v>250</v>
      </c>
      <c r="C778" s="684">
        <f>+G778</f>
        <v>60</v>
      </c>
      <c r="D778" s="684"/>
      <c r="F778" s="710">
        <f t="shared" ref="F778:N778" si="29">SUM(F770:F777)</f>
        <v>75</v>
      </c>
      <c r="G778" s="710">
        <f t="shared" si="29"/>
        <v>60</v>
      </c>
      <c r="H778" s="710">
        <f t="shared" si="29"/>
        <v>125</v>
      </c>
      <c r="I778" s="710">
        <f t="shared" si="29"/>
        <v>25</v>
      </c>
      <c r="J778" s="710">
        <f t="shared" si="29"/>
        <v>0</v>
      </c>
      <c r="K778" s="710">
        <f t="shared" si="29"/>
        <v>200</v>
      </c>
      <c r="L778" s="710">
        <f t="shared" si="29"/>
        <v>150</v>
      </c>
      <c r="M778" s="710">
        <f t="shared" si="29"/>
        <v>0</v>
      </c>
      <c r="N778" s="710">
        <f t="shared" si="29"/>
        <v>0</v>
      </c>
    </row>
    <row r="779" spans="1:14" ht="18" customHeight="1" x14ac:dyDescent="0.35">
      <c r="F779" s="189"/>
      <c r="G779" s="189"/>
      <c r="K779" s="729"/>
      <c r="L779" s="56"/>
    </row>
    <row r="780" spans="1:14" ht="18" customHeight="1" x14ac:dyDescent="0.35">
      <c r="A780" s="685">
        <v>46140</v>
      </c>
      <c r="E780" s="692" t="s">
        <v>2819</v>
      </c>
      <c r="F780" s="189"/>
      <c r="G780" s="189"/>
      <c r="K780" s="729"/>
      <c r="L780" s="56">
        <v>95</v>
      </c>
    </row>
    <row r="781" spans="1:14" ht="18" customHeight="1" x14ac:dyDescent="0.35">
      <c r="E781" s="901" t="s">
        <v>3157</v>
      </c>
      <c r="F781" s="189">
        <v>70</v>
      </c>
      <c r="G781" s="189"/>
      <c r="K781" s="729"/>
      <c r="L781" s="56"/>
    </row>
    <row r="782" spans="1:14" ht="18" customHeight="1" x14ac:dyDescent="0.35">
      <c r="E782" s="692" t="s">
        <v>3156</v>
      </c>
      <c r="F782" s="189">
        <v>10</v>
      </c>
      <c r="G782" s="189"/>
      <c r="K782" s="729"/>
      <c r="L782" s="56"/>
    </row>
    <row r="783" spans="1:14" ht="18" customHeight="1" x14ac:dyDescent="0.35">
      <c r="E783" s="688" t="s">
        <v>3162</v>
      </c>
      <c r="F783" s="189"/>
      <c r="G783" s="189"/>
      <c r="K783" s="729"/>
      <c r="L783" s="56">
        <v>70</v>
      </c>
    </row>
    <row r="784" spans="1:14" ht="18" customHeight="1" x14ac:dyDescent="0.35">
      <c r="E784" s="692" t="s">
        <v>3163</v>
      </c>
      <c r="F784" s="189"/>
      <c r="G784" s="189"/>
      <c r="K784" s="729">
        <v>70</v>
      </c>
      <c r="L784" s="56"/>
    </row>
    <row r="785" spans="1:14" ht="18" customHeight="1" x14ac:dyDescent="0.35">
      <c r="E785" s="692" t="s">
        <v>3164</v>
      </c>
      <c r="F785" s="189"/>
      <c r="G785" s="189"/>
      <c r="K785" s="729">
        <v>45</v>
      </c>
      <c r="L785" s="56"/>
    </row>
    <row r="786" spans="1:14" ht="18" customHeight="1" thickBot="1" x14ac:dyDescent="0.4">
      <c r="E786" s="692" t="s">
        <v>3166</v>
      </c>
      <c r="F786" s="189"/>
      <c r="G786" s="189"/>
      <c r="K786" s="729">
        <v>50</v>
      </c>
      <c r="L786" s="56"/>
    </row>
    <row r="787" spans="1:14" ht="18" customHeight="1" thickBot="1" x14ac:dyDescent="0.4">
      <c r="B787" s="684">
        <f>+F787+L787</f>
        <v>245</v>
      </c>
      <c r="C787" s="684"/>
      <c r="D787" s="684"/>
      <c r="F787" s="710">
        <f>SUM(F781:F786)</f>
        <v>80</v>
      </c>
      <c r="G787" s="191"/>
      <c r="H787" s="711"/>
      <c r="I787" s="712"/>
      <c r="J787" s="712"/>
      <c r="K787" s="716">
        <f>SUM(K784:K786)</f>
        <v>165</v>
      </c>
      <c r="L787" s="784">
        <f>SUM(L780:L786)</f>
        <v>165</v>
      </c>
      <c r="M787" s="712"/>
      <c r="N787" s="713"/>
    </row>
    <row r="788" spans="1:14" ht="18" customHeight="1" x14ac:dyDescent="0.35">
      <c r="F788" s="189"/>
      <c r="G788" s="189"/>
      <c r="K788" s="729"/>
      <c r="L788" s="56"/>
    </row>
    <row r="789" spans="1:14" ht="18" customHeight="1" x14ac:dyDescent="0.35">
      <c r="A789" s="685">
        <v>46141</v>
      </c>
      <c r="E789" s="692" t="s">
        <v>3167</v>
      </c>
      <c r="F789" s="189">
        <v>35</v>
      </c>
      <c r="G789" s="189"/>
      <c r="K789" s="729"/>
      <c r="L789" s="56"/>
    </row>
    <row r="790" spans="1:14" ht="18" customHeight="1" x14ac:dyDescent="0.35">
      <c r="E790" s="692" t="s">
        <v>3168</v>
      </c>
      <c r="F790" s="189">
        <v>120</v>
      </c>
      <c r="G790" s="189"/>
      <c r="K790" s="729"/>
      <c r="L790" s="56"/>
    </row>
    <row r="791" spans="1:14" ht="18" customHeight="1" x14ac:dyDescent="0.35">
      <c r="E791" s="692" t="s">
        <v>3169</v>
      </c>
      <c r="F791" s="189">
        <v>75</v>
      </c>
      <c r="G791" s="189"/>
      <c r="K791" s="729"/>
      <c r="L791" s="56"/>
    </row>
    <row r="792" spans="1:14" ht="18" customHeight="1" x14ac:dyDescent="0.35">
      <c r="E792" s="692" t="s">
        <v>3170</v>
      </c>
      <c r="F792" s="189">
        <v>25</v>
      </c>
      <c r="G792" s="189"/>
      <c r="K792" s="729"/>
      <c r="L792" s="56"/>
    </row>
    <row r="793" spans="1:14" ht="18" customHeight="1" x14ac:dyDescent="0.35">
      <c r="E793" s="692" t="s">
        <v>3171</v>
      </c>
      <c r="F793" s="189"/>
      <c r="G793" s="189"/>
      <c r="K793" s="729"/>
      <c r="L793" s="56">
        <v>100</v>
      </c>
    </row>
    <row r="794" spans="1:14" ht="18" customHeight="1" x14ac:dyDescent="0.35">
      <c r="E794" s="692" t="s">
        <v>3172</v>
      </c>
      <c r="K794" s="32">
        <v>65</v>
      </c>
    </row>
    <row r="795" spans="1:14" ht="18" customHeight="1" x14ac:dyDescent="0.35">
      <c r="E795" s="688" t="s">
        <v>3175</v>
      </c>
      <c r="F795" s="137"/>
      <c r="G795" s="137"/>
      <c r="K795" s="783"/>
      <c r="L795" s="10">
        <v>50</v>
      </c>
    </row>
    <row r="796" spans="1:14" ht="18" customHeight="1" x14ac:dyDescent="0.35">
      <c r="E796" s="692" t="s">
        <v>3176</v>
      </c>
      <c r="F796" s="137"/>
      <c r="G796" s="137"/>
      <c r="K796" s="783">
        <v>45</v>
      </c>
    </row>
    <row r="797" spans="1:14" ht="18" customHeight="1" x14ac:dyDescent="0.35">
      <c r="E797" s="688" t="s">
        <v>3177</v>
      </c>
      <c r="F797" s="137"/>
      <c r="G797" s="137"/>
      <c r="K797" s="783"/>
    </row>
    <row r="798" spans="1:14" ht="18" customHeight="1" x14ac:dyDescent="0.35">
      <c r="E798" s="692" t="s">
        <v>3178</v>
      </c>
      <c r="K798" s="32">
        <v>45</v>
      </c>
    </row>
    <row r="799" spans="1:14" ht="18" customHeight="1" x14ac:dyDescent="0.35">
      <c r="E799" s="692" t="s">
        <v>3179</v>
      </c>
      <c r="K799" s="32">
        <v>10</v>
      </c>
    </row>
    <row r="800" spans="1:14" ht="18" customHeight="1" thickBot="1" x14ac:dyDescent="0.4">
      <c r="E800" s="206" t="s">
        <v>3182</v>
      </c>
      <c r="L800" s="10">
        <v>50</v>
      </c>
    </row>
    <row r="801" spans="1:17" ht="18" customHeight="1" thickBot="1" x14ac:dyDescent="0.4">
      <c r="B801" s="684">
        <f>+F801+L801</f>
        <v>455</v>
      </c>
      <c r="C801" s="684"/>
      <c r="D801" s="684"/>
      <c r="F801" s="710">
        <f>SUM(F789:F800)</f>
        <v>255</v>
      </c>
      <c r="G801" s="191"/>
      <c r="H801" s="711"/>
      <c r="I801" s="712"/>
      <c r="J801" s="712"/>
      <c r="K801" s="784">
        <f>SUM(K794:K800)</f>
        <v>165</v>
      </c>
      <c r="L801" s="784">
        <f>SUM(L793:L800)</f>
        <v>200</v>
      </c>
      <c r="M801" s="712"/>
      <c r="N801" s="713"/>
    </row>
    <row r="802" spans="1:17" ht="18" customHeight="1" x14ac:dyDescent="0.35">
      <c r="F802" s="189"/>
      <c r="G802" s="189"/>
      <c r="K802" s="56"/>
      <c r="L802" s="56"/>
    </row>
    <row r="805" spans="1:17" ht="18" customHeight="1" x14ac:dyDescent="0.35">
      <c r="A805"/>
      <c r="B805" s="705" t="s">
        <v>12</v>
      </c>
      <c r="C805" s="859" t="s">
        <v>2127</v>
      </c>
    </row>
    <row r="806" spans="1:17" ht="18" customHeight="1" x14ac:dyDescent="0.35">
      <c r="A806" s="699" t="s">
        <v>2128</v>
      </c>
      <c r="B806" s="701">
        <f>+B608+B625+B630+B644+B672+B674+B684+B690+B697+B704+B710+B717+B721+B735+B739+B745+B756+B768+B778+B787+B801</f>
        <v>5729</v>
      </c>
      <c r="C806" s="701">
        <f>+C608+C625+C630+C644+C672+C674+C684+C690+C697+C704+C710+C717+C721+C735+C739+C745+C756+C768+C778</f>
        <v>555</v>
      </c>
    </row>
    <row r="807" spans="1:17" ht="18" customHeight="1" x14ac:dyDescent="0.35">
      <c r="A807" s="700" t="s">
        <v>2129</v>
      </c>
      <c r="B807" s="706"/>
      <c r="C807" s="702"/>
    </row>
    <row r="808" spans="1:17" ht="18" customHeight="1" x14ac:dyDescent="0.35">
      <c r="A808" s="700" t="s">
        <v>2130</v>
      </c>
      <c r="B808" s="706">
        <f>+C806</f>
        <v>555</v>
      </c>
      <c r="C808" s="702"/>
    </row>
    <row r="809" spans="1:17" ht="18" customHeight="1" x14ac:dyDescent="0.35">
      <c r="A809" s="700" t="s">
        <v>2131</v>
      </c>
      <c r="B809" s="706"/>
      <c r="C809" s="702"/>
    </row>
    <row r="810" spans="1:17" ht="18" customHeight="1" x14ac:dyDescent="0.35">
      <c r="A810" s="700" t="s">
        <v>2132</v>
      </c>
      <c r="B810" s="706">
        <f>SUM(B806:B809)</f>
        <v>6284</v>
      </c>
      <c r="C810" s="702"/>
    </row>
    <row r="811" spans="1:17" ht="18" customHeight="1" x14ac:dyDescent="0.35">
      <c r="A811" s="700" t="s">
        <v>2133</v>
      </c>
      <c r="B811" s="706">
        <f>+B810-7500</f>
        <v>-1216</v>
      </c>
      <c r="C811" s="702"/>
    </row>
    <row r="812" spans="1:17" ht="18" customHeight="1" x14ac:dyDescent="0.35">
      <c r="A812" s="700" t="s">
        <v>2134</v>
      </c>
      <c r="B812" s="706">
        <f>0.01*B811</f>
        <v>-12.16</v>
      </c>
      <c r="C812" s="702"/>
    </row>
    <row r="814" spans="1:17" s="150" customFormat="1" ht="18" customHeight="1" x14ac:dyDescent="0.5">
      <c r="A814" s="615"/>
      <c r="B814" s="847"/>
      <c r="C814" s="847"/>
      <c r="D814" s="847"/>
      <c r="E814" s="707" t="s">
        <v>798</v>
      </c>
      <c r="F814" s="848"/>
      <c r="G814" s="848"/>
      <c r="H814" s="849"/>
      <c r="K814" s="850"/>
      <c r="O814" s="157"/>
      <c r="P814" s="157"/>
      <c r="Q814" s="157"/>
    </row>
    <row r="816" spans="1:17" ht="18" customHeight="1" x14ac:dyDescent="0.35">
      <c r="A816" s="685">
        <v>46143</v>
      </c>
    </row>
    <row r="819" spans="1:14" ht="18" customHeight="1" x14ac:dyDescent="0.35">
      <c r="A819" s="685">
        <v>46144</v>
      </c>
      <c r="E819" s="206" t="s">
        <v>3183</v>
      </c>
      <c r="F819" s="21">
        <v>160</v>
      </c>
    </row>
    <row r="820" spans="1:14" ht="18" customHeight="1" x14ac:dyDescent="0.35">
      <c r="E820" s="206" t="s">
        <v>3184</v>
      </c>
      <c r="F820" s="21">
        <v>55</v>
      </c>
    </row>
    <row r="821" spans="1:14" ht="18" customHeight="1" thickBot="1" x14ac:dyDescent="0.4">
      <c r="E821" s="206" t="s">
        <v>3185</v>
      </c>
      <c r="G821" s="21">
        <v>55</v>
      </c>
      <c r="H821" s="496">
        <v>30</v>
      </c>
    </row>
    <row r="822" spans="1:14" ht="18" customHeight="1" thickBot="1" x14ac:dyDescent="0.4">
      <c r="B822" s="684">
        <f>+F822+H822</f>
        <v>245</v>
      </c>
      <c r="C822" s="684"/>
      <c r="D822" s="684"/>
      <c r="F822" s="710">
        <f>SUM(F819:F821)</f>
        <v>215</v>
      </c>
      <c r="G822" s="710">
        <f t="shared" ref="G822:H822" si="30">SUM(G819:G821)</f>
        <v>55</v>
      </c>
      <c r="H822" s="710">
        <f t="shared" si="30"/>
        <v>30</v>
      </c>
      <c r="I822" s="712"/>
      <c r="J822" s="712"/>
      <c r="K822" s="716"/>
      <c r="L822" s="712"/>
      <c r="M822" s="712"/>
      <c r="N822" s="713"/>
    </row>
    <row r="824" spans="1:14" ht="18" customHeight="1" x14ac:dyDescent="0.35">
      <c r="A824" s="685">
        <v>46146</v>
      </c>
      <c r="E824" s="206" t="s">
        <v>3186</v>
      </c>
    </row>
    <row r="825" spans="1:14" ht="18" customHeight="1" x14ac:dyDescent="0.35">
      <c r="E825" s="206" t="s">
        <v>3187</v>
      </c>
      <c r="F825" s="21">
        <v>10</v>
      </c>
    </row>
    <row r="826" spans="1:14" ht="18" customHeight="1" x14ac:dyDescent="0.35">
      <c r="E826" s="206" t="s">
        <v>3188</v>
      </c>
      <c r="L826" s="10">
        <v>250</v>
      </c>
    </row>
    <row r="827" spans="1:14" ht="18" customHeight="1" x14ac:dyDescent="0.35">
      <c r="E827" s="206" t="s">
        <v>3189</v>
      </c>
      <c r="L827" s="10">
        <v>45</v>
      </c>
    </row>
    <row r="828" spans="1:14" ht="18" customHeight="1" thickBot="1" x14ac:dyDescent="0.4">
      <c r="E828" s="10"/>
      <c r="F828" s="10"/>
      <c r="G828" s="10"/>
      <c r="H828" s="10"/>
      <c r="K828" s="10"/>
    </row>
    <row r="829" spans="1:14" ht="18" customHeight="1" thickBot="1" x14ac:dyDescent="0.4">
      <c r="B829" s="684">
        <f>+F829+L829</f>
        <v>305</v>
      </c>
      <c r="C829" s="684"/>
      <c r="D829" s="684"/>
      <c r="F829" s="710">
        <f>SUM(F825:F827)</f>
        <v>10</v>
      </c>
      <c r="G829" s="191"/>
      <c r="H829" s="711"/>
      <c r="I829" s="712"/>
      <c r="J829" s="712"/>
      <c r="K829" s="716"/>
      <c r="L829" s="712">
        <f>SUM(L826:L827)</f>
        <v>295</v>
      </c>
      <c r="M829" s="712"/>
      <c r="N829" s="713"/>
    </row>
    <row r="831" spans="1:14" ht="18" customHeight="1" x14ac:dyDescent="0.35">
      <c r="A831" s="685">
        <v>46147</v>
      </c>
      <c r="E831" s="206" t="s">
        <v>3190</v>
      </c>
      <c r="L831" s="10">
        <v>140</v>
      </c>
    </row>
    <row r="832" spans="1:14" ht="18" customHeight="1" x14ac:dyDescent="0.35">
      <c r="E832" s="206" t="s">
        <v>2729</v>
      </c>
      <c r="L832" s="10">
        <v>100</v>
      </c>
    </row>
    <row r="833" spans="1:14" ht="18" customHeight="1" x14ac:dyDescent="0.35">
      <c r="E833" s="206" t="s">
        <v>2553</v>
      </c>
      <c r="L833" s="10">
        <v>10</v>
      </c>
    </row>
    <row r="834" spans="1:14" ht="18" customHeight="1" thickBot="1" x14ac:dyDescent="0.4">
      <c r="E834" s="206" t="s">
        <v>3191</v>
      </c>
      <c r="F834" s="21">
        <v>90</v>
      </c>
    </row>
    <row r="835" spans="1:14" ht="18" customHeight="1" thickBot="1" x14ac:dyDescent="0.4">
      <c r="B835" s="684">
        <f>+F835+L835</f>
        <v>340</v>
      </c>
      <c r="C835" s="684"/>
      <c r="D835" s="684"/>
      <c r="F835" s="710">
        <f>SUM(F834)</f>
        <v>90</v>
      </c>
      <c r="G835" s="191"/>
      <c r="H835" s="711"/>
      <c r="I835" s="712"/>
      <c r="J835" s="712"/>
      <c r="K835" s="716"/>
      <c r="L835" s="712">
        <f>SUM(L831:L834)</f>
        <v>250</v>
      </c>
      <c r="M835" s="712"/>
      <c r="N835" s="713"/>
    </row>
    <row r="837" spans="1:14" ht="18" customHeight="1" x14ac:dyDescent="0.35">
      <c r="A837" s="685">
        <v>46148</v>
      </c>
      <c r="E837" s="206" t="s">
        <v>2907</v>
      </c>
      <c r="L837" s="10">
        <v>200</v>
      </c>
    </row>
    <row r="838" spans="1:14" ht="18" customHeight="1" x14ac:dyDescent="0.35">
      <c r="E838" s="206" t="s">
        <v>3192</v>
      </c>
      <c r="L838" s="10">
        <v>105</v>
      </c>
    </row>
    <row r="848" spans="1:14" ht="18" customHeight="1" thickBot="1" x14ac:dyDescent="0.4"/>
    <row r="849" spans="2:14" ht="18" customHeight="1" thickBot="1" x14ac:dyDescent="0.4">
      <c r="B849" s="684">
        <f>+L849</f>
        <v>305</v>
      </c>
      <c r="C849" s="684"/>
      <c r="D849" s="684"/>
      <c r="F849" s="710"/>
      <c r="G849" s="191"/>
      <c r="H849" s="711"/>
      <c r="I849" s="712"/>
      <c r="J849" s="712"/>
      <c r="K849" s="716"/>
      <c r="L849" s="712">
        <f>SUM(L837:L848)</f>
        <v>305</v>
      </c>
      <c r="M849" s="712"/>
      <c r="N849" s="713"/>
    </row>
  </sheetData>
  <phoneticPr fontId="4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howOutlineSymbols="0"/>
    <pageSetUpPr fitToPage="1"/>
  </sheetPr>
  <dimension ref="A1:X1422"/>
  <sheetViews>
    <sheetView showOutlineSymbols="0" topLeftCell="D1" zoomScale="90" zoomScaleNormal="90" zoomScaleSheetLayoutView="70" workbookViewId="0">
      <pane ySplit="1" topLeftCell="A683" activePane="bottomLeft" state="frozen"/>
      <selection activeCell="E313" sqref="E313"/>
      <selection pane="bottomLeft" activeCell="T693" sqref="T693"/>
    </sheetView>
  </sheetViews>
  <sheetFormatPr defaultColWidth="9.1796875" defaultRowHeight="15" customHeight="1" outlineLevelRow="2" outlineLevelCol="3" x14ac:dyDescent="0.35"/>
  <cols>
    <col min="1" max="1" width="10" style="10" customWidth="1"/>
    <col min="2" max="2" width="13.54296875" style="11" customWidth="1"/>
    <col min="3" max="3" width="17.7265625" style="10" customWidth="1"/>
    <col min="4" max="4" width="5.54296875" style="454" customWidth="1"/>
    <col min="5" max="5" width="6.54296875" style="454" customWidth="1"/>
    <col min="6" max="6" width="41.7265625" style="10" customWidth="1"/>
    <col min="7" max="7" width="10.453125" style="10" customWidth="1"/>
    <col min="8" max="8" width="11.1796875" style="189" customWidth="1" outlineLevel="3"/>
    <col min="9" max="9" width="10.1796875" style="10" hidden="1" customWidth="1" outlineLevel="3"/>
    <col min="10" max="10" width="9.7265625" style="10" hidden="1" customWidth="1" outlineLevel="3"/>
    <col min="11" max="11" width="9.1796875" style="189" hidden="1" customWidth="1" outlineLevel="2"/>
    <col min="12" max="12" width="9.1796875" style="189" hidden="1" customWidth="1" outlineLevel="1"/>
    <col min="13" max="13" width="9.1796875" style="10" hidden="1" customWidth="1" outlineLevel="1"/>
    <col min="14" max="14" width="15" style="140" customWidth="1"/>
    <col min="15" max="15" width="8.453125" style="189" customWidth="1"/>
    <col min="16" max="16" width="11" style="325" customWidth="1"/>
    <col min="17" max="17" width="8.26953125" style="10" hidden="1" customWidth="1"/>
    <col min="18" max="18" width="8.26953125" style="10" customWidth="1"/>
    <col min="19" max="19" width="45.7265625" style="10" customWidth="1"/>
    <col min="20" max="20" width="17.7265625" style="404" bestFit="1" customWidth="1"/>
    <col min="21" max="21" width="11" style="419" customWidth="1"/>
    <col min="22" max="22" width="9.1796875" style="10"/>
    <col min="23" max="23" width="8.1796875" style="10" customWidth="1"/>
    <col min="24" max="24" width="8.7265625" style="10" customWidth="1"/>
    <col min="25" max="16384" width="9.1796875" style="10"/>
  </cols>
  <sheetData>
    <row r="1" spans="1:23" s="63" customFormat="1" ht="30.75" customHeight="1" thickBot="1" x14ac:dyDescent="0.4">
      <c r="A1" s="621"/>
      <c r="B1" s="622" t="s">
        <v>546</v>
      </c>
      <c r="C1" s="622" t="s">
        <v>342</v>
      </c>
      <c r="D1" s="623" t="s">
        <v>988</v>
      </c>
      <c r="E1" s="624" t="s">
        <v>402</v>
      </c>
      <c r="F1" s="622" t="s">
        <v>1</v>
      </c>
      <c r="G1" s="622"/>
      <c r="H1" s="625" t="s">
        <v>1438</v>
      </c>
      <c r="I1" s="625" t="s">
        <v>3</v>
      </c>
      <c r="J1" s="622" t="s">
        <v>4</v>
      </c>
      <c r="K1" s="625" t="s">
        <v>5</v>
      </c>
      <c r="L1" s="625" t="s">
        <v>6</v>
      </c>
      <c r="M1" s="626" t="s">
        <v>7</v>
      </c>
      <c r="N1" s="627" t="s">
        <v>567</v>
      </c>
      <c r="O1" s="625" t="s">
        <v>9</v>
      </c>
      <c r="P1" s="628" t="s">
        <v>993</v>
      </c>
      <c r="Q1" s="627" t="s">
        <v>1466</v>
      </c>
      <c r="R1" s="627" t="s">
        <v>2188</v>
      </c>
      <c r="S1" s="625" t="s">
        <v>10</v>
      </c>
      <c r="T1" s="631" t="s">
        <v>22</v>
      </c>
      <c r="U1" s="416"/>
      <c r="W1" s="169"/>
    </row>
    <row r="2" spans="1:23" ht="15.75" customHeight="1" outlineLevel="1" x14ac:dyDescent="0.45">
      <c r="E2" s="473"/>
      <c r="F2" s="89" t="s">
        <v>601</v>
      </c>
      <c r="G2" s="89"/>
      <c r="H2" s="136"/>
      <c r="I2" s="136"/>
      <c r="J2" s="136"/>
      <c r="K2" s="136"/>
      <c r="L2" s="136"/>
      <c r="M2" s="136"/>
      <c r="O2" s="136"/>
      <c r="P2" s="474"/>
      <c r="Q2" s="11"/>
      <c r="R2" s="11"/>
      <c r="S2" s="11"/>
      <c r="T2" s="475"/>
      <c r="U2" s="421"/>
      <c r="V2" s="11"/>
      <c r="W2" s="11"/>
    </row>
    <row r="3" spans="1:23" ht="15.5" outlineLevel="1" x14ac:dyDescent="0.35">
      <c r="C3" s="11" t="s">
        <v>698</v>
      </c>
      <c r="D3" s="10"/>
      <c r="E3" s="10"/>
      <c r="H3" s="141"/>
      <c r="I3" s="141"/>
      <c r="J3" s="141"/>
      <c r="K3" s="141"/>
      <c r="L3" s="141"/>
      <c r="M3" s="141"/>
      <c r="N3" s="141"/>
      <c r="O3" s="141"/>
      <c r="P3" s="474"/>
      <c r="U3" s="138"/>
    </row>
    <row r="4" spans="1:23" ht="15.5" outlineLevel="1" x14ac:dyDescent="0.35">
      <c r="A4" s="451"/>
      <c r="B4" s="764"/>
      <c r="C4" s="451" t="s">
        <v>522</v>
      </c>
      <c r="D4" s="451">
        <v>1</v>
      </c>
      <c r="E4" s="10">
        <v>46</v>
      </c>
      <c r="F4" s="10" t="s">
        <v>568</v>
      </c>
      <c r="H4" s="140">
        <v>59</v>
      </c>
      <c r="I4" s="56">
        <v>959</v>
      </c>
      <c r="J4" s="141">
        <v>1284</v>
      </c>
      <c r="K4" s="140">
        <f>+H4/I4*J4</f>
        <v>78.994786235662147</v>
      </c>
      <c r="L4" s="140">
        <f>+H4+K4</f>
        <v>137.99478623566216</v>
      </c>
      <c r="M4" s="453">
        <v>0.3</v>
      </c>
      <c r="N4" s="140">
        <f>+L4*M4+L4</f>
        <v>179.39322210636081</v>
      </c>
      <c r="O4" s="140">
        <v>200</v>
      </c>
      <c r="P4" s="140">
        <v>60</v>
      </c>
      <c r="U4" s="138"/>
    </row>
    <row r="5" spans="1:23" ht="15.5" outlineLevel="1" x14ac:dyDescent="0.35">
      <c r="A5" s="451"/>
      <c r="B5" s="764"/>
      <c r="C5" s="451" t="s">
        <v>522</v>
      </c>
      <c r="D5" s="451">
        <v>2</v>
      </c>
      <c r="E5" s="10">
        <v>44</v>
      </c>
      <c r="F5" s="206" t="s">
        <v>595</v>
      </c>
      <c r="G5" s="206"/>
      <c r="H5" s="140">
        <v>67</v>
      </c>
      <c r="I5" s="56">
        <v>8183</v>
      </c>
      <c r="J5" s="140">
        <v>13183</v>
      </c>
      <c r="K5" s="140">
        <f>+H5/I5*J5</f>
        <v>107.93853110106318</v>
      </c>
      <c r="L5" s="140">
        <f>+H5+K5</f>
        <v>174.93853110106318</v>
      </c>
      <c r="M5" s="453">
        <v>0.3</v>
      </c>
      <c r="N5" s="140">
        <f>+L5*M5+L5</f>
        <v>227.42009043138214</v>
      </c>
      <c r="O5" s="140">
        <v>250</v>
      </c>
      <c r="P5" s="140">
        <v>80</v>
      </c>
      <c r="U5" s="138"/>
    </row>
    <row r="6" spans="1:23" ht="15.5" outlineLevel="1" x14ac:dyDescent="0.35">
      <c r="C6" s="476">
        <v>44713</v>
      </c>
      <c r="D6" s="10"/>
      <c r="E6" s="10"/>
      <c r="F6" s="206"/>
      <c r="G6" s="206"/>
      <c r="H6" s="140"/>
      <c r="I6" s="56"/>
      <c r="J6" s="140"/>
      <c r="K6" s="140"/>
      <c r="L6" s="140"/>
      <c r="M6" s="453"/>
      <c r="O6" s="140"/>
      <c r="U6" s="138"/>
    </row>
    <row r="7" spans="1:23" ht="15.5" outlineLevel="1" x14ac:dyDescent="0.35">
      <c r="A7" s="451"/>
      <c r="B7" s="451"/>
      <c r="C7" s="451" t="s">
        <v>522</v>
      </c>
      <c r="D7" s="451">
        <v>3</v>
      </c>
      <c r="E7" s="10">
        <v>42</v>
      </c>
      <c r="F7" s="10" t="s">
        <v>873</v>
      </c>
      <c r="H7" s="140">
        <v>75</v>
      </c>
      <c r="I7" s="56">
        <v>580</v>
      </c>
      <c r="J7" s="140">
        <v>200</v>
      </c>
      <c r="K7" s="458">
        <f t="shared" ref="K7:K12" si="0">+H7/I7*J7</f>
        <v>25.862068965517242</v>
      </c>
      <c r="L7" s="140">
        <f t="shared" ref="L7:L12" si="1">+H7+K7</f>
        <v>100.86206896551724</v>
      </c>
      <c r="M7" s="453">
        <v>0.3</v>
      </c>
      <c r="N7" s="140">
        <f t="shared" ref="N7:N12" si="2">+L7*M7+L7</f>
        <v>131.12068965517241</v>
      </c>
      <c r="O7" s="140">
        <v>150</v>
      </c>
      <c r="P7" s="140">
        <v>80</v>
      </c>
      <c r="U7" s="138"/>
    </row>
    <row r="8" spans="1:23" ht="15.5" outlineLevel="1" x14ac:dyDescent="0.35">
      <c r="A8" s="451"/>
      <c r="B8" s="451"/>
      <c r="C8" s="451" t="s">
        <v>522</v>
      </c>
      <c r="D8" s="451">
        <v>4</v>
      </c>
      <c r="E8" s="10">
        <v>44</v>
      </c>
      <c r="F8" s="10" t="s">
        <v>873</v>
      </c>
      <c r="H8" s="140">
        <v>75</v>
      </c>
      <c r="I8" s="56">
        <v>580</v>
      </c>
      <c r="J8" s="140">
        <v>200</v>
      </c>
      <c r="K8" s="458">
        <f t="shared" si="0"/>
        <v>25.862068965517242</v>
      </c>
      <c r="L8" s="140">
        <f t="shared" si="1"/>
        <v>100.86206896551724</v>
      </c>
      <c r="M8" s="453">
        <v>0.3</v>
      </c>
      <c r="N8" s="140">
        <f t="shared" si="2"/>
        <v>131.12068965517241</v>
      </c>
      <c r="O8" s="140">
        <v>150</v>
      </c>
      <c r="P8" s="140">
        <v>80</v>
      </c>
      <c r="U8" s="138"/>
    </row>
    <row r="9" spans="1:23" ht="15" customHeight="1" outlineLevel="1" x14ac:dyDescent="0.35">
      <c r="B9" s="10"/>
      <c r="C9" s="109" t="s">
        <v>637</v>
      </c>
      <c r="D9" s="10">
        <v>6</v>
      </c>
      <c r="E9" s="10">
        <v>44</v>
      </c>
      <c r="F9" s="10" t="s">
        <v>629</v>
      </c>
      <c r="H9" s="140">
        <v>70</v>
      </c>
      <c r="I9" s="56">
        <v>580</v>
      </c>
      <c r="J9" s="140">
        <v>200</v>
      </c>
      <c r="K9" s="458">
        <f t="shared" si="0"/>
        <v>24.137931034482758</v>
      </c>
      <c r="L9" s="140">
        <f t="shared" si="1"/>
        <v>94.137931034482762</v>
      </c>
      <c r="M9" s="453">
        <v>0.3</v>
      </c>
      <c r="N9" s="140">
        <f t="shared" si="2"/>
        <v>122.37931034482759</v>
      </c>
      <c r="O9" s="140">
        <v>150</v>
      </c>
      <c r="U9" s="138"/>
    </row>
    <row r="10" spans="1:23" ht="15" customHeight="1" outlineLevel="1" x14ac:dyDescent="0.35">
      <c r="B10" s="10"/>
      <c r="C10" s="109" t="s">
        <v>637</v>
      </c>
      <c r="D10" s="10">
        <v>7</v>
      </c>
      <c r="E10" s="10">
        <v>46</v>
      </c>
      <c r="F10" s="10" t="s">
        <v>629</v>
      </c>
      <c r="H10" s="140">
        <v>70</v>
      </c>
      <c r="I10" s="56">
        <v>580</v>
      </c>
      <c r="J10" s="140">
        <v>200</v>
      </c>
      <c r="K10" s="458">
        <f t="shared" si="0"/>
        <v>24.137931034482758</v>
      </c>
      <c r="L10" s="140">
        <f t="shared" si="1"/>
        <v>94.137931034482762</v>
      </c>
      <c r="M10" s="453">
        <v>0.3</v>
      </c>
      <c r="N10" s="140">
        <f t="shared" si="2"/>
        <v>122.37931034482759</v>
      </c>
      <c r="O10" s="140">
        <v>150</v>
      </c>
      <c r="U10" s="138"/>
    </row>
    <row r="11" spans="1:23" ht="16.5" customHeight="1" x14ac:dyDescent="0.35">
      <c r="B11" s="10"/>
      <c r="C11" s="109" t="s">
        <v>637</v>
      </c>
      <c r="D11" s="10">
        <v>8</v>
      </c>
      <c r="E11" s="10">
        <v>48</v>
      </c>
      <c r="F11" s="10" t="s">
        <v>629</v>
      </c>
      <c r="H11" s="140">
        <v>70</v>
      </c>
      <c r="I11" s="56">
        <v>580</v>
      </c>
      <c r="J11" s="140">
        <v>200</v>
      </c>
      <c r="K11" s="458">
        <f t="shared" si="0"/>
        <v>24.137931034482758</v>
      </c>
      <c r="L11" s="140">
        <f t="shared" si="1"/>
        <v>94.137931034482762</v>
      </c>
      <c r="M11" s="453">
        <v>0.3</v>
      </c>
      <c r="N11" s="140">
        <f t="shared" si="2"/>
        <v>122.37931034482759</v>
      </c>
      <c r="O11" s="140">
        <v>150</v>
      </c>
      <c r="Q11" s="451"/>
      <c r="R11" s="451"/>
      <c r="U11" s="138"/>
    </row>
    <row r="12" spans="1:23" ht="16.5" customHeight="1" x14ac:dyDescent="0.35">
      <c r="B12" s="10"/>
      <c r="C12" s="109" t="s">
        <v>637</v>
      </c>
      <c r="D12" s="10">
        <v>9</v>
      </c>
      <c r="E12" s="10">
        <v>50</v>
      </c>
      <c r="F12" s="10" t="s">
        <v>629</v>
      </c>
      <c r="H12" s="140">
        <v>70</v>
      </c>
      <c r="I12" s="56">
        <v>580</v>
      </c>
      <c r="J12" s="140">
        <v>200</v>
      </c>
      <c r="K12" s="458">
        <f t="shared" si="0"/>
        <v>24.137931034482758</v>
      </c>
      <c r="L12" s="140">
        <f t="shared" si="1"/>
        <v>94.137931034482762</v>
      </c>
      <c r="M12" s="453">
        <v>0.3</v>
      </c>
      <c r="N12" s="140">
        <f t="shared" si="2"/>
        <v>122.37931034482759</v>
      </c>
      <c r="O12" s="140">
        <v>150</v>
      </c>
      <c r="U12" s="138"/>
    </row>
    <row r="13" spans="1:23" ht="16.5" customHeight="1" x14ac:dyDescent="0.35">
      <c r="B13" s="10"/>
      <c r="C13" s="476">
        <v>44743</v>
      </c>
      <c r="D13" s="10"/>
      <c r="E13" s="10"/>
      <c r="F13" s="477"/>
      <c r="G13" s="477"/>
      <c r="H13" s="140"/>
      <c r="I13" s="56"/>
      <c r="J13" s="140"/>
      <c r="K13" s="458"/>
      <c r="L13" s="140"/>
      <c r="M13" s="453"/>
      <c r="O13" s="140"/>
      <c r="U13" s="138"/>
    </row>
    <row r="14" spans="1:23" s="830" customFormat="1" ht="16.5" customHeight="1" x14ac:dyDescent="0.35">
      <c r="B14" s="830" t="s">
        <v>635</v>
      </c>
      <c r="C14" s="830" t="s">
        <v>637</v>
      </c>
      <c r="D14" s="830">
        <v>11</v>
      </c>
      <c r="E14" s="830">
        <v>48</v>
      </c>
      <c r="F14" s="830" t="s">
        <v>636</v>
      </c>
      <c r="H14" s="831">
        <v>60</v>
      </c>
      <c r="I14" s="832">
        <v>952</v>
      </c>
      <c r="J14" s="831">
        <f>+I14+440</f>
        <v>1392</v>
      </c>
      <c r="K14" s="831">
        <f>+H14/I14*J14</f>
        <v>87.731092436974791</v>
      </c>
      <c r="L14" s="831">
        <f t="shared" ref="L14:L28" si="3">+H14+K14</f>
        <v>147.73109243697479</v>
      </c>
      <c r="M14" s="833">
        <v>0.3</v>
      </c>
      <c r="N14" s="831">
        <f>+L14*M14+L14</f>
        <v>192.05042016806723</v>
      </c>
      <c r="O14" s="831">
        <v>200</v>
      </c>
      <c r="P14" s="325"/>
      <c r="T14" s="834"/>
      <c r="U14" s="835"/>
    </row>
    <row r="15" spans="1:23" ht="16.5" customHeight="1" x14ac:dyDescent="0.35">
      <c r="B15" s="10"/>
      <c r="D15" s="10"/>
      <c r="E15" s="10"/>
      <c r="F15" s="11" t="s">
        <v>683</v>
      </c>
      <c r="G15" s="11"/>
      <c r="H15" s="140"/>
      <c r="I15" s="56"/>
      <c r="J15" s="140"/>
      <c r="K15" s="140"/>
      <c r="L15" s="140">
        <f t="shared" si="3"/>
        <v>0</v>
      </c>
      <c r="O15" s="140"/>
      <c r="U15" s="138"/>
    </row>
    <row r="16" spans="1:23" ht="16.5" customHeight="1" x14ac:dyDescent="0.35">
      <c r="A16" s="451"/>
      <c r="B16" s="451" t="s">
        <v>644</v>
      </c>
      <c r="C16" s="451" t="s">
        <v>644</v>
      </c>
      <c r="D16" s="451">
        <v>12</v>
      </c>
      <c r="E16" s="10">
        <v>48</v>
      </c>
      <c r="F16" s="10" t="s">
        <v>645</v>
      </c>
      <c r="H16" s="140">
        <v>50</v>
      </c>
      <c r="I16" s="56">
        <v>6911</v>
      </c>
      <c r="J16" s="140">
        <v>4716</v>
      </c>
      <c r="K16" s="140">
        <f t="shared" ref="K16:K28" si="4">+H16/I16*J16</f>
        <v>34.119519606424539</v>
      </c>
      <c r="L16" s="140">
        <f t="shared" si="3"/>
        <v>84.119519606424547</v>
      </c>
      <c r="M16" s="453">
        <v>0.3</v>
      </c>
      <c r="N16" s="140">
        <f t="shared" ref="N16:N28" si="5">+L16*M16+L16</f>
        <v>109.35537548835191</v>
      </c>
      <c r="O16" s="140">
        <v>80</v>
      </c>
      <c r="P16" s="140"/>
      <c r="U16" s="138"/>
    </row>
    <row r="17" spans="1:23" ht="16.5" customHeight="1" x14ac:dyDescent="0.35">
      <c r="A17" s="451"/>
      <c r="B17" s="451" t="s">
        <v>644</v>
      </c>
      <c r="C17" s="451" t="s">
        <v>644</v>
      </c>
      <c r="D17" s="451">
        <v>13</v>
      </c>
      <c r="E17" s="10">
        <v>50</v>
      </c>
      <c r="F17" s="10" t="s">
        <v>645</v>
      </c>
      <c r="H17" s="140">
        <v>50</v>
      </c>
      <c r="I17" s="56">
        <v>6911</v>
      </c>
      <c r="J17" s="140">
        <v>4716</v>
      </c>
      <c r="K17" s="140">
        <f t="shared" si="4"/>
        <v>34.119519606424539</v>
      </c>
      <c r="L17" s="140">
        <f t="shared" si="3"/>
        <v>84.119519606424547</v>
      </c>
      <c r="M17" s="453">
        <v>0.3</v>
      </c>
      <c r="N17" s="140">
        <f t="shared" si="5"/>
        <v>109.35537548835191</v>
      </c>
      <c r="O17" s="140">
        <v>80</v>
      </c>
      <c r="P17" s="140"/>
      <c r="U17" s="138"/>
    </row>
    <row r="18" spans="1:23" ht="16.5" customHeight="1" x14ac:dyDescent="0.35">
      <c r="A18" s="451"/>
      <c r="B18" s="451" t="s">
        <v>644</v>
      </c>
      <c r="C18" s="451" t="s">
        <v>644</v>
      </c>
      <c r="D18" s="451">
        <v>14</v>
      </c>
      <c r="E18" s="10">
        <v>44</v>
      </c>
      <c r="F18" s="10" t="s">
        <v>646</v>
      </c>
      <c r="H18" s="140">
        <v>65</v>
      </c>
      <c r="I18" s="56">
        <v>6911</v>
      </c>
      <c r="J18" s="140">
        <v>4716</v>
      </c>
      <c r="K18" s="140">
        <f t="shared" si="4"/>
        <v>44.355375488351903</v>
      </c>
      <c r="L18" s="140">
        <f t="shared" si="3"/>
        <v>109.35537548835191</v>
      </c>
      <c r="M18" s="453">
        <v>0.3</v>
      </c>
      <c r="N18" s="140">
        <f t="shared" si="5"/>
        <v>142.16198813485749</v>
      </c>
      <c r="O18" s="140">
        <v>80</v>
      </c>
      <c r="P18" s="140"/>
      <c r="U18" s="138"/>
    </row>
    <row r="19" spans="1:23" ht="16.5" customHeight="1" x14ac:dyDescent="0.35">
      <c r="A19" s="451"/>
      <c r="B19" s="451" t="s">
        <v>644</v>
      </c>
      <c r="C19" s="451" t="s">
        <v>644</v>
      </c>
      <c r="D19" s="451">
        <v>16</v>
      </c>
      <c r="E19" s="10">
        <v>48</v>
      </c>
      <c r="F19" s="10" t="s">
        <v>646</v>
      </c>
      <c r="H19" s="140">
        <v>65</v>
      </c>
      <c r="I19" s="56">
        <v>6911</v>
      </c>
      <c r="J19" s="140">
        <v>4716</v>
      </c>
      <c r="K19" s="140">
        <f t="shared" si="4"/>
        <v>44.355375488351903</v>
      </c>
      <c r="L19" s="140">
        <f t="shared" si="3"/>
        <v>109.35537548835191</v>
      </c>
      <c r="M19" s="453">
        <v>0.3</v>
      </c>
      <c r="N19" s="140">
        <f t="shared" si="5"/>
        <v>142.16198813485749</v>
      </c>
      <c r="O19" s="140">
        <v>80</v>
      </c>
      <c r="P19" s="140"/>
      <c r="U19" s="138"/>
    </row>
    <row r="20" spans="1:23" ht="16.5" customHeight="1" x14ac:dyDescent="0.35">
      <c r="A20" s="451"/>
      <c r="B20" s="451" t="s">
        <v>644</v>
      </c>
      <c r="C20" s="451" t="s">
        <v>644</v>
      </c>
      <c r="D20" s="451">
        <v>17</v>
      </c>
      <c r="E20" s="10">
        <v>50</v>
      </c>
      <c r="F20" s="10" t="s">
        <v>646</v>
      </c>
      <c r="H20" s="140">
        <v>65</v>
      </c>
      <c r="I20" s="56">
        <v>6911</v>
      </c>
      <c r="J20" s="140">
        <v>4716</v>
      </c>
      <c r="K20" s="140">
        <f t="shared" si="4"/>
        <v>44.355375488351903</v>
      </c>
      <c r="L20" s="140">
        <f t="shared" si="3"/>
        <v>109.35537548835191</v>
      </c>
      <c r="M20" s="453">
        <v>0.3</v>
      </c>
      <c r="N20" s="140">
        <f t="shared" si="5"/>
        <v>142.16198813485749</v>
      </c>
      <c r="O20" s="140">
        <v>80</v>
      </c>
      <c r="P20" s="140"/>
      <c r="U20" s="138"/>
    </row>
    <row r="21" spans="1:23" s="830" customFormat="1" ht="16.5" customHeight="1" x14ac:dyDescent="0.35">
      <c r="B21" s="830" t="s">
        <v>522</v>
      </c>
      <c r="C21" s="830" t="s">
        <v>522</v>
      </c>
      <c r="D21" s="830">
        <v>18</v>
      </c>
      <c r="E21" s="830">
        <v>42</v>
      </c>
      <c r="F21" s="830" t="s">
        <v>651</v>
      </c>
      <c r="H21" s="831">
        <v>40</v>
      </c>
      <c r="I21" s="832">
        <v>6911</v>
      </c>
      <c r="J21" s="831">
        <v>4716</v>
      </c>
      <c r="K21" s="831">
        <f t="shared" si="4"/>
        <v>27.295615685139634</v>
      </c>
      <c r="L21" s="831">
        <f t="shared" si="3"/>
        <v>67.295615685139637</v>
      </c>
      <c r="M21" s="833">
        <v>0.3</v>
      </c>
      <c r="N21" s="831">
        <f t="shared" si="5"/>
        <v>87.484300390681526</v>
      </c>
      <c r="O21" s="831">
        <v>150</v>
      </c>
      <c r="P21" s="325"/>
      <c r="S21" s="830" t="s">
        <v>2679</v>
      </c>
      <c r="T21" s="834"/>
      <c r="U21" s="835"/>
    </row>
    <row r="22" spans="1:23" ht="16.5" customHeight="1" x14ac:dyDescent="0.35">
      <c r="A22" s="451"/>
      <c r="B22" s="451" t="s">
        <v>652</v>
      </c>
      <c r="C22" s="451" t="s">
        <v>652</v>
      </c>
      <c r="D22" s="451">
        <v>20</v>
      </c>
      <c r="E22" s="10">
        <v>56</v>
      </c>
      <c r="F22" s="10" t="s">
        <v>653</v>
      </c>
      <c r="H22" s="140">
        <v>70</v>
      </c>
      <c r="I22" s="56">
        <v>6911</v>
      </c>
      <c r="J22" s="140">
        <v>4716</v>
      </c>
      <c r="K22" s="140">
        <f t="shared" si="4"/>
        <v>47.767327448994358</v>
      </c>
      <c r="L22" s="140">
        <f t="shared" si="3"/>
        <v>117.76732744899437</v>
      </c>
      <c r="M22" s="453">
        <v>0.3</v>
      </c>
      <c r="N22" s="140">
        <f t="shared" si="5"/>
        <v>153.09752568369268</v>
      </c>
      <c r="O22" s="140">
        <v>180</v>
      </c>
      <c r="P22" s="140"/>
      <c r="U22" s="138"/>
    </row>
    <row r="23" spans="1:23" ht="16.5" customHeight="1" x14ac:dyDescent="0.35">
      <c r="A23" s="451"/>
      <c r="B23" s="451" t="s">
        <v>652</v>
      </c>
      <c r="C23" s="451" t="s">
        <v>652</v>
      </c>
      <c r="D23" s="451">
        <v>21</v>
      </c>
      <c r="E23" s="10">
        <v>52</v>
      </c>
      <c r="F23" s="10" t="s">
        <v>946</v>
      </c>
      <c r="H23" s="140">
        <v>70</v>
      </c>
      <c r="I23" s="56">
        <v>6911</v>
      </c>
      <c r="J23" s="140">
        <v>4716</v>
      </c>
      <c r="K23" s="140">
        <f t="shared" si="4"/>
        <v>47.767327448994358</v>
      </c>
      <c r="L23" s="140">
        <f t="shared" si="3"/>
        <v>117.76732744899437</v>
      </c>
      <c r="M23" s="453">
        <v>0.3</v>
      </c>
      <c r="N23" s="140">
        <f t="shared" si="5"/>
        <v>153.09752568369268</v>
      </c>
      <c r="O23" s="140">
        <v>180</v>
      </c>
      <c r="P23" s="140"/>
      <c r="U23" s="138"/>
    </row>
    <row r="24" spans="1:23" ht="15.5" x14ac:dyDescent="0.35">
      <c r="A24" s="451"/>
      <c r="B24" s="451" t="s">
        <v>652</v>
      </c>
      <c r="C24" s="451" t="s">
        <v>652</v>
      </c>
      <c r="D24" s="451">
        <v>22</v>
      </c>
      <c r="E24" s="10">
        <v>54</v>
      </c>
      <c r="F24" s="10" t="s">
        <v>946</v>
      </c>
      <c r="H24" s="140">
        <v>70</v>
      </c>
      <c r="I24" s="56">
        <v>6911</v>
      </c>
      <c r="J24" s="140">
        <v>4716</v>
      </c>
      <c r="K24" s="140">
        <f t="shared" si="4"/>
        <v>47.767327448994358</v>
      </c>
      <c r="L24" s="140">
        <f t="shared" si="3"/>
        <v>117.76732744899437</v>
      </c>
      <c r="M24" s="453">
        <v>0.3</v>
      </c>
      <c r="N24" s="140">
        <f t="shared" si="5"/>
        <v>153.09752568369268</v>
      </c>
      <c r="O24" s="140">
        <v>180</v>
      </c>
      <c r="P24" s="140"/>
      <c r="U24" s="138"/>
    </row>
    <row r="25" spans="1:23" s="57" customFormat="1" ht="15.5" x14ac:dyDescent="0.35">
      <c r="A25" s="66"/>
      <c r="B25" s="451" t="s">
        <v>522</v>
      </c>
      <c r="C25" s="451" t="s">
        <v>522</v>
      </c>
      <c r="D25" s="451">
        <v>23</v>
      </c>
      <c r="E25" s="10">
        <v>42</v>
      </c>
      <c r="F25" s="10" t="s">
        <v>664</v>
      </c>
      <c r="G25" s="10"/>
      <c r="H25" s="140">
        <v>50</v>
      </c>
      <c r="I25" s="56">
        <v>6911</v>
      </c>
      <c r="J25" s="140">
        <v>4716</v>
      </c>
      <c r="K25" s="140">
        <f t="shared" si="4"/>
        <v>34.119519606424539</v>
      </c>
      <c r="L25" s="140">
        <f t="shared" si="3"/>
        <v>84.119519606424547</v>
      </c>
      <c r="M25" s="453">
        <v>0.3</v>
      </c>
      <c r="N25" s="140">
        <f t="shared" si="5"/>
        <v>109.35537548835191</v>
      </c>
      <c r="O25" s="140">
        <v>180</v>
      </c>
      <c r="P25" s="140">
        <v>125</v>
      </c>
      <c r="Q25" s="10"/>
      <c r="R25" s="10"/>
      <c r="S25" s="10"/>
      <c r="T25" s="404"/>
      <c r="U25" s="138"/>
      <c r="V25" s="10"/>
      <c r="W25" s="10"/>
    </row>
    <row r="26" spans="1:23" s="57" customFormat="1" ht="15.5" x14ac:dyDescent="0.35">
      <c r="A26" s="66"/>
      <c r="B26" s="451" t="s">
        <v>522</v>
      </c>
      <c r="C26" s="451" t="s">
        <v>522</v>
      </c>
      <c r="D26" s="451">
        <v>24</v>
      </c>
      <c r="E26" s="10">
        <v>44</v>
      </c>
      <c r="F26" s="10" t="s">
        <v>664</v>
      </c>
      <c r="G26" s="10"/>
      <c r="H26" s="140">
        <v>50</v>
      </c>
      <c r="I26" s="56">
        <v>6911</v>
      </c>
      <c r="J26" s="140">
        <v>4716</v>
      </c>
      <c r="K26" s="140">
        <f t="shared" si="4"/>
        <v>34.119519606424539</v>
      </c>
      <c r="L26" s="140">
        <f t="shared" si="3"/>
        <v>84.119519606424547</v>
      </c>
      <c r="M26" s="453">
        <v>0.3</v>
      </c>
      <c r="N26" s="140">
        <f t="shared" si="5"/>
        <v>109.35537548835191</v>
      </c>
      <c r="O26" s="140">
        <v>180</v>
      </c>
      <c r="P26" s="140">
        <v>125</v>
      </c>
      <c r="Q26" s="10"/>
      <c r="R26" s="10"/>
      <c r="S26" s="10"/>
      <c r="T26" s="404"/>
      <c r="U26" s="138"/>
      <c r="V26" s="10"/>
      <c r="W26" s="10"/>
    </row>
    <row r="27" spans="1:23" s="57" customFormat="1" ht="15.5" x14ac:dyDescent="0.35">
      <c r="A27" s="66"/>
      <c r="B27" s="451" t="s">
        <v>522</v>
      </c>
      <c r="C27" s="451" t="s">
        <v>522</v>
      </c>
      <c r="D27" s="451">
        <v>25</v>
      </c>
      <c r="E27" s="10">
        <v>46</v>
      </c>
      <c r="F27" s="10" t="s">
        <v>664</v>
      </c>
      <c r="G27" s="10"/>
      <c r="H27" s="140">
        <v>50</v>
      </c>
      <c r="I27" s="56">
        <v>6911</v>
      </c>
      <c r="J27" s="140">
        <v>4716</v>
      </c>
      <c r="K27" s="140">
        <f t="shared" si="4"/>
        <v>34.119519606424539</v>
      </c>
      <c r="L27" s="140">
        <f t="shared" si="3"/>
        <v>84.119519606424547</v>
      </c>
      <c r="M27" s="453">
        <v>0.3</v>
      </c>
      <c r="N27" s="140">
        <f t="shared" si="5"/>
        <v>109.35537548835191</v>
      </c>
      <c r="O27" s="140">
        <v>180</v>
      </c>
      <c r="P27" s="140">
        <v>125</v>
      </c>
      <c r="Q27" s="10"/>
      <c r="R27" s="10"/>
      <c r="S27" s="10" t="s">
        <v>1253</v>
      </c>
      <c r="T27" s="404">
        <v>45541</v>
      </c>
      <c r="U27" s="138"/>
      <c r="V27" s="10"/>
      <c r="W27" s="10"/>
    </row>
    <row r="28" spans="1:23" s="57" customFormat="1" ht="15.5" x14ac:dyDescent="0.35">
      <c r="A28" s="66"/>
      <c r="B28" s="451" t="s">
        <v>522</v>
      </c>
      <c r="C28" s="451" t="s">
        <v>522</v>
      </c>
      <c r="D28" s="451">
        <v>26</v>
      </c>
      <c r="E28" s="10">
        <v>48</v>
      </c>
      <c r="F28" s="10" t="s">
        <v>664</v>
      </c>
      <c r="G28" s="10"/>
      <c r="H28" s="140">
        <v>50</v>
      </c>
      <c r="I28" s="56">
        <v>6911</v>
      </c>
      <c r="J28" s="140">
        <v>4716</v>
      </c>
      <c r="K28" s="140">
        <f t="shared" si="4"/>
        <v>34.119519606424539</v>
      </c>
      <c r="L28" s="140">
        <f t="shared" si="3"/>
        <v>84.119519606424547</v>
      </c>
      <c r="M28" s="453">
        <v>0.3</v>
      </c>
      <c r="N28" s="140">
        <f t="shared" si="5"/>
        <v>109.35537548835191</v>
      </c>
      <c r="O28" s="140">
        <v>180</v>
      </c>
      <c r="P28" s="140">
        <v>125</v>
      </c>
      <c r="Q28" s="10"/>
      <c r="R28" s="10"/>
      <c r="S28" s="10"/>
      <c r="T28" s="404"/>
      <c r="U28" s="138"/>
      <c r="V28" s="10"/>
      <c r="W28" s="10"/>
    </row>
    <row r="29" spans="1:23" customFormat="1" ht="15.5" x14ac:dyDescent="0.35">
      <c r="B29" s="57"/>
      <c r="C29" s="57"/>
      <c r="D29" s="57"/>
      <c r="E29" s="57"/>
      <c r="F29" s="33" t="s">
        <v>701</v>
      </c>
      <c r="G29" s="33"/>
      <c r="H29" s="147"/>
      <c r="I29" s="65"/>
      <c r="J29" s="147"/>
      <c r="K29" s="147"/>
      <c r="L29" s="147"/>
      <c r="M29" s="478"/>
      <c r="N29" s="147"/>
      <c r="O29" s="143"/>
      <c r="P29" s="479"/>
      <c r="Q29" s="57"/>
      <c r="R29" s="57"/>
      <c r="S29" s="57"/>
      <c r="T29" s="480"/>
      <c r="U29" s="337"/>
      <c r="V29" s="57"/>
      <c r="W29" s="57"/>
    </row>
    <row r="30" spans="1:23" customFormat="1" ht="15.5" x14ac:dyDescent="0.35">
      <c r="A30" s="92"/>
      <c r="B30" s="66"/>
      <c r="C30" s="66" t="s">
        <v>705</v>
      </c>
      <c r="D30" s="66">
        <v>27</v>
      </c>
      <c r="E30" s="57">
        <v>46</v>
      </c>
      <c r="F30" s="57" t="s">
        <v>706</v>
      </c>
      <c r="G30" s="57"/>
      <c r="H30" s="147">
        <v>55</v>
      </c>
      <c r="I30" s="65">
        <v>4607</v>
      </c>
      <c r="J30" s="147">
        <f>7503-I30</f>
        <v>2896</v>
      </c>
      <c r="K30" s="147">
        <f>+H30/I30*J30</f>
        <v>34.573475146516174</v>
      </c>
      <c r="L30" s="147">
        <f>+H30+K30</f>
        <v>89.573475146516174</v>
      </c>
      <c r="M30" s="478">
        <v>0.3</v>
      </c>
      <c r="N30" s="147">
        <f>+L30*M30+L30</f>
        <v>116.44551769047102</v>
      </c>
      <c r="O30" s="143">
        <v>180</v>
      </c>
      <c r="P30" s="143">
        <v>125</v>
      </c>
      <c r="Q30" s="57"/>
      <c r="R30" s="57"/>
      <c r="S30" s="57"/>
      <c r="T30" s="480"/>
      <c r="U30" s="337"/>
      <c r="V30" s="57"/>
      <c r="W30" s="57"/>
    </row>
    <row r="31" spans="1:23" s="11" customFormat="1" ht="15" customHeight="1" x14ac:dyDescent="0.35">
      <c r="A31" s="764"/>
      <c r="B31" s="66"/>
      <c r="C31" s="66" t="s">
        <v>705</v>
      </c>
      <c r="D31" s="66">
        <v>27</v>
      </c>
      <c r="E31" s="57">
        <v>48</v>
      </c>
      <c r="F31" s="57" t="s">
        <v>706</v>
      </c>
      <c r="G31" s="57"/>
      <c r="H31" s="147">
        <v>55</v>
      </c>
      <c r="I31" s="65">
        <v>4607</v>
      </c>
      <c r="J31" s="147">
        <f>7503-I31</f>
        <v>2896</v>
      </c>
      <c r="K31" s="147">
        <f>+H31/I31*J31</f>
        <v>34.573475146516174</v>
      </c>
      <c r="L31" s="147">
        <f>+H31+K31</f>
        <v>89.573475146516174</v>
      </c>
      <c r="M31" s="478">
        <v>0.3</v>
      </c>
      <c r="N31" s="147">
        <f>+L31*M31+L31</f>
        <v>116.44551769047102</v>
      </c>
      <c r="O31" s="143">
        <v>180</v>
      </c>
      <c r="P31" s="143"/>
      <c r="Q31" s="57"/>
      <c r="R31" s="57"/>
      <c r="S31" s="57"/>
      <c r="T31" s="480"/>
      <c r="U31" s="337"/>
      <c r="V31" s="57"/>
      <c r="W31" s="57"/>
    </row>
    <row r="32" spans="1:23" s="3" customFormat="1" ht="14.5" collapsed="1" x14ac:dyDescent="0.35">
      <c r="C32" s="232" t="s">
        <v>875</v>
      </c>
      <c r="D32" s="232"/>
      <c r="I32" s="146"/>
      <c r="K32" s="146"/>
      <c r="L32" s="146"/>
      <c r="M32" s="146"/>
      <c r="N32" s="481"/>
      <c r="O32" s="146"/>
      <c r="P32" s="466"/>
      <c r="T32" s="482"/>
      <c r="U32" s="422"/>
    </row>
    <row r="33" spans="1:21" customFormat="1" ht="15.5" x14ac:dyDescent="0.35">
      <c r="A33" s="92"/>
      <c r="B33" s="92"/>
      <c r="C33" s="597" t="s">
        <v>522</v>
      </c>
      <c r="D33" s="66">
        <v>31</v>
      </c>
      <c r="E33">
        <v>44</v>
      </c>
      <c r="F33" t="s">
        <v>874</v>
      </c>
      <c r="H33" s="145">
        <v>55</v>
      </c>
      <c r="I33">
        <v>440</v>
      </c>
      <c r="J33" s="173">
        <f>198+20</f>
        <v>218</v>
      </c>
      <c r="K33" s="459">
        <f>+H33/I33*J33</f>
        <v>27.25</v>
      </c>
      <c r="L33" s="471">
        <f>+H33+K33</f>
        <v>82.25</v>
      </c>
      <c r="M33" s="468">
        <v>0.4</v>
      </c>
      <c r="N33" s="145">
        <f>+L33*1.4</f>
        <v>115.14999999999999</v>
      </c>
      <c r="O33" s="173">
        <v>150</v>
      </c>
      <c r="P33" s="173">
        <v>80</v>
      </c>
      <c r="T33" s="467"/>
      <c r="U33" s="420"/>
    </row>
    <row r="34" spans="1:21" customFormat="1" ht="14.5" x14ac:dyDescent="0.35">
      <c r="C34" s="232" t="s">
        <v>925</v>
      </c>
      <c r="F34" s="256" t="s">
        <v>807</v>
      </c>
      <c r="G34" s="256"/>
      <c r="H34" s="146"/>
      <c r="I34" s="4">
        <v>5278</v>
      </c>
      <c r="J34" s="173"/>
      <c r="K34" s="145"/>
      <c r="L34" s="145"/>
      <c r="M34" s="468"/>
      <c r="N34" s="145"/>
      <c r="O34" s="173"/>
      <c r="P34" s="344"/>
      <c r="T34" s="467"/>
      <c r="U34" s="420"/>
    </row>
    <row r="35" spans="1:21" customFormat="1" ht="15.5" x14ac:dyDescent="0.35">
      <c r="A35" s="92"/>
      <c r="B35" s="92" t="s">
        <v>522</v>
      </c>
      <c r="C35" s="92" t="s">
        <v>522</v>
      </c>
      <c r="D35" s="66">
        <v>34</v>
      </c>
      <c r="E35">
        <v>46</v>
      </c>
      <c r="F35" s="245" t="s">
        <v>891</v>
      </c>
      <c r="G35" s="245"/>
      <c r="H35" s="146">
        <v>55</v>
      </c>
      <c r="I35" s="4">
        <v>5278</v>
      </c>
      <c r="J35" s="173">
        <v>7702</v>
      </c>
      <c r="K35" s="459">
        <f>+H35/I35*J35</f>
        <v>80.259568018188716</v>
      </c>
      <c r="L35" s="471">
        <f>+H35+K35</f>
        <v>135.2595680181887</v>
      </c>
      <c r="M35" s="468">
        <v>0.4</v>
      </c>
      <c r="N35" s="145">
        <f>+L35*1.4</f>
        <v>189.36339522546416</v>
      </c>
      <c r="O35" s="173">
        <v>150</v>
      </c>
      <c r="P35" s="173"/>
      <c r="T35" s="467"/>
      <c r="U35" s="420"/>
    </row>
    <row r="36" spans="1:21" customFormat="1" ht="15.5" x14ac:dyDescent="0.35">
      <c r="A36" s="92"/>
      <c r="B36" s="92" t="s">
        <v>522</v>
      </c>
      <c r="C36" s="92" t="s">
        <v>522</v>
      </c>
      <c r="D36" s="66">
        <v>35</v>
      </c>
      <c r="E36">
        <v>48</v>
      </c>
      <c r="F36" s="245" t="s">
        <v>891</v>
      </c>
      <c r="G36" s="245"/>
      <c r="H36" s="146">
        <v>55</v>
      </c>
      <c r="I36" s="4">
        <v>5278</v>
      </c>
      <c r="J36" s="173">
        <v>7702</v>
      </c>
      <c r="K36" s="459">
        <f>+H36/I36*J36</f>
        <v>80.259568018188716</v>
      </c>
      <c r="L36" s="471">
        <f>+H36+K36</f>
        <v>135.2595680181887</v>
      </c>
      <c r="M36" s="468">
        <v>0.4</v>
      </c>
      <c r="N36" s="145">
        <f>+L36*1.4</f>
        <v>189.36339522546416</v>
      </c>
      <c r="O36" s="173">
        <v>150</v>
      </c>
      <c r="P36" s="173"/>
      <c r="T36" s="467"/>
      <c r="U36" s="420"/>
    </row>
    <row r="37" spans="1:21" customFormat="1" ht="15.5" x14ac:dyDescent="0.35">
      <c r="A37" s="92"/>
      <c r="B37" s="92" t="s">
        <v>522</v>
      </c>
      <c r="C37" s="92" t="s">
        <v>522</v>
      </c>
      <c r="D37" s="66">
        <v>36</v>
      </c>
      <c r="E37">
        <v>50</v>
      </c>
      <c r="F37" s="245" t="s">
        <v>891</v>
      </c>
      <c r="G37" s="245"/>
      <c r="H37" s="146">
        <v>55</v>
      </c>
      <c r="I37" s="4">
        <v>5278</v>
      </c>
      <c r="J37" s="173">
        <v>7702</v>
      </c>
      <c r="K37" s="459">
        <f>+H37/I37*J37</f>
        <v>80.259568018188716</v>
      </c>
      <c r="L37" s="471">
        <f>+H37+K37</f>
        <v>135.2595680181887</v>
      </c>
      <c r="M37" s="468">
        <v>0.4</v>
      </c>
      <c r="N37" s="145">
        <f>+L37*1.4</f>
        <v>189.36339522546416</v>
      </c>
      <c r="O37" s="173">
        <v>150</v>
      </c>
      <c r="P37" s="173"/>
      <c r="T37" s="467"/>
      <c r="U37" s="420"/>
    </row>
    <row r="38" spans="1:21" customFormat="1" ht="15.5" x14ac:dyDescent="0.35">
      <c r="A38" s="92"/>
      <c r="B38" s="92" t="s">
        <v>704</v>
      </c>
      <c r="C38" s="92" t="s">
        <v>926</v>
      </c>
      <c r="D38" s="66">
        <v>38</v>
      </c>
      <c r="E38">
        <v>46</v>
      </c>
      <c r="F38" s="245" t="s">
        <v>927</v>
      </c>
      <c r="G38" s="245"/>
      <c r="H38" s="146">
        <v>65</v>
      </c>
      <c r="I38" s="4">
        <v>5278</v>
      </c>
      <c r="J38" s="173">
        <v>7702</v>
      </c>
      <c r="K38" s="459">
        <f>+H38/I38*J38</f>
        <v>94.852216748768484</v>
      </c>
      <c r="L38" s="471">
        <f>+H38+K38</f>
        <v>159.85221674876848</v>
      </c>
      <c r="M38" s="468">
        <v>0.4</v>
      </c>
      <c r="N38" s="145">
        <f>+L38*1.4</f>
        <v>223.79310344827587</v>
      </c>
      <c r="O38" s="173">
        <v>180</v>
      </c>
      <c r="P38" s="173">
        <v>125</v>
      </c>
      <c r="T38" s="467"/>
      <c r="U38" s="420"/>
    </row>
    <row r="39" spans="1:21" customFormat="1" ht="14.5" x14ac:dyDescent="0.35">
      <c r="C39" s="365">
        <v>45352</v>
      </c>
      <c r="F39" s="366"/>
      <c r="G39" s="366"/>
      <c r="H39" s="245"/>
      <c r="I39" s="146"/>
      <c r="K39" s="173"/>
      <c r="L39" s="173"/>
      <c r="M39" s="173"/>
      <c r="N39" s="174"/>
      <c r="O39" s="173"/>
      <c r="P39" s="344"/>
      <c r="U39" s="420"/>
    </row>
    <row r="40" spans="1:21" customFormat="1" ht="15.5" x14ac:dyDescent="0.35">
      <c r="A40" s="92"/>
      <c r="B40" s="594" t="s">
        <v>1028</v>
      </c>
      <c r="C40" s="597" t="s">
        <v>1861</v>
      </c>
      <c r="D40" s="66">
        <v>43</v>
      </c>
      <c r="E40" s="366">
        <v>42</v>
      </c>
      <c r="F40" s="245" t="s">
        <v>2561</v>
      </c>
      <c r="G40" s="245"/>
      <c r="H40" s="146">
        <v>38</v>
      </c>
      <c r="I40">
        <v>4192</v>
      </c>
      <c r="J40" s="173">
        <v>3417</v>
      </c>
      <c r="K40" s="173">
        <f t="shared" ref="K40:K45" si="6">+J40/I40*H40</f>
        <v>30.974713740458018</v>
      </c>
      <c r="L40" s="402">
        <f t="shared" ref="L40:L45" si="7">+H40+K40</f>
        <v>68.974713740458014</v>
      </c>
      <c r="M40" s="174">
        <v>1.4</v>
      </c>
      <c r="N40" s="173">
        <f t="shared" ref="N40:N45" si="8">+L40*M40</f>
        <v>96.564599236641214</v>
      </c>
      <c r="O40" s="173">
        <v>125</v>
      </c>
      <c r="P40">
        <v>80</v>
      </c>
      <c r="U40" s="420"/>
    </row>
    <row r="41" spans="1:21" customFormat="1" ht="15.5" x14ac:dyDescent="0.35">
      <c r="A41" s="92"/>
      <c r="B41" s="594" t="s">
        <v>1028</v>
      </c>
      <c r="C41" s="597" t="s">
        <v>1028</v>
      </c>
      <c r="D41" s="66">
        <v>44</v>
      </c>
      <c r="E41" s="366">
        <v>38</v>
      </c>
      <c r="F41" s="245" t="s">
        <v>2562</v>
      </c>
      <c r="G41" s="245"/>
      <c r="H41" s="146">
        <v>29</v>
      </c>
      <c r="I41">
        <v>4192</v>
      </c>
      <c r="J41" s="173">
        <v>3417</v>
      </c>
      <c r="K41" s="173">
        <f t="shared" si="6"/>
        <v>23.638597328244277</v>
      </c>
      <c r="L41" s="402">
        <f t="shared" si="7"/>
        <v>52.638597328244273</v>
      </c>
      <c r="M41" s="174">
        <v>1.4</v>
      </c>
      <c r="N41" s="173">
        <f t="shared" si="8"/>
        <v>73.694036259541974</v>
      </c>
      <c r="O41" s="173">
        <v>125</v>
      </c>
      <c r="P41">
        <v>80</v>
      </c>
      <c r="U41" s="420"/>
    </row>
    <row r="42" spans="1:21" customFormat="1" ht="15.5" x14ac:dyDescent="0.35">
      <c r="A42" s="92"/>
      <c r="B42" s="594" t="s">
        <v>1028</v>
      </c>
      <c r="C42" s="597" t="s">
        <v>1028</v>
      </c>
      <c r="D42" s="66">
        <v>45</v>
      </c>
      <c r="E42" s="366">
        <v>40</v>
      </c>
      <c r="F42" s="245" t="s">
        <v>1032</v>
      </c>
      <c r="G42" s="245"/>
      <c r="H42" s="146">
        <v>29</v>
      </c>
      <c r="I42">
        <v>4192</v>
      </c>
      <c r="J42" s="173">
        <v>3417</v>
      </c>
      <c r="K42" s="173">
        <f t="shared" si="6"/>
        <v>23.638597328244277</v>
      </c>
      <c r="L42" s="402">
        <f t="shared" si="7"/>
        <v>52.638597328244273</v>
      </c>
      <c r="M42" s="174">
        <v>1.4</v>
      </c>
      <c r="N42" s="173">
        <f t="shared" si="8"/>
        <v>73.694036259541974</v>
      </c>
      <c r="O42" s="173">
        <v>125</v>
      </c>
      <c r="P42">
        <v>80</v>
      </c>
      <c r="U42" s="420"/>
    </row>
    <row r="43" spans="1:21" customFormat="1" ht="15.5" x14ac:dyDescent="0.35">
      <c r="A43" s="92"/>
      <c r="B43" s="594" t="s">
        <v>1028</v>
      </c>
      <c r="C43" s="597" t="s">
        <v>1028</v>
      </c>
      <c r="D43" s="66">
        <v>46</v>
      </c>
      <c r="E43" s="366">
        <v>42</v>
      </c>
      <c r="F43" s="245" t="s">
        <v>1032</v>
      </c>
      <c r="G43" s="245"/>
      <c r="H43" s="146">
        <v>29</v>
      </c>
      <c r="I43">
        <v>4192</v>
      </c>
      <c r="J43" s="173">
        <v>3417</v>
      </c>
      <c r="K43" s="173">
        <f t="shared" si="6"/>
        <v>23.638597328244277</v>
      </c>
      <c r="L43" s="402">
        <f t="shared" si="7"/>
        <v>52.638597328244273</v>
      </c>
      <c r="M43" s="174">
        <v>1.4</v>
      </c>
      <c r="N43" s="173">
        <f t="shared" si="8"/>
        <v>73.694036259541974</v>
      </c>
      <c r="O43" s="173">
        <v>125</v>
      </c>
      <c r="P43">
        <v>80</v>
      </c>
      <c r="U43" s="420"/>
    </row>
    <row r="44" spans="1:21" customFormat="1" ht="15.5" x14ac:dyDescent="0.35">
      <c r="A44" s="92"/>
      <c r="B44" s="594" t="s">
        <v>1051</v>
      </c>
      <c r="C44" s="597" t="s">
        <v>944</v>
      </c>
      <c r="D44" s="66">
        <v>47</v>
      </c>
      <c r="E44" s="366">
        <v>44</v>
      </c>
      <c r="F44" s="245" t="s">
        <v>1052</v>
      </c>
      <c r="G44" s="245"/>
      <c r="H44" s="146">
        <v>68</v>
      </c>
      <c r="I44">
        <v>4192</v>
      </c>
      <c r="J44" s="173">
        <v>3417</v>
      </c>
      <c r="K44" s="173">
        <f t="shared" si="6"/>
        <v>55.42843511450382</v>
      </c>
      <c r="L44" s="402">
        <f t="shared" si="7"/>
        <v>123.42843511450383</v>
      </c>
      <c r="M44" s="174">
        <v>1.4</v>
      </c>
      <c r="N44" s="173">
        <f t="shared" si="8"/>
        <v>172.79980916030536</v>
      </c>
      <c r="O44" s="173">
        <v>200</v>
      </c>
      <c r="P44">
        <v>125</v>
      </c>
      <c r="U44" s="420"/>
    </row>
    <row r="45" spans="1:21" customFormat="1" ht="15.5" x14ac:dyDescent="0.35">
      <c r="A45" s="92"/>
      <c r="B45" s="594" t="s">
        <v>1051</v>
      </c>
      <c r="C45" s="597" t="s">
        <v>944</v>
      </c>
      <c r="D45" s="66">
        <v>48</v>
      </c>
      <c r="E45" s="366">
        <v>52</v>
      </c>
      <c r="F45" s="245" t="s">
        <v>1053</v>
      </c>
      <c r="G45" s="245"/>
      <c r="H45" s="146">
        <v>68</v>
      </c>
      <c r="I45">
        <v>4192</v>
      </c>
      <c r="J45" s="173">
        <v>3417</v>
      </c>
      <c r="K45" s="173">
        <f t="shared" si="6"/>
        <v>55.42843511450382</v>
      </c>
      <c r="L45" s="402">
        <f t="shared" si="7"/>
        <v>123.42843511450383</v>
      </c>
      <c r="M45" s="174">
        <v>1.4</v>
      </c>
      <c r="N45" s="173">
        <f t="shared" si="8"/>
        <v>172.79980916030536</v>
      </c>
      <c r="O45" s="173">
        <v>200</v>
      </c>
      <c r="P45">
        <v>150</v>
      </c>
      <c r="U45" s="420"/>
    </row>
    <row r="46" spans="1:21" customFormat="1" ht="15.5" x14ac:dyDescent="0.35">
      <c r="B46" s="3"/>
      <c r="C46" s="233" t="s">
        <v>944</v>
      </c>
      <c r="D46" s="57"/>
      <c r="E46" s="366"/>
      <c r="F46" s="371" t="s">
        <v>2477</v>
      </c>
      <c r="G46" s="371"/>
      <c r="H46" s="370"/>
      <c r="I46" s="12"/>
      <c r="J46" s="176"/>
      <c r="K46" s="176"/>
      <c r="L46" s="410"/>
      <c r="M46" s="411"/>
      <c r="N46" s="176"/>
      <c r="O46" s="176">
        <v>180</v>
      </c>
      <c r="P46" s="13"/>
      <c r="Q46" s="92"/>
      <c r="R46" s="92" t="s">
        <v>2478</v>
      </c>
      <c r="S46" t="s">
        <v>2479</v>
      </c>
      <c r="T46" s="6">
        <v>46059</v>
      </c>
      <c r="U46" s="420"/>
    </row>
    <row r="47" spans="1:21" customFormat="1" ht="14.5" x14ac:dyDescent="0.35">
      <c r="C47" s="233"/>
      <c r="E47" s="366"/>
      <c r="F47" s="256" t="s">
        <v>1226</v>
      </c>
      <c r="G47" s="256"/>
      <c r="H47" s="173"/>
      <c r="J47" s="173"/>
      <c r="K47" s="173"/>
      <c r="L47" s="173"/>
      <c r="M47" s="174"/>
      <c r="N47" s="173"/>
      <c r="O47" s="173"/>
      <c r="P47" s="344"/>
    </row>
    <row r="48" spans="1:21" customFormat="1" ht="15.5" x14ac:dyDescent="0.35">
      <c r="A48" s="92"/>
      <c r="B48" s="92"/>
      <c r="C48" s="597" t="s">
        <v>944</v>
      </c>
      <c r="D48" s="66">
        <v>50</v>
      </c>
      <c r="E48" s="366">
        <v>48</v>
      </c>
      <c r="F48" s="245" t="s">
        <v>1225</v>
      </c>
      <c r="G48" s="245"/>
      <c r="H48" s="173">
        <v>52</v>
      </c>
      <c r="I48">
        <v>431</v>
      </c>
      <c r="J48" s="173">
        <v>120</v>
      </c>
      <c r="K48" s="402">
        <f>+H48/I48*J48</f>
        <v>14.477958236658932</v>
      </c>
      <c r="L48" s="173">
        <f>+H48+K48</f>
        <v>66.477958236658935</v>
      </c>
      <c r="M48" s="174"/>
      <c r="N48" s="173">
        <f>+L48*1.4</f>
        <v>93.069141531322501</v>
      </c>
      <c r="O48" s="173">
        <v>125</v>
      </c>
      <c r="P48" s="173">
        <v>90</v>
      </c>
    </row>
    <row r="49" spans="1:20" customFormat="1" ht="14.5" x14ac:dyDescent="0.35">
      <c r="C49" s="232" t="s">
        <v>1227</v>
      </c>
      <c r="E49" s="366"/>
      <c r="F49" s="245"/>
      <c r="G49" s="245"/>
      <c r="H49" s="173"/>
      <c r="J49" s="173"/>
      <c r="K49" s="402"/>
      <c r="L49" s="173"/>
      <c r="M49" s="174"/>
      <c r="N49" s="173"/>
      <c r="O49" s="173"/>
      <c r="P49" s="344"/>
    </row>
    <row r="50" spans="1:20" customFormat="1" ht="15.5" x14ac:dyDescent="0.35">
      <c r="A50" s="92"/>
      <c r="B50" s="92"/>
      <c r="C50" s="597" t="s">
        <v>1185</v>
      </c>
      <c r="D50" s="66">
        <v>51</v>
      </c>
      <c r="E50" s="366">
        <v>52</v>
      </c>
      <c r="F50" s="245" t="s">
        <v>1186</v>
      </c>
      <c r="G50" s="245"/>
      <c r="H50" s="173">
        <v>75</v>
      </c>
      <c r="I50">
        <v>5000</v>
      </c>
      <c r="J50" s="173">
        <v>4254</v>
      </c>
      <c r="K50" s="402">
        <f t="shared" ref="K50:K55" si="9">+H50/I50*J50</f>
        <v>63.809999999999995</v>
      </c>
      <c r="L50" s="402">
        <f t="shared" ref="L50:L55" si="10">+H50+K50</f>
        <v>138.81</v>
      </c>
      <c r="M50" s="174" t="s">
        <v>1221</v>
      </c>
      <c r="N50" s="173">
        <f t="shared" ref="N50:N55" si="11">+L50*1.4</f>
        <v>194.334</v>
      </c>
      <c r="O50" s="173">
        <v>220</v>
      </c>
      <c r="P50">
        <v>125</v>
      </c>
    </row>
    <row r="51" spans="1:20" s="13" customFormat="1" ht="15.5" x14ac:dyDescent="0.35">
      <c r="C51" s="368" t="s">
        <v>1189</v>
      </c>
      <c r="D51" s="252">
        <v>52</v>
      </c>
      <c r="E51" s="399">
        <v>56</v>
      </c>
      <c r="F51" s="435" t="s">
        <v>1190</v>
      </c>
      <c r="G51" s="435"/>
      <c r="H51" s="344">
        <v>68</v>
      </c>
      <c r="I51" s="13">
        <v>5000</v>
      </c>
      <c r="J51" s="344">
        <v>4254</v>
      </c>
      <c r="K51" s="443">
        <f t="shared" si="9"/>
        <v>57.854399999999998</v>
      </c>
      <c r="L51" s="443">
        <f t="shared" si="10"/>
        <v>125.8544</v>
      </c>
      <c r="M51" s="444"/>
      <c r="N51" s="344">
        <f t="shared" si="11"/>
        <v>176.19615999999999</v>
      </c>
      <c r="O51" s="344">
        <v>180</v>
      </c>
    </row>
    <row r="52" spans="1:20" s="13" customFormat="1" ht="15.5" x14ac:dyDescent="0.35">
      <c r="C52" s="368" t="s">
        <v>1189</v>
      </c>
      <c r="D52" s="252">
        <v>53</v>
      </c>
      <c r="E52" s="399">
        <v>58</v>
      </c>
      <c r="F52" s="435" t="s">
        <v>1190</v>
      </c>
      <c r="G52" s="435"/>
      <c r="H52" s="344">
        <v>68</v>
      </c>
      <c r="I52" s="13">
        <v>5000</v>
      </c>
      <c r="J52" s="344">
        <v>4254</v>
      </c>
      <c r="K52" s="443">
        <f t="shared" si="9"/>
        <v>57.854399999999998</v>
      </c>
      <c r="L52" s="443">
        <f t="shared" si="10"/>
        <v>125.8544</v>
      </c>
      <c r="M52" s="444"/>
      <c r="N52" s="344">
        <f t="shared" si="11"/>
        <v>176.19615999999999</v>
      </c>
      <c r="O52" s="344">
        <v>180</v>
      </c>
    </row>
    <row r="53" spans="1:20" customFormat="1" ht="15.5" x14ac:dyDescent="0.35">
      <c r="A53" s="92"/>
      <c r="B53" s="92"/>
      <c r="C53" s="597" t="s">
        <v>1204</v>
      </c>
      <c r="D53" s="66">
        <v>55</v>
      </c>
      <c r="E53" s="366">
        <v>48</v>
      </c>
      <c r="F53" s="371" t="s">
        <v>1031</v>
      </c>
      <c r="G53" s="371"/>
      <c r="H53" s="176">
        <v>40</v>
      </c>
      <c r="I53" s="12">
        <v>5000</v>
      </c>
      <c r="J53" s="176">
        <v>4254</v>
      </c>
      <c r="K53" s="410">
        <f t="shared" si="9"/>
        <v>34.032000000000004</v>
      </c>
      <c r="L53" s="410">
        <f t="shared" si="10"/>
        <v>74.032000000000011</v>
      </c>
      <c r="M53" s="411"/>
      <c r="N53" s="176">
        <f t="shared" si="11"/>
        <v>103.6448</v>
      </c>
      <c r="O53" s="176">
        <v>125</v>
      </c>
      <c r="S53" t="s">
        <v>12</v>
      </c>
      <c r="T53" s="6">
        <v>46112</v>
      </c>
    </row>
    <row r="54" spans="1:20" customFormat="1" ht="15.5" x14ac:dyDescent="0.35">
      <c r="A54" s="92"/>
      <c r="B54" s="92"/>
      <c r="C54" s="597" t="s">
        <v>1204</v>
      </c>
      <c r="D54" s="66">
        <v>56</v>
      </c>
      <c r="E54" s="366">
        <v>50</v>
      </c>
      <c r="F54" s="245" t="s">
        <v>1031</v>
      </c>
      <c r="G54" s="245"/>
      <c r="H54" s="173">
        <v>40</v>
      </c>
      <c r="I54">
        <v>5000</v>
      </c>
      <c r="J54" s="173">
        <v>4254</v>
      </c>
      <c r="K54" s="402">
        <f t="shared" si="9"/>
        <v>34.032000000000004</v>
      </c>
      <c r="L54" s="402">
        <f t="shared" si="10"/>
        <v>74.032000000000011</v>
      </c>
      <c r="M54" s="174"/>
      <c r="N54" s="173">
        <f t="shared" si="11"/>
        <v>103.6448</v>
      </c>
      <c r="O54" s="173">
        <v>125</v>
      </c>
    </row>
    <row r="55" spans="1:20" s="13" customFormat="1" ht="15.5" x14ac:dyDescent="0.35">
      <c r="C55" s="368" t="s">
        <v>1204</v>
      </c>
      <c r="D55" s="252">
        <v>57</v>
      </c>
      <c r="E55" s="399">
        <v>52</v>
      </c>
      <c r="F55" s="435" t="s">
        <v>1031</v>
      </c>
      <c r="G55" s="435"/>
      <c r="H55" s="344">
        <v>40</v>
      </c>
      <c r="I55" s="13">
        <v>5000</v>
      </c>
      <c r="J55" s="344">
        <v>4254</v>
      </c>
      <c r="K55" s="443">
        <f t="shared" si="9"/>
        <v>34.032000000000004</v>
      </c>
      <c r="L55" s="443">
        <f t="shared" si="10"/>
        <v>74.032000000000011</v>
      </c>
      <c r="M55" s="444"/>
      <c r="N55" s="344">
        <f t="shared" si="11"/>
        <v>103.6448</v>
      </c>
      <c r="O55" s="344">
        <v>125</v>
      </c>
    </row>
    <row r="56" spans="1:20" customFormat="1" ht="15.5" x14ac:dyDescent="0.35">
      <c r="B56" s="3"/>
      <c r="C56" s="232" t="s">
        <v>1554</v>
      </c>
      <c r="D56" s="57"/>
      <c r="E56" s="366"/>
      <c r="F56" s="245"/>
      <c r="G56" s="245"/>
      <c r="H56" s="173"/>
      <c r="J56" s="173"/>
      <c r="K56" s="402"/>
      <c r="L56" s="173"/>
      <c r="M56" s="174"/>
      <c r="N56" s="173"/>
      <c r="O56" s="173"/>
      <c r="P56" s="13"/>
      <c r="Q56" s="92"/>
      <c r="R56" s="92"/>
    </row>
    <row r="57" spans="1:20" customFormat="1" ht="14.5" x14ac:dyDescent="0.35">
      <c r="A57" s="594"/>
      <c r="B57" s="594"/>
      <c r="C57" s="597" t="s">
        <v>1372</v>
      </c>
      <c r="D57" s="92"/>
      <c r="E57" s="366" t="s">
        <v>618</v>
      </c>
      <c r="F57" s="371" t="s">
        <v>2556</v>
      </c>
      <c r="G57" s="371"/>
      <c r="H57" s="176">
        <v>41</v>
      </c>
      <c r="I57" s="12">
        <v>1090</v>
      </c>
      <c r="J57" s="176">
        <v>1099</v>
      </c>
      <c r="K57" s="410">
        <f>+H57/I57*J57</f>
        <v>41.338532110091748</v>
      </c>
      <c r="L57" s="176">
        <f>+H57+K57</f>
        <v>82.338532110091748</v>
      </c>
      <c r="M57" s="411"/>
      <c r="N57" s="176">
        <f>+L57*1.4</f>
        <v>115.27394495412844</v>
      </c>
      <c r="O57" s="176">
        <v>150</v>
      </c>
      <c r="P57">
        <v>125</v>
      </c>
      <c r="S57" t="s">
        <v>12</v>
      </c>
      <c r="T57" s="6">
        <v>46106</v>
      </c>
    </row>
    <row r="58" spans="1:20" customFormat="1" ht="14.5" x14ac:dyDescent="0.35">
      <c r="A58" s="3"/>
      <c r="B58" s="3"/>
      <c r="C58" s="233" t="s">
        <v>1372</v>
      </c>
      <c r="E58" s="366" t="s">
        <v>589</v>
      </c>
      <c r="F58" s="371" t="s">
        <v>1640</v>
      </c>
      <c r="G58" s="371"/>
      <c r="H58" s="176">
        <v>41</v>
      </c>
      <c r="I58" s="12">
        <v>1090</v>
      </c>
      <c r="J58" s="176">
        <v>1099</v>
      </c>
      <c r="K58" s="410">
        <f>+H58/I58*J58</f>
        <v>41.338532110091748</v>
      </c>
      <c r="L58" s="176">
        <f>+H58+K58</f>
        <v>82.338532110091748</v>
      </c>
      <c r="M58" s="411"/>
      <c r="N58" s="176">
        <f>+L58*1.4</f>
        <v>115.27394495412844</v>
      </c>
      <c r="O58" s="176">
        <v>180</v>
      </c>
      <c r="P58" s="13"/>
      <c r="S58" t="s">
        <v>2267</v>
      </c>
      <c r="T58" s="6">
        <v>46042</v>
      </c>
    </row>
    <row r="59" spans="1:20" customFormat="1" ht="14.5" x14ac:dyDescent="0.35">
      <c r="A59" s="594"/>
      <c r="B59" s="594"/>
      <c r="C59" s="597" t="s">
        <v>1372</v>
      </c>
      <c r="D59" s="92"/>
      <c r="E59" s="745" t="s">
        <v>628</v>
      </c>
      <c r="F59" s="371" t="s">
        <v>2557</v>
      </c>
      <c r="G59" s="371"/>
      <c r="H59" s="176">
        <v>41</v>
      </c>
      <c r="I59" s="12">
        <v>1090</v>
      </c>
      <c r="J59" s="176">
        <v>1099</v>
      </c>
      <c r="K59" s="410">
        <f>+H59/I59*J59</f>
        <v>41.338532110091748</v>
      </c>
      <c r="L59" s="176">
        <f>+H59+K59</f>
        <v>82.338532110091748</v>
      </c>
      <c r="M59" s="411"/>
      <c r="N59" s="176">
        <f>+L59*1.4</f>
        <v>115.27394495412844</v>
      </c>
      <c r="O59" s="176">
        <v>150</v>
      </c>
      <c r="S59" t="s">
        <v>12</v>
      </c>
      <c r="T59" s="6">
        <v>46129</v>
      </c>
    </row>
    <row r="60" spans="1:20" customFormat="1" ht="14.5" x14ac:dyDescent="0.35">
      <c r="A60" s="594"/>
      <c r="B60" s="594"/>
      <c r="C60" s="597" t="s">
        <v>1372</v>
      </c>
      <c r="D60" s="92"/>
      <c r="E60" s="745" t="s">
        <v>411</v>
      </c>
      <c r="F60" s="371" t="s">
        <v>2558</v>
      </c>
      <c r="G60" s="371"/>
      <c r="H60" s="176">
        <v>41</v>
      </c>
      <c r="I60" s="12">
        <v>1090</v>
      </c>
      <c r="J60" s="176">
        <v>1099</v>
      </c>
      <c r="K60" s="410">
        <f>+H60/I60*J60</f>
        <v>41.338532110091748</v>
      </c>
      <c r="L60" s="176">
        <f>+H60+K60</f>
        <v>82.338532110091748</v>
      </c>
      <c r="M60" s="411"/>
      <c r="N60" s="176">
        <f>+L60*1.4</f>
        <v>115.27394495412844</v>
      </c>
      <c r="O60" s="176">
        <v>150</v>
      </c>
      <c r="P60" s="13"/>
      <c r="S60" t="s">
        <v>2844</v>
      </c>
      <c r="T60" s="6">
        <v>46094</v>
      </c>
    </row>
    <row r="61" spans="1:20" customFormat="1" ht="14.5" x14ac:dyDescent="0.35">
      <c r="B61" s="3"/>
      <c r="C61" s="232" t="s">
        <v>1692</v>
      </c>
      <c r="E61" s="366"/>
      <c r="F61" s="245"/>
      <c r="G61" s="245"/>
      <c r="H61" s="173"/>
      <c r="J61" s="173"/>
      <c r="K61" s="402"/>
      <c r="L61" s="173"/>
      <c r="M61" s="174"/>
      <c r="N61" s="173"/>
      <c r="O61" s="173"/>
      <c r="P61" s="13"/>
    </row>
    <row r="62" spans="1:20" customFormat="1" ht="14.5" x14ac:dyDescent="0.35">
      <c r="A62" s="594"/>
      <c r="B62" s="594"/>
      <c r="C62" s="597" t="s">
        <v>1589</v>
      </c>
      <c r="D62" s="92"/>
      <c r="E62" s="745"/>
      <c r="F62" s="371" t="s">
        <v>1590</v>
      </c>
      <c r="G62" s="371"/>
      <c r="H62" s="176">
        <v>55</v>
      </c>
      <c r="I62" s="12">
        <v>6149</v>
      </c>
      <c r="J62" s="176">
        <f t="shared" ref="J62:J67" si="12">5832-600</f>
        <v>5232</v>
      </c>
      <c r="K62" s="410">
        <f t="shared" ref="K62:K67" si="13">+H62/I62*J62</f>
        <v>46.797853309481212</v>
      </c>
      <c r="L62" s="176">
        <f t="shared" ref="L62:L67" si="14">+H62+K62</f>
        <v>101.79785330948121</v>
      </c>
      <c r="M62" s="411"/>
      <c r="N62" s="176">
        <f t="shared" ref="N62:N67" si="15">+L62*1.4</f>
        <v>142.5169946332737</v>
      </c>
      <c r="O62" s="176">
        <v>250</v>
      </c>
      <c r="P62" s="13">
        <v>150</v>
      </c>
      <c r="S62" t="s">
        <v>2750</v>
      </c>
      <c r="T62" s="6">
        <v>46081</v>
      </c>
    </row>
    <row r="63" spans="1:20" customFormat="1" ht="14.5" x14ac:dyDescent="0.35">
      <c r="A63" s="594"/>
      <c r="B63" s="594"/>
      <c r="C63" s="597" t="s">
        <v>1589</v>
      </c>
      <c r="D63" s="92"/>
      <c r="E63" s="745"/>
      <c r="F63" s="371" t="s">
        <v>1590</v>
      </c>
      <c r="G63" s="371"/>
      <c r="H63" s="176">
        <v>55</v>
      </c>
      <c r="I63" s="12">
        <v>6149</v>
      </c>
      <c r="J63" s="176">
        <f t="shared" si="12"/>
        <v>5232</v>
      </c>
      <c r="K63" s="410">
        <f t="shared" si="13"/>
        <v>46.797853309481212</v>
      </c>
      <c r="L63" s="176">
        <f t="shared" si="14"/>
        <v>101.79785330948121</v>
      </c>
      <c r="M63" s="411"/>
      <c r="N63" s="176">
        <f t="shared" si="15"/>
        <v>142.5169946332737</v>
      </c>
      <c r="O63" s="176">
        <v>250</v>
      </c>
      <c r="P63" s="13">
        <v>150</v>
      </c>
      <c r="S63" t="s">
        <v>12</v>
      </c>
      <c r="T63" s="6">
        <v>46087</v>
      </c>
    </row>
    <row r="64" spans="1:20" customFormat="1" ht="14.5" x14ac:dyDescent="0.35">
      <c r="A64" s="594"/>
      <c r="B64" s="594"/>
      <c r="C64" s="597" t="s">
        <v>1589</v>
      </c>
      <c r="D64" s="92"/>
      <c r="E64" s="745"/>
      <c r="F64" s="245" t="s">
        <v>1590</v>
      </c>
      <c r="G64" s="245"/>
      <c r="H64" s="173">
        <v>55</v>
      </c>
      <c r="I64">
        <v>6149</v>
      </c>
      <c r="J64" s="173">
        <f t="shared" si="12"/>
        <v>5232</v>
      </c>
      <c r="K64" s="402">
        <f t="shared" si="13"/>
        <v>46.797853309481212</v>
      </c>
      <c r="L64" s="173">
        <f t="shared" si="14"/>
        <v>101.79785330948121</v>
      </c>
      <c r="M64" s="174"/>
      <c r="N64" s="173">
        <f t="shared" si="15"/>
        <v>142.5169946332737</v>
      </c>
      <c r="O64" s="173">
        <v>250</v>
      </c>
      <c r="P64">
        <v>150</v>
      </c>
    </row>
    <row r="65" spans="1:20" s="13" customFormat="1" ht="14.5" x14ac:dyDescent="0.35">
      <c r="A65" s="369"/>
      <c r="B65" s="369"/>
      <c r="C65" s="368" t="s">
        <v>1589</v>
      </c>
      <c r="E65" s="399"/>
      <c r="F65" s="435" t="s">
        <v>1590</v>
      </c>
      <c r="G65" s="435"/>
      <c r="H65" s="344">
        <v>55</v>
      </c>
      <c r="I65" s="13">
        <v>6149</v>
      </c>
      <c r="J65" s="344">
        <f t="shared" si="12"/>
        <v>5232</v>
      </c>
      <c r="K65" s="443">
        <f t="shared" si="13"/>
        <v>46.797853309481212</v>
      </c>
      <c r="L65" s="344">
        <f t="shared" si="14"/>
        <v>101.79785330948121</v>
      </c>
      <c r="M65" s="444"/>
      <c r="N65" s="344">
        <f t="shared" si="15"/>
        <v>142.5169946332737</v>
      </c>
      <c r="O65" s="344">
        <v>250</v>
      </c>
      <c r="P65" s="13">
        <v>150</v>
      </c>
    </row>
    <row r="66" spans="1:20" customFormat="1" ht="14.5" x14ac:dyDescent="0.35">
      <c r="A66" s="594"/>
      <c r="B66" s="594"/>
      <c r="C66" s="597" t="s">
        <v>1589</v>
      </c>
      <c r="D66" s="92"/>
      <c r="E66" s="745"/>
      <c r="F66" s="245" t="s">
        <v>1591</v>
      </c>
      <c r="G66" s="245"/>
      <c r="H66" s="173">
        <v>55</v>
      </c>
      <c r="I66">
        <v>6149</v>
      </c>
      <c r="J66" s="173">
        <f t="shared" si="12"/>
        <v>5232</v>
      </c>
      <c r="K66" s="402">
        <f t="shared" si="13"/>
        <v>46.797853309481212</v>
      </c>
      <c r="L66" s="173">
        <f t="shared" si="14"/>
        <v>101.79785330948121</v>
      </c>
      <c r="M66" s="174"/>
      <c r="N66" s="173">
        <f t="shared" si="15"/>
        <v>142.5169946332737</v>
      </c>
      <c r="O66" s="173">
        <v>250</v>
      </c>
      <c r="P66">
        <v>150</v>
      </c>
    </row>
    <row r="67" spans="1:20" customFormat="1" ht="14.5" x14ac:dyDescent="0.35">
      <c r="A67" s="594"/>
      <c r="B67" s="594"/>
      <c r="C67" s="597" t="s">
        <v>1589</v>
      </c>
      <c r="D67" s="92"/>
      <c r="E67" s="745"/>
      <c r="F67" s="245" t="s">
        <v>1591</v>
      </c>
      <c r="G67" s="245"/>
      <c r="H67" s="173">
        <v>55</v>
      </c>
      <c r="I67">
        <v>6149</v>
      </c>
      <c r="J67" s="173">
        <f t="shared" si="12"/>
        <v>5232</v>
      </c>
      <c r="K67" s="402">
        <f t="shared" si="13"/>
        <v>46.797853309481212</v>
      </c>
      <c r="L67" s="173">
        <f t="shared" si="14"/>
        <v>101.79785330948121</v>
      </c>
      <c r="M67" s="174"/>
      <c r="N67" s="173">
        <f t="shared" si="15"/>
        <v>142.5169946332737</v>
      </c>
      <c r="O67" s="173">
        <v>250</v>
      </c>
      <c r="P67">
        <f>+H67*3</f>
        <v>165</v>
      </c>
    </row>
    <row r="68" spans="1:20" customFormat="1" ht="14.5" x14ac:dyDescent="0.35">
      <c r="A68" s="3"/>
      <c r="B68" s="3"/>
      <c r="C68" s="232" t="s">
        <v>1163</v>
      </c>
      <c r="E68" s="366"/>
      <c r="F68" s="245"/>
      <c r="G68" s="245"/>
      <c r="H68" s="173"/>
      <c r="J68" s="173"/>
      <c r="K68" s="173"/>
      <c r="L68" s="173"/>
      <c r="N68" s="173"/>
      <c r="O68" s="173"/>
      <c r="P68" s="13"/>
    </row>
    <row r="69" spans="1:20" customFormat="1" ht="14.5" x14ac:dyDescent="0.35">
      <c r="A69" s="594"/>
      <c r="B69" s="594"/>
      <c r="C69" s="597" t="s">
        <v>944</v>
      </c>
      <c r="D69" s="92"/>
      <c r="E69" s="745">
        <v>44</v>
      </c>
      <c r="F69" s="245" t="s">
        <v>2560</v>
      </c>
      <c r="G69" s="245"/>
      <c r="H69" s="173">
        <v>55</v>
      </c>
      <c r="I69">
        <f t="shared" ref="I69:I74" si="16">477*1.05</f>
        <v>500.85</v>
      </c>
      <c r="J69" s="173">
        <v>100</v>
      </c>
      <c r="K69" s="402">
        <f t="shared" ref="K69:K78" si="17">+H69/I69*J69</f>
        <v>10.981331736048716</v>
      </c>
      <c r="L69" s="173">
        <f t="shared" ref="L69:L97" si="18">+H69+K69</f>
        <v>65.981331736048716</v>
      </c>
      <c r="N69" s="173">
        <f t="shared" ref="N69:N97" si="19">+L69*1.4</f>
        <v>92.373864430468203</v>
      </c>
      <c r="O69" s="173">
        <v>150</v>
      </c>
    </row>
    <row r="70" spans="1:20" customFormat="1" ht="14.5" x14ac:dyDescent="0.35">
      <c r="A70" s="594"/>
      <c r="B70" s="594"/>
      <c r="C70" s="597" t="s">
        <v>944</v>
      </c>
      <c r="D70" s="92"/>
      <c r="E70" s="745">
        <v>46</v>
      </c>
      <c r="F70" s="245" t="s">
        <v>1764</v>
      </c>
      <c r="G70" s="245"/>
      <c r="H70" s="173">
        <v>55</v>
      </c>
      <c r="I70">
        <f t="shared" si="16"/>
        <v>500.85</v>
      </c>
      <c r="J70" s="173">
        <v>100</v>
      </c>
      <c r="K70" s="402">
        <f t="shared" si="17"/>
        <v>10.981331736048716</v>
      </c>
      <c r="L70" s="173">
        <f t="shared" si="18"/>
        <v>65.981331736048716</v>
      </c>
      <c r="N70" s="173">
        <f t="shared" si="19"/>
        <v>92.373864430468203</v>
      </c>
      <c r="O70" s="173">
        <v>150</v>
      </c>
    </row>
    <row r="71" spans="1:20" customFormat="1" ht="14.5" x14ac:dyDescent="0.35">
      <c r="A71" s="594"/>
      <c r="B71" s="594"/>
      <c r="C71" s="597" t="s">
        <v>944</v>
      </c>
      <c r="D71" s="92"/>
      <c r="E71" s="745">
        <v>48</v>
      </c>
      <c r="F71" s="245" t="s">
        <v>1764</v>
      </c>
      <c r="G71" s="245"/>
      <c r="H71" s="173">
        <v>55</v>
      </c>
      <c r="I71">
        <f t="shared" si="16"/>
        <v>500.85</v>
      </c>
      <c r="J71" s="173">
        <v>100</v>
      </c>
      <c r="K71" s="402">
        <f t="shared" si="17"/>
        <v>10.981331736048716</v>
      </c>
      <c r="L71" s="173">
        <f t="shared" si="18"/>
        <v>65.981331736048716</v>
      </c>
      <c r="N71" s="173">
        <f t="shared" si="19"/>
        <v>92.373864430468203</v>
      </c>
      <c r="O71" s="173">
        <v>150</v>
      </c>
    </row>
    <row r="72" spans="1:20" customFormat="1" ht="14.5" x14ac:dyDescent="0.35">
      <c r="A72" s="594"/>
      <c r="B72" s="594"/>
      <c r="C72" s="597" t="s">
        <v>944</v>
      </c>
      <c r="D72" s="92"/>
      <c r="E72" s="745">
        <v>52</v>
      </c>
      <c r="F72" s="245" t="s">
        <v>1764</v>
      </c>
      <c r="G72" s="245"/>
      <c r="H72" s="173">
        <v>55</v>
      </c>
      <c r="I72">
        <f t="shared" si="16"/>
        <v>500.85</v>
      </c>
      <c r="J72" s="173">
        <v>100</v>
      </c>
      <c r="K72" s="402">
        <f t="shared" si="17"/>
        <v>10.981331736048716</v>
      </c>
      <c r="L72" s="173">
        <f t="shared" si="18"/>
        <v>65.981331736048716</v>
      </c>
      <c r="N72" s="173">
        <f t="shared" si="19"/>
        <v>92.373864430468203</v>
      </c>
      <c r="O72" s="173">
        <v>150</v>
      </c>
    </row>
    <row r="73" spans="1:20" customFormat="1" ht="14.5" x14ac:dyDescent="0.35">
      <c r="A73" s="594"/>
      <c r="B73" s="594"/>
      <c r="C73" s="597" t="s">
        <v>944</v>
      </c>
      <c r="D73" s="92"/>
      <c r="E73" s="745">
        <v>54</v>
      </c>
      <c r="F73" s="245" t="s">
        <v>1764</v>
      </c>
      <c r="G73" s="245"/>
      <c r="H73" s="173">
        <v>55</v>
      </c>
      <c r="I73">
        <f t="shared" si="16"/>
        <v>500.85</v>
      </c>
      <c r="J73" s="173">
        <v>100</v>
      </c>
      <c r="K73" s="402">
        <f t="shared" si="17"/>
        <v>10.981331736048716</v>
      </c>
      <c r="L73" s="173">
        <f t="shared" si="18"/>
        <v>65.981331736048716</v>
      </c>
      <c r="N73" s="173">
        <f t="shared" si="19"/>
        <v>92.373864430468203</v>
      </c>
      <c r="O73" s="173">
        <v>150</v>
      </c>
    </row>
    <row r="74" spans="1:20" customFormat="1" ht="14.5" x14ac:dyDescent="0.35">
      <c r="A74" s="594"/>
      <c r="B74" s="594"/>
      <c r="C74" s="597" t="s">
        <v>944</v>
      </c>
      <c r="D74" s="92"/>
      <c r="E74" s="745">
        <v>56</v>
      </c>
      <c r="F74" s="245" t="s">
        <v>1764</v>
      </c>
      <c r="G74" s="245"/>
      <c r="H74" s="173">
        <v>55</v>
      </c>
      <c r="I74">
        <f t="shared" si="16"/>
        <v>500.85</v>
      </c>
      <c r="J74" s="173">
        <v>100</v>
      </c>
      <c r="K74" s="402">
        <f t="shared" si="17"/>
        <v>10.981331736048716</v>
      </c>
      <c r="L74" s="173">
        <f t="shared" si="18"/>
        <v>65.981331736048716</v>
      </c>
      <c r="N74" s="173">
        <f t="shared" si="19"/>
        <v>92.373864430468203</v>
      </c>
      <c r="O74" s="173">
        <v>150</v>
      </c>
    </row>
    <row r="75" spans="1:20" customFormat="1" ht="14.5" x14ac:dyDescent="0.35">
      <c r="A75" s="594"/>
      <c r="B75" s="594"/>
      <c r="C75" s="597" t="s">
        <v>1770</v>
      </c>
      <c r="D75" s="92"/>
      <c r="E75" s="745">
        <v>48</v>
      </c>
      <c r="F75" s="371" t="s">
        <v>2559</v>
      </c>
      <c r="G75" s="371"/>
      <c r="H75" s="176">
        <v>80</v>
      </c>
      <c r="I75" s="12">
        <f>320*1.05</f>
        <v>336</v>
      </c>
      <c r="J75" s="176">
        <v>70</v>
      </c>
      <c r="K75" s="410">
        <f t="shared" si="17"/>
        <v>16.666666666666664</v>
      </c>
      <c r="L75" s="176">
        <f t="shared" si="18"/>
        <v>96.666666666666657</v>
      </c>
      <c r="M75" s="12"/>
      <c r="N75" s="176">
        <f t="shared" si="19"/>
        <v>135.33333333333331</v>
      </c>
      <c r="O75" s="176">
        <v>150</v>
      </c>
      <c r="S75" t="s">
        <v>12</v>
      </c>
      <c r="T75" s="6">
        <v>46106</v>
      </c>
    </row>
    <row r="76" spans="1:20" customFormat="1" ht="14.5" x14ac:dyDescent="0.35">
      <c r="A76" s="594"/>
      <c r="B76" s="594"/>
      <c r="C76" s="597" t="s">
        <v>1770</v>
      </c>
      <c r="D76" s="92"/>
      <c r="E76" s="745">
        <v>48</v>
      </c>
      <c r="F76" s="371" t="s">
        <v>1771</v>
      </c>
      <c r="G76" s="371"/>
      <c r="H76" s="176">
        <v>80</v>
      </c>
      <c r="I76" s="12">
        <f>320*1.05</f>
        <v>336</v>
      </c>
      <c r="J76" s="176">
        <v>70</v>
      </c>
      <c r="K76" s="410">
        <f t="shared" si="17"/>
        <v>16.666666666666664</v>
      </c>
      <c r="L76" s="176">
        <f t="shared" si="18"/>
        <v>96.666666666666657</v>
      </c>
      <c r="M76" s="12"/>
      <c r="N76" s="176">
        <f t="shared" si="19"/>
        <v>135.33333333333331</v>
      </c>
      <c r="O76" s="176">
        <v>150</v>
      </c>
      <c r="P76" s="13"/>
      <c r="S76" t="s">
        <v>12</v>
      </c>
      <c r="T76" s="6">
        <v>46097</v>
      </c>
    </row>
    <row r="77" spans="1:20" customFormat="1" ht="14.5" x14ac:dyDescent="0.35">
      <c r="A77" s="594"/>
      <c r="B77" s="594"/>
      <c r="C77" s="597" t="s">
        <v>1770</v>
      </c>
      <c r="D77" s="92"/>
      <c r="E77" s="745">
        <v>46</v>
      </c>
      <c r="F77" s="371" t="s">
        <v>1771</v>
      </c>
      <c r="G77" s="371"/>
      <c r="H77" s="176">
        <v>80</v>
      </c>
      <c r="I77" s="12">
        <f>320*1.05</f>
        <v>336</v>
      </c>
      <c r="J77" s="176">
        <v>70</v>
      </c>
      <c r="K77" s="410">
        <f t="shared" si="17"/>
        <v>16.666666666666664</v>
      </c>
      <c r="L77" s="176">
        <f t="shared" si="18"/>
        <v>96.666666666666657</v>
      </c>
      <c r="M77" s="12"/>
      <c r="N77" s="176">
        <f t="shared" si="19"/>
        <v>135.33333333333331</v>
      </c>
      <c r="O77" s="176">
        <v>150</v>
      </c>
      <c r="P77" s="13"/>
      <c r="S77" t="s">
        <v>1097</v>
      </c>
      <c r="T77" s="6">
        <v>46097</v>
      </c>
    </row>
    <row r="78" spans="1:20" customFormat="1" ht="14.5" x14ac:dyDescent="0.35">
      <c r="A78" s="594"/>
      <c r="B78" s="594"/>
      <c r="C78" s="597" t="s">
        <v>1770</v>
      </c>
      <c r="D78" s="92"/>
      <c r="E78" s="745">
        <v>50</v>
      </c>
      <c r="F78" s="245" t="s">
        <v>1771</v>
      </c>
      <c r="G78" s="245"/>
      <c r="H78" s="173">
        <v>80</v>
      </c>
      <c r="I78">
        <f>320*1.05</f>
        <v>336</v>
      </c>
      <c r="J78" s="173">
        <v>70</v>
      </c>
      <c r="K78" s="402">
        <f t="shared" si="17"/>
        <v>16.666666666666664</v>
      </c>
      <c r="L78" s="173">
        <f t="shared" si="18"/>
        <v>96.666666666666657</v>
      </c>
      <c r="N78" s="173">
        <f t="shared" si="19"/>
        <v>135.33333333333331</v>
      </c>
      <c r="O78" s="173">
        <v>150</v>
      </c>
      <c r="P78" t="s">
        <v>2680</v>
      </c>
    </row>
    <row r="79" spans="1:20" customFormat="1" ht="14.5" x14ac:dyDescent="0.35">
      <c r="A79" s="3"/>
      <c r="B79" s="3"/>
      <c r="C79" s="365">
        <v>45901</v>
      </c>
      <c r="E79" s="366"/>
      <c r="F79" s="245"/>
      <c r="G79" s="245"/>
      <c r="H79" s="173"/>
      <c r="J79" s="173"/>
      <c r="K79" s="402"/>
      <c r="L79" s="173">
        <f t="shared" si="18"/>
        <v>0</v>
      </c>
      <c r="N79" s="173">
        <f t="shared" si="19"/>
        <v>0</v>
      </c>
      <c r="O79" s="173"/>
      <c r="P79" s="13"/>
    </row>
    <row r="80" spans="1:20" customFormat="1" ht="14.5" x14ac:dyDescent="0.35">
      <c r="A80" s="594"/>
      <c r="B80" s="775" t="s">
        <v>583</v>
      </c>
      <c r="C80" s="775" t="s">
        <v>583</v>
      </c>
      <c r="D80" s="92"/>
      <c r="E80" s="745">
        <v>46</v>
      </c>
      <c r="F80" s="371" t="s">
        <v>1056</v>
      </c>
      <c r="G80" s="371"/>
      <c r="H80" s="176">
        <v>55</v>
      </c>
      <c r="I80" s="12">
        <v>5225</v>
      </c>
      <c r="J80" s="176">
        <v>3700</v>
      </c>
      <c r="K80" s="410">
        <f t="shared" ref="K80:K97" si="20">+H80/I80*J80</f>
        <v>38.94736842105263</v>
      </c>
      <c r="L80" s="176">
        <f t="shared" si="18"/>
        <v>93.94736842105263</v>
      </c>
      <c r="M80" s="176"/>
      <c r="N80" s="176">
        <f t="shared" si="19"/>
        <v>131.52631578947367</v>
      </c>
      <c r="O80" s="176">
        <v>145</v>
      </c>
      <c r="P80" s="344"/>
      <c r="S80" t="s">
        <v>12</v>
      </c>
      <c r="T80" s="6">
        <v>46095</v>
      </c>
    </row>
    <row r="81" spans="1:20" customFormat="1" ht="14.5" x14ac:dyDescent="0.35">
      <c r="A81" s="594"/>
      <c r="B81" s="775" t="s">
        <v>583</v>
      </c>
      <c r="C81" s="775" t="s">
        <v>583</v>
      </c>
      <c r="D81" s="92"/>
      <c r="E81" s="745">
        <v>50</v>
      </c>
      <c r="F81" s="371" t="s">
        <v>1056</v>
      </c>
      <c r="G81" s="371"/>
      <c r="H81" s="176">
        <v>55</v>
      </c>
      <c r="I81" s="12">
        <v>5225</v>
      </c>
      <c r="J81" s="176">
        <v>3700</v>
      </c>
      <c r="K81" s="410">
        <f t="shared" si="20"/>
        <v>38.94736842105263</v>
      </c>
      <c r="L81" s="176">
        <f t="shared" si="18"/>
        <v>93.94736842105263</v>
      </c>
      <c r="M81" s="176"/>
      <c r="N81" s="176">
        <f t="shared" si="19"/>
        <v>131.52631578947367</v>
      </c>
      <c r="O81" s="176">
        <v>150</v>
      </c>
      <c r="P81" s="173">
        <v>150</v>
      </c>
      <c r="S81" t="s">
        <v>12</v>
      </c>
      <c r="T81" s="6">
        <v>46107</v>
      </c>
    </row>
    <row r="82" spans="1:20" s="13" customFormat="1" ht="14.5" x14ac:dyDescent="0.35">
      <c r="A82" s="369"/>
      <c r="B82" s="755" t="s">
        <v>1842</v>
      </c>
      <c r="C82" s="755" t="s">
        <v>1884</v>
      </c>
      <c r="E82" s="399">
        <v>42</v>
      </c>
      <c r="F82" s="435" t="s">
        <v>1843</v>
      </c>
      <c r="G82" s="435"/>
      <c r="H82" s="344">
        <v>30</v>
      </c>
      <c r="I82" s="13">
        <v>5225</v>
      </c>
      <c r="J82" s="344">
        <v>3700</v>
      </c>
      <c r="K82" s="443">
        <f t="shared" si="20"/>
        <v>21.244019138755981</v>
      </c>
      <c r="L82" s="344">
        <f t="shared" si="18"/>
        <v>51.244019138755981</v>
      </c>
      <c r="M82" s="344"/>
      <c r="N82" s="344">
        <f t="shared" si="19"/>
        <v>71.741626794258366</v>
      </c>
      <c r="O82" s="344">
        <v>125</v>
      </c>
      <c r="P82" s="344">
        <v>125</v>
      </c>
    </row>
    <row r="83" spans="1:20" customFormat="1" ht="14.5" x14ac:dyDescent="0.35">
      <c r="A83" s="594"/>
      <c r="B83" s="775" t="s">
        <v>1898</v>
      </c>
      <c r="C83" s="775" t="s">
        <v>1897</v>
      </c>
      <c r="D83" s="92"/>
      <c r="E83" s="745">
        <v>44</v>
      </c>
      <c r="F83" s="245" t="s">
        <v>1847</v>
      </c>
      <c r="G83" s="245"/>
      <c r="H83" s="173">
        <v>46</v>
      </c>
      <c r="I83">
        <v>5225</v>
      </c>
      <c r="J83" s="173">
        <v>3700</v>
      </c>
      <c r="K83" s="402">
        <f t="shared" si="20"/>
        <v>32.574162679425832</v>
      </c>
      <c r="L83" s="173">
        <f t="shared" si="18"/>
        <v>78.574162679425825</v>
      </c>
      <c r="M83" s="173"/>
      <c r="N83" s="173">
        <f t="shared" si="19"/>
        <v>110.00382775119616</v>
      </c>
      <c r="O83" s="173">
        <v>150</v>
      </c>
      <c r="P83" s="173">
        <v>125</v>
      </c>
    </row>
    <row r="84" spans="1:20" customFormat="1" ht="14.5" x14ac:dyDescent="0.35">
      <c r="A84" s="594"/>
      <c r="B84" s="775" t="s">
        <v>1898</v>
      </c>
      <c r="C84" s="775" t="s">
        <v>1897</v>
      </c>
      <c r="D84" s="92"/>
      <c r="E84" s="745">
        <v>46</v>
      </c>
      <c r="F84" s="245" t="s">
        <v>1847</v>
      </c>
      <c r="G84" s="245"/>
      <c r="H84" s="173">
        <v>46</v>
      </c>
      <c r="I84">
        <v>5225</v>
      </c>
      <c r="J84" s="173">
        <v>3700</v>
      </c>
      <c r="K84" s="402">
        <f t="shared" si="20"/>
        <v>32.574162679425832</v>
      </c>
      <c r="L84" s="173">
        <f t="shared" si="18"/>
        <v>78.574162679425825</v>
      </c>
      <c r="M84" s="173"/>
      <c r="N84" s="173">
        <f t="shared" si="19"/>
        <v>110.00382775119616</v>
      </c>
      <c r="O84" s="173">
        <v>150</v>
      </c>
      <c r="P84" s="173">
        <v>125</v>
      </c>
    </row>
    <row r="85" spans="1:20" customFormat="1" ht="14.5" x14ac:dyDescent="0.35">
      <c r="A85" s="594"/>
      <c r="B85" s="775" t="s">
        <v>1898</v>
      </c>
      <c r="C85" s="775" t="s">
        <v>1897</v>
      </c>
      <c r="D85" s="92"/>
      <c r="E85" s="745">
        <v>48</v>
      </c>
      <c r="F85" s="245" t="s">
        <v>1847</v>
      </c>
      <c r="G85" s="245"/>
      <c r="H85" s="173">
        <v>46</v>
      </c>
      <c r="I85">
        <v>5225</v>
      </c>
      <c r="J85" s="173">
        <v>3700</v>
      </c>
      <c r="K85" s="402">
        <f t="shared" si="20"/>
        <v>32.574162679425832</v>
      </c>
      <c r="L85" s="173">
        <f t="shared" si="18"/>
        <v>78.574162679425825</v>
      </c>
      <c r="M85" s="173"/>
      <c r="N85" s="173">
        <f t="shared" si="19"/>
        <v>110.00382775119616</v>
      </c>
      <c r="O85" s="173">
        <v>150</v>
      </c>
      <c r="P85" s="173">
        <v>125</v>
      </c>
    </row>
    <row r="86" spans="1:20" customFormat="1" ht="14.5" x14ac:dyDescent="0.35">
      <c r="A86" s="594"/>
      <c r="B86" s="775" t="s">
        <v>1898</v>
      </c>
      <c r="C86" s="775" t="s">
        <v>1897</v>
      </c>
      <c r="D86" s="92"/>
      <c r="E86" s="745">
        <v>50</v>
      </c>
      <c r="F86" s="245" t="s">
        <v>1847</v>
      </c>
      <c r="G86" s="245"/>
      <c r="H86" s="173">
        <v>46</v>
      </c>
      <c r="I86">
        <v>5225</v>
      </c>
      <c r="J86" s="173">
        <v>3700</v>
      </c>
      <c r="K86" s="402">
        <f t="shared" si="20"/>
        <v>32.574162679425832</v>
      </c>
      <c r="L86" s="173">
        <f t="shared" si="18"/>
        <v>78.574162679425825</v>
      </c>
      <c r="M86" s="173"/>
      <c r="N86" s="173">
        <f t="shared" si="19"/>
        <v>110.00382775119616</v>
      </c>
      <c r="O86" s="173">
        <v>150</v>
      </c>
      <c r="P86" s="173">
        <v>125</v>
      </c>
    </row>
    <row r="87" spans="1:20" customFormat="1" ht="14.5" x14ac:dyDescent="0.35">
      <c r="A87" s="594"/>
      <c r="B87" s="775" t="s">
        <v>1848</v>
      </c>
      <c r="C87" s="775" t="s">
        <v>1879</v>
      </c>
      <c r="D87" s="92"/>
      <c r="E87" s="745">
        <v>48</v>
      </c>
      <c r="F87" s="371" t="s">
        <v>1881</v>
      </c>
      <c r="G87" s="371"/>
      <c r="H87" s="176">
        <v>55</v>
      </c>
      <c r="I87" s="12">
        <v>5225</v>
      </c>
      <c r="J87" s="176">
        <v>3700</v>
      </c>
      <c r="K87" s="410">
        <f t="shared" si="20"/>
        <v>38.94736842105263</v>
      </c>
      <c r="L87" s="176">
        <f t="shared" si="18"/>
        <v>93.94736842105263</v>
      </c>
      <c r="M87" s="176"/>
      <c r="N87" s="176">
        <f t="shared" si="19"/>
        <v>131.52631578947367</v>
      </c>
      <c r="O87" s="176">
        <v>150</v>
      </c>
      <c r="P87" s="344">
        <v>150</v>
      </c>
      <c r="S87" t="s">
        <v>12</v>
      </c>
      <c r="T87" s="6">
        <v>46094</v>
      </c>
    </row>
    <row r="88" spans="1:20" s="13" customFormat="1" ht="14.5" x14ac:dyDescent="0.35">
      <c r="A88" s="369"/>
      <c r="B88" s="755" t="s">
        <v>1848</v>
      </c>
      <c r="C88" s="755" t="s">
        <v>1879</v>
      </c>
      <c r="E88" s="399">
        <v>50</v>
      </c>
      <c r="F88" s="435" t="s">
        <v>1881</v>
      </c>
      <c r="G88" s="435"/>
      <c r="H88" s="344">
        <v>55</v>
      </c>
      <c r="I88" s="13">
        <v>5225</v>
      </c>
      <c r="J88" s="344">
        <v>3700</v>
      </c>
      <c r="K88" s="443">
        <f t="shared" si="20"/>
        <v>38.94736842105263</v>
      </c>
      <c r="L88" s="344">
        <f t="shared" si="18"/>
        <v>93.94736842105263</v>
      </c>
      <c r="M88" s="344"/>
      <c r="N88" s="344">
        <f t="shared" si="19"/>
        <v>131.52631578947367</v>
      </c>
      <c r="O88" s="344">
        <v>150</v>
      </c>
      <c r="P88" s="344">
        <v>150</v>
      </c>
    </row>
    <row r="89" spans="1:20" customFormat="1" ht="14.5" x14ac:dyDescent="0.35">
      <c r="A89" s="594"/>
      <c r="B89" s="775" t="s">
        <v>1853</v>
      </c>
      <c r="C89" s="775" t="s">
        <v>1853</v>
      </c>
      <c r="D89" s="92"/>
      <c r="E89" s="745">
        <v>40</v>
      </c>
      <c r="F89" s="245" t="s">
        <v>1843</v>
      </c>
      <c r="G89" s="245"/>
      <c r="H89" s="173">
        <v>20</v>
      </c>
      <c r="I89">
        <v>5225</v>
      </c>
      <c r="J89" s="173">
        <v>3700</v>
      </c>
      <c r="K89" s="402">
        <f t="shared" si="20"/>
        <v>14.162679425837322</v>
      </c>
      <c r="L89" s="173">
        <f t="shared" si="18"/>
        <v>34.162679425837325</v>
      </c>
      <c r="M89" s="173"/>
      <c r="N89" s="173">
        <f t="shared" si="19"/>
        <v>47.827751196172251</v>
      </c>
      <c r="O89" s="173">
        <v>125</v>
      </c>
      <c r="P89" s="173">
        <v>80</v>
      </c>
    </row>
    <row r="90" spans="1:20" customFormat="1" ht="14.5" x14ac:dyDescent="0.35">
      <c r="A90" s="594"/>
      <c r="B90" s="775" t="s">
        <v>1853</v>
      </c>
      <c r="C90" s="775" t="s">
        <v>1853</v>
      </c>
      <c r="D90" s="92"/>
      <c r="E90" s="745">
        <v>44</v>
      </c>
      <c r="F90" s="371" t="s">
        <v>1843</v>
      </c>
      <c r="G90" s="371"/>
      <c r="H90" s="176">
        <v>20</v>
      </c>
      <c r="I90" s="12">
        <v>5225</v>
      </c>
      <c r="J90" s="176">
        <v>3700</v>
      </c>
      <c r="K90" s="410">
        <f t="shared" si="20"/>
        <v>14.162679425837322</v>
      </c>
      <c r="L90" s="176">
        <f t="shared" si="18"/>
        <v>34.162679425837325</v>
      </c>
      <c r="M90" s="176"/>
      <c r="N90" s="176">
        <f t="shared" si="19"/>
        <v>47.827751196172251</v>
      </c>
      <c r="O90" s="176">
        <v>125</v>
      </c>
      <c r="P90" s="344">
        <v>80</v>
      </c>
      <c r="S90" t="s">
        <v>2758</v>
      </c>
      <c r="T90" s="6">
        <v>46086</v>
      </c>
    </row>
    <row r="91" spans="1:20" customFormat="1" ht="14.5" x14ac:dyDescent="0.35">
      <c r="A91" s="594"/>
      <c r="B91" s="775" t="s">
        <v>1853</v>
      </c>
      <c r="C91" s="775" t="s">
        <v>1853</v>
      </c>
      <c r="D91" s="92"/>
      <c r="E91" s="745">
        <v>46</v>
      </c>
      <c r="F91" s="245" t="s">
        <v>1843</v>
      </c>
      <c r="G91" s="245"/>
      <c r="H91" s="173">
        <v>20</v>
      </c>
      <c r="I91">
        <v>5225</v>
      </c>
      <c r="J91" s="173">
        <v>3700</v>
      </c>
      <c r="K91" s="402">
        <f>+H91/I91*J91</f>
        <v>14.162679425837322</v>
      </c>
      <c r="L91" s="173">
        <f>+H91+K91</f>
        <v>34.162679425837325</v>
      </c>
      <c r="M91" s="173"/>
      <c r="N91" s="173">
        <f>+L91*1.4</f>
        <v>47.827751196172251</v>
      </c>
      <c r="O91" s="173">
        <v>125</v>
      </c>
      <c r="P91" s="173">
        <v>80</v>
      </c>
    </row>
    <row r="92" spans="1:20" customFormat="1" ht="14.5" x14ac:dyDescent="0.35">
      <c r="A92" s="594"/>
      <c r="B92" s="775" t="s">
        <v>1853</v>
      </c>
      <c r="C92" s="775" t="s">
        <v>1853</v>
      </c>
      <c r="D92" s="92"/>
      <c r="E92" s="745">
        <v>46</v>
      </c>
      <c r="F92" s="245" t="s">
        <v>1843</v>
      </c>
      <c r="G92" s="245"/>
      <c r="H92" s="173">
        <v>20</v>
      </c>
      <c r="I92">
        <v>5225</v>
      </c>
      <c r="J92" s="173">
        <v>3700</v>
      </c>
      <c r="K92" s="402">
        <f>+H92/I92*J92</f>
        <v>14.162679425837322</v>
      </c>
      <c r="L92" s="173">
        <f>+H92+K92</f>
        <v>34.162679425837325</v>
      </c>
      <c r="M92" s="173"/>
      <c r="N92" s="173">
        <f>+L92*1.4</f>
        <v>47.827751196172251</v>
      </c>
      <c r="O92" s="173">
        <v>125</v>
      </c>
      <c r="P92" s="173">
        <v>80</v>
      </c>
      <c r="S92" t="s">
        <v>3158</v>
      </c>
    </row>
    <row r="93" spans="1:20" customFormat="1" ht="14.5" x14ac:dyDescent="0.35">
      <c r="A93" s="594"/>
      <c r="B93" s="775" t="s">
        <v>1860</v>
      </c>
      <c r="C93" s="775" t="s">
        <v>1861</v>
      </c>
      <c r="D93" s="92"/>
      <c r="E93" s="745">
        <v>42</v>
      </c>
      <c r="F93" s="245" t="s">
        <v>1862</v>
      </c>
      <c r="G93" s="245"/>
      <c r="H93" s="173">
        <v>41</v>
      </c>
      <c r="I93">
        <v>5225</v>
      </c>
      <c r="J93" s="173">
        <v>3700</v>
      </c>
      <c r="K93" s="402">
        <f t="shared" si="20"/>
        <v>29.033492822966512</v>
      </c>
      <c r="L93" s="173">
        <f t="shared" si="18"/>
        <v>70.033492822966508</v>
      </c>
      <c r="M93" s="173"/>
      <c r="N93" s="173">
        <f t="shared" si="19"/>
        <v>98.046889952153109</v>
      </c>
      <c r="O93" s="173">
        <v>125</v>
      </c>
      <c r="P93" s="173">
        <v>125</v>
      </c>
    </row>
    <row r="94" spans="1:20" customFormat="1" ht="14.5" x14ac:dyDescent="0.35">
      <c r="A94" s="594"/>
      <c r="B94" s="775" t="s">
        <v>1860</v>
      </c>
      <c r="C94" s="775" t="s">
        <v>1861</v>
      </c>
      <c r="D94" s="92"/>
      <c r="E94" s="745">
        <v>44</v>
      </c>
      <c r="F94" s="245" t="s">
        <v>1862</v>
      </c>
      <c r="G94" s="245"/>
      <c r="H94" s="173">
        <v>41</v>
      </c>
      <c r="I94">
        <v>5225</v>
      </c>
      <c r="J94" s="173">
        <v>3700</v>
      </c>
      <c r="K94" s="402">
        <f t="shared" si="20"/>
        <v>29.033492822966512</v>
      </c>
      <c r="L94" s="173">
        <f t="shared" si="18"/>
        <v>70.033492822966508</v>
      </c>
      <c r="M94" s="173"/>
      <c r="N94" s="173">
        <f t="shared" si="19"/>
        <v>98.046889952153109</v>
      </c>
      <c r="O94" s="173">
        <v>125</v>
      </c>
      <c r="P94" s="173">
        <v>125</v>
      </c>
    </row>
    <row r="95" spans="1:20" customFormat="1" ht="14.5" x14ac:dyDescent="0.35">
      <c r="A95" s="594"/>
      <c r="B95" s="775" t="s">
        <v>1860</v>
      </c>
      <c r="C95" s="775" t="s">
        <v>1861</v>
      </c>
      <c r="D95" s="92"/>
      <c r="E95" s="745">
        <v>46</v>
      </c>
      <c r="F95" s="245" t="s">
        <v>1862</v>
      </c>
      <c r="G95" s="245"/>
      <c r="H95" s="173">
        <v>41</v>
      </c>
      <c r="I95">
        <v>5225</v>
      </c>
      <c r="J95" s="173">
        <v>3700</v>
      </c>
      <c r="K95" s="402">
        <f t="shared" si="20"/>
        <v>29.033492822966512</v>
      </c>
      <c r="L95" s="173">
        <f t="shared" si="18"/>
        <v>70.033492822966508</v>
      </c>
      <c r="M95" s="173"/>
      <c r="N95" s="173">
        <f t="shared" si="19"/>
        <v>98.046889952153109</v>
      </c>
      <c r="O95" s="173">
        <v>125</v>
      </c>
      <c r="P95" s="173">
        <v>125</v>
      </c>
    </row>
    <row r="96" spans="1:20" customFormat="1" ht="14.5" x14ac:dyDescent="0.35">
      <c r="A96" s="594"/>
      <c r="B96" s="775" t="s">
        <v>1860</v>
      </c>
      <c r="C96" s="775" t="s">
        <v>1028</v>
      </c>
      <c r="D96" s="92"/>
      <c r="E96" s="745">
        <v>36</v>
      </c>
      <c r="F96" s="371" t="s">
        <v>1905</v>
      </c>
      <c r="G96" s="371"/>
      <c r="H96" s="176">
        <v>35</v>
      </c>
      <c r="I96" s="12">
        <v>5225</v>
      </c>
      <c r="J96" s="176">
        <v>3700</v>
      </c>
      <c r="K96" s="410">
        <f t="shared" si="20"/>
        <v>24.784688995215312</v>
      </c>
      <c r="L96" s="176">
        <f t="shared" si="18"/>
        <v>59.784688995215312</v>
      </c>
      <c r="M96" s="176"/>
      <c r="N96" s="176">
        <f t="shared" si="19"/>
        <v>83.698564593301427</v>
      </c>
      <c r="O96" s="176">
        <v>125</v>
      </c>
      <c r="P96" s="344"/>
      <c r="S96" t="s">
        <v>12</v>
      </c>
      <c r="T96" s="6">
        <v>46081</v>
      </c>
    </row>
    <row r="97" spans="1:22" customFormat="1" ht="14.5" x14ac:dyDescent="0.35">
      <c r="A97" s="594"/>
      <c r="B97" s="775" t="s">
        <v>1860</v>
      </c>
      <c r="C97" s="775"/>
      <c r="D97" s="92"/>
      <c r="E97" s="745">
        <v>38</v>
      </c>
      <c r="F97" s="245" t="s">
        <v>1905</v>
      </c>
      <c r="G97" s="245"/>
      <c r="H97" s="173">
        <v>35</v>
      </c>
      <c r="I97">
        <v>5225</v>
      </c>
      <c r="J97" s="173">
        <v>3700</v>
      </c>
      <c r="K97" s="402">
        <f t="shared" si="20"/>
        <v>24.784688995215312</v>
      </c>
      <c r="L97" s="173">
        <f t="shared" si="18"/>
        <v>59.784688995215312</v>
      </c>
      <c r="M97" s="173"/>
      <c r="N97" s="173">
        <f t="shared" si="19"/>
        <v>83.698564593301427</v>
      </c>
      <c r="O97" s="173">
        <v>125</v>
      </c>
      <c r="P97" s="173">
        <v>125</v>
      </c>
    </row>
    <row r="98" spans="1:22" customFormat="1" ht="14.5" x14ac:dyDescent="0.35">
      <c r="A98" s="3"/>
      <c r="B98" s="232"/>
      <c r="C98" s="232" t="s">
        <v>2069</v>
      </c>
      <c r="E98" s="366"/>
      <c r="F98" s="245"/>
      <c r="G98" s="245"/>
      <c r="H98" s="173"/>
      <c r="J98" s="173"/>
      <c r="K98" s="402"/>
      <c r="L98" s="173"/>
      <c r="M98" s="173"/>
      <c r="N98" s="173"/>
      <c r="O98" s="173"/>
      <c r="P98" s="344"/>
    </row>
    <row r="99" spans="1:22" customFormat="1" ht="15.5" x14ac:dyDescent="0.35">
      <c r="A99" s="594"/>
      <c r="B99" s="597"/>
      <c r="C99" s="597" t="s">
        <v>1947</v>
      </c>
      <c r="D99" s="92"/>
      <c r="E99" s="745"/>
      <c r="F99" s="245" t="s">
        <v>2051</v>
      </c>
      <c r="G99" s="245"/>
      <c r="H99" s="245">
        <v>280</v>
      </c>
      <c r="I99" s="173">
        <f>+H99/7</f>
        <v>40</v>
      </c>
      <c r="J99">
        <v>4072</v>
      </c>
      <c r="K99" s="173">
        <v>3073</v>
      </c>
      <c r="L99" s="173">
        <f>+I99/J99*K99</f>
        <v>30.186640471512771</v>
      </c>
      <c r="M99" s="173">
        <f>+I99+L99</f>
        <v>70.186640471512774</v>
      </c>
      <c r="O99" s="173">
        <f>+M99*1.5</f>
        <v>105.27996070726917</v>
      </c>
      <c r="P99" s="173">
        <v>150</v>
      </c>
      <c r="T99" s="6"/>
      <c r="V99" s="10"/>
    </row>
    <row r="100" spans="1:22" customFormat="1" ht="15.5" x14ac:dyDescent="0.35">
      <c r="A100" s="594"/>
      <c r="B100" s="597"/>
      <c r="C100" s="597" t="s">
        <v>1947</v>
      </c>
      <c r="D100" s="92"/>
      <c r="E100" s="745" t="s">
        <v>760</v>
      </c>
      <c r="F100" s="371" t="s">
        <v>1945</v>
      </c>
      <c r="G100" s="371"/>
      <c r="H100" s="371">
        <v>280</v>
      </c>
      <c r="I100" s="176">
        <f>+H100/7</f>
        <v>40</v>
      </c>
      <c r="J100" s="12">
        <v>4072</v>
      </c>
      <c r="K100" s="176">
        <v>3073</v>
      </c>
      <c r="L100" s="176">
        <f>+I100/J100*K100</f>
        <v>30.186640471512771</v>
      </c>
      <c r="M100" s="176">
        <f>+I100+L100</f>
        <v>70.186640471512774</v>
      </c>
      <c r="N100" s="12"/>
      <c r="O100" s="176">
        <f>+M100*1.5</f>
        <v>105.27996070726917</v>
      </c>
      <c r="P100" s="173">
        <v>150</v>
      </c>
      <c r="S100" t="s">
        <v>12</v>
      </c>
      <c r="T100" s="6">
        <v>46107</v>
      </c>
      <c r="V100" s="10"/>
    </row>
    <row r="101" spans="1:22" customFormat="1" ht="15.5" x14ac:dyDescent="0.35">
      <c r="A101" s="3"/>
      <c r="B101" s="233"/>
      <c r="C101" s="233" t="s">
        <v>1947</v>
      </c>
      <c r="E101" s="366" t="s">
        <v>589</v>
      </c>
      <c r="F101" s="371" t="s">
        <v>1946</v>
      </c>
      <c r="G101" s="371"/>
      <c r="H101" s="371">
        <v>280</v>
      </c>
      <c r="I101" s="176">
        <f>+H101/7</f>
        <v>40</v>
      </c>
      <c r="J101" s="12">
        <v>4072</v>
      </c>
      <c r="K101" s="176">
        <v>3073</v>
      </c>
      <c r="L101" s="176">
        <f>+I101/J101*K101</f>
        <v>30.186640471512771</v>
      </c>
      <c r="M101" s="176">
        <f>+I101+L101</f>
        <v>70.186640471512774</v>
      </c>
      <c r="N101" s="12"/>
      <c r="O101" s="176">
        <f>+M101*1.5</f>
        <v>105.27996070726917</v>
      </c>
      <c r="P101" s="344">
        <v>150</v>
      </c>
      <c r="S101" t="s">
        <v>2267</v>
      </c>
      <c r="T101" s="6">
        <v>46042</v>
      </c>
      <c r="V101" s="10"/>
    </row>
    <row r="102" spans="1:22" customFormat="1" ht="15.5" x14ac:dyDescent="0.35">
      <c r="A102" s="594"/>
      <c r="B102" s="597"/>
      <c r="C102" s="597" t="s">
        <v>1947</v>
      </c>
      <c r="D102" s="92"/>
      <c r="E102" s="745" t="s">
        <v>405</v>
      </c>
      <c r="F102" s="371" t="s">
        <v>1946</v>
      </c>
      <c r="G102" s="371"/>
      <c r="H102" s="371">
        <v>280</v>
      </c>
      <c r="I102" s="176">
        <f>+H102/7</f>
        <v>40</v>
      </c>
      <c r="J102" s="12">
        <v>4072</v>
      </c>
      <c r="K102" s="176">
        <v>3073</v>
      </c>
      <c r="L102" s="176">
        <f>+I102/J102*K102</f>
        <v>30.186640471512771</v>
      </c>
      <c r="M102" s="176">
        <f>+I102+L102</f>
        <v>70.186640471512774</v>
      </c>
      <c r="N102" s="12"/>
      <c r="O102" s="176">
        <f>+M102*1.5</f>
        <v>105.27996070726917</v>
      </c>
      <c r="P102" s="344">
        <v>125</v>
      </c>
      <c r="S102" t="s">
        <v>2657</v>
      </c>
      <c r="T102" s="6">
        <v>46079</v>
      </c>
      <c r="V102" s="10"/>
    </row>
    <row r="103" spans="1:22" customFormat="1" ht="15.5" x14ac:dyDescent="0.35">
      <c r="A103" s="3"/>
      <c r="B103" s="232" t="s">
        <v>2867</v>
      </c>
      <c r="C103" s="232" t="s">
        <v>3053</v>
      </c>
      <c r="E103" s="366"/>
      <c r="F103" s="245"/>
      <c r="G103" s="245"/>
      <c r="H103" s="245"/>
      <c r="I103" s="173"/>
      <c r="K103" s="173"/>
      <c r="L103" s="173"/>
      <c r="M103" s="173"/>
      <c r="O103" s="173"/>
      <c r="P103" s="173"/>
      <c r="T103" s="6"/>
      <c r="V103" s="10"/>
    </row>
    <row r="104" spans="1:22" customFormat="1" ht="15.5" x14ac:dyDescent="0.35">
      <c r="A104" s="3"/>
      <c r="B104" s="233" t="s">
        <v>1842</v>
      </c>
      <c r="C104" s="233" t="s">
        <v>3006</v>
      </c>
      <c r="E104" s="366">
        <v>44</v>
      </c>
      <c r="F104" s="245" t="s">
        <v>2866</v>
      </c>
      <c r="G104" s="245"/>
      <c r="H104" s="245">
        <v>25</v>
      </c>
      <c r="I104" s="173">
        <v>252</v>
      </c>
      <c r="J104">
        <v>126</v>
      </c>
      <c r="K104" s="173">
        <f t="shared" ref="K104:K122" si="21">+H104/I104*J104</f>
        <v>12.5</v>
      </c>
      <c r="L104" s="173">
        <f t="shared" ref="L104:L122" si="22">+H104+K104</f>
        <v>37.5</v>
      </c>
      <c r="M104" s="173">
        <f>+L104*1.5</f>
        <v>56.25</v>
      </c>
      <c r="O104" s="173">
        <v>125</v>
      </c>
      <c r="P104" s="173"/>
      <c r="T104" s="6"/>
      <c r="V104" s="10"/>
    </row>
    <row r="105" spans="1:22" customFormat="1" ht="15.5" x14ac:dyDescent="0.35">
      <c r="A105" s="3"/>
      <c r="B105" s="233" t="s">
        <v>1842</v>
      </c>
      <c r="C105" s="233" t="s">
        <v>3006</v>
      </c>
      <c r="E105" s="366">
        <v>46</v>
      </c>
      <c r="F105" s="245" t="s">
        <v>2866</v>
      </c>
      <c r="G105" s="245"/>
      <c r="H105" s="245">
        <v>25</v>
      </c>
      <c r="I105" s="173">
        <v>252</v>
      </c>
      <c r="J105">
        <v>126</v>
      </c>
      <c r="K105" s="173">
        <f t="shared" si="21"/>
        <v>12.5</v>
      </c>
      <c r="L105" s="173">
        <f t="shared" si="22"/>
        <v>37.5</v>
      </c>
      <c r="M105" s="173">
        <f>+L105*1.5</f>
        <v>56.25</v>
      </c>
      <c r="O105" s="173">
        <v>125</v>
      </c>
      <c r="P105" s="173"/>
      <c r="T105" s="6"/>
      <c r="V105" s="10"/>
    </row>
    <row r="106" spans="1:22" customFormat="1" ht="15.5" x14ac:dyDescent="0.35">
      <c r="A106" s="3"/>
      <c r="B106" s="233" t="s">
        <v>1842</v>
      </c>
      <c r="C106" s="233" t="s">
        <v>3006</v>
      </c>
      <c r="E106" s="366">
        <v>48</v>
      </c>
      <c r="F106" s="371" t="s">
        <v>2866</v>
      </c>
      <c r="G106" s="371"/>
      <c r="H106" s="371">
        <v>25</v>
      </c>
      <c r="I106" s="176">
        <v>252</v>
      </c>
      <c r="J106" s="12">
        <v>126</v>
      </c>
      <c r="K106" s="176">
        <f t="shared" si="21"/>
        <v>12.5</v>
      </c>
      <c r="L106" s="176">
        <f t="shared" si="22"/>
        <v>37.5</v>
      </c>
      <c r="M106" s="176">
        <f>+L106*1.5</f>
        <v>56.25</v>
      </c>
      <c r="N106" s="12"/>
      <c r="O106" s="176">
        <v>145</v>
      </c>
      <c r="P106" s="173"/>
      <c r="S106" t="s">
        <v>12</v>
      </c>
      <c r="T106" s="6">
        <v>46112</v>
      </c>
      <c r="V106" s="10"/>
    </row>
    <row r="107" spans="1:22" customFormat="1" ht="15.5" x14ac:dyDescent="0.35">
      <c r="A107" s="3"/>
      <c r="B107" s="233" t="s">
        <v>1842</v>
      </c>
      <c r="C107" s="233" t="s">
        <v>3006</v>
      </c>
      <c r="E107" s="366">
        <v>50</v>
      </c>
      <c r="F107" s="245" t="s">
        <v>2866</v>
      </c>
      <c r="G107" s="245"/>
      <c r="H107" s="245">
        <v>25</v>
      </c>
      <c r="I107" s="173">
        <v>252</v>
      </c>
      <c r="J107">
        <v>126</v>
      </c>
      <c r="K107" s="173">
        <f t="shared" si="21"/>
        <v>12.5</v>
      </c>
      <c r="L107" s="173">
        <f t="shared" si="22"/>
        <v>37.5</v>
      </c>
      <c r="M107" s="173">
        <f>+L107*1.5</f>
        <v>56.25</v>
      </c>
      <c r="O107" s="173">
        <v>125</v>
      </c>
      <c r="P107" s="173"/>
      <c r="T107" s="6"/>
      <c r="V107" s="10"/>
    </row>
    <row r="108" spans="1:22" customFormat="1" ht="15.5" x14ac:dyDescent="0.35">
      <c r="A108" s="3"/>
      <c r="B108" s="3"/>
      <c r="C108" s="233" t="s">
        <v>3050</v>
      </c>
      <c r="D108" s="233"/>
      <c r="E108" s="366">
        <v>44</v>
      </c>
      <c r="F108" s="245" t="s">
        <v>3051</v>
      </c>
      <c r="G108" s="245"/>
      <c r="H108" s="146">
        <v>25</v>
      </c>
      <c r="I108" s="3">
        <v>300</v>
      </c>
      <c r="J108" s="146">
        <v>160</v>
      </c>
      <c r="K108" s="402">
        <f t="shared" si="21"/>
        <v>13.333333333333332</v>
      </c>
      <c r="L108" s="173">
        <f t="shared" si="22"/>
        <v>38.333333333333329</v>
      </c>
      <c r="M108" s="3"/>
      <c r="N108" s="2">
        <f t="shared" ref="N108:N122" si="23">+L108*1.5</f>
        <v>57.499999999999993</v>
      </c>
      <c r="O108" s="146">
        <v>125</v>
      </c>
      <c r="P108" s="325"/>
    </row>
    <row r="109" spans="1:22" customFormat="1" ht="15.5" x14ac:dyDescent="0.35">
      <c r="A109" s="3"/>
      <c r="B109" s="3"/>
      <c r="C109" s="233" t="s">
        <v>3050</v>
      </c>
      <c r="D109" s="233"/>
      <c r="E109" s="366">
        <v>46</v>
      </c>
      <c r="F109" s="245" t="s">
        <v>3051</v>
      </c>
      <c r="G109" s="245"/>
      <c r="H109" s="146">
        <v>25</v>
      </c>
      <c r="I109" s="3">
        <v>300</v>
      </c>
      <c r="J109" s="146">
        <v>160</v>
      </c>
      <c r="K109" s="402">
        <f t="shared" si="21"/>
        <v>13.333333333333332</v>
      </c>
      <c r="L109" s="173">
        <f t="shared" si="22"/>
        <v>38.333333333333329</v>
      </c>
      <c r="M109" s="3"/>
      <c r="N109" s="2">
        <f t="shared" si="23"/>
        <v>57.499999999999993</v>
      </c>
      <c r="O109" s="146">
        <v>125</v>
      </c>
      <c r="P109" s="325"/>
    </row>
    <row r="110" spans="1:22" customFormat="1" ht="15.5" x14ac:dyDescent="0.35">
      <c r="A110" s="3"/>
      <c r="B110" s="3"/>
      <c r="C110" s="233" t="s">
        <v>3050</v>
      </c>
      <c r="D110" s="233"/>
      <c r="E110" s="366">
        <v>48</v>
      </c>
      <c r="F110" s="245" t="s">
        <v>3051</v>
      </c>
      <c r="G110" s="245"/>
      <c r="H110" s="146">
        <v>25</v>
      </c>
      <c r="I110" s="3">
        <v>300</v>
      </c>
      <c r="J110" s="146">
        <v>160</v>
      </c>
      <c r="K110" s="402">
        <f t="shared" si="21"/>
        <v>13.333333333333332</v>
      </c>
      <c r="L110" s="173">
        <f t="shared" si="22"/>
        <v>38.333333333333329</v>
      </c>
      <c r="M110" s="3"/>
      <c r="N110" s="2">
        <f t="shared" si="23"/>
        <v>57.499999999999993</v>
      </c>
      <c r="O110" s="146">
        <v>125</v>
      </c>
      <c r="P110" s="325"/>
    </row>
    <row r="111" spans="1:22" customFormat="1" ht="15.5" x14ac:dyDescent="0.35">
      <c r="A111" s="3"/>
      <c r="B111" s="3"/>
      <c r="C111" s="233" t="s">
        <v>3050</v>
      </c>
      <c r="D111" s="233"/>
      <c r="E111" s="366">
        <v>50</v>
      </c>
      <c r="F111" s="245" t="s">
        <v>3051</v>
      </c>
      <c r="G111" s="245"/>
      <c r="H111" s="146">
        <v>25</v>
      </c>
      <c r="I111" s="3">
        <v>300</v>
      </c>
      <c r="J111" s="146">
        <v>160</v>
      </c>
      <c r="K111" s="402">
        <f t="shared" si="21"/>
        <v>13.333333333333332</v>
      </c>
      <c r="L111" s="173">
        <f t="shared" si="22"/>
        <v>38.333333333333329</v>
      </c>
      <c r="M111" s="3"/>
      <c r="N111" s="2">
        <f t="shared" si="23"/>
        <v>57.499999999999993</v>
      </c>
      <c r="O111" s="146">
        <v>125</v>
      </c>
      <c r="P111" s="325"/>
    </row>
    <row r="112" spans="1:22" customFormat="1" ht="15.5" x14ac:dyDescent="0.35">
      <c r="A112" s="3"/>
      <c r="B112" s="3"/>
      <c r="C112" s="233" t="s">
        <v>3039</v>
      </c>
      <c r="D112" s="233"/>
      <c r="E112" s="366">
        <v>52</v>
      </c>
      <c r="F112" s="245" t="s">
        <v>3041</v>
      </c>
      <c r="G112" s="245"/>
      <c r="H112" s="173">
        <v>45</v>
      </c>
      <c r="I112" s="173">
        <v>790</v>
      </c>
      <c r="J112" s="173">
        <v>270</v>
      </c>
      <c r="K112" s="402">
        <f t="shared" si="21"/>
        <v>15.379746835443038</v>
      </c>
      <c r="L112" s="173">
        <f t="shared" si="22"/>
        <v>60.379746835443036</v>
      </c>
      <c r="M112" s="173"/>
      <c r="N112" s="2">
        <f t="shared" si="23"/>
        <v>90.569620253164558</v>
      </c>
      <c r="O112" s="173">
        <v>130</v>
      </c>
      <c r="P112" s="325"/>
    </row>
    <row r="113" spans="1:23" customFormat="1" ht="15.5" x14ac:dyDescent="0.35">
      <c r="A113" s="3"/>
      <c r="B113" s="3"/>
      <c r="C113" s="233" t="s">
        <v>3039</v>
      </c>
      <c r="D113" s="233"/>
      <c r="E113" s="366">
        <v>54</v>
      </c>
      <c r="F113" s="245" t="s">
        <v>3041</v>
      </c>
      <c r="G113" s="245"/>
      <c r="H113" s="173">
        <v>45</v>
      </c>
      <c r="I113" s="173">
        <v>790</v>
      </c>
      <c r="J113" s="173">
        <v>270</v>
      </c>
      <c r="K113" s="402">
        <f t="shared" si="21"/>
        <v>15.379746835443038</v>
      </c>
      <c r="L113" s="173">
        <f t="shared" si="22"/>
        <v>60.379746835443036</v>
      </c>
      <c r="M113" s="173"/>
      <c r="N113" s="2">
        <f t="shared" si="23"/>
        <v>90.569620253164558</v>
      </c>
      <c r="O113" s="173">
        <v>130</v>
      </c>
      <c r="P113" s="325"/>
    </row>
    <row r="114" spans="1:23" customFormat="1" ht="15.5" x14ac:dyDescent="0.35">
      <c r="A114" s="3"/>
      <c r="B114" s="3"/>
      <c r="C114" s="233" t="s">
        <v>3039</v>
      </c>
      <c r="D114" s="233"/>
      <c r="E114" s="366">
        <v>56</v>
      </c>
      <c r="F114" s="245" t="s">
        <v>3041</v>
      </c>
      <c r="G114" s="245"/>
      <c r="H114" s="173">
        <v>45</v>
      </c>
      <c r="I114" s="173">
        <v>790</v>
      </c>
      <c r="J114" s="173">
        <v>270</v>
      </c>
      <c r="K114" s="402">
        <f t="shared" si="21"/>
        <v>15.379746835443038</v>
      </c>
      <c r="L114" s="173">
        <f t="shared" si="22"/>
        <v>60.379746835443036</v>
      </c>
      <c r="M114" s="173"/>
      <c r="N114" s="2">
        <f t="shared" si="23"/>
        <v>90.569620253164558</v>
      </c>
      <c r="O114" s="173">
        <v>130</v>
      </c>
      <c r="P114" s="325"/>
    </row>
    <row r="115" spans="1:23" customFormat="1" ht="15.5" x14ac:dyDescent="0.35">
      <c r="A115" s="3"/>
      <c r="B115" s="3"/>
      <c r="C115" s="233" t="s">
        <v>1547</v>
      </c>
      <c r="D115" s="233"/>
      <c r="E115" s="366">
        <v>44</v>
      </c>
      <c r="F115" s="245" t="s">
        <v>3042</v>
      </c>
      <c r="G115" s="245"/>
      <c r="H115" s="173">
        <v>70</v>
      </c>
      <c r="I115" s="173">
        <v>790</v>
      </c>
      <c r="J115" s="173">
        <v>270</v>
      </c>
      <c r="K115" s="402">
        <f t="shared" si="21"/>
        <v>23.924050632911392</v>
      </c>
      <c r="L115" s="173">
        <f t="shared" si="22"/>
        <v>93.924050632911388</v>
      </c>
      <c r="M115" s="173"/>
      <c r="N115" s="2">
        <f t="shared" si="23"/>
        <v>140.88607594936707</v>
      </c>
      <c r="O115" s="173">
        <v>160</v>
      </c>
      <c r="P115" s="325"/>
    </row>
    <row r="116" spans="1:23" customFormat="1" ht="15.5" x14ac:dyDescent="0.35">
      <c r="A116" s="3"/>
      <c r="B116" s="3"/>
      <c r="C116" s="233" t="s">
        <v>1547</v>
      </c>
      <c r="D116" s="233"/>
      <c r="E116" s="366">
        <v>46</v>
      </c>
      <c r="F116" s="245" t="s">
        <v>3042</v>
      </c>
      <c r="G116" s="245"/>
      <c r="H116" s="173">
        <v>70</v>
      </c>
      <c r="I116" s="173">
        <v>790</v>
      </c>
      <c r="J116" s="173">
        <v>270</v>
      </c>
      <c r="K116" s="402">
        <f t="shared" si="21"/>
        <v>23.924050632911392</v>
      </c>
      <c r="L116" s="173">
        <f t="shared" si="22"/>
        <v>93.924050632911388</v>
      </c>
      <c r="M116" s="173"/>
      <c r="N116" s="2">
        <f t="shared" si="23"/>
        <v>140.88607594936707</v>
      </c>
      <c r="O116" s="173">
        <v>160</v>
      </c>
      <c r="P116" s="325"/>
    </row>
    <row r="117" spans="1:23" customFormat="1" ht="15.5" x14ac:dyDescent="0.35">
      <c r="A117" s="3"/>
      <c r="B117" s="3"/>
      <c r="C117" s="233" t="s">
        <v>1547</v>
      </c>
      <c r="D117" s="233"/>
      <c r="E117" s="366">
        <v>48</v>
      </c>
      <c r="F117" s="245" t="s">
        <v>3042</v>
      </c>
      <c r="G117" s="245"/>
      <c r="H117" s="173">
        <v>70</v>
      </c>
      <c r="I117" s="173">
        <v>790</v>
      </c>
      <c r="J117" s="173">
        <v>270</v>
      </c>
      <c r="K117" s="402">
        <f t="shared" si="21"/>
        <v>23.924050632911392</v>
      </c>
      <c r="L117" s="173">
        <f t="shared" si="22"/>
        <v>93.924050632911388</v>
      </c>
      <c r="M117" s="173"/>
      <c r="N117" s="2">
        <f t="shared" si="23"/>
        <v>140.88607594936707</v>
      </c>
      <c r="O117" s="173">
        <v>160</v>
      </c>
      <c r="P117" s="325"/>
    </row>
    <row r="118" spans="1:23" customFormat="1" ht="15.5" x14ac:dyDescent="0.35">
      <c r="A118" s="3"/>
      <c r="B118" s="3"/>
      <c r="C118" s="233" t="s">
        <v>1547</v>
      </c>
      <c r="D118" s="233"/>
      <c r="E118" s="366">
        <v>50</v>
      </c>
      <c r="F118" s="245" t="s">
        <v>3042</v>
      </c>
      <c r="G118" s="245"/>
      <c r="H118" s="173">
        <v>70</v>
      </c>
      <c r="I118" s="173">
        <v>790</v>
      </c>
      <c r="J118" s="173">
        <v>270</v>
      </c>
      <c r="K118" s="402">
        <f t="shared" si="21"/>
        <v>23.924050632911392</v>
      </c>
      <c r="L118" s="173">
        <f t="shared" si="22"/>
        <v>93.924050632911388</v>
      </c>
      <c r="M118" s="173"/>
      <c r="N118" s="2">
        <f t="shared" si="23"/>
        <v>140.88607594936707</v>
      </c>
      <c r="O118" s="173">
        <v>160</v>
      </c>
      <c r="P118" s="325"/>
    </row>
    <row r="119" spans="1:23" customFormat="1" ht="15.5" x14ac:dyDescent="0.35">
      <c r="A119" s="3"/>
      <c r="B119" s="3"/>
      <c r="C119" s="233" t="s">
        <v>522</v>
      </c>
      <c r="D119" s="233"/>
      <c r="E119" s="366"/>
      <c r="F119" s="245" t="s">
        <v>3043</v>
      </c>
      <c r="G119" s="245"/>
      <c r="H119" s="173">
        <v>60</v>
      </c>
      <c r="I119" s="173">
        <v>790</v>
      </c>
      <c r="J119" s="173">
        <v>270</v>
      </c>
      <c r="K119" s="402">
        <f t="shared" si="21"/>
        <v>20.50632911392405</v>
      </c>
      <c r="L119" s="173">
        <f t="shared" si="22"/>
        <v>80.506329113924053</v>
      </c>
      <c r="M119" s="173"/>
      <c r="N119" s="2">
        <f t="shared" si="23"/>
        <v>120.75949367088609</v>
      </c>
      <c r="O119" s="173">
        <v>160</v>
      </c>
      <c r="P119" s="325"/>
    </row>
    <row r="120" spans="1:23" customFormat="1" ht="15.5" x14ac:dyDescent="0.35">
      <c r="A120" s="3"/>
      <c r="B120" s="3"/>
      <c r="C120" s="233" t="s">
        <v>522</v>
      </c>
      <c r="D120" s="233"/>
      <c r="E120" s="366"/>
      <c r="F120" s="245" t="s">
        <v>3043</v>
      </c>
      <c r="G120" s="245"/>
      <c r="H120" s="173">
        <v>60</v>
      </c>
      <c r="I120" s="173">
        <v>790</v>
      </c>
      <c r="J120" s="173">
        <v>270</v>
      </c>
      <c r="K120" s="402">
        <f t="shared" si="21"/>
        <v>20.50632911392405</v>
      </c>
      <c r="L120" s="173">
        <f t="shared" si="22"/>
        <v>80.506329113924053</v>
      </c>
      <c r="M120" s="173"/>
      <c r="N120" s="2">
        <f t="shared" si="23"/>
        <v>120.75949367088609</v>
      </c>
      <c r="O120" s="173">
        <v>160</v>
      </c>
      <c r="P120" s="325"/>
    </row>
    <row r="121" spans="1:23" customFormat="1" ht="15.5" x14ac:dyDescent="0.35">
      <c r="A121" s="3"/>
      <c r="B121" s="3"/>
      <c r="C121" s="233" t="s">
        <v>522</v>
      </c>
      <c r="D121" s="233"/>
      <c r="E121" s="366"/>
      <c r="F121" s="245" t="s">
        <v>3043</v>
      </c>
      <c r="G121" s="245"/>
      <c r="H121" s="173">
        <v>60</v>
      </c>
      <c r="I121" s="173">
        <v>790</v>
      </c>
      <c r="J121" s="173">
        <v>270</v>
      </c>
      <c r="K121" s="402">
        <f t="shared" si="21"/>
        <v>20.50632911392405</v>
      </c>
      <c r="L121" s="173">
        <f t="shared" si="22"/>
        <v>80.506329113924053</v>
      </c>
      <c r="M121" s="173"/>
      <c r="N121" s="2">
        <f t="shared" si="23"/>
        <v>120.75949367088609</v>
      </c>
      <c r="O121" s="173">
        <v>160</v>
      </c>
      <c r="P121" s="325"/>
    </row>
    <row r="122" spans="1:23" customFormat="1" ht="15.5" x14ac:dyDescent="0.35">
      <c r="A122" s="3"/>
      <c r="B122" s="3"/>
      <c r="C122" s="233" t="s">
        <v>522</v>
      </c>
      <c r="D122" s="233"/>
      <c r="E122" s="366"/>
      <c r="F122" s="245" t="s">
        <v>3043</v>
      </c>
      <c r="G122" s="245"/>
      <c r="H122" s="173">
        <v>60</v>
      </c>
      <c r="I122" s="173">
        <v>790</v>
      </c>
      <c r="J122" s="173">
        <v>270</v>
      </c>
      <c r="K122" s="402">
        <f t="shared" si="21"/>
        <v>20.50632911392405</v>
      </c>
      <c r="L122" s="173">
        <f t="shared" si="22"/>
        <v>80.506329113924053</v>
      </c>
      <c r="M122" s="173"/>
      <c r="N122" s="2">
        <f t="shared" si="23"/>
        <v>120.75949367088609</v>
      </c>
      <c r="O122" s="173">
        <v>160</v>
      </c>
      <c r="P122" s="325"/>
    </row>
    <row r="123" spans="1:23" customFormat="1" ht="15.5" x14ac:dyDescent="0.35">
      <c r="A123" s="3"/>
      <c r="B123" s="233"/>
      <c r="C123" s="233"/>
      <c r="E123" s="366"/>
      <c r="F123" s="245"/>
      <c r="G123" s="245"/>
      <c r="H123" s="245"/>
      <c r="I123" s="173"/>
      <c r="K123" s="173"/>
      <c r="L123" s="173"/>
      <c r="M123" s="173"/>
      <c r="O123" s="173"/>
      <c r="P123" s="173"/>
      <c r="T123" s="6"/>
      <c r="V123" s="10"/>
    </row>
    <row r="124" spans="1:23" ht="15" customHeight="1" outlineLevel="1" x14ac:dyDescent="0.35">
      <c r="C124" s="11"/>
      <c r="E124" s="473"/>
      <c r="F124" s="11" t="s">
        <v>603</v>
      </c>
      <c r="G124" s="11"/>
      <c r="H124" s="136">
        <f>SUM(H4:H31)</f>
        <v>1471</v>
      </c>
      <c r="I124" s="136"/>
      <c r="J124" s="136"/>
      <c r="K124" s="136"/>
      <c r="L124" s="136"/>
      <c r="M124" s="136"/>
      <c r="N124" s="136">
        <f>SUM(N4:N31)</f>
        <v>3212.9084835528515</v>
      </c>
      <c r="O124" s="136">
        <f>SUM(O4:O31)</f>
        <v>3720</v>
      </c>
      <c r="P124" s="474"/>
      <c r="Q124" s="11"/>
      <c r="R124" s="11"/>
      <c r="S124" s="11"/>
      <c r="T124" s="475"/>
      <c r="U124" s="421"/>
      <c r="V124" s="11"/>
      <c r="W124" s="11"/>
    </row>
    <row r="125" spans="1:23" ht="15" customHeight="1" outlineLevel="1" x14ac:dyDescent="0.35">
      <c r="B125" s="11">
        <v>2022</v>
      </c>
      <c r="C125" s="11">
        <v>95</v>
      </c>
      <c r="D125" s="454">
        <v>-33</v>
      </c>
      <c r="E125" s="473">
        <f>+C125+D125</f>
        <v>62</v>
      </c>
      <c r="F125" s="11"/>
      <c r="G125" s="11"/>
      <c r="H125" s="136"/>
      <c r="I125" s="136"/>
      <c r="J125" s="136"/>
      <c r="K125" s="136"/>
      <c r="L125" s="136"/>
      <c r="M125" s="136"/>
      <c r="O125" s="136"/>
      <c r="P125" s="474"/>
      <c r="Q125" s="11"/>
      <c r="R125" s="11"/>
      <c r="S125" s="11"/>
      <c r="T125" s="475"/>
      <c r="U125" s="421"/>
      <c r="V125" s="11"/>
      <c r="W125" s="11"/>
    </row>
    <row r="126" spans="1:23" ht="15" customHeight="1" outlineLevel="1" x14ac:dyDescent="0.35">
      <c r="B126" s="11">
        <v>2023</v>
      </c>
      <c r="C126" s="11">
        <v>108</v>
      </c>
      <c r="D126" s="454">
        <v>-52</v>
      </c>
      <c r="E126" s="473">
        <f>+C126+D126</f>
        <v>56</v>
      </c>
      <c r="F126" s="11"/>
      <c r="G126" s="11"/>
      <c r="H126" s="136"/>
      <c r="I126" s="136"/>
      <c r="J126" s="136"/>
      <c r="K126" s="136"/>
      <c r="L126" s="136"/>
      <c r="M126" s="136"/>
      <c r="O126" s="136"/>
      <c r="P126" s="474"/>
      <c r="Q126" s="11"/>
      <c r="R126" s="11"/>
      <c r="S126" s="11"/>
      <c r="T126" s="475"/>
      <c r="U126" s="421"/>
      <c r="V126" s="11"/>
      <c r="W126" s="11"/>
    </row>
    <row r="127" spans="1:23" ht="25.5" customHeight="1" outlineLevel="1" x14ac:dyDescent="0.6">
      <c r="E127" s="473"/>
      <c r="F127" s="484" t="s">
        <v>13</v>
      </c>
      <c r="G127" s="484"/>
      <c r="H127" s="136"/>
      <c r="I127" s="11"/>
      <c r="J127" s="11"/>
      <c r="K127" s="136"/>
      <c r="L127" s="136"/>
      <c r="M127" s="485"/>
      <c r="N127" s="140">
        <f t="shared" ref="N127:N158" si="24">+L127*M127+L127</f>
        <v>0</v>
      </c>
      <c r="O127" s="136"/>
      <c r="P127" s="474"/>
      <c r="Q127" s="128"/>
      <c r="R127" s="128"/>
      <c r="S127" s="11"/>
      <c r="T127" s="475"/>
      <c r="U127" s="421"/>
      <c r="V127" s="11"/>
      <c r="W127" s="11"/>
    </row>
    <row r="128" spans="1:23" ht="15" customHeight="1" outlineLevel="1" x14ac:dyDescent="0.35">
      <c r="C128" s="10" t="s">
        <v>152</v>
      </c>
      <c r="D128" s="10">
        <v>1</v>
      </c>
      <c r="E128" s="10">
        <v>18</v>
      </c>
      <c r="F128" s="397" t="s">
        <v>153</v>
      </c>
      <c r="G128" s="397"/>
      <c r="H128" s="397">
        <v>33</v>
      </c>
      <c r="I128" s="397">
        <v>685</v>
      </c>
      <c r="J128" s="397"/>
      <c r="K128" s="397"/>
      <c r="L128" s="450"/>
      <c r="M128" s="397"/>
      <c r="N128" s="450">
        <f t="shared" si="24"/>
        <v>0</v>
      </c>
      <c r="O128" s="397">
        <v>125</v>
      </c>
      <c r="P128" s="109"/>
      <c r="S128" s="10" t="s">
        <v>12</v>
      </c>
      <c r="T128" s="404">
        <v>46032</v>
      </c>
    </row>
    <row r="129" spans="1:21" ht="15" customHeight="1" outlineLevel="1" x14ac:dyDescent="0.35">
      <c r="A129" s="451"/>
      <c r="B129" s="764"/>
      <c r="C129" s="451" t="s">
        <v>152</v>
      </c>
      <c r="D129" s="451">
        <v>2</v>
      </c>
      <c r="E129" s="451">
        <v>18</v>
      </c>
      <c r="F129" s="10" t="s">
        <v>153</v>
      </c>
      <c r="H129" s="10">
        <v>33</v>
      </c>
      <c r="I129" s="10">
        <v>685</v>
      </c>
      <c r="K129" s="10"/>
      <c r="L129" s="140"/>
      <c r="N129" s="140">
        <f t="shared" si="24"/>
        <v>0</v>
      </c>
      <c r="O129" s="10">
        <v>125</v>
      </c>
      <c r="P129" s="10"/>
      <c r="U129" s="418"/>
    </row>
    <row r="130" spans="1:21" ht="15" customHeight="1" outlineLevel="1" x14ac:dyDescent="0.35">
      <c r="C130" s="11" t="s">
        <v>244</v>
      </c>
      <c r="E130" s="10"/>
      <c r="H130" s="140"/>
      <c r="K130" s="140"/>
      <c r="L130" s="140"/>
      <c r="M130" s="452"/>
      <c r="N130" s="140">
        <f t="shared" si="24"/>
        <v>0</v>
      </c>
      <c r="O130" s="140"/>
      <c r="U130" s="418"/>
    </row>
    <row r="131" spans="1:21" ht="15" customHeight="1" outlineLevel="1" x14ac:dyDescent="0.35">
      <c r="B131" s="486"/>
      <c r="C131" s="10" t="s">
        <v>256</v>
      </c>
      <c r="D131" s="10">
        <v>3</v>
      </c>
      <c r="E131" s="10">
        <v>46</v>
      </c>
      <c r="F131" s="397" t="s">
        <v>250</v>
      </c>
      <c r="G131" s="397"/>
      <c r="H131" s="397">
        <v>29</v>
      </c>
      <c r="I131" s="397">
        <v>8277</v>
      </c>
      <c r="J131" s="397">
        <v>15182</v>
      </c>
      <c r="K131" s="450">
        <f>+H131/I131*J131</f>
        <v>53.192944303491608</v>
      </c>
      <c r="L131" s="450">
        <f>+H131+K131</f>
        <v>82.192944303491601</v>
      </c>
      <c r="M131" s="584">
        <v>0.3</v>
      </c>
      <c r="N131" s="450">
        <f t="shared" si="24"/>
        <v>106.85082759453908</v>
      </c>
      <c r="O131" s="450">
        <v>65</v>
      </c>
      <c r="P131" s="325">
        <v>55</v>
      </c>
      <c r="S131" s="10" t="s">
        <v>2535</v>
      </c>
      <c r="T131" s="404">
        <v>46065</v>
      </c>
      <c r="U131" s="138"/>
    </row>
    <row r="132" spans="1:21" ht="15" customHeight="1" outlineLevel="1" x14ac:dyDescent="0.35">
      <c r="A132" s="451"/>
      <c r="B132" s="764"/>
      <c r="C132" s="451" t="s">
        <v>252</v>
      </c>
      <c r="D132" s="785">
        <v>4</v>
      </c>
      <c r="E132" s="785">
        <v>44</v>
      </c>
      <c r="F132" s="10" t="s">
        <v>253</v>
      </c>
      <c r="H132" s="10">
        <v>45</v>
      </c>
      <c r="I132" s="10">
        <v>8277</v>
      </c>
      <c r="J132" s="10">
        <v>15182</v>
      </c>
      <c r="K132" s="140">
        <f>+H132/I132*J132</f>
        <v>82.540775643349036</v>
      </c>
      <c r="L132" s="140">
        <f>+H132+K132</f>
        <v>127.54077564334904</v>
      </c>
      <c r="M132" s="453">
        <v>0.3</v>
      </c>
      <c r="N132" s="140">
        <f t="shared" si="24"/>
        <v>165.80300833635374</v>
      </c>
      <c r="O132" s="140">
        <v>180</v>
      </c>
      <c r="P132" s="140">
        <v>100</v>
      </c>
      <c r="U132" s="138"/>
    </row>
    <row r="133" spans="1:21" ht="15" customHeight="1" outlineLevel="1" x14ac:dyDescent="0.35">
      <c r="F133" s="11" t="s">
        <v>270</v>
      </c>
      <c r="G133" s="11"/>
      <c r="H133" s="140"/>
      <c r="K133" s="140"/>
      <c r="L133" s="140"/>
      <c r="M133" s="453"/>
      <c r="N133" s="140">
        <f t="shared" si="24"/>
        <v>0</v>
      </c>
      <c r="O133" s="140"/>
      <c r="U133" s="138"/>
    </row>
    <row r="134" spans="1:21" ht="15" customHeight="1" outlineLevel="1" x14ac:dyDescent="0.35">
      <c r="A134" s="451"/>
      <c r="B134" s="764"/>
      <c r="C134" s="451" t="s">
        <v>266</v>
      </c>
      <c r="D134" s="451">
        <v>6</v>
      </c>
      <c r="E134" s="451">
        <v>44</v>
      </c>
      <c r="F134" s="10" t="s">
        <v>267</v>
      </c>
      <c r="H134" s="140">
        <v>18</v>
      </c>
      <c r="I134" s="10">
        <v>5000</v>
      </c>
      <c r="J134" s="10">
        <v>8919</v>
      </c>
      <c r="K134" s="140">
        <f>+H134/I134*J134</f>
        <v>32.108399999999996</v>
      </c>
      <c r="L134" s="140">
        <f>+H134+K134</f>
        <v>50.108399999999996</v>
      </c>
      <c r="M134" s="453">
        <v>0.3</v>
      </c>
      <c r="N134" s="140">
        <f t="shared" si="24"/>
        <v>65.140919999999994</v>
      </c>
      <c r="O134" s="140">
        <v>90</v>
      </c>
      <c r="P134" s="140"/>
      <c r="S134" s="445" t="s">
        <v>881</v>
      </c>
      <c r="U134" s="138"/>
    </row>
    <row r="135" spans="1:21" ht="15" customHeight="1" outlineLevel="1" x14ac:dyDescent="0.35">
      <c r="D135" s="10"/>
      <c r="E135" s="10"/>
      <c r="F135" s="11" t="s">
        <v>282</v>
      </c>
      <c r="G135" s="11"/>
      <c r="M135" s="455"/>
      <c r="N135" s="140">
        <f t="shared" si="24"/>
        <v>0</v>
      </c>
      <c r="U135" s="138"/>
    </row>
    <row r="136" spans="1:21" ht="15" customHeight="1" outlineLevel="1" x14ac:dyDescent="0.35">
      <c r="A136" s="451"/>
      <c r="B136" s="451"/>
      <c r="C136" s="451" t="s">
        <v>271</v>
      </c>
      <c r="D136" s="451">
        <v>8</v>
      </c>
      <c r="E136" s="451" t="s">
        <v>406</v>
      </c>
      <c r="F136" s="10" t="s">
        <v>272</v>
      </c>
      <c r="H136" s="140">
        <v>10</v>
      </c>
      <c r="I136" s="10">
        <v>5877</v>
      </c>
      <c r="J136" s="10">
        <v>11925</v>
      </c>
      <c r="K136" s="140">
        <f>+H136/I136*J136</f>
        <v>20.290964777947934</v>
      </c>
      <c r="L136" s="140">
        <f>+H136+K136</f>
        <v>30.290964777947934</v>
      </c>
      <c r="M136" s="453">
        <v>0.3</v>
      </c>
      <c r="N136" s="140">
        <f t="shared" si="24"/>
        <v>39.378254211332312</v>
      </c>
      <c r="O136" s="140">
        <v>180</v>
      </c>
      <c r="P136" s="140">
        <v>35</v>
      </c>
      <c r="U136" s="138"/>
    </row>
    <row r="137" spans="1:21" ht="15" customHeight="1" outlineLevel="1" x14ac:dyDescent="0.35">
      <c r="A137" s="451"/>
      <c r="B137" s="451"/>
      <c r="C137" s="451" t="s">
        <v>277</v>
      </c>
      <c r="D137" s="785">
        <v>11</v>
      </c>
      <c r="E137" s="785">
        <v>10</v>
      </c>
      <c r="F137" s="10" t="s">
        <v>285</v>
      </c>
      <c r="H137" s="140">
        <v>10</v>
      </c>
      <c r="I137" s="10">
        <v>5877</v>
      </c>
      <c r="J137" s="10">
        <v>11925</v>
      </c>
      <c r="K137" s="140">
        <f>+H137/I137*J137</f>
        <v>20.290964777947934</v>
      </c>
      <c r="L137" s="140">
        <f>+H137+K137</f>
        <v>30.290964777947934</v>
      </c>
      <c r="M137" s="453">
        <v>0.3</v>
      </c>
      <c r="N137" s="140">
        <f t="shared" si="24"/>
        <v>39.378254211332312</v>
      </c>
      <c r="O137" s="140">
        <v>125</v>
      </c>
      <c r="P137" s="140">
        <v>35</v>
      </c>
      <c r="U137" s="138"/>
    </row>
    <row r="138" spans="1:21" ht="15" customHeight="1" outlineLevel="1" x14ac:dyDescent="0.35">
      <c r="A138" s="451"/>
      <c r="B138" s="451"/>
      <c r="C138" s="451" t="s">
        <v>278</v>
      </c>
      <c r="D138" s="451">
        <v>12</v>
      </c>
      <c r="E138" s="785">
        <v>8</v>
      </c>
      <c r="F138" s="10" t="s">
        <v>2605</v>
      </c>
      <c r="H138" s="140">
        <v>11</v>
      </c>
      <c r="I138" s="10">
        <v>5877</v>
      </c>
      <c r="J138" s="10">
        <v>11925</v>
      </c>
      <c r="K138" s="140">
        <f>+H138/I138*J138</f>
        <v>22.320061255742726</v>
      </c>
      <c r="L138" s="140">
        <f>+H138+K138</f>
        <v>33.320061255742729</v>
      </c>
      <c r="M138" s="453">
        <v>0.3</v>
      </c>
      <c r="N138" s="140">
        <f t="shared" si="24"/>
        <v>43.316079632465545</v>
      </c>
      <c r="O138" s="140">
        <v>180</v>
      </c>
      <c r="P138" s="140">
        <v>35</v>
      </c>
      <c r="U138" s="138"/>
    </row>
    <row r="139" spans="1:21" ht="15" customHeight="1" outlineLevel="1" x14ac:dyDescent="0.35">
      <c r="A139" s="451"/>
      <c r="B139" s="764"/>
      <c r="C139" s="451" t="s">
        <v>284</v>
      </c>
      <c r="D139" s="451">
        <v>13</v>
      </c>
      <c r="E139" s="785">
        <v>16</v>
      </c>
      <c r="F139" s="10" t="s">
        <v>280</v>
      </c>
      <c r="H139" s="140">
        <v>14</v>
      </c>
      <c r="I139" s="10">
        <v>5877</v>
      </c>
      <c r="J139" s="10">
        <v>11925</v>
      </c>
      <c r="K139" s="140">
        <f>+H139/I139*J139</f>
        <v>28.407350689127107</v>
      </c>
      <c r="L139" s="140">
        <f>+H139+K139</f>
        <v>42.407350689127107</v>
      </c>
      <c r="M139" s="453">
        <v>0.3</v>
      </c>
      <c r="N139" s="140">
        <f t="shared" si="24"/>
        <v>55.129555895865238</v>
      </c>
      <c r="O139" s="140">
        <v>125</v>
      </c>
      <c r="P139" s="140"/>
      <c r="U139" s="138"/>
    </row>
    <row r="140" spans="1:21" ht="15" customHeight="1" outlineLevel="1" x14ac:dyDescent="0.35">
      <c r="B140" s="10"/>
      <c r="D140" s="10"/>
      <c r="E140" s="10"/>
      <c r="F140" s="11" t="s">
        <v>283</v>
      </c>
      <c r="G140" s="11"/>
      <c r="H140" s="140"/>
      <c r="K140" s="140"/>
      <c r="L140" s="140"/>
      <c r="M140" s="453"/>
      <c r="N140" s="140">
        <f t="shared" si="24"/>
        <v>0</v>
      </c>
      <c r="O140" s="140"/>
      <c r="U140" s="138"/>
    </row>
    <row r="141" spans="1:21" ht="15" customHeight="1" outlineLevel="1" x14ac:dyDescent="0.35">
      <c r="A141" s="451"/>
      <c r="B141" s="764"/>
      <c r="C141" s="451" t="s">
        <v>140</v>
      </c>
      <c r="D141" s="451">
        <v>14</v>
      </c>
      <c r="E141" s="451">
        <v>44</v>
      </c>
      <c r="F141" s="10" t="s">
        <v>273</v>
      </c>
      <c r="H141" s="140">
        <v>28</v>
      </c>
      <c r="I141" s="10">
        <v>5877</v>
      </c>
      <c r="J141" s="10">
        <v>11925</v>
      </c>
      <c r="K141" s="140">
        <f>+H141/I141*J141</f>
        <v>56.814701378254213</v>
      </c>
      <c r="L141" s="140">
        <f>+H141+K141</f>
        <v>84.814701378254213</v>
      </c>
      <c r="M141" s="453">
        <v>0.3</v>
      </c>
      <c r="N141" s="140">
        <f t="shared" si="24"/>
        <v>110.25911179173048</v>
      </c>
      <c r="O141" s="140">
        <v>125</v>
      </c>
      <c r="P141" s="140">
        <v>35</v>
      </c>
      <c r="U141" s="138"/>
    </row>
    <row r="142" spans="1:21" ht="15" customHeight="1" outlineLevel="1" x14ac:dyDescent="0.35">
      <c r="A142" s="451"/>
      <c r="B142" s="764"/>
      <c r="C142" s="451" t="s">
        <v>140</v>
      </c>
      <c r="D142" s="451">
        <v>15</v>
      </c>
      <c r="E142" s="451">
        <v>46</v>
      </c>
      <c r="F142" s="10" t="s">
        <v>273</v>
      </c>
      <c r="H142" s="140">
        <v>28</v>
      </c>
      <c r="I142" s="10">
        <v>5877</v>
      </c>
      <c r="J142" s="10">
        <v>11925</v>
      </c>
      <c r="K142" s="140">
        <f>+H142/I142*J142</f>
        <v>56.814701378254213</v>
      </c>
      <c r="L142" s="140">
        <f>+H142+K142</f>
        <v>84.814701378254213</v>
      </c>
      <c r="M142" s="453">
        <v>0.3</v>
      </c>
      <c r="N142" s="140">
        <f t="shared" si="24"/>
        <v>110.25911179173048</v>
      </c>
      <c r="O142" s="140">
        <v>125</v>
      </c>
      <c r="P142" s="140">
        <v>35</v>
      </c>
      <c r="U142" s="138"/>
    </row>
    <row r="143" spans="1:21" ht="15.5" outlineLevel="1" x14ac:dyDescent="0.35">
      <c r="A143" s="451"/>
      <c r="B143" s="764"/>
      <c r="C143" s="451" t="s">
        <v>140</v>
      </c>
      <c r="D143" s="451">
        <v>16</v>
      </c>
      <c r="E143" s="451">
        <v>48</v>
      </c>
      <c r="F143" s="10" t="s">
        <v>273</v>
      </c>
      <c r="H143" s="140">
        <v>28</v>
      </c>
      <c r="I143" s="10">
        <v>5877</v>
      </c>
      <c r="J143" s="10">
        <v>11925</v>
      </c>
      <c r="K143" s="140">
        <f>+H143/I143*J143</f>
        <v>56.814701378254213</v>
      </c>
      <c r="L143" s="140">
        <f>+H143+K143</f>
        <v>84.814701378254213</v>
      </c>
      <c r="M143" s="453">
        <v>0.3</v>
      </c>
      <c r="N143" s="140">
        <f t="shared" si="24"/>
        <v>110.25911179173048</v>
      </c>
      <c r="O143" s="140">
        <v>125</v>
      </c>
      <c r="P143" s="140">
        <v>35</v>
      </c>
      <c r="U143" s="138"/>
    </row>
    <row r="144" spans="1:21" ht="15.5" outlineLevel="1" x14ac:dyDescent="0.35">
      <c r="B144" s="486"/>
      <c r="C144" s="10" t="s">
        <v>269</v>
      </c>
      <c r="D144" s="10">
        <v>18</v>
      </c>
      <c r="E144" s="10">
        <v>40</v>
      </c>
      <c r="F144" s="397" t="s">
        <v>274</v>
      </c>
      <c r="G144" s="397"/>
      <c r="H144" s="450">
        <v>22</v>
      </c>
      <c r="I144" s="397">
        <v>5877</v>
      </c>
      <c r="J144" s="397">
        <v>11925</v>
      </c>
      <c r="K144" s="450">
        <f>+H144/I144*J144</f>
        <v>44.640122511485451</v>
      </c>
      <c r="L144" s="450">
        <f>+H144+K144</f>
        <v>66.640122511485458</v>
      </c>
      <c r="M144" s="584">
        <v>0.3</v>
      </c>
      <c r="N144" s="450">
        <f t="shared" si="24"/>
        <v>86.63215926493109</v>
      </c>
      <c r="O144" s="450">
        <v>110</v>
      </c>
      <c r="P144" s="325">
        <v>35</v>
      </c>
      <c r="S144" s="10" t="s">
        <v>12</v>
      </c>
      <c r="T144" s="404">
        <v>46052</v>
      </c>
      <c r="U144" s="138"/>
    </row>
    <row r="145" spans="1:21" ht="15.5" outlineLevel="1" x14ac:dyDescent="0.35">
      <c r="C145" s="11" t="s">
        <v>319</v>
      </c>
      <c r="H145" s="140"/>
      <c r="K145" s="140"/>
      <c r="L145" s="140"/>
      <c r="M145" s="453"/>
      <c r="N145" s="140">
        <f t="shared" si="24"/>
        <v>0</v>
      </c>
      <c r="O145" s="140"/>
      <c r="U145" s="138"/>
    </row>
    <row r="146" spans="1:21" ht="15.5" outlineLevel="1" x14ac:dyDescent="0.35">
      <c r="A146" s="451"/>
      <c r="B146" s="764"/>
      <c r="C146" s="451" t="s">
        <v>312</v>
      </c>
      <c r="D146" s="451">
        <v>19</v>
      </c>
      <c r="E146" s="451">
        <v>8</v>
      </c>
      <c r="F146" s="10" t="s">
        <v>301</v>
      </c>
      <c r="H146" s="140">
        <v>23</v>
      </c>
      <c r="I146" s="56">
        <v>5690</v>
      </c>
      <c r="J146" s="140">
        <v>9443</v>
      </c>
      <c r="K146" s="140">
        <f>+H146/I146*J146</f>
        <v>38.170298769771527</v>
      </c>
      <c r="L146" s="140">
        <f>+H146+K146</f>
        <v>61.170298769771527</v>
      </c>
      <c r="M146" s="452">
        <v>0.3</v>
      </c>
      <c r="N146" s="140">
        <f t="shared" si="24"/>
        <v>79.521388400702989</v>
      </c>
      <c r="O146" s="140">
        <v>90</v>
      </c>
      <c r="P146" s="140"/>
      <c r="U146" s="138"/>
    </row>
    <row r="147" spans="1:21" ht="15.5" outlineLevel="1" x14ac:dyDescent="0.35">
      <c r="D147" s="10"/>
      <c r="E147" s="10"/>
      <c r="F147" s="11" t="s">
        <v>338</v>
      </c>
      <c r="G147" s="11"/>
      <c r="H147" s="140"/>
      <c r="J147" s="140"/>
      <c r="K147" s="140"/>
      <c r="L147" s="140"/>
      <c r="M147" s="453"/>
      <c r="N147" s="140">
        <f t="shared" si="24"/>
        <v>0</v>
      </c>
      <c r="O147" s="140"/>
      <c r="U147" s="138"/>
    </row>
    <row r="148" spans="1:21" ht="15" customHeight="1" outlineLevel="1" x14ac:dyDescent="0.35">
      <c r="A148" s="451"/>
      <c r="B148" s="764" t="s">
        <v>332</v>
      </c>
      <c r="C148" s="451" t="s">
        <v>336</v>
      </c>
      <c r="D148" s="451">
        <v>23</v>
      </c>
      <c r="E148" s="451">
        <v>46</v>
      </c>
      <c r="F148" s="10" t="s">
        <v>333</v>
      </c>
      <c r="H148" s="140">
        <v>30</v>
      </c>
      <c r="I148" s="10">
        <v>1192</v>
      </c>
      <c r="J148" s="140">
        <v>1819</v>
      </c>
      <c r="K148" s="140">
        <f>+H148/I148*J148</f>
        <v>45.780201342281877</v>
      </c>
      <c r="L148" s="140">
        <f>+H148+K148</f>
        <v>75.780201342281885</v>
      </c>
      <c r="M148" s="452">
        <v>0.3</v>
      </c>
      <c r="N148" s="140">
        <f t="shared" si="24"/>
        <v>98.514261744966447</v>
      </c>
      <c r="O148" s="140">
        <v>110</v>
      </c>
      <c r="P148" s="140">
        <v>35</v>
      </c>
      <c r="U148" s="138"/>
    </row>
    <row r="149" spans="1:21" ht="15" customHeight="1" outlineLevel="1" x14ac:dyDescent="0.35">
      <c r="A149" s="451"/>
      <c r="B149" s="764" t="s">
        <v>332</v>
      </c>
      <c r="C149" s="451" t="s">
        <v>336</v>
      </c>
      <c r="D149" s="451">
        <v>24</v>
      </c>
      <c r="E149" s="451">
        <v>48</v>
      </c>
      <c r="F149" s="10" t="s">
        <v>333</v>
      </c>
      <c r="H149" s="140">
        <v>30</v>
      </c>
      <c r="I149" s="10">
        <v>1192</v>
      </c>
      <c r="J149" s="140">
        <v>1819</v>
      </c>
      <c r="K149" s="140">
        <f>+H149/I149*J149</f>
        <v>45.780201342281877</v>
      </c>
      <c r="L149" s="140">
        <f>+H149+K149</f>
        <v>75.780201342281885</v>
      </c>
      <c r="M149" s="452">
        <v>0.3</v>
      </c>
      <c r="N149" s="140">
        <f t="shared" si="24"/>
        <v>98.514261744966447</v>
      </c>
      <c r="O149" s="140">
        <v>110</v>
      </c>
      <c r="P149" s="140">
        <v>35</v>
      </c>
      <c r="U149" s="138"/>
    </row>
    <row r="150" spans="1:21" ht="15" customHeight="1" outlineLevel="1" x14ac:dyDescent="0.35">
      <c r="B150" s="10"/>
      <c r="D150" s="10"/>
      <c r="E150" s="10"/>
      <c r="F150" s="11" t="s">
        <v>404</v>
      </c>
      <c r="G150" s="11"/>
      <c r="H150" s="141"/>
      <c r="J150" s="140"/>
      <c r="K150" s="140"/>
      <c r="L150" s="140"/>
      <c r="M150" s="453"/>
      <c r="N150" s="140">
        <f t="shared" si="24"/>
        <v>0</v>
      </c>
      <c r="O150" s="140"/>
      <c r="U150" s="138"/>
    </row>
    <row r="151" spans="1:21" ht="15.5" outlineLevel="1" x14ac:dyDescent="0.35">
      <c r="A151" s="451"/>
      <c r="B151" s="451"/>
      <c r="C151" s="451" t="s">
        <v>154</v>
      </c>
      <c r="D151" s="451">
        <v>30</v>
      </c>
      <c r="E151" s="451">
        <v>50</v>
      </c>
      <c r="F151" s="10" t="s">
        <v>403</v>
      </c>
      <c r="H151" s="10">
        <v>24</v>
      </c>
      <c r="I151" s="140">
        <f>925+375*0.06+80+382</f>
        <v>1409.5</v>
      </c>
      <c r="J151" s="140">
        <f>+I151+50+16</f>
        <v>1475.5</v>
      </c>
      <c r="K151" s="140">
        <f>+H151/I151*J151</f>
        <v>25.123802766938628</v>
      </c>
      <c r="L151" s="140">
        <f>+H151+K151</f>
        <v>49.123802766938624</v>
      </c>
      <c r="M151" s="453">
        <v>0.3</v>
      </c>
      <c r="N151" s="140">
        <f t="shared" si="24"/>
        <v>63.86094359702021</v>
      </c>
      <c r="O151" s="10">
        <v>110</v>
      </c>
      <c r="P151" s="10">
        <v>35</v>
      </c>
      <c r="U151" s="138"/>
    </row>
    <row r="152" spans="1:21" ht="15.5" outlineLevel="1" x14ac:dyDescent="0.35">
      <c r="A152" s="451"/>
      <c r="B152" s="451"/>
      <c r="C152" s="451" t="s">
        <v>154</v>
      </c>
      <c r="D152" s="451">
        <v>31</v>
      </c>
      <c r="E152" s="451">
        <v>52</v>
      </c>
      <c r="F152" s="10" t="s">
        <v>403</v>
      </c>
      <c r="H152" s="10">
        <v>24</v>
      </c>
      <c r="I152" s="140">
        <f>925+375*0.06+80+382</f>
        <v>1409.5</v>
      </c>
      <c r="J152" s="140">
        <f>+I152+50+16</f>
        <v>1475.5</v>
      </c>
      <c r="K152" s="140">
        <f>+H152/I152*J152</f>
        <v>25.123802766938628</v>
      </c>
      <c r="L152" s="140">
        <f>+H152+K152</f>
        <v>49.123802766938624</v>
      </c>
      <c r="M152" s="453">
        <v>0.3</v>
      </c>
      <c r="N152" s="140">
        <f t="shared" si="24"/>
        <v>63.86094359702021</v>
      </c>
      <c r="O152" s="10">
        <v>110</v>
      </c>
      <c r="P152" s="10">
        <v>35</v>
      </c>
      <c r="U152" s="138"/>
    </row>
    <row r="153" spans="1:21" ht="15.5" outlineLevel="1" x14ac:dyDescent="0.35">
      <c r="A153" s="451"/>
      <c r="B153" s="451"/>
      <c r="C153" s="451" t="s">
        <v>154</v>
      </c>
      <c r="D153" s="451">
        <v>32</v>
      </c>
      <c r="E153" s="451">
        <v>54</v>
      </c>
      <c r="F153" s="397" t="s">
        <v>403</v>
      </c>
      <c r="G153" s="397"/>
      <c r="H153" s="397">
        <v>24</v>
      </c>
      <c r="I153" s="450">
        <f>925+375*0.06+80+382</f>
        <v>1409.5</v>
      </c>
      <c r="J153" s="450">
        <f>+I153+50+16</f>
        <v>1475.5</v>
      </c>
      <c r="K153" s="450">
        <f>+H153/I153*J153</f>
        <v>25.123802766938628</v>
      </c>
      <c r="L153" s="450">
        <f>+H153+K153</f>
        <v>49.123802766938624</v>
      </c>
      <c r="M153" s="584">
        <v>0.3</v>
      </c>
      <c r="N153" s="450">
        <f t="shared" si="24"/>
        <v>63.86094359702021</v>
      </c>
      <c r="O153" s="397">
        <v>110</v>
      </c>
      <c r="P153" s="10">
        <v>55</v>
      </c>
      <c r="S153" s="10" t="s">
        <v>12</v>
      </c>
      <c r="T153" s="404">
        <v>46101</v>
      </c>
      <c r="U153" s="138"/>
    </row>
    <row r="154" spans="1:21" ht="15.5" outlineLevel="1" x14ac:dyDescent="0.35">
      <c r="A154" s="451"/>
      <c r="B154" s="451"/>
      <c r="C154" s="451" t="s">
        <v>154</v>
      </c>
      <c r="D154" s="451">
        <v>33</v>
      </c>
      <c r="E154" s="451">
        <v>56</v>
      </c>
      <c r="F154" s="10" t="s">
        <v>403</v>
      </c>
      <c r="H154" s="10">
        <v>24</v>
      </c>
      <c r="I154" s="140">
        <f>925+375*0.06+80+382</f>
        <v>1409.5</v>
      </c>
      <c r="J154" s="140">
        <f>+I154+50+16</f>
        <v>1475.5</v>
      </c>
      <c r="K154" s="140">
        <f>+H154/I154*J154</f>
        <v>25.123802766938628</v>
      </c>
      <c r="L154" s="140">
        <f>+H154+K154</f>
        <v>49.123802766938624</v>
      </c>
      <c r="M154" s="453">
        <v>0.3</v>
      </c>
      <c r="N154" s="140">
        <f t="shared" si="24"/>
        <v>63.86094359702021</v>
      </c>
      <c r="O154" s="10">
        <v>110</v>
      </c>
      <c r="P154" s="10">
        <v>35</v>
      </c>
      <c r="U154" s="138"/>
    </row>
    <row r="155" spans="1:21" ht="15.5" outlineLevel="1" x14ac:dyDescent="0.35">
      <c r="B155" s="10"/>
      <c r="C155" s="11" t="s">
        <v>462</v>
      </c>
      <c r="D155" s="10"/>
      <c r="E155" s="10"/>
      <c r="H155" s="140"/>
      <c r="J155" s="140"/>
      <c r="K155" s="140"/>
      <c r="L155" s="140"/>
      <c r="M155" s="452"/>
      <c r="N155" s="140">
        <f t="shared" si="24"/>
        <v>0</v>
      </c>
      <c r="O155" s="140"/>
      <c r="S155" s="324"/>
      <c r="U155" s="138"/>
    </row>
    <row r="156" spans="1:21" ht="15.5" outlineLevel="1" x14ac:dyDescent="0.35">
      <c r="B156" s="10"/>
      <c r="C156" s="10" t="s">
        <v>235</v>
      </c>
      <c r="D156" s="10">
        <v>38</v>
      </c>
      <c r="E156" s="10"/>
      <c r="F156" s="397" t="s">
        <v>463</v>
      </c>
      <c r="G156" s="397"/>
      <c r="H156" s="450">
        <v>15</v>
      </c>
      <c r="I156" s="397"/>
      <c r="J156" s="450"/>
      <c r="K156" s="450"/>
      <c r="L156" s="450"/>
      <c r="M156" s="457"/>
      <c r="N156" s="450">
        <f t="shared" si="24"/>
        <v>0</v>
      </c>
      <c r="O156" s="450">
        <v>65</v>
      </c>
      <c r="S156" s="10" t="s">
        <v>12</v>
      </c>
      <c r="T156" s="404">
        <v>46030</v>
      </c>
      <c r="U156" s="138"/>
    </row>
    <row r="157" spans="1:21" ht="15.5" outlineLevel="1" x14ac:dyDescent="0.35">
      <c r="A157" s="451"/>
      <c r="B157" s="451"/>
      <c r="C157" s="451" t="s">
        <v>235</v>
      </c>
      <c r="D157" s="451">
        <v>39</v>
      </c>
      <c r="E157" s="451"/>
      <c r="F157" s="10" t="s">
        <v>463</v>
      </c>
      <c r="H157" s="140">
        <v>15</v>
      </c>
      <c r="J157" s="140"/>
      <c r="K157" s="140"/>
      <c r="L157" s="140"/>
      <c r="M157" s="452"/>
      <c r="N157" s="140">
        <f t="shared" si="24"/>
        <v>0</v>
      </c>
      <c r="O157" s="140">
        <v>65</v>
      </c>
      <c r="P157" s="140"/>
      <c r="S157" s="324"/>
      <c r="U157" s="138"/>
    </row>
    <row r="158" spans="1:21" ht="15.5" outlineLevel="1" x14ac:dyDescent="0.35">
      <c r="A158" s="451"/>
      <c r="B158" s="451"/>
      <c r="C158" s="451" t="s">
        <v>235</v>
      </c>
      <c r="D158" s="451">
        <v>40</v>
      </c>
      <c r="E158" s="451"/>
      <c r="F158" s="10" t="s">
        <v>463</v>
      </c>
      <c r="H158" s="140">
        <v>15</v>
      </c>
      <c r="J158" s="140"/>
      <c r="K158" s="140"/>
      <c r="L158" s="140"/>
      <c r="M158" s="452"/>
      <c r="N158" s="140">
        <f t="shared" si="24"/>
        <v>0</v>
      </c>
      <c r="O158" s="140">
        <v>65</v>
      </c>
      <c r="P158" s="140"/>
      <c r="U158" s="138"/>
    </row>
    <row r="159" spans="1:21" ht="15.5" outlineLevel="1" x14ac:dyDescent="0.35">
      <c r="A159" s="451"/>
      <c r="B159" s="451"/>
      <c r="C159" s="451" t="s">
        <v>235</v>
      </c>
      <c r="D159" s="451">
        <v>41</v>
      </c>
      <c r="E159" s="451"/>
      <c r="F159" s="10" t="s">
        <v>463</v>
      </c>
      <c r="H159" s="140">
        <v>15</v>
      </c>
      <c r="J159" s="140"/>
      <c r="K159" s="140"/>
      <c r="L159" s="140"/>
      <c r="M159" s="452"/>
      <c r="N159" s="140">
        <f t="shared" ref="N159:N180" si="25">+L159*M159+L159</f>
        <v>0</v>
      </c>
      <c r="O159" s="140">
        <v>65</v>
      </c>
      <c r="P159" s="140"/>
      <c r="U159" s="138"/>
    </row>
    <row r="160" spans="1:21" s="830" customFormat="1" ht="15.5" outlineLevel="1" x14ac:dyDescent="0.35">
      <c r="C160" s="830" t="s">
        <v>235</v>
      </c>
      <c r="D160" s="830">
        <v>42</v>
      </c>
      <c r="F160" s="830" t="s">
        <v>463</v>
      </c>
      <c r="H160" s="831">
        <v>15</v>
      </c>
      <c r="J160" s="831"/>
      <c r="K160" s="831"/>
      <c r="L160" s="831"/>
      <c r="M160" s="836"/>
      <c r="N160" s="831">
        <f t="shared" si="25"/>
        <v>0</v>
      </c>
      <c r="O160" s="831">
        <v>65</v>
      </c>
      <c r="P160" s="325"/>
      <c r="S160" s="837"/>
      <c r="T160" s="834"/>
      <c r="U160" s="835"/>
    </row>
    <row r="161" spans="1:23" s="838" customFormat="1" ht="15.5" outlineLevel="1" x14ac:dyDescent="0.35">
      <c r="B161" s="839"/>
      <c r="C161" s="830" t="s">
        <v>235</v>
      </c>
      <c r="D161" s="830"/>
      <c r="E161" s="830"/>
      <c r="F161" s="830" t="s">
        <v>464</v>
      </c>
      <c r="G161" s="830"/>
      <c r="H161" s="831">
        <v>15</v>
      </c>
      <c r="I161" s="830"/>
      <c r="J161" s="831"/>
      <c r="K161" s="831"/>
      <c r="L161" s="831"/>
      <c r="M161" s="836"/>
      <c r="N161" s="831">
        <f t="shared" si="25"/>
        <v>0</v>
      </c>
      <c r="O161" s="831">
        <v>65</v>
      </c>
      <c r="P161" s="325"/>
      <c r="Q161" s="830"/>
      <c r="R161" s="830"/>
      <c r="S161" s="830" t="s">
        <v>994</v>
      </c>
      <c r="T161" s="834"/>
      <c r="U161" s="835"/>
      <c r="V161" s="830"/>
      <c r="W161" s="830"/>
    </row>
    <row r="162" spans="1:23" s="57" customFormat="1" ht="15.5" outlineLevel="1" x14ac:dyDescent="0.35">
      <c r="B162" s="10"/>
      <c r="C162" s="10"/>
      <c r="D162" s="10"/>
      <c r="E162" s="10"/>
      <c r="F162" s="11" t="s">
        <v>491</v>
      </c>
      <c r="G162" s="11"/>
      <c r="H162" s="10"/>
      <c r="I162" s="140"/>
      <c r="J162" s="140"/>
      <c r="K162" s="452"/>
      <c r="L162" s="140"/>
      <c r="M162" s="10"/>
      <c r="N162" s="140">
        <f t="shared" si="25"/>
        <v>0</v>
      </c>
      <c r="O162" s="140"/>
      <c r="P162" s="325"/>
      <c r="Q162" s="10"/>
      <c r="R162" s="10"/>
      <c r="S162" s="10"/>
      <c r="T162" s="404"/>
      <c r="U162" s="138"/>
      <c r="V162" s="10"/>
      <c r="W162" s="10"/>
    </row>
    <row r="163" spans="1:23" s="109" customFormat="1" ht="15.5" outlineLevel="1" x14ac:dyDescent="0.35">
      <c r="B163" s="252" t="s">
        <v>472</v>
      </c>
      <c r="C163" s="252" t="s">
        <v>194</v>
      </c>
      <c r="D163" s="109">
        <v>45</v>
      </c>
      <c r="E163" s="252">
        <v>52</v>
      </c>
      <c r="F163" s="252" t="s">
        <v>473</v>
      </c>
      <c r="G163" s="252"/>
      <c r="H163" s="490">
        <v>31</v>
      </c>
      <c r="I163" s="768">
        <v>9148</v>
      </c>
      <c r="J163" s="490">
        <v>15477</v>
      </c>
      <c r="K163" s="490">
        <f>+H163/I163*J163</f>
        <v>52.447201574114565</v>
      </c>
      <c r="L163" s="490">
        <f>+H163+K163</f>
        <v>83.447201574114558</v>
      </c>
      <c r="M163" s="769">
        <v>0.3</v>
      </c>
      <c r="N163" s="325">
        <f t="shared" si="25"/>
        <v>108.48136204634892</v>
      </c>
      <c r="O163" s="479">
        <v>125</v>
      </c>
      <c r="P163" s="479"/>
      <c r="Q163" s="252"/>
      <c r="R163" s="252"/>
      <c r="S163" s="252"/>
      <c r="T163" s="742"/>
      <c r="U163" s="424"/>
      <c r="V163" s="252"/>
      <c r="W163" s="252"/>
    </row>
    <row r="164" spans="1:23" ht="15.5" outlineLevel="1" x14ac:dyDescent="0.35">
      <c r="C164" s="11" t="s">
        <v>523</v>
      </c>
      <c r="D164" s="10"/>
      <c r="E164" s="10"/>
      <c r="H164" s="140"/>
      <c r="J164" s="140"/>
      <c r="K164" s="140"/>
      <c r="L164" s="140"/>
      <c r="M164" s="453"/>
      <c r="N164" s="140">
        <f t="shared" si="25"/>
        <v>0</v>
      </c>
      <c r="O164" s="140"/>
      <c r="U164" s="138"/>
    </row>
    <row r="165" spans="1:23" ht="15.5" outlineLevel="1" x14ac:dyDescent="0.35">
      <c r="A165" s="451"/>
      <c r="B165" s="451" t="s">
        <v>501</v>
      </c>
      <c r="C165" s="451" t="s">
        <v>520</v>
      </c>
      <c r="D165" s="451">
        <v>51</v>
      </c>
      <c r="E165" s="451">
        <v>44</v>
      </c>
      <c r="F165" s="10" t="s">
        <v>502</v>
      </c>
      <c r="H165" s="10">
        <v>33</v>
      </c>
      <c r="I165" s="10">
        <v>6556</v>
      </c>
      <c r="J165" s="140">
        <v>9750</v>
      </c>
      <c r="K165" s="140">
        <f t="shared" ref="K165:K171" si="26">+H165/I165*J165</f>
        <v>49.077181208053688</v>
      </c>
      <c r="L165" s="140">
        <f t="shared" ref="L165:L171" si="27">+H165+K165</f>
        <v>82.077181208053688</v>
      </c>
      <c r="M165" s="453">
        <v>0.3</v>
      </c>
      <c r="N165" s="140">
        <f t="shared" si="25"/>
        <v>106.70033557046979</v>
      </c>
      <c r="O165" s="140">
        <v>110</v>
      </c>
      <c r="P165" s="140"/>
      <c r="U165" s="138"/>
    </row>
    <row r="166" spans="1:23" ht="15.5" outlineLevel="1" x14ac:dyDescent="0.35">
      <c r="A166" s="451"/>
      <c r="B166" s="451" t="s">
        <v>501</v>
      </c>
      <c r="C166" s="451" t="s">
        <v>520</v>
      </c>
      <c r="D166" s="451">
        <v>52</v>
      </c>
      <c r="E166" s="451">
        <v>48</v>
      </c>
      <c r="F166" s="10" t="s">
        <v>502</v>
      </c>
      <c r="H166" s="10">
        <v>33</v>
      </c>
      <c r="I166" s="10">
        <v>6556</v>
      </c>
      <c r="J166" s="140">
        <v>9750</v>
      </c>
      <c r="K166" s="140">
        <f t="shared" si="26"/>
        <v>49.077181208053688</v>
      </c>
      <c r="L166" s="140">
        <f t="shared" si="27"/>
        <v>82.077181208053688</v>
      </c>
      <c r="M166" s="453">
        <v>0.3</v>
      </c>
      <c r="N166" s="140">
        <f t="shared" si="25"/>
        <v>106.70033557046979</v>
      </c>
      <c r="O166" s="140">
        <v>110</v>
      </c>
      <c r="P166" s="140"/>
      <c r="U166" s="138"/>
    </row>
    <row r="167" spans="1:23" ht="15.5" outlineLevel="1" x14ac:dyDescent="0.35">
      <c r="A167" s="451"/>
      <c r="B167" s="764" t="s">
        <v>517</v>
      </c>
      <c r="C167" s="66" t="s">
        <v>503</v>
      </c>
      <c r="D167" s="451">
        <v>53</v>
      </c>
      <c r="E167" s="451">
        <v>56</v>
      </c>
      <c r="F167" s="10" t="s">
        <v>504</v>
      </c>
      <c r="H167" s="10">
        <v>26</v>
      </c>
      <c r="I167" s="10">
        <v>6556</v>
      </c>
      <c r="J167" s="140">
        <v>9750</v>
      </c>
      <c r="K167" s="140">
        <f t="shared" si="26"/>
        <v>38.666870042708965</v>
      </c>
      <c r="L167" s="140">
        <f t="shared" si="27"/>
        <v>64.666870042708965</v>
      </c>
      <c r="M167" s="453">
        <v>0.3</v>
      </c>
      <c r="N167" s="140">
        <f t="shared" si="25"/>
        <v>84.06693105552165</v>
      </c>
      <c r="O167" s="140">
        <v>55</v>
      </c>
      <c r="P167" s="140"/>
      <c r="U167" s="138"/>
    </row>
    <row r="168" spans="1:23" ht="15.5" outlineLevel="1" x14ac:dyDescent="0.35">
      <c r="B168" s="11" t="s">
        <v>19</v>
      </c>
      <c r="C168" s="451" t="s">
        <v>521</v>
      </c>
      <c r="D168" s="451">
        <v>54</v>
      </c>
      <c r="E168" s="451">
        <v>44</v>
      </c>
      <c r="F168" s="397" t="s">
        <v>508</v>
      </c>
      <c r="G168" s="397"/>
      <c r="H168" s="397">
        <v>26</v>
      </c>
      <c r="I168" s="397">
        <v>6556</v>
      </c>
      <c r="J168" s="450">
        <v>9750</v>
      </c>
      <c r="K168" s="450">
        <f t="shared" si="26"/>
        <v>38.666870042708965</v>
      </c>
      <c r="L168" s="450">
        <f t="shared" si="27"/>
        <v>64.666870042708965</v>
      </c>
      <c r="M168" s="584">
        <v>0.3</v>
      </c>
      <c r="N168" s="450">
        <f t="shared" si="25"/>
        <v>84.06693105552165</v>
      </c>
      <c r="O168" s="450">
        <v>110</v>
      </c>
      <c r="P168" s="325">
        <v>50</v>
      </c>
      <c r="S168" s="10" t="s">
        <v>12</v>
      </c>
      <c r="T168" s="404">
        <v>46101</v>
      </c>
      <c r="U168" s="138"/>
    </row>
    <row r="169" spans="1:23" ht="15.5" outlineLevel="1" x14ac:dyDescent="0.35">
      <c r="A169" s="451"/>
      <c r="B169" s="764" t="s">
        <v>19</v>
      </c>
      <c r="C169" s="451" t="s">
        <v>521</v>
      </c>
      <c r="D169" s="451">
        <v>55</v>
      </c>
      <c r="E169" s="451">
        <v>50</v>
      </c>
      <c r="F169" s="10" t="s">
        <v>508</v>
      </c>
      <c r="H169" s="10">
        <v>26</v>
      </c>
      <c r="I169" s="10">
        <v>6556</v>
      </c>
      <c r="J169" s="140">
        <v>9750</v>
      </c>
      <c r="K169" s="140">
        <f t="shared" si="26"/>
        <v>38.666870042708965</v>
      </c>
      <c r="L169" s="140">
        <f t="shared" si="27"/>
        <v>64.666870042708965</v>
      </c>
      <c r="M169" s="453">
        <v>0.3</v>
      </c>
      <c r="N169" s="140">
        <f t="shared" si="25"/>
        <v>84.06693105552165</v>
      </c>
      <c r="O169" s="140">
        <v>110</v>
      </c>
      <c r="P169" s="140">
        <v>30</v>
      </c>
      <c r="U169" s="138"/>
    </row>
    <row r="170" spans="1:23" ht="15.5" outlineLevel="1" x14ac:dyDescent="0.35">
      <c r="A170" s="451"/>
      <c r="B170" s="764" t="s">
        <v>307</v>
      </c>
      <c r="C170" s="451" t="s">
        <v>510</v>
      </c>
      <c r="D170" s="451">
        <v>56</v>
      </c>
      <c r="E170" s="451">
        <v>38</v>
      </c>
      <c r="F170" s="10" t="s">
        <v>511</v>
      </c>
      <c r="H170" s="10">
        <v>26</v>
      </c>
      <c r="I170" s="10">
        <v>6556</v>
      </c>
      <c r="J170" s="140">
        <v>9750</v>
      </c>
      <c r="K170" s="140">
        <f t="shared" si="26"/>
        <v>38.666870042708965</v>
      </c>
      <c r="L170" s="140">
        <f t="shared" si="27"/>
        <v>64.666870042708965</v>
      </c>
      <c r="M170" s="453">
        <v>0.3</v>
      </c>
      <c r="N170" s="140">
        <f t="shared" si="25"/>
        <v>84.06693105552165</v>
      </c>
      <c r="O170" s="140">
        <v>90</v>
      </c>
      <c r="P170" s="140">
        <v>35</v>
      </c>
      <c r="U170" s="138"/>
    </row>
    <row r="171" spans="1:23" ht="15.5" outlineLevel="1" x14ac:dyDescent="0.35">
      <c r="A171" s="451"/>
      <c r="B171" s="764" t="s">
        <v>307</v>
      </c>
      <c r="C171" s="451" t="s">
        <v>510</v>
      </c>
      <c r="D171" s="451">
        <v>57</v>
      </c>
      <c r="E171" s="451">
        <v>40</v>
      </c>
      <c r="F171" s="10" t="s">
        <v>511</v>
      </c>
      <c r="H171" s="10">
        <v>26</v>
      </c>
      <c r="I171" s="10">
        <v>6556</v>
      </c>
      <c r="J171" s="140">
        <v>9750</v>
      </c>
      <c r="K171" s="140">
        <f t="shared" si="26"/>
        <v>38.666870042708965</v>
      </c>
      <c r="L171" s="140">
        <f t="shared" si="27"/>
        <v>64.666870042708965</v>
      </c>
      <c r="M171" s="453">
        <v>0.3</v>
      </c>
      <c r="N171" s="140">
        <f t="shared" si="25"/>
        <v>84.06693105552165</v>
      </c>
      <c r="O171" s="140">
        <v>90</v>
      </c>
      <c r="P171" s="140">
        <v>35</v>
      </c>
      <c r="U171" s="138"/>
    </row>
    <row r="172" spans="1:23" ht="15.5" outlineLevel="1" x14ac:dyDescent="0.35">
      <c r="B172" s="10"/>
      <c r="D172" s="10"/>
      <c r="E172" s="10"/>
      <c r="F172" s="493" t="s">
        <v>532</v>
      </c>
      <c r="G172" s="493"/>
      <c r="H172" s="141"/>
      <c r="I172" s="140"/>
      <c r="J172" s="140"/>
      <c r="K172" s="140"/>
      <c r="L172" s="140"/>
      <c r="M172" s="453"/>
      <c r="N172" s="140">
        <f t="shared" si="25"/>
        <v>0</v>
      </c>
      <c r="O172" s="140"/>
      <c r="U172" s="138"/>
    </row>
    <row r="173" spans="1:23" ht="15.5" outlineLevel="1" x14ac:dyDescent="0.35">
      <c r="A173" s="451"/>
      <c r="B173" s="451" t="s">
        <v>14</v>
      </c>
      <c r="C173" s="451" t="s">
        <v>14</v>
      </c>
      <c r="D173" s="451">
        <v>59</v>
      </c>
      <c r="E173" s="451">
        <v>46</v>
      </c>
      <c r="F173" s="10" t="s">
        <v>537</v>
      </c>
      <c r="H173" s="141">
        <v>23</v>
      </c>
      <c r="I173" s="140">
        <v>3505</v>
      </c>
      <c r="J173" s="140">
        <v>6245</v>
      </c>
      <c r="K173" s="140">
        <f t="shared" ref="K173:K180" si="28">+H173/I173*J173</f>
        <v>40.980028530670467</v>
      </c>
      <c r="L173" s="140">
        <f t="shared" ref="L173:L180" si="29">+H173+K173</f>
        <v>63.980028530670467</v>
      </c>
      <c r="M173" s="453">
        <v>0.3</v>
      </c>
      <c r="N173" s="140">
        <f t="shared" si="25"/>
        <v>83.174037089871604</v>
      </c>
      <c r="O173" s="140">
        <v>110</v>
      </c>
      <c r="P173" s="140">
        <v>35</v>
      </c>
      <c r="U173" s="138"/>
    </row>
    <row r="174" spans="1:23" s="109" customFormat="1" ht="15.5" outlineLevel="1" x14ac:dyDescent="0.35">
      <c r="B174" s="109" t="s">
        <v>14</v>
      </c>
      <c r="C174" s="109" t="s">
        <v>14</v>
      </c>
      <c r="D174" s="109">
        <v>60</v>
      </c>
      <c r="E174" s="109">
        <v>48</v>
      </c>
      <c r="F174" s="109" t="s">
        <v>537</v>
      </c>
      <c r="H174" s="474">
        <v>23</v>
      </c>
      <c r="I174" s="325">
        <v>3505</v>
      </c>
      <c r="J174" s="325">
        <v>6245</v>
      </c>
      <c r="K174" s="325">
        <f t="shared" si="28"/>
        <v>40.980028530670467</v>
      </c>
      <c r="L174" s="325">
        <f t="shared" si="29"/>
        <v>63.980028530670467</v>
      </c>
      <c r="M174" s="495">
        <v>0.3</v>
      </c>
      <c r="N174" s="325">
        <f t="shared" si="25"/>
        <v>83.174037089871604</v>
      </c>
      <c r="O174" s="325">
        <v>110</v>
      </c>
      <c r="P174" s="325"/>
      <c r="T174" s="489"/>
      <c r="U174" s="423"/>
    </row>
    <row r="175" spans="1:23" ht="15.5" outlineLevel="1" x14ac:dyDescent="0.35">
      <c r="A175" s="451"/>
      <c r="B175" s="451" t="s">
        <v>526</v>
      </c>
      <c r="C175" s="451" t="s">
        <v>526</v>
      </c>
      <c r="D175" s="451">
        <v>62</v>
      </c>
      <c r="E175" s="451">
        <v>42</v>
      </c>
      <c r="F175" s="10" t="s">
        <v>527</v>
      </c>
      <c r="H175" s="141">
        <v>25</v>
      </c>
      <c r="I175" s="140">
        <v>3505</v>
      </c>
      <c r="J175" s="140">
        <v>6245</v>
      </c>
      <c r="K175" s="140">
        <f t="shared" si="28"/>
        <v>44.543509272467901</v>
      </c>
      <c r="L175" s="140">
        <f t="shared" si="29"/>
        <v>69.543509272467901</v>
      </c>
      <c r="M175" s="453">
        <v>0.3</v>
      </c>
      <c r="N175" s="140">
        <f t="shared" si="25"/>
        <v>90.406562054208266</v>
      </c>
      <c r="O175" s="140">
        <v>110</v>
      </c>
      <c r="P175" s="140">
        <v>35</v>
      </c>
      <c r="U175" s="138"/>
    </row>
    <row r="176" spans="1:23" ht="15.5" outlineLevel="1" x14ac:dyDescent="0.35">
      <c r="B176" s="10" t="s">
        <v>526</v>
      </c>
      <c r="C176" s="10" t="s">
        <v>526</v>
      </c>
      <c r="D176" s="10">
        <v>64</v>
      </c>
      <c r="E176" s="10">
        <v>46</v>
      </c>
      <c r="F176" s="397" t="s">
        <v>527</v>
      </c>
      <c r="G176" s="397"/>
      <c r="H176" s="734">
        <v>25</v>
      </c>
      <c r="I176" s="450">
        <v>3505</v>
      </c>
      <c r="J176" s="450">
        <v>6245</v>
      </c>
      <c r="K176" s="450">
        <f t="shared" si="28"/>
        <v>44.543509272467901</v>
      </c>
      <c r="L176" s="450">
        <f t="shared" si="29"/>
        <v>69.543509272467901</v>
      </c>
      <c r="M176" s="584">
        <v>0.3</v>
      </c>
      <c r="N176" s="450">
        <f t="shared" si="25"/>
        <v>90.406562054208266</v>
      </c>
      <c r="O176" s="450">
        <v>110</v>
      </c>
      <c r="P176" s="325">
        <v>35</v>
      </c>
      <c r="S176" s="10" t="s">
        <v>1086</v>
      </c>
      <c r="T176" s="404">
        <v>46067</v>
      </c>
      <c r="U176" s="138"/>
    </row>
    <row r="177" spans="1:21" ht="15.5" outlineLevel="1" x14ac:dyDescent="0.35">
      <c r="A177" s="451"/>
      <c r="B177" s="451" t="s">
        <v>526</v>
      </c>
      <c r="C177" s="451" t="s">
        <v>526</v>
      </c>
      <c r="D177" s="451">
        <v>65</v>
      </c>
      <c r="E177" s="451">
        <v>48</v>
      </c>
      <c r="F177" s="397" t="s">
        <v>527</v>
      </c>
      <c r="G177" s="397"/>
      <c r="H177" s="734">
        <v>25</v>
      </c>
      <c r="I177" s="450">
        <v>3505</v>
      </c>
      <c r="J177" s="450">
        <v>6245</v>
      </c>
      <c r="K177" s="450">
        <f t="shared" si="28"/>
        <v>44.543509272467901</v>
      </c>
      <c r="L177" s="450">
        <f t="shared" si="29"/>
        <v>69.543509272467901</v>
      </c>
      <c r="M177" s="584">
        <v>0.3</v>
      </c>
      <c r="N177" s="450">
        <f t="shared" si="25"/>
        <v>90.406562054208266</v>
      </c>
      <c r="O177" s="450">
        <v>110</v>
      </c>
      <c r="P177" s="325">
        <v>35</v>
      </c>
      <c r="S177" s="10" t="s">
        <v>12</v>
      </c>
      <c r="T177" s="404">
        <v>46093</v>
      </c>
      <c r="U177" s="138"/>
    </row>
    <row r="178" spans="1:21" ht="15.5" outlineLevel="1" x14ac:dyDescent="0.35">
      <c r="A178" s="451"/>
      <c r="B178" s="451" t="s">
        <v>526</v>
      </c>
      <c r="C178" s="451" t="s">
        <v>526</v>
      </c>
      <c r="D178" s="451">
        <v>66</v>
      </c>
      <c r="E178" s="451">
        <v>44</v>
      </c>
      <c r="F178" s="10" t="s">
        <v>531</v>
      </c>
      <c r="H178" s="141">
        <v>25</v>
      </c>
      <c r="I178" s="140">
        <v>3505</v>
      </c>
      <c r="J178" s="140">
        <v>6245</v>
      </c>
      <c r="K178" s="140">
        <f t="shared" si="28"/>
        <v>44.543509272467901</v>
      </c>
      <c r="L178" s="140">
        <f t="shared" si="29"/>
        <v>69.543509272467901</v>
      </c>
      <c r="M178" s="453">
        <v>0.3</v>
      </c>
      <c r="N178" s="140">
        <f t="shared" si="25"/>
        <v>90.406562054208266</v>
      </c>
      <c r="O178" s="140">
        <v>110</v>
      </c>
      <c r="P178" s="140">
        <v>35</v>
      </c>
      <c r="U178" s="138"/>
    </row>
    <row r="179" spans="1:21" ht="15.5" outlineLevel="1" x14ac:dyDescent="0.35">
      <c r="A179" s="451"/>
      <c r="B179" s="451" t="s">
        <v>526</v>
      </c>
      <c r="C179" s="451" t="s">
        <v>526</v>
      </c>
      <c r="D179" s="451">
        <v>67</v>
      </c>
      <c r="E179" s="451">
        <v>46</v>
      </c>
      <c r="F179" s="10" t="s">
        <v>531</v>
      </c>
      <c r="H179" s="141">
        <v>25</v>
      </c>
      <c r="I179" s="140">
        <v>3505</v>
      </c>
      <c r="J179" s="140">
        <v>6245</v>
      </c>
      <c r="K179" s="140">
        <f t="shared" si="28"/>
        <v>44.543509272467901</v>
      </c>
      <c r="L179" s="140">
        <f t="shared" si="29"/>
        <v>69.543509272467901</v>
      </c>
      <c r="M179" s="453">
        <v>0.3</v>
      </c>
      <c r="N179" s="140">
        <f t="shared" si="25"/>
        <v>90.406562054208266</v>
      </c>
      <c r="O179" s="140">
        <v>110</v>
      </c>
      <c r="P179" s="140">
        <v>35</v>
      </c>
      <c r="U179" s="138"/>
    </row>
    <row r="180" spans="1:21" s="109" customFormat="1" ht="15.5" outlineLevel="1" x14ac:dyDescent="0.35">
      <c r="B180" s="109" t="s">
        <v>526</v>
      </c>
      <c r="C180" s="109" t="s">
        <v>526</v>
      </c>
      <c r="D180" s="109">
        <v>72</v>
      </c>
      <c r="E180" s="109">
        <v>44</v>
      </c>
      <c r="F180" s="109" t="s">
        <v>528</v>
      </c>
      <c r="H180" s="474">
        <v>25</v>
      </c>
      <c r="I180" s="325">
        <v>3505</v>
      </c>
      <c r="J180" s="325">
        <v>6245</v>
      </c>
      <c r="K180" s="325">
        <f t="shared" si="28"/>
        <v>44.543509272467901</v>
      </c>
      <c r="L180" s="325">
        <f t="shared" si="29"/>
        <v>69.543509272467901</v>
      </c>
      <c r="M180" s="495">
        <v>0.3</v>
      </c>
      <c r="N180" s="325">
        <f t="shared" si="25"/>
        <v>90.406562054208266</v>
      </c>
      <c r="O180" s="325">
        <v>110</v>
      </c>
      <c r="P180" s="325"/>
      <c r="T180" s="489"/>
      <c r="U180" s="423"/>
    </row>
    <row r="181" spans="1:21" ht="15.5" outlineLevel="1" x14ac:dyDescent="0.35">
      <c r="C181" s="11" t="s">
        <v>602</v>
      </c>
      <c r="H181" s="140"/>
      <c r="K181" s="140"/>
      <c r="L181" s="140"/>
      <c r="O181" s="140"/>
      <c r="U181" s="418"/>
    </row>
    <row r="182" spans="1:21" s="830" customFormat="1" ht="15.5" outlineLevel="1" x14ac:dyDescent="0.35">
      <c r="B182" s="839" t="s">
        <v>569</v>
      </c>
      <c r="C182" s="830" t="s">
        <v>569</v>
      </c>
      <c r="E182" s="830" t="s">
        <v>570</v>
      </c>
      <c r="F182" s="830" t="s">
        <v>594</v>
      </c>
      <c r="H182" s="831">
        <v>10</v>
      </c>
      <c r="I182" s="832">
        <v>8183</v>
      </c>
      <c r="J182" s="831">
        <v>13183</v>
      </c>
      <c r="K182" s="831">
        <f>+H182/I182*J182</f>
        <v>16.110228522546741</v>
      </c>
      <c r="L182" s="831">
        <f>+H182+K182</f>
        <v>26.110228522546741</v>
      </c>
      <c r="M182" s="833">
        <v>0.3</v>
      </c>
      <c r="N182" s="831">
        <f>+L182*M182+L182</f>
        <v>33.943297079310767</v>
      </c>
      <c r="O182" s="831">
        <v>50</v>
      </c>
      <c r="P182" s="325"/>
      <c r="S182" s="830" t="s">
        <v>995</v>
      </c>
      <c r="T182" s="834"/>
      <c r="U182" s="835"/>
    </row>
    <row r="183" spans="1:21" s="830" customFormat="1" ht="15.5" outlineLevel="1" x14ac:dyDescent="0.35">
      <c r="B183" s="839" t="s">
        <v>569</v>
      </c>
      <c r="C183" s="830" t="s">
        <v>569</v>
      </c>
      <c r="E183" s="830" t="s">
        <v>570</v>
      </c>
      <c r="F183" s="830" t="s">
        <v>593</v>
      </c>
      <c r="H183" s="831">
        <v>10</v>
      </c>
      <c r="I183" s="832">
        <v>8183</v>
      </c>
      <c r="J183" s="831">
        <v>13183</v>
      </c>
      <c r="K183" s="831">
        <f>+H183/I183*J183</f>
        <v>16.110228522546741</v>
      </c>
      <c r="L183" s="831">
        <f>+H183+K183</f>
        <v>26.110228522546741</v>
      </c>
      <c r="M183" s="833">
        <v>0.3</v>
      </c>
      <c r="N183" s="831">
        <f>+L183*M183+L183</f>
        <v>33.943297079310767</v>
      </c>
      <c r="O183" s="831">
        <v>50</v>
      </c>
      <c r="P183" s="325"/>
      <c r="S183" s="830" t="s">
        <v>996</v>
      </c>
      <c r="T183" s="834"/>
      <c r="U183" s="835"/>
    </row>
    <row r="184" spans="1:21" ht="15.5" outlineLevel="2" x14ac:dyDescent="0.35">
      <c r="C184" s="11" t="s">
        <v>623</v>
      </c>
      <c r="D184" s="10"/>
      <c r="E184" s="10"/>
      <c r="H184" s="140"/>
      <c r="I184" s="56"/>
      <c r="J184" s="140"/>
      <c r="K184" s="140"/>
      <c r="L184" s="140"/>
      <c r="M184" s="453"/>
      <c r="O184" s="140"/>
      <c r="U184" s="138"/>
    </row>
    <row r="185" spans="1:21" s="830" customFormat="1" ht="15.5" outlineLevel="2" x14ac:dyDescent="0.35">
      <c r="B185" s="839"/>
      <c r="C185" s="830" t="s">
        <v>569</v>
      </c>
      <c r="D185" s="830">
        <v>75</v>
      </c>
      <c r="F185" s="830" t="s">
        <v>587</v>
      </c>
      <c r="H185" s="831">
        <v>15</v>
      </c>
      <c r="I185" s="832">
        <v>8183</v>
      </c>
      <c r="J185" s="831">
        <v>13183</v>
      </c>
      <c r="K185" s="831">
        <f>+H185/I185*J185</f>
        <v>24.165342783820115</v>
      </c>
      <c r="L185" s="831">
        <f>+H185+K185</f>
        <v>39.165342783820115</v>
      </c>
      <c r="M185" s="833">
        <v>0.3</v>
      </c>
      <c r="N185" s="831">
        <f>+L185*M185+L185</f>
        <v>50.914945618966151</v>
      </c>
      <c r="O185" s="831">
        <v>65</v>
      </c>
      <c r="P185" s="325"/>
      <c r="T185" s="834"/>
      <c r="U185" s="835"/>
    </row>
    <row r="186" spans="1:21" s="830" customFormat="1" ht="15.5" outlineLevel="2" x14ac:dyDescent="0.35">
      <c r="B186" s="839"/>
      <c r="C186" s="830" t="s">
        <v>569</v>
      </c>
      <c r="D186" s="830">
        <v>76</v>
      </c>
      <c r="F186" s="830" t="s">
        <v>592</v>
      </c>
      <c r="H186" s="831">
        <v>15</v>
      </c>
      <c r="I186" s="832">
        <v>8183</v>
      </c>
      <c r="J186" s="831">
        <v>13183</v>
      </c>
      <c r="K186" s="831">
        <f>+H186/I186*J186</f>
        <v>24.165342783820115</v>
      </c>
      <c r="L186" s="831">
        <f>+H186+K186</f>
        <v>39.165342783820115</v>
      </c>
      <c r="M186" s="833">
        <v>0.3</v>
      </c>
      <c r="N186" s="831">
        <f>+L186*M186+L186</f>
        <v>50.914945618966151</v>
      </c>
      <c r="O186" s="831">
        <v>65</v>
      </c>
      <c r="P186" s="325"/>
      <c r="T186" s="834"/>
      <c r="U186" s="835"/>
    </row>
    <row r="187" spans="1:21" ht="15.5" x14ac:dyDescent="0.35">
      <c r="C187" s="11" t="s">
        <v>634</v>
      </c>
      <c r="D187" s="10"/>
      <c r="E187" s="10"/>
      <c r="H187" s="140"/>
      <c r="I187" s="56"/>
      <c r="J187" s="140"/>
      <c r="K187" s="140"/>
      <c r="L187" s="140"/>
      <c r="M187" s="453"/>
      <c r="O187" s="140"/>
      <c r="U187" s="138"/>
    </row>
    <row r="188" spans="1:21" ht="15.5" x14ac:dyDescent="0.35">
      <c r="A188" s="451"/>
      <c r="B188" s="451"/>
      <c r="C188" s="451" t="s">
        <v>492</v>
      </c>
      <c r="D188" s="451">
        <v>79</v>
      </c>
      <c r="E188" s="451">
        <v>44</v>
      </c>
      <c r="F188" s="11" t="s">
        <v>638</v>
      </c>
      <c r="G188" s="11"/>
      <c r="H188" s="140">
        <v>29</v>
      </c>
      <c r="I188" s="56">
        <v>952</v>
      </c>
      <c r="J188" s="140">
        <v>440</v>
      </c>
      <c r="K188" s="140">
        <f>+H188/I188*J188</f>
        <v>13.403361344537815</v>
      </c>
      <c r="L188" s="140"/>
      <c r="M188" s="452"/>
      <c r="O188" s="140">
        <v>110</v>
      </c>
      <c r="P188" s="140">
        <v>90</v>
      </c>
      <c r="U188" s="138"/>
    </row>
    <row r="189" spans="1:21" ht="15.5" x14ac:dyDescent="0.35">
      <c r="A189" s="451"/>
      <c r="B189" s="451"/>
      <c r="C189" s="451" t="s">
        <v>492</v>
      </c>
      <c r="D189" s="451">
        <v>80</v>
      </c>
      <c r="E189" s="451">
        <v>46</v>
      </c>
      <c r="F189" s="11" t="s">
        <v>638</v>
      </c>
      <c r="G189" s="11"/>
      <c r="H189" s="140">
        <v>29</v>
      </c>
      <c r="I189" s="56">
        <v>952</v>
      </c>
      <c r="J189" s="140">
        <v>440</v>
      </c>
      <c r="K189" s="140">
        <f>+H189/I189*J189</f>
        <v>13.403361344537815</v>
      </c>
      <c r="L189" s="140"/>
      <c r="M189" s="452"/>
      <c r="O189" s="140">
        <v>110</v>
      </c>
      <c r="P189" s="140"/>
      <c r="U189" s="138"/>
    </row>
    <row r="190" spans="1:21" ht="15.5" x14ac:dyDescent="0.35">
      <c r="D190" s="10"/>
      <c r="E190" s="10"/>
      <c r="F190" s="11" t="s">
        <v>683</v>
      </c>
      <c r="G190" s="11"/>
      <c r="H190" s="140"/>
      <c r="J190" s="140"/>
      <c r="K190" s="140"/>
      <c r="L190" s="140"/>
      <c r="M190" s="453"/>
      <c r="O190" s="140"/>
      <c r="U190" s="138"/>
    </row>
    <row r="191" spans="1:21" ht="15.5" x14ac:dyDescent="0.35">
      <c r="A191" s="451"/>
      <c r="B191" s="764" t="s">
        <v>307</v>
      </c>
      <c r="C191" s="451" t="s">
        <v>672</v>
      </c>
      <c r="D191" s="451">
        <v>81</v>
      </c>
      <c r="E191" s="451">
        <v>40</v>
      </c>
      <c r="F191" s="10" t="s">
        <v>648</v>
      </c>
      <c r="H191" s="140">
        <v>16</v>
      </c>
      <c r="I191" s="56">
        <v>6911</v>
      </c>
      <c r="J191" s="140">
        <v>4716</v>
      </c>
      <c r="K191" s="140">
        <f t="shared" ref="K191:K201" si="30">+H191/I191*J191</f>
        <v>10.918246274055853</v>
      </c>
      <c r="L191" s="140">
        <f t="shared" ref="L191:L201" si="31">+H191+K191</f>
        <v>26.918246274055853</v>
      </c>
      <c r="M191" s="453">
        <v>0.3</v>
      </c>
      <c r="N191" s="140">
        <f t="shared" ref="N191:N201" si="32">+L191*M191+L191</f>
        <v>34.993720156272609</v>
      </c>
      <c r="O191" s="140">
        <v>90</v>
      </c>
      <c r="P191" s="140"/>
      <c r="S191" s="496" t="s">
        <v>612</v>
      </c>
      <c r="U191" s="138"/>
    </row>
    <row r="192" spans="1:21" ht="15.5" x14ac:dyDescent="0.35">
      <c r="A192" s="451"/>
      <c r="B192" s="764" t="s">
        <v>249</v>
      </c>
      <c r="C192" s="451" t="s">
        <v>249</v>
      </c>
      <c r="D192" s="451">
        <v>83</v>
      </c>
      <c r="E192" s="451">
        <v>46</v>
      </c>
      <c r="F192" s="10" t="s">
        <v>649</v>
      </c>
      <c r="H192" s="140">
        <v>25</v>
      </c>
      <c r="I192" s="56">
        <v>6911</v>
      </c>
      <c r="J192" s="140">
        <v>4716</v>
      </c>
      <c r="K192" s="140">
        <f t="shared" si="30"/>
        <v>17.05975980321227</v>
      </c>
      <c r="L192" s="140">
        <f t="shared" si="31"/>
        <v>42.059759803212273</v>
      </c>
      <c r="M192" s="453">
        <v>0.3</v>
      </c>
      <c r="N192" s="140">
        <f t="shared" si="32"/>
        <v>54.677687744175955</v>
      </c>
      <c r="O192" s="140">
        <v>110</v>
      </c>
      <c r="P192" s="140">
        <v>55</v>
      </c>
      <c r="U192" s="138"/>
    </row>
    <row r="193" spans="1:23" ht="15.5" x14ac:dyDescent="0.35">
      <c r="A193" s="451"/>
      <c r="B193" s="764" t="s">
        <v>249</v>
      </c>
      <c r="C193" s="451" t="s">
        <v>249</v>
      </c>
      <c r="D193" s="451">
        <v>84</v>
      </c>
      <c r="E193" s="451">
        <v>48</v>
      </c>
      <c r="F193" s="10" t="s">
        <v>649</v>
      </c>
      <c r="H193" s="140">
        <v>25</v>
      </c>
      <c r="I193" s="56">
        <v>6911</v>
      </c>
      <c r="J193" s="140">
        <v>4716</v>
      </c>
      <c r="K193" s="140">
        <f t="shared" si="30"/>
        <v>17.05975980321227</v>
      </c>
      <c r="L193" s="140">
        <f t="shared" si="31"/>
        <v>42.059759803212273</v>
      </c>
      <c r="M193" s="453">
        <v>0.3</v>
      </c>
      <c r="N193" s="140">
        <f t="shared" si="32"/>
        <v>54.677687744175955</v>
      </c>
      <c r="O193" s="140">
        <v>110</v>
      </c>
      <c r="P193" s="140">
        <v>55</v>
      </c>
      <c r="U193" s="138"/>
    </row>
    <row r="194" spans="1:23" ht="15.5" x14ac:dyDescent="0.35">
      <c r="A194" s="451"/>
      <c r="B194" s="764" t="s">
        <v>249</v>
      </c>
      <c r="C194" s="451" t="s">
        <v>249</v>
      </c>
      <c r="D194" s="451">
        <v>85</v>
      </c>
      <c r="E194" s="451">
        <v>50</v>
      </c>
      <c r="F194" s="10" t="s">
        <v>649</v>
      </c>
      <c r="H194" s="140">
        <v>25</v>
      </c>
      <c r="I194" s="56">
        <v>6911</v>
      </c>
      <c r="J194" s="140">
        <v>4716</v>
      </c>
      <c r="K194" s="140">
        <f t="shared" si="30"/>
        <v>17.05975980321227</v>
      </c>
      <c r="L194" s="140">
        <f t="shared" si="31"/>
        <v>42.059759803212273</v>
      </c>
      <c r="M194" s="453">
        <v>0.3</v>
      </c>
      <c r="N194" s="140">
        <f t="shared" si="32"/>
        <v>54.677687744175955</v>
      </c>
      <c r="O194" s="140">
        <v>110</v>
      </c>
      <c r="P194" s="140">
        <v>55</v>
      </c>
      <c r="U194" s="138"/>
    </row>
    <row r="195" spans="1:23" ht="15.5" x14ac:dyDescent="0.35">
      <c r="A195" s="451"/>
      <c r="B195" s="764" t="s">
        <v>14</v>
      </c>
      <c r="C195" s="451" t="s">
        <v>14</v>
      </c>
      <c r="D195" s="451">
        <v>86</v>
      </c>
      <c r="E195" s="451">
        <v>42</v>
      </c>
      <c r="F195" s="10" t="s">
        <v>654</v>
      </c>
      <c r="H195" s="140">
        <v>25</v>
      </c>
      <c r="I195" s="56">
        <v>6911</v>
      </c>
      <c r="J195" s="140">
        <v>4716</v>
      </c>
      <c r="K195" s="140">
        <f t="shared" si="30"/>
        <v>17.05975980321227</v>
      </c>
      <c r="L195" s="140">
        <f t="shared" si="31"/>
        <v>42.059759803212273</v>
      </c>
      <c r="M195" s="453">
        <v>0.3</v>
      </c>
      <c r="N195" s="140">
        <f t="shared" si="32"/>
        <v>54.677687744175955</v>
      </c>
      <c r="O195" s="140">
        <v>110</v>
      </c>
      <c r="P195" s="140">
        <v>55</v>
      </c>
      <c r="U195" s="138"/>
    </row>
    <row r="196" spans="1:23" ht="15.5" x14ac:dyDescent="0.35">
      <c r="A196" s="451"/>
      <c r="B196" s="764" t="s">
        <v>14</v>
      </c>
      <c r="C196" s="451" t="s">
        <v>14</v>
      </c>
      <c r="D196" s="451">
        <v>87</v>
      </c>
      <c r="E196" s="451">
        <v>46</v>
      </c>
      <c r="F196" s="10" t="s">
        <v>654</v>
      </c>
      <c r="H196" s="140">
        <v>25</v>
      </c>
      <c r="I196" s="56">
        <v>6911</v>
      </c>
      <c r="J196" s="140">
        <v>4716</v>
      </c>
      <c r="K196" s="140">
        <f t="shared" si="30"/>
        <v>17.05975980321227</v>
      </c>
      <c r="L196" s="140">
        <f t="shared" si="31"/>
        <v>42.059759803212273</v>
      </c>
      <c r="M196" s="453">
        <v>0.3</v>
      </c>
      <c r="N196" s="140">
        <f t="shared" si="32"/>
        <v>54.677687744175955</v>
      </c>
      <c r="O196" s="140">
        <v>110</v>
      </c>
      <c r="P196" s="140"/>
      <c r="U196" s="138"/>
    </row>
    <row r="197" spans="1:23" ht="15.5" x14ac:dyDescent="0.35">
      <c r="A197" s="451"/>
      <c r="B197" s="764" t="s">
        <v>227</v>
      </c>
      <c r="C197" s="451" t="s">
        <v>230</v>
      </c>
      <c r="D197" s="451">
        <v>88</v>
      </c>
      <c r="E197" s="451">
        <v>52</v>
      </c>
      <c r="F197" s="10" t="s">
        <v>657</v>
      </c>
      <c r="H197" s="140">
        <v>36</v>
      </c>
      <c r="I197" s="56">
        <v>6911</v>
      </c>
      <c r="J197" s="140">
        <v>4716</v>
      </c>
      <c r="K197" s="140">
        <f t="shared" si="30"/>
        <v>24.566054116625669</v>
      </c>
      <c r="L197" s="140">
        <f t="shared" si="31"/>
        <v>60.566054116625665</v>
      </c>
      <c r="M197" s="453">
        <v>0.3</v>
      </c>
      <c r="N197" s="140">
        <f t="shared" si="32"/>
        <v>78.735870351613357</v>
      </c>
      <c r="O197" s="140">
        <v>150</v>
      </c>
      <c r="P197" s="140">
        <v>80</v>
      </c>
      <c r="U197" s="138"/>
    </row>
    <row r="198" spans="1:23" ht="15.5" x14ac:dyDescent="0.35">
      <c r="A198" s="451"/>
      <c r="B198" s="764" t="s">
        <v>227</v>
      </c>
      <c r="C198" s="451" t="s">
        <v>230</v>
      </c>
      <c r="D198" s="451">
        <v>90</v>
      </c>
      <c r="E198" s="451">
        <v>56</v>
      </c>
      <c r="F198" s="10" t="s">
        <v>657</v>
      </c>
      <c r="H198" s="140">
        <v>36</v>
      </c>
      <c r="I198" s="56">
        <v>6911</v>
      </c>
      <c r="J198" s="140">
        <v>4716</v>
      </c>
      <c r="K198" s="140">
        <f t="shared" si="30"/>
        <v>24.566054116625669</v>
      </c>
      <c r="L198" s="140">
        <f t="shared" si="31"/>
        <v>60.566054116625665</v>
      </c>
      <c r="M198" s="453">
        <v>0.3</v>
      </c>
      <c r="N198" s="140">
        <f t="shared" si="32"/>
        <v>78.735870351613357</v>
      </c>
      <c r="O198" s="140">
        <v>150</v>
      </c>
      <c r="P198" s="140">
        <v>80</v>
      </c>
      <c r="U198" s="138"/>
    </row>
    <row r="199" spans="1:23" ht="15.5" x14ac:dyDescent="0.35">
      <c r="B199" s="486" t="s">
        <v>227</v>
      </c>
      <c r="C199" s="10" t="s">
        <v>672</v>
      </c>
      <c r="D199" s="10">
        <v>91</v>
      </c>
      <c r="E199" s="10">
        <v>36</v>
      </c>
      <c r="F199" s="397" t="s">
        <v>658</v>
      </c>
      <c r="G199" s="397"/>
      <c r="H199" s="450">
        <v>25</v>
      </c>
      <c r="I199" s="456">
        <v>6911</v>
      </c>
      <c r="J199" s="450">
        <v>4716</v>
      </c>
      <c r="K199" s="450">
        <f t="shared" si="30"/>
        <v>17.05975980321227</v>
      </c>
      <c r="L199" s="450">
        <f t="shared" si="31"/>
        <v>42.059759803212273</v>
      </c>
      <c r="M199" s="584">
        <v>0.3</v>
      </c>
      <c r="N199" s="450">
        <f t="shared" si="32"/>
        <v>54.677687744175955</v>
      </c>
      <c r="O199" s="450">
        <v>90</v>
      </c>
      <c r="P199" s="325">
        <v>35</v>
      </c>
      <c r="S199" s="10" t="s">
        <v>12</v>
      </c>
      <c r="T199" s="404">
        <v>46052</v>
      </c>
      <c r="U199" s="138"/>
    </row>
    <row r="200" spans="1:23" ht="15.5" x14ac:dyDescent="0.35">
      <c r="B200" s="11" t="s">
        <v>227</v>
      </c>
      <c r="C200" s="10" t="s">
        <v>672</v>
      </c>
      <c r="D200" s="10">
        <v>92</v>
      </c>
      <c r="E200" s="10">
        <v>38</v>
      </c>
      <c r="F200" s="397" t="s">
        <v>659</v>
      </c>
      <c r="G200" s="397"/>
      <c r="H200" s="450">
        <v>32</v>
      </c>
      <c r="I200" s="456">
        <v>6911</v>
      </c>
      <c r="J200" s="450">
        <v>4716</v>
      </c>
      <c r="K200" s="450">
        <f t="shared" si="30"/>
        <v>21.836492548111707</v>
      </c>
      <c r="L200" s="450">
        <f t="shared" si="31"/>
        <v>53.836492548111707</v>
      </c>
      <c r="M200" s="584">
        <v>0.3</v>
      </c>
      <c r="N200" s="450">
        <f t="shared" si="32"/>
        <v>69.987440312545218</v>
      </c>
      <c r="O200" s="450">
        <v>110</v>
      </c>
      <c r="S200" s="10" t="s">
        <v>2681</v>
      </c>
      <c r="T200" s="404" t="s">
        <v>2682</v>
      </c>
      <c r="U200" s="138"/>
    </row>
    <row r="201" spans="1:23" ht="15.5" x14ac:dyDescent="0.35">
      <c r="A201" s="451"/>
      <c r="B201" s="764" t="s">
        <v>660</v>
      </c>
      <c r="C201" s="451" t="s">
        <v>660</v>
      </c>
      <c r="D201" s="451">
        <v>93</v>
      </c>
      <c r="E201" s="451">
        <v>50</v>
      </c>
      <c r="F201" s="10" t="s">
        <v>661</v>
      </c>
      <c r="H201" s="140">
        <v>20</v>
      </c>
      <c r="I201" s="56">
        <v>6911</v>
      </c>
      <c r="J201" s="140">
        <v>4716</v>
      </c>
      <c r="K201" s="140">
        <f t="shared" si="30"/>
        <v>13.647807842569817</v>
      </c>
      <c r="L201" s="140">
        <f t="shared" si="31"/>
        <v>33.647807842569819</v>
      </c>
      <c r="M201" s="453">
        <v>0.3</v>
      </c>
      <c r="N201" s="140">
        <f t="shared" si="32"/>
        <v>43.742150195340763</v>
      </c>
      <c r="O201" s="140">
        <v>110</v>
      </c>
      <c r="P201" s="140">
        <v>55</v>
      </c>
      <c r="U201" s="138"/>
    </row>
    <row r="202" spans="1:23" s="57" customFormat="1" ht="15.5" x14ac:dyDescent="0.35">
      <c r="B202" s="78"/>
      <c r="C202" s="78"/>
      <c r="D202" s="10"/>
      <c r="E202" s="10"/>
      <c r="F202" s="33" t="s">
        <v>728</v>
      </c>
      <c r="G202" s="33"/>
      <c r="H202" s="141"/>
      <c r="I202" s="56"/>
      <c r="J202" s="140"/>
      <c r="K202" s="140"/>
      <c r="L202" s="140"/>
      <c r="M202" s="453"/>
      <c r="N202" s="140"/>
      <c r="O202" s="141"/>
      <c r="P202" s="474"/>
      <c r="Q202" s="10"/>
      <c r="R202" s="10"/>
      <c r="S202" s="10"/>
      <c r="T202" s="404"/>
      <c r="U202" s="138"/>
      <c r="V202" s="10"/>
      <c r="W202" s="10"/>
    </row>
    <row r="203" spans="1:23" s="252" customFormat="1" ht="15.5" x14ac:dyDescent="0.35">
      <c r="B203" s="252" t="s">
        <v>571</v>
      </c>
      <c r="C203" s="252" t="s">
        <v>703</v>
      </c>
      <c r="D203" s="252">
        <v>97</v>
      </c>
      <c r="E203" s="252">
        <v>42</v>
      </c>
      <c r="F203" s="252" t="s">
        <v>717</v>
      </c>
      <c r="H203" s="490">
        <v>18</v>
      </c>
      <c r="I203" s="768">
        <v>4607</v>
      </c>
      <c r="J203" s="490">
        <f t="shared" ref="J203:J209" si="33">7503-I203</f>
        <v>2896</v>
      </c>
      <c r="K203" s="490">
        <f t="shared" ref="K203:K209" si="34">+H203/I203*J203</f>
        <v>11.314955502496202</v>
      </c>
      <c r="L203" s="490">
        <f t="shared" ref="L203:L209" si="35">+H203+K203</f>
        <v>29.314955502496204</v>
      </c>
      <c r="M203" s="769">
        <v>0.3</v>
      </c>
      <c r="N203" s="490">
        <f t="shared" ref="N203:N209" si="36">+L203*M203+L203</f>
        <v>38.109442153245062</v>
      </c>
      <c r="O203" s="479">
        <v>90</v>
      </c>
      <c r="P203" s="479"/>
      <c r="T203" s="742"/>
      <c r="U203" s="424"/>
    </row>
    <row r="204" spans="1:23" s="252" customFormat="1" ht="15.5" x14ac:dyDescent="0.35">
      <c r="B204" s="252" t="s">
        <v>571</v>
      </c>
      <c r="C204" s="252" t="s">
        <v>703</v>
      </c>
      <c r="D204" s="252">
        <v>100</v>
      </c>
      <c r="E204" s="252">
        <v>42</v>
      </c>
      <c r="F204" s="252" t="s">
        <v>717</v>
      </c>
      <c r="H204" s="490">
        <v>18</v>
      </c>
      <c r="I204" s="768">
        <v>4607</v>
      </c>
      <c r="J204" s="490">
        <f t="shared" si="33"/>
        <v>2896</v>
      </c>
      <c r="K204" s="490">
        <f t="shared" si="34"/>
        <v>11.314955502496202</v>
      </c>
      <c r="L204" s="490">
        <f t="shared" si="35"/>
        <v>29.314955502496204</v>
      </c>
      <c r="M204" s="769">
        <v>0.3</v>
      </c>
      <c r="N204" s="490">
        <f t="shared" si="36"/>
        <v>38.109442153245062</v>
      </c>
      <c r="O204" s="479">
        <v>90</v>
      </c>
      <c r="P204" s="479"/>
      <c r="T204" s="742"/>
      <c r="U204" s="424"/>
    </row>
    <row r="205" spans="1:23" s="57" customFormat="1" ht="15.5" x14ac:dyDescent="0.35">
      <c r="A205" s="66"/>
      <c r="B205" s="66" t="s">
        <v>723</v>
      </c>
      <c r="C205" s="66" t="s">
        <v>725</v>
      </c>
      <c r="D205" s="66">
        <v>101</v>
      </c>
      <c r="E205" s="66">
        <v>44</v>
      </c>
      <c r="F205" s="57" t="s">
        <v>724</v>
      </c>
      <c r="H205" s="147">
        <v>28</v>
      </c>
      <c r="I205" s="65">
        <v>4607</v>
      </c>
      <c r="J205" s="147">
        <f t="shared" si="33"/>
        <v>2896</v>
      </c>
      <c r="K205" s="147">
        <f t="shared" si="34"/>
        <v>17.601041892771867</v>
      </c>
      <c r="L205" s="147">
        <f t="shared" si="35"/>
        <v>45.601041892771867</v>
      </c>
      <c r="M205" s="478">
        <v>0.3</v>
      </c>
      <c r="N205" s="147">
        <f t="shared" si="36"/>
        <v>59.281354460603424</v>
      </c>
      <c r="O205" s="143">
        <v>110</v>
      </c>
      <c r="P205" s="143">
        <v>55</v>
      </c>
      <c r="T205" s="480"/>
      <c r="U205" s="337"/>
    </row>
    <row r="206" spans="1:23" s="57" customFormat="1" ht="15.5" x14ac:dyDescent="0.35">
      <c r="A206" s="66"/>
      <c r="B206" s="66" t="s">
        <v>723</v>
      </c>
      <c r="C206" s="66" t="s">
        <v>725</v>
      </c>
      <c r="D206" s="66">
        <v>102</v>
      </c>
      <c r="E206" s="66">
        <v>46</v>
      </c>
      <c r="F206" s="57" t="s">
        <v>724</v>
      </c>
      <c r="H206" s="147">
        <v>28</v>
      </c>
      <c r="I206" s="65">
        <v>4607</v>
      </c>
      <c r="J206" s="147">
        <f t="shared" si="33"/>
        <v>2896</v>
      </c>
      <c r="K206" s="147">
        <f t="shared" si="34"/>
        <v>17.601041892771867</v>
      </c>
      <c r="L206" s="147">
        <f t="shared" si="35"/>
        <v>45.601041892771867</v>
      </c>
      <c r="M206" s="478">
        <v>0.3</v>
      </c>
      <c r="N206" s="147">
        <f t="shared" si="36"/>
        <v>59.281354460603424</v>
      </c>
      <c r="O206" s="143">
        <v>110</v>
      </c>
      <c r="P206" s="143">
        <v>55</v>
      </c>
      <c r="T206" s="480"/>
      <c r="U206" s="337"/>
    </row>
    <row r="207" spans="1:23" ht="15.5" x14ac:dyDescent="0.35">
      <c r="A207" s="451"/>
      <c r="B207" s="66" t="s">
        <v>704</v>
      </c>
      <c r="C207" s="66" t="s">
        <v>713</v>
      </c>
      <c r="D207" s="66">
        <v>103</v>
      </c>
      <c r="E207" s="66">
        <v>44</v>
      </c>
      <c r="F207" s="57" t="s">
        <v>714</v>
      </c>
      <c r="G207" s="57"/>
      <c r="H207" s="147">
        <v>38</v>
      </c>
      <c r="I207" s="65">
        <v>4607</v>
      </c>
      <c r="J207" s="147">
        <f t="shared" si="33"/>
        <v>2896</v>
      </c>
      <c r="K207" s="147">
        <f t="shared" si="34"/>
        <v>23.887128283047538</v>
      </c>
      <c r="L207" s="147">
        <f t="shared" si="35"/>
        <v>61.887128283047538</v>
      </c>
      <c r="M207" s="478">
        <v>0.3</v>
      </c>
      <c r="N207" s="147">
        <f t="shared" si="36"/>
        <v>80.453266767961793</v>
      </c>
      <c r="O207" s="143">
        <v>110</v>
      </c>
      <c r="P207" s="143">
        <v>55</v>
      </c>
      <c r="Q207" s="57"/>
      <c r="R207" s="57"/>
      <c r="S207" s="57"/>
      <c r="T207" s="480"/>
      <c r="U207" s="337"/>
      <c r="V207" s="57"/>
      <c r="W207" s="57"/>
    </row>
    <row r="208" spans="1:23" ht="15.5" x14ac:dyDescent="0.35">
      <c r="A208" s="451"/>
      <c r="B208" s="66" t="s">
        <v>704</v>
      </c>
      <c r="C208" s="66" t="s">
        <v>713</v>
      </c>
      <c r="D208" s="66">
        <v>104</v>
      </c>
      <c r="E208" s="66">
        <v>46</v>
      </c>
      <c r="F208" s="57" t="s">
        <v>714</v>
      </c>
      <c r="G208" s="57"/>
      <c r="H208" s="147">
        <v>38</v>
      </c>
      <c r="I208" s="65">
        <v>4607</v>
      </c>
      <c r="J208" s="147">
        <f t="shared" si="33"/>
        <v>2896</v>
      </c>
      <c r="K208" s="147">
        <f t="shared" si="34"/>
        <v>23.887128283047538</v>
      </c>
      <c r="L208" s="147">
        <f t="shared" si="35"/>
        <v>61.887128283047538</v>
      </c>
      <c r="M208" s="478">
        <v>0.3</v>
      </c>
      <c r="N208" s="147">
        <f t="shared" si="36"/>
        <v>80.453266767961793</v>
      </c>
      <c r="O208" s="143">
        <v>110</v>
      </c>
      <c r="P208" s="143">
        <v>55</v>
      </c>
      <c r="Q208" s="57"/>
      <c r="R208" s="57"/>
      <c r="S208" s="57"/>
      <c r="T208" s="480"/>
      <c r="U208" s="337"/>
      <c r="V208" s="57"/>
      <c r="W208" s="57"/>
    </row>
    <row r="209" spans="1:23" ht="15.5" x14ac:dyDescent="0.35">
      <c r="A209" s="451"/>
      <c r="B209" s="66" t="s">
        <v>704</v>
      </c>
      <c r="C209" s="66" t="s">
        <v>713</v>
      </c>
      <c r="D209" s="66">
        <v>105</v>
      </c>
      <c r="E209" s="66">
        <v>50</v>
      </c>
      <c r="F209" s="57" t="s">
        <v>714</v>
      </c>
      <c r="G209" s="57"/>
      <c r="H209" s="147">
        <v>38</v>
      </c>
      <c r="I209" s="65">
        <v>4607</v>
      </c>
      <c r="J209" s="147">
        <f t="shared" si="33"/>
        <v>2896</v>
      </c>
      <c r="K209" s="147">
        <f t="shared" si="34"/>
        <v>23.887128283047538</v>
      </c>
      <c r="L209" s="147">
        <f t="shared" si="35"/>
        <v>61.887128283047538</v>
      </c>
      <c r="M209" s="478">
        <v>0.3</v>
      </c>
      <c r="N209" s="147">
        <f t="shared" si="36"/>
        <v>80.453266767961793</v>
      </c>
      <c r="O209" s="143">
        <v>110</v>
      </c>
      <c r="P209" s="143">
        <v>55</v>
      </c>
      <c r="Q209" s="57"/>
      <c r="R209" s="57"/>
      <c r="S209" s="57"/>
      <c r="T209" s="480"/>
      <c r="U209" s="337"/>
      <c r="V209" s="57"/>
      <c r="W209" s="57"/>
    </row>
    <row r="210" spans="1:23" s="244" customFormat="1" ht="15.5" x14ac:dyDescent="0.35">
      <c r="B210" s="57"/>
      <c r="C210" s="241"/>
      <c r="F210" s="330" t="s">
        <v>778</v>
      </c>
      <c r="G210" s="330"/>
      <c r="H210" s="459"/>
      <c r="I210" s="460"/>
      <c r="J210" s="459"/>
      <c r="K210" s="459"/>
      <c r="L210" s="459"/>
      <c r="M210" s="461"/>
      <c r="N210" s="459"/>
      <c r="O210" s="462"/>
      <c r="P210" s="463"/>
      <c r="Q210" s="57"/>
      <c r="R210" s="57"/>
      <c r="S210" s="57"/>
      <c r="T210" s="464"/>
      <c r="U210" s="337"/>
    </row>
    <row r="211" spans="1:23" s="244" customFormat="1" ht="15.5" x14ac:dyDescent="0.35">
      <c r="A211" s="772"/>
      <c r="B211" s="66" t="s">
        <v>571</v>
      </c>
      <c r="C211" s="773" t="s">
        <v>781</v>
      </c>
      <c r="D211" s="772">
        <v>107</v>
      </c>
      <c r="E211" s="772">
        <v>42</v>
      </c>
      <c r="F211" s="244" t="s">
        <v>754</v>
      </c>
      <c r="H211" s="459">
        <v>29</v>
      </c>
      <c r="I211" s="460">
        <v>8267</v>
      </c>
      <c r="J211" s="459">
        <v>7400</v>
      </c>
      <c r="K211" s="459">
        <f>+H211/I211*J211</f>
        <v>25.958630700374986</v>
      </c>
      <c r="L211" s="459">
        <f>+H211+K211</f>
        <v>54.958630700374982</v>
      </c>
      <c r="M211" s="461">
        <v>0.3</v>
      </c>
      <c r="N211" s="459">
        <f>+L211*1.3</f>
        <v>71.446219910487486</v>
      </c>
      <c r="O211" s="462">
        <v>110</v>
      </c>
      <c r="P211" s="462">
        <v>60</v>
      </c>
      <c r="Q211" s="57"/>
      <c r="R211" s="57"/>
      <c r="S211" s="57"/>
      <c r="T211" s="464"/>
      <c r="U211" s="337"/>
    </row>
    <row r="212" spans="1:23" s="345" customFormat="1" ht="15.5" x14ac:dyDescent="0.35">
      <c r="B212" s="252" t="s">
        <v>307</v>
      </c>
      <c r="C212" s="754" t="s">
        <v>780</v>
      </c>
      <c r="D212" s="345">
        <v>109</v>
      </c>
      <c r="E212" s="345">
        <v>50</v>
      </c>
      <c r="F212" s="345" t="s">
        <v>755</v>
      </c>
      <c r="H212" s="497">
        <v>29</v>
      </c>
      <c r="I212" s="498">
        <v>8267</v>
      </c>
      <c r="J212" s="497">
        <v>7400</v>
      </c>
      <c r="K212" s="497">
        <f>+H212/I212*J212</f>
        <v>25.958630700374986</v>
      </c>
      <c r="L212" s="497">
        <f>+H212+K212</f>
        <v>54.958630700374982</v>
      </c>
      <c r="M212" s="499">
        <v>0.3</v>
      </c>
      <c r="N212" s="497">
        <f>+L212*1.3</f>
        <v>71.446219910487486</v>
      </c>
      <c r="O212" s="463">
        <v>90</v>
      </c>
      <c r="P212" s="463"/>
      <c r="Q212" s="252"/>
      <c r="R212" s="252"/>
      <c r="S212" s="252"/>
      <c r="T212" s="500"/>
      <c r="U212" s="424"/>
    </row>
    <row r="213" spans="1:23" s="244" customFormat="1" ht="15.5" x14ac:dyDescent="0.35">
      <c r="B213" s="57" t="s">
        <v>647</v>
      </c>
      <c r="C213" s="57" t="s">
        <v>647</v>
      </c>
      <c r="D213" s="244">
        <v>110</v>
      </c>
      <c r="E213" s="244">
        <v>46</v>
      </c>
      <c r="F213" s="588" t="s">
        <v>756</v>
      </c>
      <c r="G213" s="588"/>
      <c r="H213" s="585">
        <v>26</v>
      </c>
      <c r="I213" s="589">
        <v>8267</v>
      </c>
      <c r="J213" s="585">
        <v>7400</v>
      </c>
      <c r="K213" s="585">
        <f>+H213/I213*J213</f>
        <v>23.273255110681021</v>
      </c>
      <c r="L213" s="585">
        <f>+H213+K213</f>
        <v>49.273255110681021</v>
      </c>
      <c r="M213" s="590">
        <v>0.3</v>
      </c>
      <c r="N213" s="585">
        <f>+L213*1.3</f>
        <v>64.055231643885335</v>
      </c>
      <c r="O213" s="591">
        <v>90</v>
      </c>
      <c r="P213" s="463">
        <v>35</v>
      </c>
      <c r="Q213" s="57"/>
      <c r="R213" s="57"/>
      <c r="S213" s="57" t="s">
        <v>1086</v>
      </c>
      <c r="T213" s="464">
        <v>46067</v>
      </c>
      <c r="U213" s="337"/>
    </row>
    <row r="214" spans="1:23" s="840" customFormat="1" ht="15.5" x14ac:dyDescent="0.35">
      <c r="B214" s="838" t="s">
        <v>231</v>
      </c>
      <c r="C214" s="840" t="s">
        <v>194</v>
      </c>
      <c r="E214" s="840">
        <v>48</v>
      </c>
      <c r="F214" s="840" t="s">
        <v>764</v>
      </c>
      <c r="H214" s="841">
        <v>35</v>
      </c>
      <c r="I214" s="842">
        <v>8267</v>
      </c>
      <c r="J214" s="841">
        <v>7400</v>
      </c>
      <c r="K214" s="841">
        <f>+H214/I214*J214</f>
        <v>31.329381879762913</v>
      </c>
      <c r="L214" s="841">
        <f>+H214+K214</f>
        <v>66.329381879762906</v>
      </c>
      <c r="M214" s="843">
        <v>0.3</v>
      </c>
      <c r="N214" s="841">
        <f>+L214*1.3</f>
        <v>86.228196443691786</v>
      </c>
      <c r="O214" s="844">
        <v>125</v>
      </c>
      <c r="P214" s="463"/>
      <c r="Q214" s="838"/>
      <c r="R214" s="838"/>
      <c r="S214" s="838"/>
      <c r="T214" s="845"/>
      <c r="U214" s="846"/>
    </row>
    <row r="215" spans="1:23" customFormat="1" ht="15.5" x14ac:dyDescent="0.35">
      <c r="A215" s="92"/>
      <c r="B215" s="66" t="s">
        <v>231</v>
      </c>
      <c r="C215" s="773" t="s">
        <v>154</v>
      </c>
      <c r="D215" s="772">
        <v>116</v>
      </c>
      <c r="E215" s="772">
        <v>56</v>
      </c>
      <c r="F215" s="244" t="s">
        <v>765</v>
      </c>
      <c r="G215" s="244"/>
      <c r="H215" s="459">
        <v>55</v>
      </c>
      <c r="I215" s="460">
        <v>8267</v>
      </c>
      <c r="J215" s="459">
        <v>7400</v>
      </c>
      <c r="K215" s="459">
        <f>+H215/I215*J215</f>
        <v>49.231885811056003</v>
      </c>
      <c r="L215" s="459">
        <f>+H215+K215</f>
        <v>104.231885811056</v>
      </c>
      <c r="M215" s="461">
        <v>0.3</v>
      </c>
      <c r="N215" s="459">
        <f>+L215*1.3</f>
        <v>135.50145155437281</v>
      </c>
      <c r="O215" s="462">
        <v>150</v>
      </c>
      <c r="P215" s="462">
        <v>125</v>
      </c>
      <c r="Q215" s="57"/>
      <c r="R215" s="57"/>
      <c r="S215" s="57" t="s">
        <v>846</v>
      </c>
      <c r="T215" s="464">
        <v>45080</v>
      </c>
      <c r="U215" s="337">
        <f>+O215*2000</f>
        <v>300000</v>
      </c>
      <c r="V215" s="244"/>
      <c r="W215" s="244"/>
    </row>
    <row r="216" spans="1:23" customFormat="1" ht="15.5" x14ac:dyDescent="0.35">
      <c r="B216" s="57"/>
      <c r="C216" s="465" t="s">
        <v>795</v>
      </c>
      <c r="D216" s="244"/>
      <c r="E216" s="244"/>
      <c r="F216" s="244"/>
      <c r="G216" s="244"/>
      <c r="H216" s="459"/>
      <c r="I216" s="460"/>
      <c r="J216" s="459"/>
      <c r="K216" s="459"/>
      <c r="L216" s="459"/>
      <c r="M216" s="461"/>
      <c r="N216" s="459"/>
      <c r="O216" s="462"/>
      <c r="P216" s="463"/>
      <c r="Q216" s="57"/>
      <c r="R216" s="57"/>
      <c r="S216" s="57"/>
      <c r="T216" s="464"/>
      <c r="U216" s="337"/>
      <c r="V216" s="244"/>
      <c r="W216" s="244"/>
    </row>
    <row r="217" spans="1:23" s="11" customFormat="1" ht="15" customHeight="1" outlineLevel="1" x14ac:dyDescent="0.35">
      <c r="A217" s="764"/>
      <c r="B217" s="597"/>
      <c r="C217" s="597" t="s">
        <v>584</v>
      </c>
      <c r="D217" s="772">
        <v>118</v>
      </c>
      <c r="E217" s="92">
        <v>36</v>
      </c>
      <c r="F217" s="330" t="s">
        <v>793</v>
      </c>
      <c r="G217" s="330"/>
      <c r="H217" s="173">
        <v>31</v>
      </c>
      <c r="I217" s="4">
        <f>+(700+612+375)*1.5</f>
        <v>2530.5</v>
      </c>
      <c r="J217" s="173">
        <v>631</v>
      </c>
      <c r="K217" s="459">
        <f>+H217/I217*J217</f>
        <v>7.7300928670223277</v>
      </c>
      <c r="L217" s="459">
        <f>+H217+K217</f>
        <v>38.730092867022329</v>
      </c>
      <c r="M217" s="461">
        <v>0.4</v>
      </c>
      <c r="N217" s="459">
        <f>+L217*1.3</f>
        <v>50.349120727129026</v>
      </c>
      <c r="O217" s="146">
        <v>90</v>
      </c>
      <c r="P217" s="146">
        <v>60</v>
      </c>
      <c r="Q217" s="10"/>
      <c r="R217" s="10"/>
      <c r="S217" s="10"/>
      <c r="T217" s="467"/>
      <c r="U217" s="420"/>
      <c r="V217"/>
      <c r="W217"/>
    </row>
    <row r="218" spans="1:23" ht="15" customHeight="1" outlineLevel="1" x14ac:dyDescent="0.35">
      <c r="B218" s="233"/>
      <c r="C218" s="233" t="s">
        <v>584</v>
      </c>
      <c r="D218" s="244">
        <v>120</v>
      </c>
      <c r="E218">
        <v>42</v>
      </c>
      <c r="F218" s="759" t="s">
        <v>793</v>
      </c>
      <c r="G218" s="759"/>
      <c r="H218" s="176">
        <v>31</v>
      </c>
      <c r="I218" s="223">
        <f>+(700+612+375)*1.5</f>
        <v>2530.5</v>
      </c>
      <c r="J218" s="176">
        <v>631</v>
      </c>
      <c r="K218" s="585">
        <f>+H218/I218*J218</f>
        <v>7.7300928670223277</v>
      </c>
      <c r="L218" s="585">
        <f>+H218+K218</f>
        <v>38.730092867022329</v>
      </c>
      <c r="M218" s="590">
        <v>0.4</v>
      </c>
      <c r="N218" s="585">
        <f>+L218*1.3</f>
        <v>50.349120727129026</v>
      </c>
      <c r="O218" s="370">
        <v>90</v>
      </c>
      <c r="P218" s="466"/>
      <c r="S218" s="10" t="s">
        <v>12</v>
      </c>
      <c r="T218" s="467">
        <v>46069</v>
      </c>
      <c r="U218" s="420"/>
      <c r="V218"/>
      <c r="W218"/>
    </row>
    <row r="219" spans="1:23" ht="15" customHeight="1" outlineLevel="1" x14ac:dyDescent="0.35">
      <c r="B219" s="233"/>
      <c r="C219" s="233" t="s">
        <v>584</v>
      </c>
      <c r="D219" s="244">
        <v>121</v>
      </c>
      <c r="E219">
        <v>38</v>
      </c>
      <c r="F219" s="759" t="s">
        <v>794</v>
      </c>
      <c r="G219" s="759"/>
      <c r="H219" s="176">
        <v>36</v>
      </c>
      <c r="I219" s="223">
        <f>+(700+612+375)*1.5</f>
        <v>2530.5</v>
      </c>
      <c r="J219" s="176">
        <v>631</v>
      </c>
      <c r="K219" s="585">
        <f>+H219/I219*J219</f>
        <v>8.9768820391227031</v>
      </c>
      <c r="L219" s="585">
        <f>+H219+K219</f>
        <v>44.9768820391227</v>
      </c>
      <c r="M219" s="590">
        <v>0.4</v>
      </c>
      <c r="N219" s="585">
        <f>+L219*1.3</f>
        <v>58.469946650859512</v>
      </c>
      <c r="O219" s="370">
        <v>110</v>
      </c>
      <c r="P219" s="466"/>
      <c r="S219" s="10" t="s">
        <v>12</v>
      </c>
      <c r="T219" s="467">
        <v>46043</v>
      </c>
      <c r="U219" s="420"/>
      <c r="V219"/>
      <c r="W219"/>
    </row>
    <row r="220" spans="1:23" customFormat="1" ht="15.5" x14ac:dyDescent="0.35">
      <c r="B220" s="233"/>
      <c r="C220" s="233"/>
      <c r="D220" s="233"/>
      <c r="F220" s="330" t="s">
        <v>841</v>
      </c>
      <c r="G220" s="330"/>
      <c r="H220" s="330"/>
      <c r="I220" s="173"/>
      <c r="J220" s="4"/>
      <c r="K220" s="173"/>
      <c r="L220" s="145"/>
      <c r="M220" s="145"/>
      <c r="N220" s="468"/>
      <c r="O220" s="145"/>
      <c r="P220" s="469"/>
      <c r="S220" s="10"/>
      <c r="T220" s="404"/>
      <c r="U220" s="420"/>
    </row>
    <row r="221" spans="1:23" s="13" customFormat="1" ht="15.5" x14ac:dyDescent="0.35">
      <c r="B221" s="368" t="s">
        <v>731</v>
      </c>
      <c r="C221" s="368" t="s">
        <v>801</v>
      </c>
      <c r="D221" s="345">
        <v>123</v>
      </c>
      <c r="E221" s="13">
        <v>38</v>
      </c>
      <c r="F221" s="345" t="s">
        <v>802</v>
      </c>
      <c r="G221" s="345"/>
      <c r="H221" s="756">
        <v>36</v>
      </c>
      <c r="I221" s="756">
        <v>9682</v>
      </c>
      <c r="J221" s="344">
        <v>7766</v>
      </c>
      <c r="K221" s="469">
        <f t="shared" ref="K221:K228" si="37">+H221/I221*J221</f>
        <v>28.875852096674244</v>
      </c>
      <c r="L221" s="469">
        <f t="shared" ref="L221:L228" si="38">+H221+K221</f>
        <v>64.875852096674237</v>
      </c>
      <c r="M221" s="501">
        <v>0.4</v>
      </c>
      <c r="N221" s="469">
        <f t="shared" ref="N221:N228" si="39">+L221*1.4</f>
        <v>90.826192935343926</v>
      </c>
      <c r="O221" s="466">
        <v>110</v>
      </c>
      <c r="P221" s="466"/>
      <c r="Q221" s="109"/>
      <c r="R221" s="109"/>
      <c r="S221" s="109"/>
      <c r="T221" s="743"/>
      <c r="U221" s="744"/>
    </row>
    <row r="222" spans="1:23" s="13" customFormat="1" ht="15.5" x14ac:dyDescent="0.35">
      <c r="B222" s="368" t="s">
        <v>731</v>
      </c>
      <c r="C222" s="368" t="s">
        <v>801</v>
      </c>
      <c r="D222" s="345">
        <v>124</v>
      </c>
      <c r="E222" s="13">
        <v>44</v>
      </c>
      <c r="F222" s="345" t="s">
        <v>965</v>
      </c>
      <c r="G222" s="345"/>
      <c r="H222" s="756">
        <v>36</v>
      </c>
      <c r="I222" s="756">
        <v>9682</v>
      </c>
      <c r="J222" s="344">
        <v>7766</v>
      </c>
      <c r="K222" s="469">
        <f t="shared" si="37"/>
        <v>28.875852096674244</v>
      </c>
      <c r="L222" s="469">
        <f t="shared" si="38"/>
        <v>64.875852096674237</v>
      </c>
      <c r="M222" s="501">
        <v>0.4</v>
      </c>
      <c r="N222" s="469">
        <f t="shared" si="39"/>
        <v>90.826192935343926</v>
      </c>
      <c r="O222" s="466">
        <v>110</v>
      </c>
      <c r="P222" s="466"/>
      <c r="Q222" s="109"/>
      <c r="R222" s="109"/>
      <c r="S222" s="109"/>
      <c r="T222" s="743"/>
      <c r="U222" s="744"/>
    </row>
    <row r="223" spans="1:23" s="13" customFormat="1" ht="15.5" x14ac:dyDescent="0.35">
      <c r="B223" s="368" t="s">
        <v>731</v>
      </c>
      <c r="C223" s="368" t="s">
        <v>801</v>
      </c>
      <c r="D223" s="345">
        <v>125</v>
      </c>
      <c r="E223" s="13">
        <v>42</v>
      </c>
      <c r="F223" s="345" t="s">
        <v>803</v>
      </c>
      <c r="G223" s="345"/>
      <c r="H223" s="756">
        <v>38</v>
      </c>
      <c r="I223" s="756">
        <v>9682</v>
      </c>
      <c r="J223" s="344">
        <v>7766</v>
      </c>
      <c r="K223" s="469">
        <f t="shared" si="37"/>
        <v>30.480066102045029</v>
      </c>
      <c r="L223" s="469">
        <f t="shared" si="38"/>
        <v>68.480066102045029</v>
      </c>
      <c r="M223" s="501">
        <v>0.4</v>
      </c>
      <c r="N223" s="469">
        <f t="shared" si="39"/>
        <v>95.87209254286303</v>
      </c>
      <c r="O223" s="466">
        <v>110</v>
      </c>
      <c r="P223" s="466"/>
      <c r="Q223" s="109"/>
      <c r="R223" s="109"/>
      <c r="S223" s="109"/>
      <c r="T223" s="743"/>
      <c r="U223" s="744"/>
    </row>
    <row r="224" spans="1:23" s="13" customFormat="1" ht="15.5" x14ac:dyDescent="0.35">
      <c r="B224" s="368" t="s">
        <v>731</v>
      </c>
      <c r="C224" s="368" t="s">
        <v>801</v>
      </c>
      <c r="D224" s="345">
        <v>126</v>
      </c>
      <c r="E224" s="13">
        <v>38</v>
      </c>
      <c r="F224" s="345" t="s">
        <v>803</v>
      </c>
      <c r="G224" s="345"/>
      <c r="H224" s="756">
        <v>38</v>
      </c>
      <c r="I224" s="756">
        <v>9682</v>
      </c>
      <c r="J224" s="344">
        <v>7766</v>
      </c>
      <c r="K224" s="469">
        <f t="shared" si="37"/>
        <v>30.480066102045029</v>
      </c>
      <c r="L224" s="469">
        <f t="shared" si="38"/>
        <v>68.480066102045029</v>
      </c>
      <c r="M224" s="501">
        <v>0.4</v>
      </c>
      <c r="N224" s="469">
        <f t="shared" si="39"/>
        <v>95.87209254286303</v>
      </c>
      <c r="O224" s="466">
        <v>110</v>
      </c>
      <c r="P224" s="466"/>
      <c r="Q224" s="109"/>
      <c r="R224" s="109"/>
      <c r="S224" s="109"/>
      <c r="T224" s="743"/>
      <c r="U224" s="744"/>
    </row>
    <row r="225" spans="1:21" customFormat="1" ht="15.5" x14ac:dyDescent="0.35">
      <c r="B225" s="597" t="s">
        <v>231</v>
      </c>
      <c r="C225" s="597" t="s">
        <v>830</v>
      </c>
      <c r="D225" s="772">
        <v>127</v>
      </c>
      <c r="E225" s="92">
        <v>42</v>
      </c>
      <c r="F225" s="588" t="s">
        <v>805</v>
      </c>
      <c r="G225" s="588"/>
      <c r="H225" s="176">
        <v>25</v>
      </c>
      <c r="I225" s="223">
        <v>9682</v>
      </c>
      <c r="J225" s="176">
        <v>7766</v>
      </c>
      <c r="K225" s="342">
        <f t="shared" si="37"/>
        <v>20.052675067134889</v>
      </c>
      <c r="L225" s="342">
        <f t="shared" si="38"/>
        <v>45.052675067134885</v>
      </c>
      <c r="M225" s="470">
        <v>0.4</v>
      </c>
      <c r="N225" s="342">
        <f t="shared" si="39"/>
        <v>63.073745093988833</v>
      </c>
      <c r="O225" s="370">
        <v>90</v>
      </c>
      <c r="P225" s="146">
        <v>55</v>
      </c>
      <c r="Q225" s="10"/>
      <c r="R225" s="10"/>
      <c r="S225" s="10" t="s">
        <v>12</v>
      </c>
      <c r="T225" s="467">
        <v>46102</v>
      </c>
      <c r="U225" s="420"/>
    </row>
    <row r="226" spans="1:21" customFormat="1" ht="15.5" x14ac:dyDescent="0.35">
      <c r="B226" s="597" t="s">
        <v>231</v>
      </c>
      <c r="C226" s="597" t="s">
        <v>830</v>
      </c>
      <c r="D226" s="772">
        <v>128</v>
      </c>
      <c r="E226" s="92">
        <v>44</v>
      </c>
      <c r="F226" s="244" t="s">
        <v>805</v>
      </c>
      <c r="G226" s="244"/>
      <c r="H226" s="173">
        <v>25</v>
      </c>
      <c r="I226" s="4">
        <v>9682</v>
      </c>
      <c r="J226" s="173">
        <v>7766</v>
      </c>
      <c r="K226" s="145">
        <f t="shared" si="37"/>
        <v>20.052675067134889</v>
      </c>
      <c r="L226" s="145">
        <f t="shared" si="38"/>
        <v>45.052675067134885</v>
      </c>
      <c r="M226" s="468">
        <v>0.4</v>
      </c>
      <c r="N226" s="145">
        <f t="shared" si="39"/>
        <v>63.073745093988833</v>
      </c>
      <c r="O226" s="146">
        <v>90</v>
      </c>
      <c r="P226" s="146">
        <v>55</v>
      </c>
      <c r="Q226" s="10"/>
      <c r="R226" s="10"/>
      <c r="S226" s="10"/>
      <c r="T226" s="467"/>
      <c r="U226" s="420"/>
    </row>
    <row r="227" spans="1:21" customFormat="1" ht="15.5" x14ac:dyDescent="0.35">
      <c r="B227" s="597" t="s">
        <v>231</v>
      </c>
      <c r="C227" s="597" t="s">
        <v>830</v>
      </c>
      <c r="D227" s="772">
        <v>129</v>
      </c>
      <c r="E227" s="92">
        <v>48</v>
      </c>
      <c r="F227" s="244" t="s">
        <v>805</v>
      </c>
      <c r="G227" s="244"/>
      <c r="H227" s="173">
        <v>25</v>
      </c>
      <c r="I227" s="4">
        <v>9682</v>
      </c>
      <c r="J227" s="173">
        <v>7766</v>
      </c>
      <c r="K227" s="145">
        <f t="shared" si="37"/>
        <v>20.052675067134889</v>
      </c>
      <c r="L227" s="145">
        <f t="shared" si="38"/>
        <v>45.052675067134885</v>
      </c>
      <c r="M227" s="468">
        <v>0.4</v>
      </c>
      <c r="N227" s="145">
        <f t="shared" si="39"/>
        <v>63.073745093988833</v>
      </c>
      <c r="O227" s="146">
        <v>90</v>
      </c>
      <c r="P227" s="146">
        <v>55</v>
      </c>
      <c r="Q227" s="10"/>
      <c r="R227" s="10"/>
      <c r="S227" s="10" t="s">
        <v>951</v>
      </c>
      <c r="T227" s="467">
        <v>45128</v>
      </c>
      <c r="U227" s="420">
        <f>+O227*6300</f>
        <v>567000</v>
      </c>
    </row>
    <row r="228" spans="1:21" customFormat="1" ht="15.5" x14ac:dyDescent="0.35">
      <c r="B228" s="597" t="s">
        <v>838</v>
      </c>
      <c r="C228" s="597" t="s">
        <v>827</v>
      </c>
      <c r="D228" s="772">
        <v>130</v>
      </c>
      <c r="E228" s="92">
        <v>56</v>
      </c>
      <c r="F228" s="244" t="s">
        <v>828</v>
      </c>
      <c r="G228" s="244"/>
      <c r="H228" s="173">
        <v>25</v>
      </c>
      <c r="I228" s="4">
        <v>9682</v>
      </c>
      <c r="J228" s="173">
        <v>7766</v>
      </c>
      <c r="K228" s="145">
        <f t="shared" si="37"/>
        <v>20.052675067134889</v>
      </c>
      <c r="L228" s="145">
        <f t="shared" si="38"/>
        <v>45.052675067134885</v>
      </c>
      <c r="M228" s="468">
        <v>0.4</v>
      </c>
      <c r="N228" s="145">
        <f t="shared" si="39"/>
        <v>63.073745093988833</v>
      </c>
      <c r="O228" s="146">
        <v>90</v>
      </c>
      <c r="P228" s="146"/>
      <c r="Q228" s="10"/>
      <c r="R228" s="10"/>
      <c r="T228" s="467"/>
      <c r="U228" s="420"/>
    </row>
    <row r="229" spans="1:21" customFormat="1" ht="14.5" x14ac:dyDescent="0.35">
      <c r="D229" s="233"/>
      <c r="F229" s="330" t="s">
        <v>847</v>
      </c>
      <c r="G229" s="330"/>
      <c r="I229" s="173"/>
      <c r="K229" s="173"/>
      <c r="L229" s="145"/>
      <c r="M229" s="145"/>
      <c r="N229" s="468"/>
      <c r="O229" s="145"/>
      <c r="P229" s="469"/>
      <c r="T229" s="467"/>
      <c r="U229" s="420"/>
    </row>
    <row r="230" spans="1:21" customFormat="1" ht="14.5" x14ac:dyDescent="0.35">
      <c r="A230" s="92"/>
      <c r="B230" s="594" t="s">
        <v>848</v>
      </c>
      <c r="C230" s="597" t="s">
        <v>947</v>
      </c>
      <c r="D230" s="92">
        <v>131</v>
      </c>
      <c r="E230" s="92">
        <v>44</v>
      </c>
      <c r="F230" t="s">
        <v>849</v>
      </c>
      <c r="H230" s="173">
        <v>48</v>
      </c>
      <c r="I230">
        <v>6066</v>
      </c>
      <c r="J230" s="173">
        <v>6015</v>
      </c>
      <c r="K230" s="459">
        <f t="shared" ref="K230:K235" si="40">+H230/I230*J230</f>
        <v>47.596439169139465</v>
      </c>
      <c r="L230" s="471">
        <f t="shared" ref="L230:L235" si="41">+H230+K230</f>
        <v>95.596439169139472</v>
      </c>
      <c r="M230" s="468">
        <v>0.4</v>
      </c>
      <c r="N230" s="145">
        <f t="shared" ref="N230:N235" si="42">+L230*1.4</f>
        <v>133.83501483679527</v>
      </c>
      <c r="O230" s="173">
        <v>125</v>
      </c>
      <c r="P230" s="173"/>
      <c r="T230" s="467"/>
      <c r="U230" s="420"/>
    </row>
    <row r="231" spans="1:21" customFormat="1" ht="14.5" x14ac:dyDescent="0.35">
      <c r="A231" s="92"/>
      <c r="B231" s="594" t="s">
        <v>848</v>
      </c>
      <c r="C231" s="597" t="s">
        <v>947</v>
      </c>
      <c r="D231" s="92">
        <v>132</v>
      </c>
      <c r="E231" s="92">
        <v>46</v>
      </c>
      <c r="F231" t="s">
        <v>849</v>
      </c>
      <c r="H231" s="173">
        <v>48</v>
      </c>
      <c r="I231">
        <v>6066</v>
      </c>
      <c r="J231" s="173">
        <v>6015</v>
      </c>
      <c r="K231" s="459">
        <f t="shared" si="40"/>
        <v>47.596439169139465</v>
      </c>
      <c r="L231" s="471">
        <f t="shared" si="41"/>
        <v>95.596439169139472</v>
      </c>
      <c r="M231" s="468">
        <v>0.4</v>
      </c>
      <c r="N231" s="145">
        <f t="shared" si="42"/>
        <v>133.83501483679527</v>
      </c>
      <c r="O231" s="173">
        <v>125</v>
      </c>
      <c r="P231" s="173"/>
      <c r="T231" s="467"/>
      <c r="U231" s="420"/>
    </row>
    <row r="232" spans="1:21" customFormat="1" ht="14.5" x14ac:dyDescent="0.35">
      <c r="A232" s="92"/>
      <c r="B232" s="594" t="s">
        <v>848</v>
      </c>
      <c r="C232" s="597" t="s">
        <v>947</v>
      </c>
      <c r="D232" s="92">
        <v>133</v>
      </c>
      <c r="E232" s="92">
        <v>48</v>
      </c>
      <c r="F232" t="s">
        <v>849</v>
      </c>
      <c r="H232" s="173">
        <v>48</v>
      </c>
      <c r="I232">
        <v>6066</v>
      </c>
      <c r="J232" s="173">
        <v>6015</v>
      </c>
      <c r="K232" s="459">
        <f t="shared" si="40"/>
        <v>47.596439169139465</v>
      </c>
      <c r="L232" s="471">
        <f t="shared" si="41"/>
        <v>95.596439169139472</v>
      </c>
      <c r="M232" s="468">
        <v>0.4</v>
      </c>
      <c r="N232" s="145">
        <f t="shared" si="42"/>
        <v>133.83501483679527</v>
      </c>
      <c r="O232" s="173">
        <v>125</v>
      </c>
      <c r="P232" s="173"/>
      <c r="T232" s="467"/>
      <c r="U232" s="420"/>
    </row>
    <row r="233" spans="1:21" s="13" customFormat="1" ht="14.5" x14ac:dyDescent="0.35">
      <c r="B233" s="369" t="s">
        <v>731</v>
      </c>
      <c r="C233" s="368" t="s">
        <v>862</v>
      </c>
      <c r="D233" s="13">
        <v>134</v>
      </c>
      <c r="E233" s="13">
        <v>36</v>
      </c>
      <c r="F233" s="13" t="s">
        <v>850</v>
      </c>
      <c r="H233" s="344">
        <v>39</v>
      </c>
      <c r="I233" s="13">
        <v>6066</v>
      </c>
      <c r="J233" s="344">
        <v>6015</v>
      </c>
      <c r="K233" s="497">
        <f t="shared" si="40"/>
        <v>38.672106824925812</v>
      </c>
      <c r="L233" s="774">
        <f t="shared" si="41"/>
        <v>77.672106824925805</v>
      </c>
      <c r="M233" s="501">
        <v>0.4</v>
      </c>
      <c r="N233" s="469">
        <f t="shared" si="42"/>
        <v>108.74094955489612</v>
      </c>
      <c r="O233" s="344">
        <v>125</v>
      </c>
      <c r="P233" s="344"/>
      <c r="S233" s="13" t="s">
        <v>2669</v>
      </c>
      <c r="T233" s="743"/>
      <c r="U233" s="744"/>
    </row>
    <row r="234" spans="1:21" customFormat="1" ht="14.5" x14ac:dyDescent="0.35">
      <c r="A234" s="92"/>
      <c r="B234" s="594" t="s">
        <v>647</v>
      </c>
      <c r="C234" s="594" t="s">
        <v>647</v>
      </c>
      <c r="D234" s="92">
        <v>138</v>
      </c>
      <c r="E234" s="92">
        <v>44</v>
      </c>
      <c r="F234" t="s">
        <v>851</v>
      </c>
      <c r="H234" s="173">
        <v>21</v>
      </c>
      <c r="I234">
        <v>6066</v>
      </c>
      <c r="J234" s="173">
        <v>6015</v>
      </c>
      <c r="K234" s="459">
        <f t="shared" si="40"/>
        <v>20.823442136498517</v>
      </c>
      <c r="L234" s="471">
        <f t="shared" si="41"/>
        <v>41.823442136498514</v>
      </c>
      <c r="M234" s="468">
        <v>0.4</v>
      </c>
      <c r="N234" s="145">
        <f t="shared" si="42"/>
        <v>58.552818991097915</v>
      </c>
      <c r="O234" s="173">
        <v>110</v>
      </c>
      <c r="P234" s="173">
        <v>75</v>
      </c>
      <c r="T234" s="467"/>
      <c r="U234" s="420"/>
    </row>
    <row r="235" spans="1:21" customFormat="1" ht="14.5" x14ac:dyDescent="0.35">
      <c r="A235" s="92"/>
      <c r="B235" s="594" t="s">
        <v>647</v>
      </c>
      <c r="C235" s="594" t="s">
        <v>647</v>
      </c>
      <c r="D235" s="92">
        <v>140</v>
      </c>
      <c r="E235" s="92">
        <v>50</v>
      </c>
      <c r="F235" t="s">
        <v>851</v>
      </c>
      <c r="H235" s="173">
        <v>21</v>
      </c>
      <c r="I235">
        <v>6066</v>
      </c>
      <c r="J235" s="173">
        <v>6015</v>
      </c>
      <c r="K235" s="459">
        <f t="shared" si="40"/>
        <v>20.823442136498517</v>
      </c>
      <c r="L235" s="471">
        <f t="shared" si="41"/>
        <v>41.823442136498514</v>
      </c>
      <c r="M235" s="468">
        <v>0.4</v>
      </c>
      <c r="N235" s="145">
        <f t="shared" si="42"/>
        <v>58.552818991097915</v>
      </c>
      <c r="O235" s="173">
        <v>110</v>
      </c>
      <c r="P235" s="173">
        <v>75</v>
      </c>
      <c r="T235" s="467"/>
      <c r="U235" s="420"/>
    </row>
    <row r="236" spans="1:21" customFormat="1" ht="14.5" x14ac:dyDescent="0.35">
      <c r="A236" s="92"/>
      <c r="B236" s="594" t="s">
        <v>647</v>
      </c>
      <c r="C236" s="594" t="s">
        <v>647</v>
      </c>
      <c r="D236" s="92"/>
      <c r="E236" s="92"/>
      <c r="F236" t="s">
        <v>2571</v>
      </c>
      <c r="H236" s="173"/>
      <c r="J236" s="173"/>
      <c r="K236" s="459"/>
      <c r="L236" s="471"/>
      <c r="M236" s="468"/>
      <c r="N236" s="145"/>
      <c r="O236" s="173">
        <v>55</v>
      </c>
      <c r="P236" s="173"/>
      <c r="R236" t="s">
        <v>2572</v>
      </c>
      <c r="T236" s="467"/>
      <c r="U236" s="420"/>
    </row>
    <row r="237" spans="1:21" customFormat="1" ht="14.5" x14ac:dyDescent="0.35">
      <c r="A237" s="92"/>
      <c r="B237" s="594" t="s">
        <v>647</v>
      </c>
      <c r="C237" s="594" t="s">
        <v>647</v>
      </c>
      <c r="D237" s="92"/>
      <c r="E237" s="92"/>
      <c r="F237" t="s">
        <v>2571</v>
      </c>
      <c r="H237" s="173"/>
      <c r="J237" s="173"/>
      <c r="K237" s="459"/>
      <c r="L237" s="471"/>
      <c r="M237" s="468"/>
      <c r="N237" s="145"/>
      <c r="O237" s="173">
        <v>55</v>
      </c>
      <c r="P237" s="173"/>
      <c r="R237" t="s">
        <v>2572</v>
      </c>
      <c r="T237" s="467"/>
      <c r="U237" s="420"/>
    </row>
    <row r="238" spans="1:21" customFormat="1" ht="14.5" x14ac:dyDescent="0.35">
      <c r="A238" s="92"/>
      <c r="B238" s="594" t="s">
        <v>715</v>
      </c>
      <c r="C238" s="594" t="s">
        <v>715</v>
      </c>
      <c r="D238" s="92">
        <v>141</v>
      </c>
      <c r="E238" s="92">
        <v>44</v>
      </c>
      <c r="F238" t="s">
        <v>852</v>
      </c>
      <c r="H238" s="173">
        <v>75</v>
      </c>
      <c r="I238">
        <v>6066</v>
      </c>
      <c r="J238" s="173">
        <v>6015</v>
      </c>
      <c r="K238" s="459">
        <f t="shared" ref="K238:K243" si="43">+H238/I238*J238</f>
        <v>74.369436201780417</v>
      </c>
      <c r="L238" s="471">
        <f t="shared" ref="L238:L243" si="44">+H238+K238</f>
        <v>149.36943620178042</v>
      </c>
      <c r="M238" s="468">
        <v>0.4</v>
      </c>
      <c r="N238" s="145">
        <f t="shared" ref="N238:N243" si="45">+L238*1.4</f>
        <v>209.11721068249258</v>
      </c>
      <c r="O238" s="173">
        <v>200</v>
      </c>
      <c r="P238" s="173">
        <v>125</v>
      </c>
      <c r="T238" s="467"/>
      <c r="U238" s="420"/>
    </row>
    <row r="239" spans="1:21" customFormat="1" ht="14.5" x14ac:dyDescent="0.35">
      <c r="A239" s="92"/>
      <c r="B239" s="594" t="s">
        <v>853</v>
      </c>
      <c r="C239" s="597" t="s">
        <v>863</v>
      </c>
      <c r="D239" s="92">
        <v>143</v>
      </c>
      <c r="E239" s="92">
        <v>44</v>
      </c>
      <c r="F239" t="s">
        <v>854</v>
      </c>
      <c r="H239" s="173">
        <v>22</v>
      </c>
      <c r="I239">
        <v>6066</v>
      </c>
      <c r="J239" s="173">
        <v>6015</v>
      </c>
      <c r="K239" s="459">
        <f t="shared" si="43"/>
        <v>21.815034619188921</v>
      </c>
      <c r="L239" s="471">
        <f t="shared" si="44"/>
        <v>43.815034619188921</v>
      </c>
      <c r="M239" s="468">
        <v>0.4</v>
      </c>
      <c r="N239" s="145">
        <f t="shared" si="45"/>
        <v>61.341048466864486</v>
      </c>
      <c r="O239" s="173">
        <v>90</v>
      </c>
      <c r="P239" s="173">
        <v>55</v>
      </c>
      <c r="S239" s="911"/>
      <c r="T239" s="467">
        <v>45330</v>
      </c>
      <c r="U239" s="420">
        <f>+O239*8000</f>
        <v>720000</v>
      </c>
    </row>
    <row r="240" spans="1:21" customFormat="1" ht="14.5" x14ac:dyDescent="0.35">
      <c r="B240" s="3" t="s">
        <v>853</v>
      </c>
      <c r="C240" s="233" t="s">
        <v>863</v>
      </c>
      <c r="D240">
        <v>144</v>
      </c>
      <c r="E240">
        <v>46</v>
      </c>
      <c r="F240" s="12" t="s">
        <v>854</v>
      </c>
      <c r="G240" s="12"/>
      <c r="H240" s="176">
        <v>22</v>
      </c>
      <c r="I240" s="12">
        <v>6066</v>
      </c>
      <c r="J240" s="176">
        <v>6015</v>
      </c>
      <c r="K240" s="585">
        <f t="shared" si="43"/>
        <v>21.815034619188921</v>
      </c>
      <c r="L240" s="586">
        <f t="shared" si="44"/>
        <v>43.815034619188921</v>
      </c>
      <c r="M240" s="470">
        <v>0.4</v>
      </c>
      <c r="N240" s="342">
        <f t="shared" si="45"/>
        <v>61.341048466864486</v>
      </c>
      <c r="O240" s="176">
        <v>90</v>
      </c>
      <c r="P240" s="344">
        <v>75</v>
      </c>
      <c r="S240" t="s">
        <v>12</v>
      </c>
      <c r="T240" s="467">
        <v>46065</v>
      </c>
      <c r="U240" s="420"/>
    </row>
    <row r="241" spans="1:24" customFormat="1" ht="14.5" x14ac:dyDescent="0.35">
      <c r="A241" s="92"/>
      <c r="B241" s="594" t="s">
        <v>853</v>
      </c>
      <c r="C241" s="597" t="s">
        <v>863</v>
      </c>
      <c r="D241" s="92">
        <v>145</v>
      </c>
      <c r="E241" s="92">
        <v>48</v>
      </c>
      <c r="F241" t="s">
        <v>854</v>
      </c>
      <c r="H241" s="173">
        <v>22</v>
      </c>
      <c r="I241">
        <v>6066</v>
      </c>
      <c r="J241" s="173">
        <v>6015</v>
      </c>
      <c r="K241" s="459">
        <f t="shared" si="43"/>
        <v>21.815034619188921</v>
      </c>
      <c r="L241" s="471">
        <f t="shared" si="44"/>
        <v>43.815034619188921</v>
      </c>
      <c r="M241" s="468">
        <v>0.4</v>
      </c>
      <c r="N241" s="145">
        <f t="shared" si="45"/>
        <v>61.341048466864486</v>
      </c>
      <c r="O241" s="173">
        <v>90</v>
      </c>
      <c r="P241" s="173">
        <v>55</v>
      </c>
      <c r="T241" s="467"/>
      <c r="U241" s="420"/>
    </row>
    <row r="242" spans="1:24" customFormat="1" ht="14.5" x14ac:dyDescent="0.35">
      <c r="A242" s="92"/>
      <c r="B242" s="594" t="s">
        <v>231</v>
      </c>
      <c r="C242" s="597" t="s">
        <v>194</v>
      </c>
      <c r="D242" s="92">
        <v>150</v>
      </c>
      <c r="E242" s="92">
        <v>54</v>
      </c>
      <c r="F242" t="s">
        <v>857</v>
      </c>
      <c r="H242" s="173">
        <v>41</v>
      </c>
      <c r="I242">
        <v>6066</v>
      </c>
      <c r="J242" s="173">
        <v>6015</v>
      </c>
      <c r="K242" s="459">
        <f t="shared" si="43"/>
        <v>40.655291790306627</v>
      </c>
      <c r="L242" s="471">
        <f t="shared" si="44"/>
        <v>81.65529179030662</v>
      </c>
      <c r="M242" s="468">
        <v>0.4</v>
      </c>
      <c r="N242" s="145">
        <f t="shared" si="45"/>
        <v>114.31740850642926</v>
      </c>
      <c r="O242" s="173">
        <v>125</v>
      </c>
      <c r="P242" s="173"/>
      <c r="T242" s="467"/>
      <c r="U242" s="420"/>
    </row>
    <row r="243" spans="1:24" customFormat="1" ht="14.5" x14ac:dyDescent="0.35">
      <c r="A243" s="92"/>
      <c r="B243" s="594" t="s">
        <v>231</v>
      </c>
      <c r="C243" s="597" t="s">
        <v>864</v>
      </c>
      <c r="D243" s="92">
        <v>151</v>
      </c>
      <c r="E243" s="92">
        <v>48</v>
      </c>
      <c r="F243" t="s">
        <v>858</v>
      </c>
      <c r="H243" s="173">
        <v>20</v>
      </c>
      <c r="I243">
        <v>6066</v>
      </c>
      <c r="J243" s="173">
        <v>6015</v>
      </c>
      <c r="K243" s="459">
        <f t="shared" si="43"/>
        <v>19.831849653808113</v>
      </c>
      <c r="L243" s="471">
        <f t="shared" si="44"/>
        <v>39.831849653808113</v>
      </c>
      <c r="M243" s="468">
        <v>0.4</v>
      </c>
      <c r="N243" s="145">
        <f t="shared" si="45"/>
        <v>55.764589515331359</v>
      </c>
      <c r="O243" s="173">
        <v>110</v>
      </c>
      <c r="P243" s="173">
        <v>55</v>
      </c>
      <c r="T243" s="467"/>
      <c r="U243" s="420"/>
    </row>
    <row r="244" spans="1:24" s="3" customFormat="1" ht="14.5" x14ac:dyDescent="0.35">
      <c r="C244" s="232" t="s">
        <v>878</v>
      </c>
      <c r="D244" s="232"/>
      <c r="I244" s="146"/>
      <c r="J244" s="146"/>
      <c r="K244" s="146"/>
      <c r="L244" s="146"/>
      <c r="M244" s="146"/>
      <c r="N244" s="481"/>
      <c r="O244" s="146"/>
      <c r="P244" s="466"/>
      <c r="T244" s="482"/>
      <c r="U244" s="422"/>
    </row>
    <row r="245" spans="1:24" customFormat="1" ht="14.5" x14ac:dyDescent="0.35">
      <c r="A245" s="92"/>
      <c r="B245" s="92" t="s">
        <v>571</v>
      </c>
      <c r="C245" s="597" t="s">
        <v>671</v>
      </c>
      <c r="D245" s="92">
        <v>152</v>
      </c>
      <c r="E245" s="92">
        <v>42</v>
      </c>
      <c r="F245" s="245" t="s">
        <v>883</v>
      </c>
      <c r="G245" s="245"/>
      <c r="H245" s="146">
        <v>27</v>
      </c>
      <c r="I245" s="4">
        <v>5278</v>
      </c>
      <c r="J245" s="173">
        <v>7702</v>
      </c>
      <c r="K245" s="459">
        <f t="shared" ref="K245:K264" si="46">+H245/I245*J245</f>
        <v>39.400151572565363</v>
      </c>
      <c r="L245" s="471">
        <f t="shared" ref="L245:L264" si="47">+H245+K245</f>
        <v>66.400151572565363</v>
      </c>
      <c r="M245" s="468">
        <v>0.4</v>
      </c>
      <c r="N245" s="145">
        <f t="shared" ref="N245:N264" si="48">+L245*1.4</f>
        <v>92.960212201591503</v>
      </c>
      <c r="O245" s="173">
        <v>110</v>
      </c>
      <c r="P245" s="173">
        <v>75</v>
      </c>
      <c r="T245" s="467"/>
      <c r="U245" s="420"/>
    </row>
    <row r="246" spans="1:24" customFormat="1" ht="14.5" x14ac:dyDescent="0.35">
      <c r="B246" t="s">
        <v>571</v>
      </c>
      <c r="C246" s="597" t="s">
        <v>671</v>
      </c>
      <c r="D246" s="92">
        <v>153</v>
      </c>
      <c r="E246" s="92">
        <v>44</v>
      </c>
      <c r="F246" s="371" t="s">
        <v>883</v>
      </c>
      <c r="G246" s="371"/>
      <c r="H246" s="370">
        <v>27</v>
      </c>
      <c r="I246" s="223">
        <v>5278</v>
      </c>
      <c r="J246" s="176">
        <v>7702</v>
      </c>
      <c r="K246" s="585">
        <f t="shared" si="46"/>
        <v>39.400151572565363</v>
      </c>
      <c r="L246" s="586">
        <f t="shared" si="47"/>
        <v>66.400151572565363</v>
      </c>
      <c r="M246" s="470">
        <v>0.4</v>
      </c>
      <c r="N246" s="342">
        <f t="shared" si="48"/>
        <v>92.960212201591503</v>
      </c>
      <c r="O246" s="176">
        <v>110</v>
      </c>
      <c r="P246" s="344">
        <v>75</v>
      </c>
      <c r="S246" t="s">
        <v>12</v>
      </c>
      <c r="T246" s="467">
        <v>46078</v>
      </c>
      <c r="U246" s="420"/>
    </row>
    <row r="247" spans="1:24" customFormat="1" ht="14.5" x14ac:dyDescent="0.35">
      <c r="A247" s="92"/>
      <c r="B247" s="92" t="s">
        <v>571</v>
      </c>
      <c r="C247" s="597" t="s">
        <v>671</v>
      </c>
      <c r="D247" s="92">
        <v>154</v>
      </c>
      <c r="E247" s="92">
        <v>40</v>
      </c>
      <c r="F247" s="245" t="s">
        <v>884</v>
      </c>
      <c r="G247" s="245"/>
      <c r="H247" s="146">
        <v>25</v>
      </c>
      <c r="I247" s="4">
        <v>5278</v>
      </c>
      <c r="J247" s="173">
        <v>7702</v>
      </c>
      <c r="K247" s="459">
        <f t="shared" si="46"/>
        <v>36.481621826449413</v>
      </c>
      <c r="L247" s="471">
        <f t="shared" si="47"/>
        <v>61.481621826449413</v>
      </c>
      <c r="M247" s="468">
        <v>0.4</v>
      </c>
      <c r="N247" s="145">
        <f t="shared" si="48"/>
        <v>86.074270557029166</v>
      </c>
      <c r="O247" s="173">
        <v>110</v>
      </c>
      <c r="P247" s="173">
        <v>60</v>
      </c>
      <c r="T247" s="467"/>
      <c r="U247" s="420"/>
    </row>
    <row r="248" spans="1:24" s="13" customFormat="1" ht="14.5" x14ac:dyDescent="0.35">
      <c r="B248" s="13" t="s">
        <v>886</v>
      </c>
      <c r="C248" s="13" t="s">
        <v>886</v>
      </c>
      <c r="D248" s="13">
        <v>155</v>
      </c>
      <c r="E248" s="13">
        <v>50</v>
      </c>
      <c r="F248" s="435" t="s">
        <v>887</v>
      </c>
      <c r="G248" s="435"/>
      <c r="H248" s="466">
        <v>35</v>
      </c>
      <c r="I248" s="756">
        <v>5278</v>
      </c>
      <c r="J248" s="344">
        <v>7702</v>
      </c>
      <c r="K248" s="497">
        <f t="shared" si="46"/>
        <v>51.07427055702918</v>
      </c>
      <c r="L248" s="774">
        <f t="shared" si="47"/>
        <v>86.07427055702918</v>
      </c>
      <c r="M248" s="501">
        <v>0.4</v>
      </c>
      <c r="N248" s="469">
        <f t="shared" si="48"/>
        <v>120.50397877984085</v>
      </c>
      <c r="O248" s="344">
        <v>125</v>
      </c>
      <c r="P248" s="344"/>
      <c r="T248" s="743"/>
      <c r="U248" s="744"/>
    </row>
    <row r="249" spans="1:24" customFormat="1" ht="14.5" x14ac:dyDescent="0.35">
      <c r="A249" s="92"/>
      <c r="B249" s="92"/>
      <c r="C249" s="597" t="s">
        <v>675</v>
      </c>
      <c r="D249" s="92">
        <v>156</v>
      </c>
      <c r="E249" s="92">
        <v>42</v>
      </c>
      <c r="F249" s="245" t="s">
        <v>888</v>
      </c>
      <c r="G249" s="245"/>
      <c r="H249" s="146">
        <v>25</v>
      </c>
      <c r="I249" s="4">
        <v>5278</v>
      </c>
      <c r="J249" s="173">
        <v>7702</v>
      </c>
      <c r="K249" s="459">
        <f t="shared" si="46"/>
        <v>36.481621826449413</v>
      </c>
      <c r="L249" s="471">
        <f t="shared" si="47"/>
        <v>61.481621826449413</v>
      </c>
      <c r="M249" s="468">
        <v>0.4</v>
      </c>
      <c r="N249" s="145">
        <f t="shared" si="48"/>
        <v>86.074270557029166</v>
      </c>
      <c r="O249" s="175">
        <v>110</v>
      </c>
      <c r="P249" s="459">
        <v>55</v>
      </c>
      <c r="S249" t="s">
        <v>986</v>
      </c>
      <c r="T249" s="467"/>
      <c r="U249" s="420"/>
    </row>
    <row r="250" spans="1:24" customFormat="1" ht="14.5" x14ac:dyDescent="0.35">
      <c r="A250" s="92"/>
      <c r="B250" s="92" t="s">
        <v>785</v>
      </c>
      <c r="C250" s="597" t="s">
        <v>675</v>
      </c>
      <c r="D250" s="92">
        <v>157</v>
      </c>
      <c r="E250" s="92">
        <v>48</v>
      </c>
      <c r="F250" s="245" t="s">
        <v>888</v>
      </c>
      <c r="G250" s="245"/>
      <c r="H250" s="146">
        <v>25</v>
      </c>
      <c r="I250" s="4">
        <v>5278</v>
      </c>
      <c r="J250" s="173">
        <v>7702</v>
      </c>
      <c r="K250" s="459">
        <f t="shared" si="46"/>
        <v>36.481621826449413</v>
      </c>
      <c r="L250" s="471">
        <f t="shared" si="47"/>
        <v>61.481621826449413</v>
      </c>
      <c r="M250" s="468">
        <v>0.4</v>
      </c>
      <c r="N250" s="145">
        <f t="shared" si="48"/>
        <v>86.074270557029166</v>
      </c>
      <c r="O250" s="175">
        <v>110</v>
      </c>
      <c r="P250" s="459">
        <v>55</v>
      </c>
      <c r="T250" s="467"/>
      <c r="U250" s="420"/>
      <c r="X250" s="6"/>
    </row>
    <row r="251" spans="1:24" s="13" customFormat="1" ht="14.5" x14ac:dyDescent="0.35">
      <c r="B251" s="13" t="s">
        <v>889</v>
      </c>
      <c r="C251" s="368" t="s">
        <v>921</v>
      </c>
      <c r="D251" s="13">
        <v>158</v>
      </c>
      <c r="E251" s="13">
        <v>44</v>
      </c>
      <c r="F251" s="435" t="s">
        <v>890</v>
      </c>
      <c r="G251" s="435"/>
      <c r="H251" s="466">
        <v>29</v>
      </c>
      <c r="I251" s="756">
        <v>5278</v>
      </c>
      <c r="J251" s="344">
        <v>7702</v>
      </c>
      <c r="K251" s="497">
        <f t="shared" si="46"/>
        <v>42.318681318681321</v>
      </c>
      <c r="L251" s="774">
        <f t="shared" si="47"/>
        <v>71.318681318681314</v>
      </c>
      <c r="M251" s="501">
        <v>0.4</v>
      </c>
      <c r="N251" s="469">
        <f t="shared" si="48"/>
        <v>99.84615384615384</v>
      </c>
      <c r="O251" s="497">
        <v>110</v>
      </c>
      <c r="P251" s="497"/>
      <c r="T251" s="743"/>
      <c r="U251" s="744"/>
    </row>
    <row r="252" spans="1:24" s="13" customFormat="1" ht="14.5" x14ac:dyDescent="0.35">
      <c r="B252" s="13" t="s">
        <v>889</v>
      </c>
      <c r="C252" s="368" t="s">
        <v>921</v>
      </c>
      <c r="D252" s="13">
        <v>159</v>
      </c>
      <c r="E252" s="13">
        <v>48</v>
      </c>
      <c r="F252" s="435" t="s">
        <v>890</v>
      </c>
      <c r="G252" s="435"/>
      <c r="H252" s="466">
        <v>29</v>
      </c>
      <c r="I252" s="756">
        <v>5278</v>
      </c>
      <c r="J252" s="344">
        <v>7702</v>
      </c>
      <c r="K252" s="497">
        <f t="shared" si="46"/>
        <v>42.318681318681321</v>
      </c>
      <c r="L252" s="774">
        <f t="shared" si="47"/>
        <v>71.318681318681314</v>
      </c>
      <c r="M252" s="501">
        <v>0.4</v>
      </c>
      <c r="N252" s="469">
        <f t="shared" si="48"/>
        <v>99.84615384615384</v>
      </c>
      <c r="O252" s="497">
        <v>110</v>
      </c>
      <c r="P252" s="497"/>
      <c r="T252" s="743"/>
      <c r="U252" s="744"/>
    </row>
    <row r="253" spans="1:24" s="13" customFormat="1" ht="14.5" x14ac:dyDescent="0.35">
      <c r="B253" s="13" t="s">
        <v>889</v>
      </c>
      <c r="C253" s="368" t="s">
        <v>921</v>
      </c>
      <c r="D253" s="13">
        <v>160</v>
      </c>
      <c r="E253" s="13">
        <v>50</v>
      </c>
      <c r="F253" s="435" t="s">
        <v>890</v>
      </c>
      <c r="G253" s="435"/>
      <c r="H253" s="466">
        <v>29</v>
      </c>
      <c r="I253" s="756">
        <v>5278</v>
      </c>
      <c r="J253" s="344">
        <v>7702</v>
      </c>
      <c r="K253" s="497">
        <f t="shared" si="46"/>
        <v>42.318681318681321</v>
      </c>
      <c r="L253" s="774">
        <f t="shared" si="47"/>
        <v>71.318681318681314</v>
      </c>
      <c r="M253" s="501">
        <v>0.4</v>
      </c>
      <c r="N253" s="469">
        <f t="shared" si="48"/>
        <v>99.84615384615384</v>
      </c>
      <c r="O253" s="497">
        <v>110</v>
      </c>
      <c r="P253" s="497"/>
      <c r="T253" s="743"/>
      <c r="U253" s="744"/>
    </row>
    <row r="254" spans="1:24" customFormat="1" ht="14.5" x14ac:dyDescent="0.35">
      <c r="A254" s="92"/>
      <c r="B254" s="92" t="s">
        <v>227</v>
      </c>
      <c r="C254" s="597" t="s">
        <v>917</v>
      </c>
      <c r="D254" s="92">
        <v>161</v>
      </c>
      <c r="E254" s="92">
        <v>50</v>
      </c>
      <c r="F254" s="245" t="s">
        <v>918</v>
      </c>
      <c r="G254" s="245"/>
      <c r="H254" s="146">
        <v>26</v>
      </c>
      <c r="I254" s="4">
        <v>5278</v>
      </c>
      <c r="J254" s="173">
        <v>7702</v>
      </c>
      <c r="K254" s="459">
        <f t="shared" si="46"/>
        <v>37.940886699507388</v>
      </c>
      <c r="L254" s="471">
        <f t="shared" si="47"/>
        <v>63.940886699507388</v>
      </c>
      <c r="M254" s="468">
        <v>0.4</v>
      </c>
      <c r="N254" s="145">
        <f t="shared" si="48"/>
        <v>89.517241379310335</v>
      </c>
      <c r="O254" s="459">
        <v>125</v>
      </c>
      <c r="P254" s="459">
        <v>55</v>
      </c>
      <c r="T254" s="467"/>
      <c r="U254" s="420"/>
    </row>
    <row r="255" spans="1:24" customFormat="1" ht="14.5" x14ac:dyDescent="0.35">
      <c r="A255" s="92"/>
      <c r="B255" s="92" t="s">
        <v>227</v>
      </c>
      <c r="C255" s="597" t="s">
        <v>917</v>
      </c>
      <c r="D255" s="92">
        <v>162</v>
      </c>
      <c r="E255" s="92">
        <v>52</v>
      </c>
      <c r="F255" s="245" t="s">
        <v>918</v>
      </c>
      <c r="G255" s="245"/>
      <c r="H255" s="146">
        <v>26</v>
      </c>
      <c r="I255" s="4">
        <v>5278</v>
      </c>
      <c r="J255" s="173">
        <v>7702</v>
      </c>
      <c r="K255" s="459">
        <f t="shared" si="46"/>
        <v>37.940886699507388</v>
      </c>
      <c r="L255" s="471">
        <f t="shared" si="47"/>
        <v>63.940886699507388</v>
      </c>
      <c r="M255" s="468">
        <v>0.4</v>
      </c>
      <c r="N255" s="145">
        <f t="shared" si="48"/>
        <v>89.517241379310335</v>
      </c>
      <c r="O255" s="459">
        <v>125</v>
      </c>
      <c r="P255" s="459">
        <v>55</v>
      </c>
      <c r="T255" s="467"/>
      <c r="U255" s="420"/>
    </row>
    <row r="256" spans="1:24" customFormat="1" ht="14.5" x14ac:dyDescent="0.35">
      <c r="A256" s="92"/>
      <c r="B256" s="92" t="s">
        <v>227</v>
      </c>
      <c r="C256" s="597" t="s">
        <v>917</v>
      </c>
      <c r="D256" s="92">
        <v>163</v>
      </c>
      <c r="E256" s="92">
        <v>54</v>
      </c>
      <c r="F256" s="245" t="s">
        <v>918</v>
      </c>
      <c r="G256" s="245"/>
      <c r="H256" s="146">
        <v>26</v>
      </c>
      <c r="I256" s="4">
        <v>5278</v>
      </c>
      <c r="J256" s="173">
        <v>7702</v>
      </c>
      <c r="K256" s="459">
        <f t="shared" si="46"/>
        <v>37.940886699507388</v>
      </c>
      <c r="L256" s="471">
        <f t="shared" si="47"/>
        <v>63.940886699507388</v>
      </c>
      <c r="M256" s="468">
        <v>0.4</v>
      </c>
      <c r="N256" s="145">
        <f t="shared" si="48"/>
        <v>89.517241379310335</v>
      </c>
      <c r="O256" s="459">
        <v>125</v>
      </c>
      <c r="P256" s="459">
        <v>55</v>
      </c>
      <c r="S256" t="s">
        <v>1306</v>
      </c>
      <c r="T256" s="467"/>
      <c r="U256" s="420"/>
    </row>
    <row r="257" spans="1:21" customFormat="1" ht="14.5" x14ac:dyDescent="0.35">
      <c r="A257" s="92"/>
      <c r="B257" s="92" t="s">
        <v>227</v>
      </c>
      <c r="C257" s="597" t="s">
        <v>917</v>
      </c>
      <c r="D257" s="92">
        <v>164</v>
      </c>
      <c r="E257" s="92">
        <v>56</v>
      </c>
      <c r="F257" s="245" t="s">
        <v>918</v>
      </c>
      <c r="G257" s="245"/>
      <c r="H257" s="146">
        <v>26</v>
      </c>
      <c r="I257" s="4">
        <v>5278</v>
      </c>
      <c r="J257" s="173">
        <v>7702</v>
      </c>
      <c r="K257" s="459">
        <f t="shared" si="46"/>
        <v>37.940886699507388</v>
      </c>
      <c r="L257" s="471">
        <f t="shared" si="47"/>
        <v>63.940886699507388</v>
      </c>
      <c r="M257" s="468">
        <v>0.4</v>
      </c>
      <c r="N257" s="145">
        <f t="shared" si="48"/>
        <v>89.517241379310335</v>
      </c>
      <c r="O257" s="459">
        <v>125</v>
      </c>
      <c r="P257" s="459">
        <v>55</v>
      </c>
      <c r="T257" s="467"/>
      <c r="U257" s="420"/>
    </row>
    <row r="258" spans="1:21" customFormat="1" ht="14.5" x14ac:dyDescent="0.35">
      <c r="A258" s="92"/>
      <c r="B258" s="92" t="s">
        <v>227</v>
      </c>
      <c r="C258" s="597" t="s">
        <v>917</v>
      </c>
      <c r="D258" s="92">
        <v>165</v>
      </c>
      <c r="E258" s="92">
        <v>56</v>
      </c>
      <c r="F258" s="245" t="s">
        <v>919</v>
      </c>
      <c r="G258" s="245"/>
      <c r="H258" s="146">
        <v>43</v>
      </c>
      <c r="I258" s="4">
        <v>5278</v>
      </c>
      <c r="J258" s="173">
        <v>7702</v>
      </c>
      <c r="K258" s="459">
        <f t="shared" si="46"/>
        <v>62.748389541492998</v>
      </c>
      <c r="L258" s="471">
        <f t="shared" si="47"/>
        <v>105.748389541493</v>
      </c>
      <c r="M258" s="468">
        <v>0.4</v>
      </c>
      <c r="N258" s="145">
        <f t="shared" si="48"/>
        <v>148.0477453580902</v>
      </c>
      <c r="O258" s="173">
        <v>100</v>
      </c>
      <c r="P258" s="173"/>
      <c r="T258" s="467"/>
      <c r="U258" s="420"/>
    </row>
    <row r="259" spans="1:21" customFormat="1" ht="14.5" x14ac:dyDescent="0.35">
      <c r="A259" s="92"/>
      <c r="B259" s="92" t="s">
        <v>227</v>
      </c>
      <c r="C259" s="597" t="s">
        <v>917</v>
      </c>
      <c r="D259" s="92">
        <v>167</v>
      </c>
      <c r="E259" s="92">
        <v>62</v>
      </c>
      <c r="F259" s="245" t="s">
        <v>919</v>
      </c>
      <c r="G259" s="245"/>
      <c r="H259" s="146">
        <v>43</v>
      </c>
      <c r="I259" s="4">
        <v>5278</v>
      </c>
      <c r="J259" s="173">
        <v>7702</v>
      </c>
      <c r="K259" s="459">
        <f t="shared" si="46"/>
        <v>62.748389541492998</v>
      </c>
      <c r="L259" s="471">
        <f t="shared" si="47"/>
        <v>105.748389541493</v>
      </c>
      <c r="M259" s="468">
        <v>0.4</v>
      </c>
      <c r="N259" s="145">
        <f t="shared" si="48"/>
        <v>148.0477453580902</v>
      </c>
      <c r="O259" s="173">
        <v>100</v>
      </c>
      <c r="P259" s="173"/>
      <c r="T259" s="467"/>
      <c r="U259" s="420"/>
    </row>
    <row r="260" spans="1:21" customFormat="1" ht="14.5" x14ac:dyDescent="0.35">
      <c r="A260" s="92"/>
      <c r="B260" s="92" t="s">
        <v>699</v>
      </c>
      <c r="C260" s="92" t="s">
        <v>699</v>
      </c>
      <c r="D260" s="92">
        <v>169</v>
      </c>
      <c r="E260" s="92">
        <v>2</v>
      </c>
      <c r="F260" s="245" t="s">
        <v>892</v>
      </c>
      <c r="G260" s="245"/>
      <c r="H260" s="146">
        <v>38</v>
      </c>
      <c r="I260" s="4">
        <v>5278</v>
      </c>
      <c r="J260" s="173">
        <v>7702</v>
      </c>
      <c r="K260" s="459">
        <f t="shared" si="46"/>
        <v>55.452065176203106</v>
      </c>
      <c r="L260" s="471">
        <f t="shared" si="47"/>
        <v>93.452065176203106</v>
      </c>
      <c r="M260" s="468">
        <v>0.4</v>
      </c>
      <c r="N260" s="145">
        <f t="shared" si="48"/>
        <v>130.83289124668434</v>
      </c>
      <c r="O260" s="173">
        <v>100</v>
      </c>
      <c r="P260" s="173">
        <v>90</v>
      </c>
      <c r="S260" t="s">
        <v>1258</v>
      </c>
      <c r="T260" s="467">
        <v>45548</v>
      </c>
      <c r="U260" s="420"/>
    </row>
    <row r="261" spans="1:21" s="3" customFormat="1" ht="14.5" x14ac:dyDescent="0.35">
      <c r="A261" s="594"/>
      <c r="B261" s="594" t="s">
        <v>14</v>
      </c>
      <c r="C261" s="594" t="s">
        <v>14</v>
      </c>
      <c r="D261" s="594">
        <v>170</v>
      </c>
      <c r="E261" s="594">
        <v>42</v>
      </c>
      <c r="F261" s="256" t="s">
        <v>897</v>
      </c>
      <c r="G261" s="256"/>
      <c r="H261" s="912">
        <v>35</v>
      </c>
      <c r="I261" s="42">
        <v>5278</v>
      </c>
      <c r="J261" s="146">
        <v>7702</v>
      </c>
      <c r="K261" s="462">
        <f t="shared" si="46"/>
        <v>51.07427055702918</v>
      </c>
      <c r="L261" s="913">
        <f t="shared" si="47"/>
        <v>86.07427055702918</v>
      </c>
      <c r="M261" s="481">
        <v>0.4</v>
      </c>
      <c r="N261" s="146">
        <f t="shared" si="48"/>
        <v>120.50397877984085</v>
      </c>
      <c r="O261" s="146">
        <v>125</v>
      </c>
      <c r="P261" s="146">
        <v>55</v>
      </c>
      <c r="T261" s="482"/>
      <c r="U261" s="422"/>
    </row>
    <row r="262" spans="1:21" s="13" customFormat="1" ht="14.5" x14ac:dyDescent="0.35">
      <c r="B262" s="13" t="s">
        <v>356</v>
      </c>
      <c r="C262" s="13" t="s">
        <v>356</v>
      </c>
      <c r="D262" s="13">
        <v>172</v>
      </c>
      <c r="E262" s="13">
        <v>50</v>
      </c>
      <c r="F262" s="435" t="s">
        <v>893</v>
      </c>
      <c r="G262" s="435"/>
      <c r="H262" s="466">
        <v>27</v>
      </c>
      <c r="I262" s="756">
        <v>5278</v>
      </c>
      <c r="J262" s="344">
        <v>7702</v>
      </c>
      <c r="K262" s="497">
        <f t="shared" si="46"/>
        <v>39.400151572565363</v>
      </c>
      <c r="L262" s="774">
        <f t="shared" si="47"/>
        <v>66.400151572565363</v>
      </c>
      <c r="M262" s="501">
        <v>0.4</v>
      </c>
      <c r="N262" s="469">
        <f t="shared" si="48"/>
        <v>92.960212201591503</v>
      </c>
      <c r="O262" s="344">
        <v>90</v>
      </c>
      <c r="P262" s="344"/>
      <c r="T262" s="743"/>
      <c r="U262" s="744"/>
    </row>
    <row r="263" spans="1:21" customFormat="1" ht="14.5" x14ac:dyDescent="0.35">
      <c r="A263" s="92"/>
      <c r="B263" s="92" t="s">
        <v>356</v>
      </c>
      <c r="C263" s="92" t="s">
        <v>356</v>
      </c>
      <c r="D263" s="92">
        <v>173</v>
      </c>
      <c r="E263" s="92">
        <v>42</v>
      </c>
      <c r="F263" s="245" t="s">
        <v>894</v>
      </c>
      <c r="G263" s="245"/>
      <c r="H263" s="146">
        <v>27</v>
      </c>
      <c r="I263" s="4">
        <v>5278</v>
      </c>
      <c r="J263" s="173">
        <v>7702</v>
      </c>
      <c r="K263" s="459">
        <f t="shared" si="46"/>
        <v>39.400151572565363</v>
      </c>
      <c r="L263" s="471">
        <f t="shared" si="47"/>
        <v>66.400151572565363</v>
      </c>
      <c r="M263" s="468">
        <v>0.4</v>
      </c>
      <c r="N263" s="145">
        <f t="shared" si="48"/>
        <v>92.960212201591503</v>
      </c>
      <c r="O263" s="173">
        <v>110</v>
      </c>
      <c r="P263" s="173">
        <v>55</v>
      </c>
      <c r="T263" s="467"/>
      <c r="U263" s="420"/>
    </row>
    <row r="264" spans="1:21" customFormat="1" ht="14.5" x14ac:dyDescent="0.35">
      <c r="A264" s="92"/>
      <c r="B264" s="92" t="s">
        <v>356</v>
      </c>
      <c r="C264" s="92" t="s">
        <v>356</v>
      </c>
      <c r="D264" s="92">
        <v>174</v>
      </c>
      <c r="E264" s="92">
        <v>44</v>
      </c>
      <c r="F264" s="245" t="s">
        <v>894</v>
      </c>
      <c r="G264" s="245"/>
      <c r="H264" s="146">
        <v>27</v>
      </c>
      <c r="I264" s="4">
        <v>5278</v>
      </c>
      <c r="J264" s="173">
        <v>7702</v>
      </c>
      <c r="K264" s="459">
        <f t="shared" si="46"/>
        <v>39.400151572565363</v>
      </c>
      <c r="L264" s="471">
        <f t="shared" si="47"/>
        <v>66.400151572565363</v>
      </c>
      <c r="M264" s="468">
        <v>0.4</v>
      </c>
      <c r="N264" s="145">
        <f t="shared" si="48"/>
        <v>92.960212201591503</v>
      </c>
      <c r="O264" s="173">
        <v>110</v>
      </c>
      <c r="P264" s="173">
        <v>55</v>
      </c>
      <c r="T264" s="467"/>
      <c r="U264" s="420"/>
    </row>
    <row r="265" spans="1:21" customFormat="1" ht="14.5" x14ac:dyDescent="0.35">
      <c r="C265" s="365">
        <v>45170</v>
      </c>
      <c r="F265" s="256" t="s">
        <v>899</v>
      </c>
      <c r="G265" s="256"/>
      <c r="H265" s="146"/>
      <c r="I265" s="173"/>
      <c r="J265" s="173"/>
      <c r="K265" s="145"/>
      <c r="L265" s="145"/>
      <c r="M265" s="468"/>
      <c r="N265" s="145"/>
      <c r="O265" s="173"/>
      <c r="P265" s="344"/>
      <c r="T265" s="467"/>
      <c r="U265" s="420"/>
    </row>
    <row r="266" spans="1:21" customFormat="1" ht="14.5" x14ac:dyDescent="0.35">
      <c r="A266" s="92"/>
      <c r="B266" s="92" t="s">
        <v>900</v>
      </c>
      <c r="C266" s="597" t="s">
        <v>901</v>
      </c>
      <c r="D266" s="92">
        <v>178</v>
      </c>
      <c r="E266" s="92">
        <v>14</v>
      </c>
      <c r="F266" s="245" t="s">
        <v>902</v>
      </c>
      <c r="G266" s="256"/>
      <c r="H266" s="146">
        <v>35</v>
      </c>
      <c r="I266" s="173">
        <v>1162</v>
      </c>
      <c r="J266" s="173">
        <v>2629</v>
      </c>
      <c r="K266" s="459">
        <f>+H266/I266*J266</f>
        <v>79.186746987951807</v>
      </c>
      <c r="L266" s="471">
        <f>+H266+K266</f>
        <v>114.18674698795181</v>
      </c>
      <c r="M266" s="468">
        <v>0.4</v>
      </c>
      <c r="N266" s="145">
        <f>+L266*1.4</f>
        <v>159.86144578313252</v>
      </c>
      <c r="O266" s="173">
        <v>125</v>
      </c>
      <c r="P266" s="173"/>
      <c r="T266" s="467"/>
      <c r="U266" s="420"/>
    </row>
    <row r="267" spans="1:21" customFormat="1" ht="14.5" x14ac:dyDescent="0.35">
      <c r="A267" s="92"/>
      <c r="B267" s="92" t="s">
        <v>900</v>
      </c>
      <c r="C267" s="597" t="s">
        <v>901</v>
      </c>
      <c r="D267" s="92">
        <v>181</v>
      </c>
      <c r="E267" s="92">
        <v>12</v>
      </c>
      <c r="F267" s="245" t="s">
        <v>903</v>
      </c>
      <c r="G267" s="256"/>
      <c r="H267" s="146">
        <v>39</v>
      </c>
      <c r="I267" s="173">
        <v>1162</v>
      </c>
      <c r="J267" s="173">
        <v>2629</v>
      </c>
      <c r="K267" s="459">
        <f>+H267/I267*J267</f>
        <v>88.23666092943202</v>
      </c>
      <c r="L267" s="471">
        <f>+H267+K267</f>
        <v>127.23666092943202</v>
      </c>
      <c r="M267" s="468">
        <v>0.4</v>
      </c>
      <c r="N267" s="145">
        <f>+L267*1.4</f>
        <v>178.13132530120481</v>
      </c>
      <c r="O267" s="173">
        <v>150</v>
      </c>
      <c r="P267" s="173">
        <v>80</v>
      </c>
      <c r="T267" s="467"/>
      <c r="U267" s="420"/>
    </row>
    <row r="268" spans="1:21" customFormat="1" ht="14.5" x14ac:dyDescent="0.35">
      <c r="A268" s="92"/>
      <c r="B268" s="92" t="s">
        <v>904</v>
      </c>
      <c r="C268" s="597" t="s">
        <v>284</v>
      </c>
      <c r="D268" s="92">
        <v>183</v>
      </c>
      <c r="E268" s="92">
        <v>16</v>
      </c>
      <c r="F268" s="245" t="s">
        <v>905</v>
      </c>
      <c r="G268" s="256"/>
      <c r="H268" s="146">
        <v>45</v>
      </c>
      <c r="I268" s="173">
        <v>1162</v>
      </c>
      <c r="J268" s="173">
        <v>2629</v>
      </c>
      <c r="K268" s="459">
        <f>+H268/I268*J268</f>
        <v>101.81153184165233</v>
      </c>
      <c r="L268" s="471">
        <f>+H268+K268</f>
        <v>146.81153184165231</v>
      </c>
      <c r="M268" s="468">
        <v>0.4</v>
      </c>
      <c r="N268" s="145">
        <f>+L268*1.4</f>
        <v>205.53614457831321</v>
      </c>
      <c r="O268" s="173">
        <v>150</v>
      </c>
      <c r="P268" s="173">
        <v>90</v>
      </c>
      <c r="T268" s="467"/>
      <c r="U268" s="420"/>
    </row>
    <row r="269" spans="1:21" customFormat="1" ht="14.5" x14ac:dyDescent="0.35">
      <c r="A269" s="92"/>
      <c r="B269" s="92" t="s">
        <v>906</v>
      </c>
      <c r="C269" s="597" t="s">
        <v>866</v>
      </c>
      <c r="D269" s="92">
        <v>184</v>
      </c>
      <c r="E269" s="92" t="s">
        <v>411</v>
      </c>
      <c r="F269" s="245" t="s">
        <v>907</v>
      </c>
      <c r="G269" s="256"/>
      <c r="H269" s="146">
        <v>25</v>
      </c>
      <c r="I269" s="173">
        <v>1162</v>
      </c>
      <c r="J269" s="173">
        <v>2629</v>
      </c>
      <c r="K269" s="459">
        <f>+H269/I269*J269</f>
        <v>56.561962134251289</v>
      </c>
      <c r="L269" s="471">
        <f>+H269+K269</f>
        <v>81.561962134251289</v>
      </c>
      <c r="M269" s="468">
        <v>0.4</v>
      </c>
      <c r="N269" s="145">
        <f>+L269*1.4</f>
        <v>114.18674698795179</v>
      </c>
      <c r="O269" s="173">
        <v>90</v>
      </c>
      <c r="P269" s="173">
        <v>55</v>
      </c>
      <c r="T269" s="467"/>
      <c r="U269" s="420"/>
    </row>
    <row r="270" spans="1:21" customFormat="1" ht="14.5" x14ac:dyDescent="0.35">
      <c r="C270" s="233"/>
      <c r="E270" s="366"/>
      <c r="F270" s="256" t="s">
        <v>929</v>
      </c>
      <c r="G270" s="256"/>
      <c r="H270" s="146"/>
      <c r="I270" s="173"/>
      <c r="J270" s="173"/>
      <c r="K270" s="145"/>
      <c r="L270" s="145"/>
      <c r="M270" s="468"/>
      <c r="N270" s="145"/>
      <c r="O270" s="173"/>
      <c r="P270" s="344"/>
      <c r="T270" s="467"/>
      <c r="U270" s="420"/>
    </row>
    <row r="271" spans="1:21" customFormat="1" ht="14.5" x14ac:dyDescent="0.35">
      <c r="A271" s="92"/>
      <c r="B271" s="92" t="s">
        <v>930</v>
      </c>
      <c r="C271" s="597" t="s">
        <v>942</v>
      </c>
      <c r="D271" s="92">
        <v>186</v>
      </c>
      <c r="E271" s="745">
        <v>42</v>
      </c>
      <c r="F271" s="245" t="s">
        <v>931</v>
      </c>
      <c r="G271" s="256"/>
      <c r="H271" s="146">
        <v>53</v>
      </c>
      <c r="I271" s="173">
        <v>3687</v>
      </c>
      <c r="J271" s="173">
        <v>3582</v>
      </c>
      <c r="K271" s="145">
        <f t="shared" ref="K271:K282" si="49">+H271/I271*J271</f>
        <v>51.490642799023597</v>
      </c>
      <c r="L271" s="145">
        <f t="shared" ref="L271:L282" si="50">+H271+K271</f>
        <v>104.49064279902359</v>
      </c>
      <c r="M271" s="468">
        <v>1.4</v>
      </c>
      <c r="N271" s="145">
        <f t="shared" ref="N271:N282" si="51">+L271*1.4</f>
        <v>146.28689991863303</v>
      </c>
      <c r="O271" s="173">
        <v>150</v>
      </c>
      <c r="P271" s="173">
        <v>100</v>
      </c>
      <c r="T271" s="467"/>
      <c r="U271" s="420"/>
    </row>
    <row r="272" spans="1:21" customFormat="1" ht="14.5" x14ac:dyDescent="0.35">
      <c r="A272" s="92"/>
      <c r="B272" s="92" t="s">
        <v>930</v>
      </c>
      <c r="C272" s="597" t="s">
        <v>942</v>
      </c>
      <c r="D272" s="92">
        <v>187</v>
      </c>
      <c r="E272" s="745">
        <v>44</v>
      </c>
      <c r="F272" s="245" t="s">
        <v>931</v>
      </c>
      <c r="G272" s="256"/>
      <c r="H272" s="146">
        <v>53</v>
      </c>
      <c r="I272" s="173">
        <v>3687</v>
      </c>
      <c r="J272" s="173">
        <v>3582</v>
      </c>
      <c r="K272" s="145">
        <f t="shared" si="49"/>
        <v>51.490642799023597</v>
      </c>
      <c r="L272" s="145">
        <f t="shared" si="50"/>
        <v>104.49064279902359</v>
      </c>
      <c r="M272" s="468">
        <v>1.4</v>
      </c>
      <c r="N272" s="145">
        <f t="shared" si="51"/>
        <v>146.28689991863303</v>
      </c>
      <c r="O272" s="173">
        <v>150</v>
      </c>
      <c r="P272" s="173">
        <v>100</v>
      </c>
      <c r="T272" s="467"/>
      <c r="U272" s="420"/>
    </row>
    <row r="273" spans="1:21" customFormat="1" ht="14.5" x14ac:dyDescent="0.35">
      <c r="A273" s="92"/>
      <c r="B273" s="92" t="s">
        <v>930</v>
      </c>
      <c r="C273" s="597" t="s">
        <v>942</v>
      </c>
      <c r="D273" s="92">
        <v>188</v>
      </c>
      <c r="E273" s="745">
        <v>46</v>
      </c>
      <c r="F273" s="245" t="s">
        <v>931</v>
      </c>
      <c r="G273" s="256"/>
      <c r="H273" s="146">
        <v>53</v>
      </c>
      <c r="I273" s="173">
        <v>3687</v>
      </c>
      <c r="J273" s="173">
        <v>3582</v>
      </c>
      <c r="K273" s="145">
        <f t="shared" si="49"/>
        <v>51.490642799023597</v>
      </c>
      <c r="L273" s="145">
        <f t="shared" si="50"/>
        <v>104.49064279902359</v>
      </c>
      <c r="M273" s="468">
        <v>1.4</v>
      </c>
      <c r="N273" s="145">
        <f t="shared" si="51"/>
        <v>146.28689991863303</v>
      </c>
      <c r="O273" s="173">
        <v>150</v>
      </c>
      <c r="P273" s="173">
        <v>100</v>
      </c>
      <c r="T273" s="467"/>
      <c r="U273" s="420"/>
    </row>
    <row r="274" spans="1:21" customFormat="1" ht="14.5" x14ac:dyDescent="0.35">
      <c r="A274" s="92"/>
      <c r="B274" s="92" t="s">
        <v>930</v>
      </c>
      <c r="C274" s="597" t="s">
        <v>942</v>
      </c>
      <c r="D274" s="92">
        <v>189</v>
      </c>
      <c r="E274" s="745">
        <v>48</v>
      </c>
      <c r="F274" s="245" t="s">
        <v>931</v>
      </c>
      <c r="G274" s="256"/>
      <c r="H274" s="146">
        <v>53</v>
      </c>
      <c r="I274" s="173">
        <v>3687</v>
      </c>
      <c r="J274" s="173">
        <v>3582</v>
      </c>
      <c r="K274" s="145">
        <f t="shared" si="49"/>
        <v>51.490642799023597</v>
      </c>
      <c r="L274" s="145">
        <f t="shared" si="50"/>
        <v>104.49064279902359</v>
      </c>
      <c r="M274" s="468">
        <v>1.4</v>
      </c>
      <c r="N274" s="145">
        <f t="shared" si="51"/>
        <v>146.28689991863303</v>
      </c>
      <c r="O274" s="173">
        <v>150</v>
      </c>
      <c r="P274" s="173">
        <v>100</v>
      </c>
      <c r="T274" s="467"/>
      <c r="U274" s="420"/>
    </row>
    <row r="275" spans="1:21" customFormat="1" ht="14.5" x14ac:dyDescent="0.35">
      <c r="A275" s="92"/>
      <c r="B275" s="92" t="s">
        <v>231</v>
      </c>
      <c r="C275" s="597" t="s">
        <v>154</v>
      </c>
      <c r="D275" s="92">
        <v>190</v>
      </c>
      <c r="E275" s="745">
        <v>50</v>
      </c>
      <c r="F275" s="245" t="s">
        <v>932</v>
      </c>
      <c r="G275" s="256"/>
      <c r="H275" s="146">
        <v>34</v>
      </c>
      <c r="I275" s="173">
        <v>3687</v>
      </c>
      <c r="J275" s="173">
        <v>3582</v>
      </c>
      <c r="K275" s="145">
        <f t="shared" si="49"/>
        <v>33.031733116354758</v>
      </c>
      <c r="L275" s="145">
        <f t="shared" si="50"/>
        <v>67.031733116354758</v>
      </c>
      <c r="M275" s="468">
        <v>1.4</v>
      </c>
      <c r="N275" s="145">
        <f t="shared" si="51"/>
        <v>93.844426362896655</v>
      </c>
      <c r="O275" s="173">
        <v>125</v>
      </c>
      <c r="P275" s="173">
        <v>100</v>
      </c>
      <c r="T275" s="467"/>
      <c r="U275" s="420"/>
    </row>
    <row r="276" spans="1:21" customFormat="1" ht="14.5" x14ac:dyDescent="0.35">
      <c r="A276" s="92"/>
      <c r="B276" s="92" t="s">
        <v>231</v>
      </c>
      <c r="C276" s="597" t="s">
        <v>154</v>
      </c>
      <c r="D276" s="92">
        <v>191</v>
      </c>
      <c r="E276" s="745">
        <v>52</v>
      </c>
      <c r="F276" s="245" t="s">
        <v>932</v>
      </c>
      <c r="G276" s="256"/>
      <c r="H276" s="146">
        <v>34</v>
      </c>
      <c r="I276" s="173">
        <v>3687</v>
      </c>
      <c r="J276" s="173">
        <v>3582</v>
      </c>
      <c r="K276" s="145">
        <f t="shared" si="49"/>
        <v>33.031733116354758</v>
      </c>
      <c r="L276" s="145">
        <f t="shared" si="50"/>
        <v>67.031733116354758</v>
      </c>
      <c r="M276" s="468">
        <v>1.4</v>
      </c>
      <c r="N276" s="145">
        <f t="shared" si="51"/>
        <v>93.844426362896655</v>
      </c>
      <c r="O276" s="173">
        <v>125</v>
      </c>
      <c r="P276" s="173">
        <v>100</v>
      </c>
      <c r="T276" s="467"/>
      <c r="U276" s="420"/>
    </row>
    <row r="277" spans="1:21" customFormat="1" ht="14.5" x14ac:dyDescent="0.35">
      <c r="A277" s="92"/>
      <c r="B277" s="92" t="s">
        <v>231</v>
      </c>
      <c r="C277" s="597" t="s">
        <v>154</v>
      </c>
      <c r="D277" s="92">
        <v>192</v>
      </c>
      <c r="E277" s="745">
        <v>54</v>
      </c>
      <c r="F277" s="245" t="s">
        <v>932</v>
      </c>
      <c r="G277" s="256"/>
      <c r="H277" s="146">
        <v>34</v>
      </c>
      <c r="I277" s="173">
        <v>3687</v>
      </c>
      <c r="J277" s="173">
        <v>3582</v>
      </c>
      <c r="K277" s="145">
        <f t="shared" si="49"/>
        <v>33.031733116354758</v>
      </c>
      <c r="L277" s="145">
        <f t="shared" si="50"/>
        <v>67.031733116354758</v>
      </c>
      <c r="M277" s="468">
        <v>1.4</v>
      </c>
      <c r="N277" s="145">
        <f t="shared" si="51"/>
        <v>93.844426362896655</v>
      </c>
      <c r="O277" s="173">
        <v>125</v>
      </c>
      <c r="P277" s="173">
        <v>100</v>
      </c>
      <c r="T277" s="467"/>
      <c r="U277" s="420"/>
    </row>
    <row r="278" spans="1:21" customFormat="1" ht="14.5" x14ac:dyDescent="0.35">
      <c r="A278" s="92"/>
      <c r="B278" s="92" t="s">
        <v>231</v>
      </c>
      <c r="C278" s="775" t="s">
        <v>154</v>
      </c>
      <c r="D278" s="92">
        <v>193</v>
      </c>
      <c r="E278" s="745">
        <v>56</v>
      </c>
      <c r="F278" s="245" t="s">
        <v>932</v>
      </c>
      <c r="G278" s="256"/>
      <c r="H278" s="146">
        <v>34</v>
      </c>
      <c r="I278" s="173">
        <v>3687</v>
      </c>
      <c r="J278" s="173">
        <v>3582</v>
      </c>
      <c r="K278" s="145">
        <f t="shared" si="49"/>
        <v>33.031733116354758</v>
      </c>
      <c r="L278" s="145">
        <f t="shared" si="50"/>
        <v>67.031733116354758</v>
      </c>
      <c r="M278" s="468">
        <v>1.4</v>
      </c>
      <c r="N278" s="145">
        <f t="shared" si="51"/>
        <v>93.844426362896655</v>
      </c>
      <c r="O278" s="173">
        <v>125</v>
      </c>
      <c r="P278" s="173">
        <v>100</v>
      </c>
      <c r="T278" s="467"/>
      <c r="U278" s="420"/>
    </row>
    <row r="279" spans="1:21" customFormat="1" ht="14.5" x14ac:dyDescent="0.35">
      <c r="A279" s="92"/>
      <c r="B279" s="92" t="s">
        <v>876</v>
      </c>
      <c r="C279" s="597" t="s">
        <v>682</v>
      </c>
      <c r="D279" s="92">
        <v>194</v>
      </c>
      <c r="E279" s="745">
        <v>38</v>
      </c>
      <c r="F279" s="245" t="s">
        <v>933</v>
      </c>
      <c r="G279" s="256"/>
      <c r="H279" s="173">
        <v>25</v>
      </c>
      <c r="I279" s="173">
        <v>3687</v>
      </c>
      <c r="J279" s="173">
        <v>3582</v>
      </c>
      <c r="K279" s="145">
        <f t="shared" si="49"/>
        <v>24.288039056143205</v>
      </c>
      <c r="L279" s="145">
        <f t="shared" si="50"/>
        <v>49.288039056143205</v>
      </c>
      <c r="M279" s="468">
        <v>1.4</v>
      </c>
      <c r="N279" s="145">
        <f t="shared" si="51"/>
        <v>69.003254678600484</v>
      </c>
      <c r="O279" s="173">
        <v>125</v>
      </c>
      <c r="P279" s="173">
        <v>90</v>
      </c>
      <c r="T279" s="467"/>
      <c r="U279" s="420"/>
    </row>
    <row r="280" spans="1:21" customFormat="1" ht="14.5" x14ac:dyDescent="0.35">
      <c r="A280" s="92"/>
      <c r="B280" s="92" t="s">
        <v>200</v>
      </c>
      <c r="C280" s="597" t="s">
        <v>199</v>
      </c>
      <c r="D280" s="92">
        <v>200</v>
      </c>
      <c r="E280" s="745">
        <v>54</v>
      </c>
      <c r="F280" s="245" t="s">
        <v>934</v>
      </c>
      <c r="G280" s="245"/>
      <c r="H280" s="173">
        <v>20</v>
      </c>
      <c r="I280" s="173">
        <v>3687</v>
      </c>
      <c r="J280" s="173">
        <v>3582</v>
      </c>
      <c r="K280" s="145">
        <f t="shared" si="49"/>
        <v>19.430431244914566</v>
      </c>
      <c r="L280" s="145">
        <f t="shared" si="50"/>
        <v>39.430431244914566</v>
      </c>
      <c r="M280" s="468">
        <v>1.4</v>
      </c>
      <c r="N280" s="145">
        <f t="shared" si="51"/>
        <v>55.202603742880392</v>
      </c>
      <c r="O280" s="173">
        <v>75</v>
      </c>
      <c r="P280" s="173">
        <v>35</v>
      </c>
      <c r="T280" s="467"/>
      <c r="U280" s="420"/>
    </row>
    <row r="281" spans="1:21" customFormat="1" ht="14.5" x14ac:dyDescent="0.35">
      <c r="A281" s="92"/>
      <c r="B281" s="92" t="s">
        <v>469</v>
      </c>
      <c r="C281" s="775" t="s">
        <v>489</v>
      </c>
      <c r="D281" s="92">
        <v>202</v>
      </c>
      <c r="E281" s="745">
        <v>46</v>
      </c>
      <c r="F281" s="245" t="s">
        <v>936</v>
      </c>
      <c r="G281" s="245"/>
      <c r="H281" s="146">
        <v>28</v>
      </c>
      <c r="I281" s="173">
        <v>3687</v>
      </c>
      <c r="J281" s="173">
        <v>3582</v>
      </c>
      <c r="K281" s="145">
        <f t="shared" si="49"/>
        <v>27.202603742880388</v>
      </c>
      <c r="L281" s="145">
        <f t="shared" si="50"/>
        <v>55.202603742880385</v>
      </c>
      <c r="M281" s="468">
        <v>1.4</v>
      </c>
      <c r="N281" s="145">
        <f t="shared" si="51"/>
        <v>77.283645240032527</v>
      </c>
      <c r="O281" s="173">
        <v>110</v>
      </c>
      <c r="P281" s="173">
        <v>90</v>
      </c>
      <c r="T281" s="467"/>
      <c r="U281" s="420"/>
    </row>
    <row r="282" spans="1:21" s="13" customFormat="1" ht="14.5" x14ac:dyDescent="0.35">
      <c r="B282" s="369" t="s">
        <v>517</v>
      </c>
      <c r="C282" s="368" t="s">
        <v>940</v>
      </c>
      <c r="D282" s="13">
        <v>203</v>
      </c>
      <c r="E282" s="399">
        <v>46</v>
      </c>
      <c r="F282" s="435" t="s">
        <v>877</v>
      </c>
      <c r="G282" s="435"/>
      <c r="H282" s="469">
        <v>25</v>
      </c>
      <c r="I282" s="344">
        <v>3687</v>
      </c>
      <c r="J282" s="344">
        <v>3582</v>
      </c>
      <c r="K282" s="469">
        <f t="shared" si="49"/>
        <v>24.288039056143205</v>
      </c>
      <c r="L282" s="469">
        <f t="shared" si="50"/>
        <v>49.288039056143205</v>
      </c>
      <c r="M282" s="501">
        <v>1.4</v>
      </c>
      <c r="N282" s="469">
        <f t="shared" si="51"/>
        <v>69.003254678600484</v>
      </c>
      <c r="O282" s="344">
        <v>90</v>
      </c>
      <c r="P282" s="344"/>
      <c r="T282" s="743"/>
      <c r="U282" s="744"/>
    </row>
    <row r="283" spans="1:21" customFormat="1" ht="14.5" x14ac:dyDescent="0.35">
      <c r="B283" s="245"/>
      <c r="C283" s="364">
        <v>45352</v>
      </c>
      <c r="P283" s="13"/>
      <c r="U283" s="420"/>
    </row>
    <row r="284" spans="1:21" customFormat="1" ht="14.5" x14ac:dyDescent="0.35">
      <c r="A284" s="92"/>
      <c r="B284" s="594" t="s">
        <v>1028</v>
      </c>
      <c r="C284" s="597" t="s">
        <v>1028</v>
      </c>
      <c r="D284" s="670">
        <v>207</v>
      </c>
      <c r="E284" s="745">
        <v>38</v>
      </c>
      <c r="F284" s="245" t="s">
        <v>1029</v>
      </c>
      <c r="G284" s="245"/>
      <c r="H284" s="146">
        <v>22</v>
      </c>
      <c r="I284">
        <v>4192</v>
      </c>
      <c r="J284" s="173">
        <v>3417</v>
      </c>
      <c r="K284" s="173">
        <f t="shared" ref="K284:K291" si="52">+J284/I284*H284</f>
        <v>17.93272900763359</v>
      </c>
      <c r="L284" s="402">
        <f t="shared" ref="L284:L291" si="53">+H284+K284</f>
        <v>39.93272900763359</v>
      </c>
      <c r="M284" s="174">
        <v>1.4</v>
      </c>
      <c r="N284" s="173">
        <f t="shared" ref="N284:N291" si="54">+L284*M284</f>
        <v>55.905820610687023</v>
      </c>
      <c r="O284" s="173">
        <v>110</v>
      </c>
      <c r="P284">
        <v>55</v>
      </c>
      <c r="U284" s="420"/>
    </row>
    <row r="285" spans="1:21" customFormat="1" ht="14.5" x14ac:dyDescent="0.35">
      <c r="A285" s="92"/>
      <c r="B285" s="594" t="s">
        <v>1028</v>
      </c>
      <c r="C285" s="597" t="s">
        <v>1028</v>
      </c>
      <c r="D285" s="670">
        <v>208</v>
      </c>
      <c r="E285" s="745">
        <v>40</v>
      </c>
      <c r="F285" s="245" t="s">
        <v>1029</v>
      </c>
      <c r="G285" s="245"/>
      <c r="H285" s="146">
        <v>22</v>
      </c>
      <c r="I285">
        <v>4192</v>
      </c>
      <c r="J285" s="173">
        <v>3417</v>
      </c>
      <c r="K285" s="173">
        <f t="shared" si="52"/>
        <v>17.93272900763359</v>
      </c>
      <c r="L285" s="402">
        <f t="shared" si="53"/>
        <v>39.93272900763359</v>
      </c>
      <c r="M285" s="174">
        <v>1.4</v>
      </c>
      <c r="N285" s="173">
        <f t="shared" si="54"/>
        <v>55.905820610687023</v>
      </c>
      <c r="O285" s="173">
        <v>110</v>
      </c>
      <c r="P285">
        <v>55</v>
      </c>
      <c r="U285" s="420"/>
    </row>
    <row r="286" spans="1:21" customFormat="1" ht="14.5" x14ac:dyDescent="0.35">
      <c r="A286" s="92"/>
      <c r="B286" s="594" t="s">
        <v>1028</v>
      </c>
      <c r="C286" s="597" t="s">
        <v>1028</v>
      </c>
      <c r="D286" s="670">
        <v>209</v>
      </c>
      <c r="E286" s="745">
        <v>42</v>
      </c>
      <c r="F286" s="245" t="s">
        <v>1029</v>
      </c>
      <c r="G286" s="245"/>
      <c r="H286" s="146">
        <v>22</v>
      </c>
      <c r="I286">
        <v>4192</v>
      </c>
      <c r="J286" s="173">
        <v>3417</v>
      </c>
      <c r="K286" s="173">
        <f t="shared" si="52"/>
        <v>17.93272900763359</v>
      </c>
      <c r="L286" s="402">
        <f t="shared" si="53"/>
        <v>39.93272900763359</v>
      </c>
      <c r="M286" s="174">
        <v>1.4</v>
      </c>
      <c r="N286" s="173">
        <f t="shared" si="54"/>
        <v>55.905820610687023</v>
      </c>
      <c r="O286" s="173">
        <v>110</v>
      </c>
      <c r="P286">
        <v>55</v>
      </c>
      <c r="U286" s="420"/>
    </row>
    <row r="287" spans="1:21" customFormat="1" ht="14.5" x14ac:dyDescent="0.35">
      <c r="A287" s="92"/>
      <c r="B287" s="594" t="s">
        <v>1028</v>
      </c>
      <c r="C287" s="597" t="s">
        <v>1028</v>
      </c>
      <c r="D287" s="670">
        <v>210</v>
      </c>
      <c r="E287" s="745">
        <v>38</v>
      </c>
      <c r="F287" s="245" t="s">
        <v>1030</v>
      </c>
      <c r="G287" s="245"/>
      <c r="H287" s="146">
        <v>22</v>
      </c>
      <c r="I287">
        <v>4192</v>
      </c>
      <c r="J287" s="173">
        <v>3417</v>
      </c>
      <c r="K287" s="173">
        <f t="shared" si="52"/>
        <v>17.93272900763359</v>
      </c>
      <c r="L287" s="402">
        <f t="shared" si="53"/>
        <v>39.93272900763359</v>
      </c>
      <c r="M287" s="174">
        <v>1.4</v>
      </c>
      <c r="N287" s="173">
        <f t="shared" si="54"/>
        <v>55.905820610687023</v>
      </c>
      <c r="O287" s="173">
        <v>110</v>
      </c>
      <c r="P287">
        <v>55</v>
      </c>
      <c r="U287" s="420"/>
    </row>
    <row r="288" spans="1:21" customFormat="1" ht="14.5" x14ac:dyDescent="0.35">
      <c r="A288" s="92"/>
      <c r="B288" s="594" t="s">
        <v>1028</v>
      </c>
      <c r="C288" s="597" t="s">
        <v>1028</v>
      </c>
      <c r="D288" s="670">
        <v>211</v>
      </c>
      <c r="E288" s="745">
        <v>40</v>
      </c>
      <c r="F288" s="245" t="s">
        <v>1030</v>
      </c>
      <c r="G288" s="245"/>
      <c r="H288" s="146">
        <v>22</v>
      </c>
      <c r="I288">
        <v>4192</v>
      </c>
      <c r="J288" s="173">
        <v>3417</v>
      </c>
      <c r="K288" s="173">
        <f t="shared" si="52"/>
        <v>17.93272900763359</v>
      </c>
      <c r="L288" s="402">
        <f t="shared" si="53"/>
        <v>39.93272900763359</v>
      </c>
      <c r="M288" s="174">
        <v>1.4</v>
      </c>
      <c r="N288" s="173">
        <f t="shared" si="54"/>
        <v>55.905820610687023</v>
      </c>
      <c r="O288" s="173">
        <v>110</v>
      </c>
      <c r="P288">
        <v>55</v>
      </c>
      <c r="U288" s="420"/>
    </row>
    <row r="289" spans="1:21" customFormat="1" ht="14.5" x14ac:dyDescent="0.35">
      <c r="A289" s="92"/>
      <c r="B289" s="594" t="s">
        <v>1028</v>
      </c>
      <c r="C289" s="597" t="s">
        <v>1028</v>
      </c>
      <c r="D289" s="670">
        <v>212</v>
      </c>
      <c r="E289" s="745">
        <v>42</v>
      </c>
      <c r="F289" s="245" t="s">
        <v>1030</v>
      </c>
      <c r="G289" s="245"/>
      <c r="H289" s="146">
        <v>22</v>
      </c>
      <c r="I289">
        <v>4192</v>
      </c>
      <c r="J289" s="173">
        <v>3417</v>
      </c>
      <c r="K289" s="173">
        <f t="shared" si="52"/>
        <v>17.93272900763359</v>
      </c>
      <c r="L289" s="402">
        <f t="shared" si="53"/>
        <v>39.93272900763359</v>
      </c>
      <c r="M289" s="174">
        <v>1.4</v>
      </c>
      <c r="N289" s="173">
        <f t="shared" si="54"/>
        <v>55.905820610687023</v>
      </c>
      <c r="O289" s="173">
        <v>110</v>
      </c>
      <c r="P289">
        <v>55</v>
      </c>
      <c r="U289" s="420"/>
    </row>
    <row r="290" spans="1:21" customFormat="1" ht="14.5" x14ac:dyDescent="0.35">
      <c r="A290" s="92"/>
      <c r="B290" s="594" t="s">
        <v>1040</v>
      </c>
      <c r="C290" s="597" t="s">
        <v>2585</v>
      </c>
      <c r="D290" s="670">
        <v>214</v>
      </c>
      <c r="E290" s="745">
        <v>52</v>
      </c>
      <c r="F290" s="245" t="s">
        <v>1042</v>
      </c>
      <c r="G290" s="245"/>
      <c r="H290" s="146">
        <v>25</v>
      </c>
      <c r="I290">
        <v>4192</v>
      </c>
      <c r="J290" s="173">
        <v>3417</v>
      </c>
      <c r="K290" s="173">
        <f t="shared" si="52"/>
        <v>20.378101145038169</v>
      </c>
      <c r="L290" s="402">
        <f t="shared" si="53"/>
        <v>45.378101145038173</v>
      </c>
      <c r="M290" s="174">
        <v>1.4</v>
      </c>
      <c r="N290" s="173">
        <f t="shared" si="54"/>
        <v>63.529341603053439</v>
      </c>
      <c r="O290" s="173">
        <v>110</v>
      </c>
      <c r="U290" s="420"/>
    </row>
    <row r="291" spans="1:21" s="13" customFormat="1" ht="14.5" x14ac:dyDescent="0.35">
      <c r="B291" s="369" t="s">
        <v>1040</v>
      </c>
      <c r="C291" s="368" t="s">
        <v>2585</v>
      </c>
      <c r="D291" s="435">
        <v>215</v>
      </c>
      <c r="E291" s="399">
        <v>54</v>
      </c>
      <c r="F291" s="435" t="s">
        <v>1042</v>
      </c>
      <c r="G291" s="435"/>
      <c r="H291" s="466">
        <v>25</v>
      </c>
      <c r="I291" s="13">
        <v>4192</v>
      </c>
      <c r="J291" s="344">
        <v>3417</v>
      </c>
      <c r="K291" s="344">
        <f t="shared" si="52"/>
        <v>20.378101145038169</v>
      </c>
      <c r="L291" s="443">
        <f t="shared" si="53"/>
        <v>45.378101145038173</v>
      </c>
      <c r="M291" s="444">
        <v>1.4</v>
      </c>
      <c r="N291" s="344">
        <f t="shared" si="54"/>
        <v>63.529341603053439</v>
      </c>
      <c r="O291" s="344">
        <v>110</v>
      </c>
      <c r="U291" s="744"/>
    </row>
    <row r="292" spans="1:21" customFormat="1" ht="14.5" x14ac:dyDescent="0.35">
      <c r="A292" s="92"/>
      <c r="B292" s="594" t="s">
        <v>2591</v>
      </c>
      <c r="C292" s="597"/>
      <c r="D292" s="670"/>
      <c r="E292" s="745"/>
      <c r="F292" s="371" t="s">
        <v>2592</v>
      </c>
      <c r="G292" s="371"/>
      <c r="H292" s="370"/>
      <c r="I292" s="12"/>
      <c r="J292" s="176"/>
      <c r="K292" s="176"/>
      <c r="L292" s="410"/>
      <c r="M292" s="411"/>
      <c r="N292" s="176"/>
      <c r="O292" s="176">
        <v>55</v>
      </c>
      <c r="P292" s="13"/>
      <c r="S292" t="s">
        <v>2654</v>
      </c>
      <c r="T292" s="6">
        <v>46079</v>
      </c>
      <c r="U292" s="420"/>
    </row>
    <row r="293" spans="1:21" customFormat="1" ht="14.5" x14ac:dyDescent="0.35">
      <c r="A293" s="92"/>
      <c r="B293" s="594" t="s">
        <v>2591</v>
      </c>
      <c r="C293" s="597" t="s">
        <v>2621</v>
      </c>
      <c r="D293" s="670"/>
      <c r="E293" s="745"/>
      <c r="F293" s="245" t="s">
        <v>2596</v>
      </c>
      <c r="G293" s="245"/>
      <c r="H293" s="146"/>
      <c r="J293" s="173"/>
      <c r="K293" s="173"/>
      <c r="L293" s="402"/>
      <c r="M293" s="174"/>
      <c r="N293" s="173"/>
      <c r="O293" s="173">
        <v>35</v>
      </c>
      <c r="U293" s="420"/>
    </row>
    <row r="294" spans="1:21" customFormat="1" ht="14.5" x14ac:dyDescent="0.35">
      <c r="A294" s="92"/>
      <c r="B294" s="594" t="s">
        <v>2591</v>
      </c>
      <c r="C294" s="597" t="s">
        <v>2621</v>
      </c>
      <c r="D294" s="670"/>
      <c r="E294" s="745"/>
      <c r="F294" s="245" t="s">
        <v>2596</v>
      </c>
      <c r="G294" s="245"/>
      <c r="H294" s="146"/>
      <c r="J294" s="173"/>
      <c r="K294" s="173"/>
      <c r="L294" s="402"/>
      <c r="M294" s="174"/>
      <c r="N294" s="173"/>
      <c r="O294" s="173">
        <v>35</v>
      </c>
      <c r="U294" s="420"/>
    </row>
    <row r="295" spans="1:21" customFormat="1" ht="14.5" x14ac:dyDescent="0.35">
      <c r="A295" s="92"/>
      <c r="B295" s="594" t="s">
        <v>2591</v>
      </c>
      <c r="C295" s="597" t="s">
        <v>2621</v>
      </c>
      <c r="D295" s="670"/>
      <c r="E295" s="745"/>
      <c r="F295" s="245" t="s">
        <v>2596</v>
      </c>
      <c r="G295" s="245"/>
      <c r="H295" s="146"/>
      <c r="J295" s="173"/>
      <c r="K295" s="173"/>
      <c r="L295" s="402"/>
      <c r="M295" s="174"/>
      <c r="N295" s="173"/>
      <c r="O295" s="173">
        <v>35</v>
      </c>
      <c r="U295" s="420"/>
    </row>
    <row r="296" spans="1:21" customFormat="1" ht="14.5" x14ac:dyDescent="0.35">
      <c r="C296" s="232" t="s">
        <v>1110</v>
      </c>
      <c r="U296" s="420"/>
    </row>
    <row r="297" spans="1:21" customFormat="1" ht="14.5" x14ac:dyDescent="0.35">
      <c r="A297" s="92"/>
      <c r="B297" s="594" t="s">
        <v>231</v>
      </c>
      <c r="C297" s="597" t="s">
        <v>864</v>
      </c>
      <c r="D297" s="670">
        <v>216</v>
      </c>
      <c r="E297" s="745">
        <v>44</v>
      </c>
      <c r="F297" s="245" t="s">
        <v>1100</v>
      </c>
      <c r="G297" s="245"/>
      <c r="H297" s="173">
        <v>27</v>
      </c>
      <c r="I297">
        <v>872</v>
      </c>
      <c r="J297" s="173">
        <f>872+38+272</f>
        <v>1182</v>
      </c>
      <c r="K297" s="402">
        <f>+H297/I297*J297</f>
        <v>36.598623853211009</v>
      </c>
      <c r="L297" s="402">
        <f>+K297+H297</f>
        <v>63.598623853211009</v>
      </c>
      <c r="M297" s="174">
        <v>0.4</v>
      </c>
      <c r="N297" s="173">
        <f>+L297*1.4</f>
        <v>89.038073394495413</v>
      </c>
      <c r="O297" s="173">
        <v>110</v>
      </c>
      <c r="P297">
        <v>60</v>
      </c>
      <c r="U297" s="420"/>
    </row>
    <row r="298" spans="1:21" customFormat="1" ht="14.5" x14ac:dyDescent="0.35">
      <c r="A298" s="92"/>
      <c r="B298" s="594" t="s">
        <v>231</v>
      </c>
      <c r="C298" s="597" t="s">
        <v>864</v>
      </c>
      <c r="D298" s="670">
        <v>217</v>
      </c>
      <c r="E298" s="745">
        <v>48</v>
      </c>
      <c r="F298" s="245" t="s">
        <v>1100</v>
      </c>
      <c r="G298" s="245"/>
      <c r="H298" s="173">
        <v>27</v>
      </c>
      <c r="I298">
        <v>872</v>
      </c>
      <c r="J298" s="173">
        <f>872+38+272</f>
        <v>1182</v>
      </c>
      <c r="K298" s="402">
        <f>+H298/I298*J298</f>
        <v>36.598623853211009</v>
      </c>
      <c r="L298" s="402">
        <f>+K298+H298</f>
        <v>63.598623853211009</v>
      </c>
      <c r="M298" s="174">
        <v>0.4</v>
      </c>
      <c r="N298" s="173">
        <f>+L298*1.4</f>
        <v>89.038073394495413</v>
      </c>
      <c r="O298" s="173">
        <v>110</v>
      </c>
      <c r="U298" s="420"/>
    </row>
    <row r="299" spans="1:21" ht="15" customHeight="1" outlineLevel="1" x14ac:dyDescent="0.35">
      <c r="B299" s="3"/>
      <c r="C299" s="232" t="s">
        <v>1123</v>
      </c>
      <c r="D299" s="245"/>
      <c r="E299" s="366"/>
      <c r="F299" s="245"/>
      <c r="G299" s="245"/>
      <c r="H299" s="173"/>
      <c r="I299"/>
      <c r="J299" s="173"/>
      <c r="K299" s="402"/>
      <c r="L299" s="402"/>
      <c r="M299" s="174"/>
      <c r="N299" s="173"/>
      <c r="O299" s="173"/>
      <c r="P299" s="474"/>
      <c r="U299" s="138"/>
    </row>
    <row r="300" spans="1:21" customFormat="1" ht="14.5" x14ac:dyDescent="0.35">
      <c r="A300" s="92"/>
      <c r="B300" s="594" t="s">
        <v>469</v>
      </c>
      <c r="C300" s="597" t="s">
        <v>1130</v>
      </c>
      <c r="D300" s="670">
        <v>223</v>
      </c>
      <c r="E300" s="745">
        <v>50</v>
      </c>
      <c r="F300" s="245" t="s">
        <v>1115</v>
      </c>
      <c r="G300" s="245"/>
      <c r="H300" s="173">
        <v>27</v>
      </c>
      <c r="I300">
        <v>540</v>
      </c>
      <c r="J300" s="173">
        <v>535</v>
      </c>
      <c r="K300" s="173">
        <f>+H300/I300*J300</f>
        <v>26.75</v>
      </c>
      <c r="L300" s="173">
        <f>+H300+K300</f>
        <v>53.75</v>
      </c>
      <c r="M300" s="174">
        <v>0.4</v>
      </c>
      <c r="N300" s="173">
        <f>+L300*1.4</f>
        <v>75.25</v>
      </c>
      <c r="O300" s="173">
        <v>90</v>
      </c>
      <c r="P300" s="173">
        <v>55</v>
      </c>
      <c r="U300" s="420"/>
    </row>
    <row r="301" spans="1:21" customFormat="1" ht="14.5" x14ac:dyDescent="0.35">
      <c r="C301" s="256" t="s">
        <v>1169</v>
      </c>
      <c r="E301" s="366"/>
      <c r="H301" s="173"/>
      <c r="J301" s="173"/>
      <c r="K301" s="173"/>
      <c r="L301" s="173"/>
      <c r="M301" s="174"/>
      <c r="N301" s="173"/>
      <c r="O301" s="173"/>
      <c r="P301" s="13"/>
    </row>
    <row r="302" spans="1:21" customFormat="1" ht="14.5" x14ac:dyDescent="0.35">
      <c r="A302" s="92"/>
      <c r="B302" s="92"/>
      <c r="C302" s="597" t="s">
        <v>782</v>
      </c>
      <c r="D302" s="670">
        <v>228</v>
      </c>
      <c r="E302" s="745">
        <v>36</v>
      </c>
      <c r="F302" s="245" t="s">
        <v>1170</v>
      </c>
      <c r="G302" s="245"/>
      <c r="H302" s="173">
        <v>28</v>
      </c>
      <c r="I302">
        <v>5000</v>
      </c>
      <c r="J302" s="173">
        <v>4254</v>
      </c>
      <c r="K302" s="402">
        <f t="shared" ref="K302:K323" si="55">+H302/I302*J302</f>
        <v>23.822399999999998</v>
      </c>
      <c r="L302" s="402">
        <f t="shared" ref="L302:L323" si="56">+H302+K302</f>
        <v>51.822400000000002</v>
      </c>
      <c r="M302" s="174"/>
      <c r="N302" s="173">
        <f t="shared" ref="N302:N323" si="57">+L302*1.4</f>
        <v>72.551360000000003</v>
      </c>
      <c r="O302" s="173">
        <v>90</v>
      </c>
      <c r="P302">
        <v>55</v>
      </c>
    </row>
    <row r="303" spans="1:21" customFormat="1" ht="14.5" x14ac:dyDescent="0.35">
      <c r="A303" s="92"/>
      <c r="B303" s="92"/>
      <c r="C303" s="597" t="s">
        <v>782</v>
      </c>
      <c r="D303" s="670">
        <v>229</v>
      </c>
      <c r="E303" s="745">
        <v>38</v>
      </c>
      <c r="F303" s="245" t="s">
        <v>1170</v>
      </c>
      <c r="G303" s="245"/>
      <c r="H303" s="173">
        <v>28</v>
      </c>
      <c r="I303">
        <v>5000</v>
      </c>
      <c r="J303" s="173">
        <v>4254</v>
      </c>
      <c r="K303" s="402">
        <f t="shared" si="55"/>
        <v>23.822399999999998</v>
      </c>
      <c r="L303" s="402">
        <f t="shared" si="56"/>
        <v>51.822400000000002</v>
      </c>
      <c r="M303" s="174"/>
      <c r="N303" s="173">
        <f t="shared" si="57"/>
        <v>72.551360000000003</v>
      </c>
      <c r="O303" s="173">
        <v>90</v>
      </c>
      <c r="P303">
        <v>55</v>
      </c>
    </row>
    <row r="304" spans="1:21" customFormat="1" ht="14.5" x14ac:dyDescent="0.35">
      <c r="A304" s="92"/>
      <c r="B304" s="92"/>
      <c r="C304" s="597" t="s">
        <v>782</v>
      </c>
      <c r="D304" s="670">
        <v>231</v>
      </c>
      <c r="E304" s="745">
        <v>42</v>
      </c>
      <c r="F304" s="245" t="s">
        <v>1170</v>
      </c>
      <c r="G304" s="245"/>
      <c r="H304" s="173">
        <v>28</v>
      </c>
      <c r="I304">
        <v>5000</v>
      </c>
      <c r="J304" s="173">
        <v>4254</v>
      </c>
      <c r="K304" s="402">
        <f t="shared" si="55"/>
        <v>23.822399999999998</v>
      </c>
      <c r="L304" s="402">
        <f t="shared" si="56"/>
        <v>51.822400000000002</v>
      </c>
      <c r="M304" s="174"/>
      <c r="N304" s="173">
        <f t="shared" si="57"/>
        <v>72.551360000000003</v>
      </c>
      <c r="O304" s="173">
        <v>90</v>
      </c>
    </row>
    <row r="305" spans="1:20" customFormat="1" ht="14.5" x14ac:dyDescent="0.35">
      <c r="A305" s="92"/>
      <c r="B305" s="92"/>
      <c r="C305" s="597" t="s">
        <v>1233</v>
      </c>
      <c r="D305" s="670">
        <v>232</v>
      </c>
      <c r="E305" s="745">
        <v>38</v>
      </c>
      <c r="F305" s="245" t="s">
        <v>1171</v>
      </c>
      <c r="G305" s="245"/>
      <c r="H305" s="173">
        <v>23</v>
      </c>
      <c r="I305">
        <v>5000</v>
      </c>
      <c r="J305" s="173">
        <v>4254</v>
      </c>
      <c r="K305" s="402">
        <f t="shared" si="55"/>
        <v>19.5684</v>
      </c>
      <c r="L305" s="402">
        <f t="shared" si="56"/>
        <v>42.568399999999997</v>
      </c>
      <c r="M305" s="174"/>
      <c r="N305" s="173">
        <f t="shared" si="57"/>
        <v>59.595759999999991</v>
      </c>
      <c r="O305" s="173">
        <v>75</v>
      </c>
      <c r="P305">
        <v>55</v>
      </c>
    </row>
    <row r="306" spans="1:20" customFormat="1" ht="14.5" x14ac:dyDescent="0.35">
      <c r="A306" s="92"/>
      <c r="B306" s="594"/>
      <c r="C306" s="597" t="s">
        <v>1233</v>
      </c>
      <c r="D306" s="670">
        <v>233</v>
      </c>
      <c r="E306" s="745">
        <v>42</v>
      </c>
      <c r="F306" s="245" t="s">
        <v>1171</v>
      </c>
      <c r="G306" s="245"/>
      <c r="H306" s="173">
        <v>23</v>
      </c>
      <c r="I306">
        <v>5000</v>
      </c>
      <c r="J306" s="173">
        <v>4254</v>
      </c>
      <c r="K306" s="402">
        <f t="shared" si="55"/>
        <v>19.5684</v>
      </c>
      <c r="L306" s="402">
        <f t="shared" si="56"/>
        <v>42.568399999999997</v>
      </c>
      <c r="M306" s="174"/>
      <c r="N306" s="173">
        <f t="shared" si="57"/>
        <v>59.595759999999991</v>
      </c>
      <c r="O306" s="173">
        <v>75</v>
      </c>
    </row>
    <row r="307" spans="1:20" customFormat="1" ht="14.5" x14ac:dyDescent="0.35">
      <c r="A307" s="92"/>
      <c r="B307" s="594"/>
      <c r="C307" s="597" t="s">
        <v>1172</v>
      </c>
      <c r="D307" s="670">
        <v>237</v>
      </c>
      <c r="E307" s="745">
        <v>48</v>
      </c>
      <c r="F307" s="245" t="s">
        <v>1173</v>
      </c>
      <c r="G307" s="245"/>
      <c r="H307" s="173">
        <v>32</v>
      </c>
      <c r="I307">
        <v>5000</v>
      </c>
      <c r="J307" s="173">
        <v>4254</v>
      </c>
      <c r="K307" s="402">
        <f t="shared" si="55"/>
        <v>27.2256</v>
      </c>
      <c r="L307" s="402">
        <f t="shared" si="56"/>
        <v>59.2256</v>
      </c>
      <c r="M307" s="174"/>
      <c r="N307" s="173">
        <f t="shared" si="57"/>
        <v>82.915839999999989</v>
      </c>
      <c r="O307" s="173">
        <v>90</v>
      </c>
      <c r="P307">
        <v>55</v>
      </c>
    </row>
    <row r="308" spans="1:20" s="13" customFormat="1" ht="14.5" x14ac:dyDescent="0.35">
      <c r="B308" s="369"/>
      <c r="C308" s="368" t="s">
        <v>1237</v>
      </c>
      <c r="D308" s="435">
        <v>239</v>
      </c>
      <c r="E308" s="399">
        <v>50</v>
      </c>
      <c r="F308" s="435" t="s">
        <v>1175</v>
      </c>
      <c r="G308" s="435"/>
      <c r="H308" s="344">
        <v>80</v>
      </c>
      <c r="I308" s="13">
        <v>5000</v>
      </c>
      <c r="J308" s="344">
        <v>4254</v>
      </c>
      <c r="K308" s="443">
        <f t="shared" si="55"/>
        <v>68.064000000000007</v>
      </c>
      <c r="L308" s="443">
        <f t="shared" si="56"/>
        <v>148.06400000000002</v>
      </c>
      <c r="M308" s="444"/>
      <c r="N308" s="344">
        <f t="shared" si="57"/>
        <v>207.28960000000001</v>
      </c>
      <c r="O308" s="344">
        <v>200</v>
      </c>
    </row>
    <row r="309" spans="1:20" customFormat="1" ht="14.5" x14ac:dyDescent="0.35">
      <c r="A309" s="92"/>
      <c r="B309" s="594"/>
      <c r="C309" s="597" t="s">
        <v>1237</v>
      </c>
      <c r="D309" s="670">
        <v>241</v>
      </c>
      <c r="E309" s="745">
        <v>44</v>
      </c>
      <c r="F309" s="245" t="s">
        <v>1177</v>
      </c>
      <c r="G309" s="245"/>
      <c r="H309" s="173">
        <v>85</v>
      </c>
      <c r="I309">
        <v>5000</v>
      </c>
      <c r="J309" s="173">
        <v>4254</v>
      </c>
      <c r="K309" s="402">
        <f t="shared" si="55"/>
        <v>72.318000000000012</v>
      </c>
      <c r="L309" s="402">
        <f t="shared" si="56"/>
        <v>157.31800000000001</v>
      </c>
      <c r="M309" s="174"/>
      <c r="N309" s="173">
        <f t="shared" si="57"/>
        <v>220.24520000000001</v>
      </c>
      <c r="O309" s="173">
        <v>220</v>
      </c>
      <c r="P309">
        <v>150</v>
      </c>
    </row>
    <row r="310" spans="1:20" customFormat="1" ht="14.5" x14ac:dyDescent="0.35">
      <c r="A310" s="92"/>
      <c r="B310" s="594"/>
      <c r="C310" s="597" t="s">
        <v>1237</v>
      </c>
      <c r="D310" s="670">
        <v>242</v>
      </c>
      <c r="E310" s="745">
        <v>46</v>
      </c>
      <c r="F310" s="245" t="s">
        <v>1177</v>
      </c>
      <c r="G310" s="245"/>
      <c r="H310" s="173">
        <v>85</v>
      </c>
      <c r="I310">
        <v>5000</v>
      </c>
      <c r="J310" s="173">
        <v>4254</v>
      </c>
      <c r="K310" s="402">
        <f t="shared" si="55"/>
        <v>72.318000000000012</v>
      </c>
      <c r="L310" s="402">
        <f t="shared" si="56"/>
        <v>157.31800000000001</v>
      </c>
      <c r="M310" s="174"/>
      <c r="N310" s="173">
        <f t="shared" si="57"/>
        <v>220.24520000000001</v>
      </c>
      <c r="O310" s="173">
        <v>220</v>
      </c>
    </row>
    <row r="311" spans="1:20" customFormat="1" ht="14.5" x14ac:dyDescent="0.35">
      <c r="B311" s="3"/>
      <c r="C311" s="233" t="s">
        <v>1178</v>
      </c>
      <c r="D311" s="245">
        <v>243</v>
      </c>
      <c r="E311" s="366">
        <v>50</v>
      </c>
      <c r="F311" s="371" t="s">
        <v>1179</v>
      </c>
      <c r="G311" s="371"/>
      <c r="H311" s="176">
        <v>25</v>
      </c>
      <c r="I311" s="12">
        <v>5000</v>
      </c>
      <c r="J311" s="176">
        <v>4254</v>
      </c>
      <c r="K311" s="410">
        <f t="shared" si="55"/>
        <v>21.27</v>
      </c>
      <c r="L311" s="410">
        <f t="shared" si="56"/>
        <v>46.269999999999996</v>
      </c>
      <c r="M311" s="411"/>
      <c r="N311" s="176">
        <f t="shared" si="57"/>
        <v>64.777999999999992</v>
      </c>
      <c r="O311" s="176">
        <v>90</v>
      </c>
      <c r="P311" s="13"/>
      <c r="Q311" s="92"/>
      <c r="R311" s="92"/>
      <c r="S311" t="s">
        <v>12</v>
      </c>
      <c r="T311" s="6">
        <v>46064</v>
      </c>
    </row>
    <row r="312" spans="1:20" customFormat="1" ht="14.5" x14ac:dyDescent="0.35">
      <c r="A312" s="597" t="s">
        <v>227</v>
      </c>
      <c r="B312" s="594"/>
      <c r="C312" s="597" t="s">
        <v>1092</v>
      </c>
      <c r="D312" s="670">
        <v>246</v>
      </c>
      <c r="E312" s="745">
        <v>44</v>
      </c>
      <c r="F312" s="245" t="s">
        <v>1182</v>
      </c>
      <c r="G312" s="245"/>
      <c r="H312" s="173">
        <v>32</v>
      </c>
      <c r="I312">
        <v>5000</v>
      </c>
      <c r="J312" s="173">
        <v>4254</v>
      </c>
      <c r="K312" s="402">
        <f t="shared" si="55"/>
        <v>27.2256</v>
      </c>
      <c r="L312" s="402">
        <f t="shared" si="56"/>
        <v>59.2256</v>
      </c>
      <c r="M312" s="174"/>
      <c r="N312" s="173">
        <f t="shared" si="57"/>
        <v>82.915839999999989</v>
      </c>
      <c r="O312" s="173">
        <v>110</v>
      </c>
      <c r="P312">
        <v>55</v>
      </c>
    </row>
    <row r="313" spans="1:20" customFormat="1" ht="14.5" x14ac:dyDescent="0.35">
      <c r="A313" s="597" t="s">
        <v>227</v>
      </c>
      <c r="B313" s="594"/>
      <c r="C313" s="597" t="s">
        <v>1092</v>
      </c>
      <c r="D313" s="670">
        <v>247</v>
      </c>
      <c r="E313" s="745">
        <v>46</v>
      </c>
      <c r="F313" s="245" t="s">
        <v>1182</v>
      </c>
      <c r="G313" s="245"/>
      <c r="H313" s="173">
        <v>32</v>
      </c>
      <c r="I313">
        <v>5000</v>
      </c>
      <c r="J313" s="173">
        <v>4254</v>
      </c>
      <c r="K313" s="402">
        <f t="shared" si="55"/>
        <v>27.2256</v>
      </c>
      <c r="L313" s="402">
        <f t="shared" si="56"/>
        <v>59.2256</v>
      </c>
      <c r="M313" s="174"/>
      <c r="N313" s="173">
        <f t="shared" si="57"/>
        <v>82.915839999999989</v>
      </c>
      <c r="O313" s="173">
        <v>110</v>
      </c>
      <c r="P313">
        <v>55</v>
      </c>
    </row>
    <row r="314" spans="1:20" customFormat="1" ht="14.5" x14ac:dyDescent="0.35">
      <c r="A314" s="597" t="s">
        <v>227</v>
      </c>
      <c r="B314" s="594"/>
      <c r="C314" s="597" t="s">
        <v>1092</v>
      </c>
      <c r="D314" s="670">
        <v>248</v>
      </c>
      <c r="E314" s="745">
        <v>48</v>
      </c>
      <c r="F314" s="245" t="s">
        <v>1182</v>
      </c>
      <c r="G314" s="245"/>
      <c r="H314" s="173">
        <v>32</v>
      </c>
      <c r="I314">
        <v>5000</v>
      </c>
      <c r="J314" s="173">
        <v>4254</v>
      </c>
      <c r="K314" s="402">
        <f t="shared" si="55"/>
        <v>27.2256</v>
      </c>
      <c r="L314" s="402">
        <f t="shared" si="56"/>
        <v>59.2256</v>
      </c>
      <c r="M314" s="174"/>
      <c r="N314" s="173">
        <f t="shared" si="57"/>
        <v>82.915839999999989</v>
      </c>
      <c r="O314" s="173">
        <v>110</v>
      </c>
      <c r="P314">
        <v>55</v>
      </c>
    </row>
    <row r="315" spans="1:20" customFormat="1" ht="14.5" x14ac:dyDescent="0.35">
      <c r="A315" s="597" t="s">
        <v>227</v>
      </c>
      <c r="B315" s="594"/>
      <c r="C315" s="597" t="s">
        <v>1092</v>
      </c>
      <c r="D315" s="670">
        <v>249</v>
      </c>
      <c r="E315" s="745">
        <v>50</v>
      </c>
      <c r="F315" s="245" t="s">
        <v>1182</v>
      </c>
      <c r="G315" s="245"/>
      <c r="H315" s="173">
        <v>32</v>
      </c>
      <c r="I315">
        <v>5000</v>
      </c>
      <c r="J315" s="173">
        <v>4254</v>
      </c>
      <c r="K315" s="402">
        <f t="shared" si="55"/>
        <v>27.2256</v>
      </c>
      <c r="L315" s="402">
        <f t="shared" si="56"/>
        <v>59.2256</v>
      </c>
      <c r="M315" s="174"/>
      <c r="N315" s="173">
        <f t="shared" si="57"/>
        <v>82.915839999999989</v>
      </c>
      <c r="O315" s="173">
        <v>110</v>
      </c>
      <c r="P315">
        <v>55</v>
      </c>
    </row>
    <row r="316" spans="1:20" customFormat="1" ht="14.5" x14ac:dyDescent="0.35">
      <c r="A316" s="92" t="s">
        <v>1343</v>
      </c>
      <c r="B316" s="594"/>
      <c r="C316" s="597" t="s">
        <v>941</v>
      </c>
      <c r="D316" s="670">
        <v>262</v>
      </c>
      <c r="E316" s="745">
        <v>44</v>
      </c>
      <c r="F316" s="245" t="s">
        <v>1194</v>
      </c>
      <c r="G316" s="245"/>
      <c r="H316" s="173">
        <v>27</v>
      </c>
      <c r="I316">
        <v>5000</v>
      </c>
      <c r="J316" s="173">
        <v>4254</v>
      </c>
      <c r="K316" s="402">
        <f t="shared" si="55"/>
        <v>22.971600000000002</v>
      </c>
      <c r="L316" s="402">
        <f t="shared" si="56"/>
        <v>49.971600000000002</v>
      </c>
      <c r="M316" s="174"/>
      <c r="N316" s="173">
        <f t="shared" si="57"/>
        <v>69.960239999999999</v>
      </c>
      <c r="O316" s="173">
        <v>110</v>
      </c>
      <c r="P316">
        <v>75</v>
      </c>
    </row>
    <row r="317" spans="1:20" customFormat="1" ht="14.5" x14ac:dyDescent="0.35">
      <c r="A317" s="92" t="s">
        <v>1343</v>
      </c>
      <c r="B317" s="594"/>
      <c r="C317" s="597" t="s">
        <v>941</v>
      </c>
      <c r="D317" s="670">
        <v>264</v>
      </c>
      <c r="E317" s="745">
        <v>50</v>
      </c>
      <c r="F317" s="245" t="s">
        <v>1194</v>
      </c>
      <c r="G317" s="245"/>
      <c r="H317" s="173">
        <v>27</v>
      </c>
      <c r="I317">
        <v>5000</v>
      </c>
      <c r="J317" s="173">
        <v>4254</v>
      </c>
      <c r="K317" s="402">
        <f t="shared" si="55"/>
        <v>22.971600000000002</v>
      </c>
      <c r="L317" s="402">
        <f t="shared" si="56"/>
        <v>49.971600000000002</v>
      </c>
      <c r="M317" s="174"/>
      <c r="N317" s="173">
        <f t="shared" si="57"/>
        <v>69.960239999999999</v>
      </c>
      <c r="O317" s="173">
        <v>110</v>
      </c>
    </row>
    <row r="318" spans="1:20" customFormat="1" ht="14.5" x14ac:dyDescent="0.35">
      <c r="A318" s="92"/>
      <c r="B318" s="594"/>
      <c r="C318" s="597" t="s">
        <v>937</v>
      </c>
      <c r="D318" s="670">
        <v>266</v>
      </c>
      <c r="E318" s="745">
        <v>42</v>
      </c>
      <c r="F318" s="245" t="s">
        <v>1195</v>
      </c>
      <c r="G318" s="245"/>
      <c r="H318" s="173">
        <v>16</v>
      </c>
      <c r="I318">
        <v>5000</v>
      </c>
      <c r="J318" s="173">
        <v>4254</v>
      </c>
      <c r="K318" s="402">
        <f t="shared" si="55"/>
        <v>13.6128</v>
      </c>
      <c r="L318" s="402">
        <f t="shared" si="56"/>
        <v>29.6128</v>
      </c>
      <c r="M318" s="174"/>
      <c r="N318" s="173">
        <f t="shared" si="57"/>
        <v>41.457919999999994</v>
      </c>
      <c r="O318" s="173">
        <v>75</v>
      </c>
      <c r="P318">
        <v>55</v>
      </c>
    </row>
    <row r="319" spans="1:20" customFormat="1" ht="14.5" x14ac:dyDescent="0.35">
      <c r="A319" s="92"/>
      <c r="B319" s="594"/>
      <c r="C319" s="597" t="s">
        <v>937</v>
      </c>
      <c r="D319" s="670">
        <v>269</v>
      </c>
      <c r="E319" s="745">
        <v>38</v>
      </c>
      <c r="F319" s="245" t="s">
        <v>1197</v>
      </c>
      <c r="G319" s="245"/>
      <c r="H319" s="173">
        <v>16</v>
      </c>
      <c r="I319">
        <v>5000</v>
      </c>
      <c r="J319" s="173">
        <v>4254</v>
      </c>
      <c r="K319" s="402">
        <f t="shared" si="55"/>
        <v>13.6128</v>
      </c>
      <c r="L319" s="402">
        <f t="shared" si="56"/>
        <v>29.6128</v>
      </c>
      <c r="M319" s="174"/>
      <c r="N319" s="173">
        <f t="shared" si="57"/>
        <v>41.457919999999994</v>
      </c>
      <c r="O319" s="173">
        <v>75</v>
      </c>
      <c r="P319">
        <v>55</v>
      </c>
    </row>
    <row r="320" spans="1:20" customFormat="1" ht="14.5" x14ac:dyDescent="0.35">
      <c r="A320" s="92"/>
      <c r="B320" s="594"/>
      <c r="C320" s="597" t="s">
        <v>937</v>
      </c>
      <c r="D320" s="670">
        <v>270</v>
      </c>
      <c r="E320" s="745">
        <v>40</v>
      </c>
      <c r="F320" s="245" t="s">
        <v>1197</v>
      </c>
      <c r="G320" s="245"/>
      <c r="H320" s="173">
        <v>16</v>
      </c>
      <c r="I320">
        <v>5000</v>
      </c>
      <c r="J320" s="173">
        <v>4254</v>
      </c>
      <c r="K320" s="402">
        <f t="shared" si="55"/>
        <v>13.6128</v>
      </c>
      <c r="L320" s="402">
        <f t="shared" si="56"/>
        <v>29.6128</v>
      </c>
      <c r="M320" s="174"/>
      <c r="N320" s="173">
        <f t="shared" si="57"/>
        <v>41.457919999999994</v>
      </c>
      <c r="O320" s="173">
        <v>75</v>
      </c>
    </row>
    <row r="321" spans="1:20" customFormat="1" ht="14.5" x14ac:dyDescent="0.35">
      <c r="B321" s="3"/>
      <c r="C321" s="233" t="s">
        <v>1236</v>
      </c>
      <c r="D321" s="245">
        <v>272</v>
      </c>
      <c r="E321" s="366">
        <v>54</v>
      </c>
      <c r="F321" s="371" t="s">
        <v>1202</v>
      </c>
      <c r="G321" s="371"/>
      <c r="H321" s="176">
        <v>40</v>
      </c>
      <c r="I321" s="12">
        <v>5000</v>
      </c>
      <c r="J321" s="176">
        <v>4254</v>
      </c>
      <c r="K321" s="410">
        <f t="shared" si="55"/>
        <v>34.032000000000004</v>
      </c>
      <c r="L321" s="410">
        <f t="shared" si="56"/>
        <v>74.032000000000011</v>
      </c>
      <c r="M321" s="411"/>
      <c r="N321" s="176">
        <f t="shared" si="57"/>
        <v>103.6448</v>
      </c>
      <c r="O321" s="176">
        <v>125</v>
      </c>
      <c r="P321" s="13"/>
      <c r="Q321" s="92"/>
      <c r="R321" s="92"/>
      <c r="S321" t="s">
        <v>2300</v>
      </c>
      <c r="T321" s="6">
        <v>46049</v>
      </c>
    </row>
    <row r="322" spans="1:20" customFormat="1" ht="14.5" x14ac:dyDescent="0.35">
      <c r="A322" s="92"/>
      <c r="B322" s="594"/>
      <c r="C322" s="597" t="s">
        <v>1236</v>
      </c>
      <c r="D322" s="670">
        <v>273</v>
      </c>
      <c r="E322" s="745">
        <v>56</v>
      </c>
      <c r="F322" s="245" t="s">
        <v>1202</v>
      </c>
      <c r="G322" s="245"/>
      <c r="H322" s="173">
        <v>40</v>
      </c>
      <c r="I322">
        <v>5000</v>
      </c>
      <c r="J322" s="173">
        <v>4254</v>
      </c>
      <c r="K322" s="402">
        <f t="shared" si="55"/>
        <v>34.032000000000004</v>
      </c>
      <c r="L322" s="402">
        <f t="shared" si="56"/>
        <v>74.032000000000011</v>
      </c>
      <c r="M322" s="174"/>
      <c r="N322" s="173">
        <f t="shared" si="57"/>
        <v>103.6448</v>
      </c>
      <c r="O322" s="173">
        <v>125</v>
      </c>
      <c r="P322">
        <v>90</v>
      </c>
    </row>
    <row r="323" spans="1:20" customFormat="1" ht="14.5" x14ac:dyDescent="0.35">
      <c r="A323" s="92"/>
      <c r="B323" s="594"/>
      <c r="C323" s="597" t="s">
        <v>1236</v>
      </c>
      <c r="D323" s="670">
        <v>274</v>
      </c>
      <c r="E323" s="745">
        <v>58</v>
      </c>
      <c r="F323" s="245" t="s">
        <v>1202</v>
      </c>
      <c r="G323" s="245"/>
      <c r="H323" s="173">
        <v>40</v>
      </c>
      <c r="I323">
        <v>5000</v>
      </c>
      <c r="J323" s="173">
        <v>4254</v>
      </c>
      <c r="K323" s="402">
        <f t="shared" si="55"/>
        <v>34.032000000000004</v>
      </c>
      <c r="L323" s="402">
        <f t="shared" si="56"/>
        <v>74.032000000000011</v>
      </c>
      <c r="M323" s="174"/>
      <c r="N323" s="173">
        <f t="shared" si="57"/>
        <v>103.6448</v>
      </c>
      <c r="O323" s="173">
        <v>125</v>
      </c>
      <c r="P323">
        <v>90</v>
      </c>
    </row>
    <row r="324" spans="1:20" customFormat="1" ht="14.5" x14ac:dyDescent="0.35">
      <c r="A324" s="3"/>
      <c r="B324" s="3"/>
      <c r="C324" s="233"/>
      <c r="E324" s="366"/>
      <c r="F324" s="256" t="s">
        <v>898</v>
      </c>
      <c r="G324" s="256"/>
      <c r="H324" s="173"/>
      <c r="J324" s="173"/>
      <c r="K324" s="173"/>
      <c r="L324" s="173"/>
      <c r="M324" s="174"/>
      <c r="N324" s="173"/>
      <c r="O324" s="173"/>
      <c r="P324" s="13"/>
    </row>
    <row r="325" spans="1:20" customFormat="1" ht="14.5" x14ac:dyDescent="0.35">
      <c r="A325" s="594"/>
      <c r="B325" s="597" t="s">
        <v>1261</v>
      </c>
      <c r="C325" s="597" t="s">
        <v>944</v>
      </c>
      <c r="D325" s="670">
        <v>285</v>
      </c>
      <c r="E325" s="745">
        <v>52</v>
      </c>
      <c r="F325" s="245" t="s">
        <v>1262</v>
      </c>
      <c r="G325" s="245"/>
      <c r="H325" s="173">
        <v>55</v>
      </c>
      <c r="I325">
        <v>680</v>
      </c>
      <c r="J325" s="173">
        <v>290</v>
      </c>
      <c r="K325" s="402">
        <f>+H325/I325*J325</f>
        <v>23.455882352941178</v>
      </c>
      <c r="L325" s="173">
        <f>+H325+K325</f>
        <v>78.455882352941174</v>
      </c>
      <c r="M325" s="174"/>
      <c r="N325" s="173">
        <f>+L325*1.4</f>
        <v>109.83823529411764</v>
      </c>
      <c r="O325" s="173">
        <v>180</v>
      </c>
      <c r="P325">
        <v>150</v>
      </c>
    </row>
    <row r="326" spans="1:20" customFormat="1" ht="14.5" x14ac:dyDescent="0.35">
      <c r="A326" s="3"/>
      <c r="B326" s="3"/>
      <c r="C326" s="233"/>
      <c r="E326" s="366"/>
      <c r="F326" s="256" t="s">
        <v>1283</v>
      </c>
      <c r="G326" s="256"/>
      <c r="H326" s="175"/>
      <c r="J326" s="173"/>
      <c r="K326" s="173"/>
      <c r="L326" s="173"/>
      <c r="M326" s="174"/>
      <c r="N326" s="173"/>
      <c r="O326" s="173"/>
      <c r="P326" s="13"/>
    </row>
    <row r="327" spans="1:20" customFormat="1" ht="14.5" x14ac:dyDescent="0.35">
      <c r="A327" s="594"/>
      <c r="B327" s="597" t="s">
        <v>1280</v>
      </c>
      <c r="C327" s="597" t="s">
        <v>2586</v>
      </c>
      <c r="D327" s="670">
        <v>292</v>
      </c>
      <c r="E327" s="745">
        <v>18</v>
      </c>
      <c r="F327" s="245" t="s">
        <v>1268</v>
      </c>
      <c r="G327" s="245"/>
      <c r="H327" s="173">
        <v>61</v>
      </c>
      <c r="J327" s="173"/>
      <c r="K327" s="173"/>
      <c r="L327" s="173"/>
      <c r="M327" s="174"/>
      <c r="N327" s="173"/>
      <c r="O327" s="173">
        <v>125</v>
      </c>
      <c r="P327">
        <v>60</v>
      </c>
    </row>
    <row r="328" spans="1:20" customFormat="1" ht="14.5" x14ac:dyDescent="0.35">
      <c r="A328" s="594"/>
      <c r="B328" s="594"/>
      <c r="C328" s="597" t="s">
        <v>1282</v>
      </c>
      <c r="D328" s="670">
        <v>293</v>
      </c>
      <c r="E328" s="745">
        <v>20</v>
      </c>
      <c r="F328" s="245" t="s">
        <v>1269</v>
      </c>
      <c r="G328" s="245"/>
      <c r="H328" s="173">
        <v>23</v>
      </c>
      <c r="J328" s="173"/>
      <c r="K328" s="173"/>
      <c r="L328" s="173"/>
      <c r="M328" s="174"/>
      <c r="N328" s="173"/>
      <c r="O328" s="173">
        <v>80</v>
      </c>
      <c r="P328">
        <v>55</v>
      </c>
    </row>
    <row r="329" spans="1:20" customFormat="1" ht="14.5" x14ac:dyDescent="0.35">
      <c r="A329" s="256" t="s">
        <v>1270</v>
      </c>
      <c r="B329" s="3"/>
      <c r="C329" s="364">
        <v>45566</v>
      </c>
      <c r="E329" s="366"/>
      <c r="H329" s="173"/>
      <c r="J329" s="173"/>
      <c r="K329" s="173"/>
      <c r="L329" s="173"/>
      <c r="M329" s="174"/>
      <c r="N329" s="173"/>
      <c r="O329" s="173"/>
      <c r="P329" s="13"/>
    </row>
    <row r="330" spans="1:20" customFormat="1" ht="14.5" x14ac:dyDescent="0.35">
      <c r="A330" t="s">
        <v>1308</v>
      </c>
      <c r="B330" s="3"/>
      <c r="C330" s="233" t="s">
        <v>1101</v>
      </c>
      <c r="D330" s="245">
        <v>295</v>
      </c>
      <c r="E330" s="366">
        <v>44</v>
      </c>
      <c r="F330" s="371" t="s">
        <v>1272</v>
      </c>
      <c r="G330" s="371"/>
      <c r="H330" s="176">
        <v>43</v>
      </c>
      <c r="I330" s="12">
        <v>1008</v>
      </c>
      <c r="J330" s="176">
        <f t="shared" ref="J330:J336" si="58">20*14</f>
        <v>280</v>
      </c>
      <c r="K330" s="410">
        <f t="shared" ref="K330:K336" si="59">+H330/I330*J330</f>
        <v>11.944444444444445</v>
      </c>
      <c r="L330" s="176">
        <f t="shared" ref="L330:L336" si="60">+H330+K330</f>
        <v>54.944444444444443</v>
      </c>
      <c r="M330" s="411"/>
      <c r="N330" s="176">
        <f t="shared" ref="N330:N336" si="61">+L330*1.4</f>
        <v>76.922222222222217</v>
      </c>
      <c r="O330" s="176">
        <v>125</v>
      </c>
      <c r="P330" s="13"/>
      <c r="S330" t="s">
        <v>2785</v>
      </c>
      <c r="T330" t="s">
        <v>2786</v>
      </c>
    </row>
    <row r="331" spans="1:20" customFormat="1" ht="14.5" x14ac:dyDescent="0.35">
      <c r="A331" s="92" t="s">
        <v>1308</v>
      </c>
      <c r="B331" s="594"/>
      <c r="C331" s="597" t="s">
        <v>1273</v>
      </c>
      <c r="D331" s="670">
        <v>299</v>
      </c>
      <c r="E331" s="745">
        <v>44</v>
      </c>
      <c r="F331" s="371" t="s">
        <v>1274</v>
      </c>
      <c r="G331" s="371"/>
      <c r="H331" s="176">
        <v>32</v>
      </c>
      <c r="I331" s="12">
        <v>1008</v>
      </c>
      <c r="J331" s="176">
        <f t="shared" si="58"/>
        <v>280</v>
      </c>
      <c r="K331" s="410">
        <f t="shared" si="59"/>
        <v>8.8888888888888893</v>
      </c>
      <c r="L331" s="176">
        <f t="shared" si="60"/>
        <v>40.888888888888886</v>
      </c>
      <c r="M331" s="411"/>
      <c r="N331" s="176">
        <f t="shared" si="61"/>
        <v>57.244444444444433</v>
      </c>
      <c r="O331" s="176">
        <v>125</v>
      </c>
      <c r="P331" s="13">
        <v>55</v>
      </c>
      <c r="S331" t="s">
        <v>12</v>
      </c>
      <c r="T331" s="6">
        <v>46079</v>
      </c>
    </row>
    <row r="332" spans="1:20" customFormat="1" ht="14.5" x14ac:dyDescent="0.35">
      <c r="A332" s="92" t="s">
        <v>1308</v>
      </c>
      <c r="B332" s="594"/>
      <c r="C332" s="597" t="s">
        <v>1273</v>
      </c>
      <c r="D332" s="670">
        <v>300</v>
      </c>
      <c r="E332" s="745">
        <v>46</v>
      </c>
      <c r="F332" s="245" t="s">
        <v>1274</v>
      </c>
      <c r="G332" s="245"/>
      <c r="H332" s="173">
        <v>32</v>
      </c>
      <c r="I332">
        <v>1008</v>
      </c>
      <c r="J332" s="173">
        <f t="shared" si="58"/>
        <v>280</v>
      </c>
      <c r="K332" s="402">
        <f t="shared" si="59"/>
        <v>8.8888888888888893</v>
      </c>
      <c r="L332" s="173">
        <f t="shared" si="60"/>
        <v>40.888888888888886</v>
      </c>
      <c r="M332" s="174"/>
      <c r="N332" s="173">
        <f t="shared" si="61"/>
        <v>57.244444444444433</v>
      </c>
      <c r="O332" s="173">
        <v>125</v>
      </c>
      <c r="P332">
        <v>55</v>
      </c>
    </row>
    <row r="333" spans="1:20" customFormat="1" ht="14.5" x14ac:dyDescent="0.35">
      <c r="A333" s="92" t="s">
        <v>1308</v>
      </c>
      <c r="B333" s="594"/>
      <c r="C333" s="597" t="s">
        <v>801</v>
      </c>
      <c r="D333" s="670">
        <v>304</v>
      </c>
      <c r="E333" s="745">
        <v>42</v>
      </c>
      <c r="F333" s="245" t="s">
        <v>1277</v>
      </c>
      <c r="G333" s="245"/>
      <c r="H333" s="173">
        <v>35</v>
      </c>
      <c r="I333">
        <v>1008</v>
      </c>
      <c r="J333" s="173">
        <f t="shared" si="58"/>
        <v>280</v>
      </c>
      <c r="K333" s="402">
        <f t="shared" si="59"/>
        <v>9.7222222222222232</v>
      </c>
      <c r="L333" s="173">
        <f t="shared" si="60"/>
        <v>44.722222222222221</v>
      </c>
      <c r="M333" s="174"/>
      <c r="N333" s="173">
        <f t="shared" si="61"/>
        <v>62.611111111111107</v>
      </c>
      <c r="O333" s="173">
        <v>90</v>
      </c>
      <c r="P333">
        <v>100</v>
      </c>
    </row>
    <row r="334" spans="1:20" customFormat="1" ht="14.5" x14ac:dyDescent="0.35">
      <c r="A334" t="s">
        <v>1308</v>
      </c>
      <c r="B334" s="3"/>
      <c r="C334" s="233" t="s">
        <v>801</v>
      </c>
      <c r="D334" s="245">
        <v>305</v>
      </c>
      <c r="E334" s="366">
        <v>44</v>
      </c>
      <c r="F334" s="371" t="s">
        <v>1277</v>
      </c>
      <c r="G334" s="371"/>
      <c r="H334" s="176">
        <v>35</v>
      </c>
      <c r="I334" s="12">
        <v>1008</v>
      </c>
      <c r="J334" s="176">
        <f t="shared" si="58"/>
        <v>280</v>
      </c>
      <c r="K334" s="410">
        <f t="shared" si="59"/>
        <v>9.7222222222222232</v>
      </c>
      <c r="L334" s="176">
        <f t="shared" si="60"/>
        <v>44.722222222222221</v>
      </c>
      <c r="M334" s="411"/>
      <c r="N334" s="176">
        <f t="shared" si="61"/>
        <v>62.611111111111107</v>
      </c>
      <c r="O334" s="176">
        <v>90</v>
      </c>
      <c r="P334" s="13"/>
      <c r="S334" t="s">
        <v>12</v>
      </c>
      <c r="T334" s="6">
        <v>46065</v>
      </c>
    </row>
    <row r="335" spans="1:20" customFormat="1" ht="14.5" x14ac:dyDescent="0.35">
      <c r="A335" s="92" t="s">
        <v>1308</v>
      </c>
      <c r="B335" s="594"/>
      <c r="C335" s="597" t="s">
        <v>801</v>
      </c>
      <c r="D335" s="670">
        <v>306</v>
      </c>
      <c r="E335" s="745">
        <v>46</v>
      </c>
      <c r="F335" s="245" t="s">
        <v>1277</v>
      </c>
      <c r="G335" s="245"/>
      <c r="H335" s="173">
        <v>35</v>
      </c>
      <c r="I335">
        <v>1008</v>
      </c>
      <c r="J335" s="173">
        <f t="shared" si="58"/>
        <v>280</v>
      </c>
      <c r="K335" s="402">
        <f t="shared" si="59"/>
        <v>9.7222222222222232</v>
      </c>
      <c r="L335" s="173">
        <f t="shared" si="60"/>
        <v>44.722222222222221</v>
      </c>
      <c r="M335" s="174"/>
      <c r="N335" s="173">
        <f t="shared" si="61"/>
        <v>62.611111111111107</v>
      </c>
      <c r="O335" s="173">
        <v>90</v>
      </c>
      <c r="P335">
        <v>100</v>
      </c>
    </row>
    <row r="336" spans="1:20" customFormat="1" ht="14.5" x14ac:dyDescent="0.35">
      <c r="A336" s="92" t="s">
        <v>1308</v>
      </c>
      <c r="B336" s="594"/>
      <c r="C336" s="597" t="s">
        <v>801</v>
      </c>
      <c r="D336" s="670">
        <v>307</v>
      </c>
      <c r="E336" s="745">
        <v>48</v>
      </c>
      <c r="F336" s="245" t="s">
        <v>1277</v>
      </c>
      <c r="G336" s="245"/>
      <c r="H336" s="173">
        <v>35</v>
      </c>
      <c r="I336">
        <v>1008</v>
      </c>
      <c r="J336" s="173">
        <f t="shared" si="58"/>
        <v>280</v>
      </c>
      <c r="K336" s="402">
        <f t="shared" si="59"/>
        <v>9.7222222222222232</v>
      </c>
      <c r="L336" s="173">
        <f t="shared" si="60"/>
        <v>44.722222222222221</v>
      </c>
      <c r="M336" s="174"/>
      <c r="N336" s="173">
        <f t="shared" si="61"/>
        <v>62.611111111111107</v>
      </c>
      <c r="O336" s="173">
        <v>90</v>
      </c>
      <c r="P336">
        <v>100</v>
      </c>
      <c r="S336" t="s">
        <v>12</v>
      </c>
      <c r="T336" s="6">
        <v>46112</v>
      </c>
    </row>
    <row r="337" spans="1:20" customFormat="1" ht="14.5" x14ac:dyDescent="0.35">
      <c r="B337" s="3"/>
      <c r="C337" s="233"/>
      <c r="E337" s="366"/>
      <c r="F337" s="256" t="s">
        <v>1286</v>
      </c>
      <c r="G337" s="256"/>
      <c r="H337" s="173"/>
      <c r="J337" s="173"/>
      <c r="K337" s="173"/>
      <c r="L337" s="173"/>
      <c r="M337" s="174"/>
      <c r="N337" s="173"/>
      <c r="O337" s="173"/>
      <c r="P337" s="13"/>
    </row>
    <row r="338" spans="1:20" s="13" customFormat="1" ht="14.5" x14ac:dyDescent="0.35">
      <c r="A338" s="594"/>
      <c r="B338" s="594"/>
      <c r="C338" s="597" t="s">
        <v>518</v>
      </c>
      <c r="D338" s="670"/>
      <c r="E338" s="399"/>
      <c r="F338" s="435" t="s">
        <v>1309</v>
      </c>
      <c r="G338" s="435"/>
      <c r="H338" s="344">
        <v>50</v>
      </c>
      <c r="I338" s="13">
        <v>400</v>
      </c>
      <c r="J338" s="344">
        <v>200</v>
      </c>
      <c r="K338" s="443">
        <f>+H338/I338*J338</f>
        <v>25</v>
      </c>
      <c r="L338" s="344">
        <f>+H338+K338</f>
        <v>75</v>
      </c>
      <c r="M338" s="444"/>
      <c r="N338" s="344">
        <f>+L338*1.4</f>
        <v>105</v>
      </c>
      <c r="O338" s="344">
        <v>150</v>
      </c>
    </row>
    <row r="339" spans="1:20" customFormat="1" ht="14.5" x14ac:dyDescent="0.35">
      <c r="A339" s="594"/>
      <c r="B339" s="594"/>
      <c r="C339" s="597" t="s">
        <v>2611</v>
      </c>
      <c r="D339" s="670"/>
      <c r="E339" s="366"/>
      <c r="F339" s="245" t="s">
        <v>2612</v>
      </c>
      <c r="G339" s="245"/>
      <c r="H339" s="173"/>
      <c r="J339" s="173"/>
      <c r="K339" s="402"/>
      <c r="L339" s="173"/>
      <c r="M339" s="174"/>
      <c r="N339" s="173"/>
      <c r="O339" s="173">
        <v>35</v>
      </c>
      <c r="P339" t="s">
        <v>2613</v>
      </c>
    </row>
    <row r="340" spans="1:20" customFormat="1" ht="14.5" x14ac:dyDescent="0.35">
      <c r="A340" s="3"/>
      <c r="B340" s="3"/>
      <c r="C340" s="232" t="s">
        <v>1302</v>
      </c>
      <c r="E340" s="366"/>
      <c r="F340" s="245"/>
      <c r="G340" s="245"/>
      <c r="H340" s="173"/>
      <c r="J340" s="173"/>
      <c r="K340" s="402"/>
      <c r="L340" s="173"/>
      <c r="M340" s="174"/>
      <c r="N340" s="173"/>
      <c r="O340" s="173"/>
      <c r="P340" s="13"/>
    </row>
    <row r="341" spans="1:20" customFormat="1" ht="14.5" x14ac:dyDescent="0.35">
      <c r="A341" s="594" t="s">
        <v>731</v>
      </c>
      <c r="B341" s="594"/>
      <c r="C341" s="597" t="s">
        <v>1300</v>
      </c>
      <c r="D341" s="670">
        <v>323</v>
      </c>
      <c r="E341" s="745">
        <v>44</v>
      </c>
      <c r="F341" s="256" t="s">
        <v>1301</v>
      </c>
      <c r="G341" s="256"/>
      <c r="H341" s="146">
        <v>39</v>
      </c>
      <c r="I341">
        <v>804</v>
      </c>
      <c r="J341" s="173">
        <v>400</v>
      </c>
      <c r="K341" s="402">
        <f>+H341/I341*J341</f>
        <v>19.402985074626866</v>
      </c>
      <c r="L341" s="173">
        <f>+H341+K341</f>
        <v>58.402985074626869</v>
      </c>
      <c r="M341" s="174"/>
      <c r="N341" s="173">
        <f>+L341*1.4</f>
        <v>81.764179104477606</v>
      </c>
      <c r="O341" s="146">
        <v>110</v>
      </c>
      <c r="P341">
        <v>90</v>
      </c>
    </row>
    <row r="342" spans="1:20" customFormat="1" ht="14.5" x14ac:dyDescent="0.35">
      <c r="A342" s="594" t="s">
        <v>731</v>
      </c>
      <c r="B342" s="594"/>
      <c r="C342" s="597" t="s">
        <v>1300</v>
      </c>
      <c r="D342" s="670">
        <v>324</v>
      </c>
      <c r="E342" s="745">
        <v>46</v>
      </c>
      <c r="F342" s="256" t="s">
        <v>1301</v>
      </c>
      <c r="G342" s="256"/>
      <c r="H342" s="146">
        <v>39</v>
      </c>
      <c r="I342">
        <v>804</v>
      </c>
      <c r="J342" s="173">
        <v>400</v>
      </c>
      <c r="K342" s="402">
        <f>+H342/I342*J342</f>
        <v>19.402985074626866</v>
      </c>
      <c r="L342" s="173">
        <f>+H342+K342</f>
        <v>58.402985074626869</v>
      </c>
      <c r="M342" s="174"/>
      <c r="N342" s="173">
        <f>+L342*1.4</f>
        <v>81.764179104477606</v>
      </c>
      <c r="O342" s="146">
        <v>110</v>
      </c>
      <c r="P342">
        <v>90</v>
      </c>
    </row>
    <row r="343" spans="1:20" customFormat="1" ht="14.5" x14ac:dyDescent="0.35">
      <c r="A343" s="594" t="s">
        <v>731</v>
      </c>
      <c r="B343" s="594"/>
      <c r="C343" s="597" t="s">
        <v>1300</v>
      </c>
      <c r="D343" s="670">
        <v>325</v>
      </c>
      <c r="E343" s="745">
        <v>48</v>
      </c>
      <c r="F343" s="256" t="s">
        <v>1301</v>
      </c>
      <c r="G343" s="256"/>
      <c r="H343" s="146">
        <v>39</v>
      </c>
      <c r="I343">
        <v>804</v>
      </c>
      <c r="J343" s="173">
        <v>400</v>
      </c>
      <c r="K343" s="402">
        <f>+H343/I343*J343</f>
        <v>19.402985074626866</v>
      </c>
      <c r="L343" s="173">
        <f>+H343+K343</f>
        <v>58.402985074626869</v>
      </c>
      <c r="M343" s="174"/>
      <c r="N343" s="173">
        <f>+L343*1.4</f>
        <v>81.764179104477606</v>
      </c>
      <c r="O343" s="146">
        <v>110</v>
      </c>
      <c r="P343">
        <v>90</v>
      </c>
    </row>
    <row r="344" spans="1:20" customFormat="1" ht="14.5" x14ac:dyDescent="0.35">
      <c r="A344" s="594" t="s">
        <v>731</v>
      </c>
      <c r="B344" s="594"/>
      <c r="C344" s="597" t="s">
        <v>1300</v>
      </c>
      <c r="D344" s="670">
        <v>326</v>
      </c>
      <c r="E344" s="745">
        <v>50</v>
      </c>
      <c r="F344" s="256" t="s">
        <v>1301</v>
      </c>
      <c r="G344" s="256"/>
      <c r="H344" s="146">
        <v>39</v>
      </c>
      <c r="I344">
        <v>804</v>
      </c>
      <c r="J344" s="173">
        <v>400</v>
      </c>
      <c r="K344" s="402">
        <f>+H344/I344*J344</f>
        <v>19.402985074626866</v>
      </c>
      <c r="L344" s="173">
        <f>+H344+K344</f>
        <v>58.402985074626869</v>
      </c>
      <c r="M344" s="174"/>
      <c r="N344" s="173">
        <f>+L344*1.4</f>
        <v>81.764179104477606</v>
      </c>
      <c r="O344" s="146">
        <v>110</v>
      </c>
      <c r="P344">
        <v>90</v>
      </c>
    </row>
    <row r="345" spans="1:20" customFormat="1" ht="14.5" x14ac:dyDescent="0.35">
      <c r="A345" s="594" t="s">
        <v>731</v>
      </c>
      <c r="B345" s="594"/>
      <c r="C345" s="597" t="s">
        <v>509</v>
      </c>
      <c r="D345" s="670">
        <v>322</v>
      </c>
      <c r="E345" s="745">
        <v>42</v>
      </c>
      <c r="F345" s="245" t="s">
        <v>1299</v>
      </c>
      <c r="G345" s="245"/>
      <c r="H345" s="173">
        <v>48</v>
      </c>
      <c r="I345">
        <v>804</v>
      </c>
      <c r="J345" s="173">
        <v>400</v>
      </c>
      <c r="K345" s="402">
        <f>+H345/I345*J345</f>
        <v>23.880597014925371</v>
      </c>
      <c r="L345" s="173">
        <f>+H345+K345</f>
        <v>71.880597014925371</v>
      </c>
      <c r="M345" s="174"/>
      <c r="N345" s="173">
        <f>+L345*1.4</f>
        <v>100.63283582089551</v>
      </c>
      <c r="O345" s="173">
        <v>125</v>
      </c>
      <c r="P345">
        <v>90</v>
      </c>
      <c r="S345" s="6"/>
    </row>
    <row r="346" spans="1:20" customFormat="1" ht="14.5" x14ac:dyDescent="0.35">
      <c r="A346" s="3"/>
      <c r="B346" s="3"/>
      <c r="C346" s="232" t="s">
        <v>1335</v>
      </c>
      <c r="E346" s="366"/>
      <c r="F346" s="256"/>
      <c r="G346" s="256"/>
      <c r="H346" s="146"/>
      <c r="J346" s="173"/>
      <c r="K346" s="402"/>
      <c r="L346" s="173"/>
      <c r="M346" s="174"/>
      <c r="N346" s="173"/>
      <c r="O346" s="146"/>
      <c r="P346" s="13"/>
    </row>
    <row r="347" spans="1:20" customFormat="1" ht="14.5" x14ac:dyDescent="0.35">
      <c r="A347" s="594" t="s">
        <v>1336</v>
      </c>
      <c r="B347" s="594"/>
      <c r="C347" s="597" t="s">
        <v>1237</v>
      </c>
      <c r="D347" s="670">
        <v>327</v>
      </c>
      <c r="E347" s="745">
        <v>44</v>
      </c>
      <c r="F347" s="245" t="s">
        <v>1311</v>
      </c>
      <c r="G347" s="245"/>
      <c r="H347" s="173">
        <v>55</v>
      </c>
      <c r="I347">
        <v>1222</v>
      </c>
      <c r="J347" s="173">
        <v>453</v>
      </c>
      <c r="K347" s="402">
        <f t="shared" ref="K347:K364" si="62">+H347/I347*J347</f>
        <v>20.388707037643208</v>
      </c>
      <c r="L347" s="173">
        <f t="shared" ref="L347:L364" si="63">+H347+K347</f>
        <v>75.388707037643201</v>
      </c>
      <c r="M347" s="174"/>
      <c r="N347" s="173">
        <f t="shared" ref="N347:N364" si="64">+L347*1.4</f>
        <v>105.54418985270047</v>
      </c>
      <c r="O347" s="173">
        <v>125</v>
      </c>
    </row>
    <row r="348" spans="1:20" customFormat="1" ht="14.5" x14ac:dyDescent="0.35">
      <c r="A348" s="594" t="s">
        <v>1336</v>
      </c>
      <c r="B348" s="594"/>
      <c r="C348" s="597" t="s">
        <v>1237</v>
      </c>
      <c r="D348" s="670">
        <v>328</v>
      </c>
      <c r="E348" s="745">
        <v>46</v>
      </c>
      <c r="F348" s="245" t="s">
        <v>1311</v>
      </c>
      <c r="G348" s="245"/>
      <c r="H348" s="173">
        <v>55</v>
      </c>
      <c r="I348">
        <v>1222</v>
      </c>
      <c r="J348" s="173">
        <v>453</v>
      </c>
      <c r="K348" s="402">
        <f t="shared" si="62"/>
        <v>20.388707037643208</v>
      </c>
      <c r="L348" s="173">
        <f t="shared" si="63"/>
        <v>75.388707037643201</v>
      </c>
      <c r="M348" s="174"/>
      <c r="N348" s="173">
        <f t="shared" si="64"/>
        <v>105.54418985270047</v>
      </c>
      <c r="O348" s="173">
        <v>125</v>
      </c>
    </row>
    <row r="349" spans="1:20" customFormat="1" ht="14.5" x14ac:dyDescent="0.35">
      <c r="A349" s="594" t="s">
        <v>1336</v>
      </c>
      <c r="B349" s="594"/>
      <c r="C349" s="597" t="s">
        <v>1237</v>
      </c>
      <c r="D349" s="670">
        <v>330</v>
      </c>
      <c r="E349" s="745">
        <v>50</v>
      </c>
      <c r="F349" s="245" t="s">
        <v>1311</v>
      </c>
      <c r="G349" s="245"/>
      <c r="H349" s="173">
        <v>55</v>
      </c>
      <c r="I349">
        <v>1222</v>
      </c>
      <c r="J349" s="173">
        <v>453</v>
      </c>
      <c r="K349" s="402">
        <f t="shared" si="62"/>
        <v>20.388707037643208</v>
      </c>
      <c r="L349" s="173">
        <f t="shared" si="63"/>
        <v>75.388707037643201</v>
      </c>
      <c r="M349" s="174"/>
      <c r="N349" s="173">
        <f t="shared" si="64"/>
        <v>105.54418985270047</v>
      </c>
      <c r="O349" s="173">
        <v>125</v>
      </c>
    </row>
    <row r="350" spans="1:20" customFormat="1" ht="14.5" x14ac:dyDescent="0.35">
      <c r="A350" s="3" t="s">
        <v>1336</v>
      </c>
      <c r="B350" s="3"/>
      <c r="C350" s="597" t="s">
        <v>1237</v>
      </c>
      <c r="D350" s="670">
        <v>331</v>
      </c>
      <c r="E350" s="745">
        <v>44</v>
      </c>
      <c r="F350" s="371" t="s">
        <v>1312</v>
      </c>
      <c r="G350" s="371"/>
      <c r="H350" s="176">
        <v>55</v>
      </c>
      <c r="I350" s="12">
        <v>1222</v>
      </c>
      <c r="J350" s="176">
        <v>453</v>
      </c>
      <c r="K350" s="410">
        <f t="shared" si="62"/>
        <v>20.388707037643208</v>
      </c>
      <c r="L350" s="176">
        <f t="shared" si="63"/>
        <v>75.388707037643201</v>
      </c>
      <c r="M350" s="411"/>
      <c r="N350" s="176">
        <f t="shared" si="64"/>
        <v>105.54418985270047</v>
      </c>
      <c r="O350" s="176">
        <v>125</v>
      </c>
      <c r="P350" s="13"/>
      <c r="S350" t="s">
        <v>12</v>
      </c>
      <c r="T350" s="6">
        <v>46091</v>
      </c>
    </row>
    <row r="351" spans="1:20" customFormat="1" ht="14.5" x14ac:dyDescent="0.35">
      <c r="A351" s="594" t="s">
        <v>1336</v>
      </c>
      <c r="B351" s="594"/>
      <c r="C351" s="597" t="s">
        <v>1237</v>
      </c>
      <c r="D351" s="670">
        <v>332</v>
      </c>
      <c r="E351" s="745">
        <v>46</v>
      </c>
      <c r="F351" s="245" t="s">
        <v>1312</v>
      </c>
      <c r="G351" s="245"/>
      <c r="H351" s="173">
        <v>55</v>
      </c>
      <c r="I351">
        <v>1222</v>
      </c>
      <c r="J351" s="173">
        <v>453</v>
      </c>
      <c r="K351" s="402">
        <f t="shared" si="62"/>
        <v>20.388707037643208</v>
      </c>
      <c r="L351" s="173">
        <f t="shared" si="63"/>
        <v>75.388707037643201</v>
      </c>
      <c r="M351" s="174"/>
      <c r="N351" s="173">
        <f t="shared" si="64"/>
        <v>105.54418985270047</v>
      </c>
      <c r="O351" s="173">
        <v>125</v>
      </c>
    </row>
    <row r="352" spans="1:20" customFormat="1" ht="14.5" x14ac:dyDescent="0.35">
      <c r="A352" s="594" t="s">
        <v>1336</v>
      </c>
      <c r="B352" s="594"/>
      <c r="C352" s="597" t="s">
        <v>1237</v>
      </c>
      <c r="D352" s="670">
        <v>333</v>
      </c>
      <c r="E352" s="745">
        <v>48</v>
      </c>
      <c r="F352" s="245" t="s">
        <v>1312</v>
      </c>
      <c r="G352" s="245"/>
      <c r="H352" s="173">
        <v>55</v>
      </c>
      <c r="I352">
        <v>1222</v>
      </c>
      <c r="J352" s="173">
        <v>453</v>
      </c>
      <c r="K352" s="402">
        <f t="shared" si="62"/>
        <v>20.388707037643208</v>
      </c>
      <c r="L352" s="173">
        <f t="shared" si="63"/>
        <v>75.388707037643201</v>
      </c>
      <c r="M352" s="174"/>
      <c r="N352" s="173">
        <f t="shared" si="64"/>
        <v>105.54418985270047</v>
      </c>
      <c r="O352" s="173">
        <v>125</v>
      </c>
    </row>
    <row r="353" spans="1:16" s="13" customFormat="1" ht="14.5" x14ac:dyDescent="0.35">
      <c r="A353" s="369" t="s">
        <v>1336</v>
      </c>
      <c r="B353" s="369"/>
      <c r="C353" s="368" t="s">
        <v>1237</v>
      </c>
      <c r="D353" s="435">
        <v>334</v>
      </c>
      <c r="E353" s="399">
        <v>50</v>
      </c>
      <c r="F353" s="435" t="s">
        <v>1312</v>
      </c>
      <c r="G353" s="435"/>
      <c r="H353" s="344">
        <v>55</v>
      </c>
      <c r="I353" s="13">
        <v>1222</v>
      </c>
      <c r="J353" s="344">
        <v>453</v>
      </c>
      <c r="K353" s="443">
        <f t="shared" si="62"/>
        <v>20.388707037643208</v>
      </c>
      <c r="L353" s="344">
        <f t="shared" si="63"/>
        <v>75.388707037643201</v>
      </c>
      <c r="M353" s="444"/>
      <c r="N353" s="344">
        <f t="shared" si="64"/>
        <v>105.54418985270047</v>
      </c>
      <c r="O353" s="344">
        <v>125</v>
      </c>
    </row>
    <row r="354" spans="1:16" customFormat="1" ht="14.5" x14ac:dyDescent="0.35">
      <c r="A354" s="594" t="s">
        <v>1336</v>
      </c>
      <c r="B354" s="594"/>
      <c r="C354" s="597" t="s">
        <v>1237</v>
      </c>
      <c r="D354" s="670">
        <v>335</v>
      </c>
      <c r="E354" s="745">
        <v>44</v>
      </c>
      <c r="F354" s="256" t="s">
        <v>1313</v>
      </c>
      <c r="G354" s="256"/>
      <c r="H354" s="173">
        <v>55</v>
      </c>
      <c r="I354">
        <v>1222</v>
      </c>
      <c r="J354" s="173">
        <v>453</v>
      </c>
      <c r="K354" s="402">
        <f t="shared" si="62"/>
        <v>20.388707037643208</v>
      </c>
      <c r="L354" s="173">
        <f t="shared" si="63"/>
        <v>75.388707037643201</v>
      </c>
      <c r="M354" s="174"/>
      <c r="N354" s="173">
        <f t="shared" si="64"/>
        <v>105.54418985270047</v>
      </c>
      <c r="O354" s="173">
        <v>125</v>
      </c>
    </row>
    <row r="355" spans="1:16" customFormat="1" ht="14.5" x14ac:dyDescent="0.35">
      <c r="A355" s="594" t="s">
        <v>1336</v>
      </c>
      <c r="B355" s="594"/>
      <c r="C355" s="597" t="s">
        <v>1237</v>
      </c>
      <c r="D355" s="670">
        <v>339</v>
      </c>
      <c r="E355" s="745">
        <v>44</v>
      </c>
      <c r="F355" s="245" t="s">
        <v>1314</v>
      </c>
      <c r="G355" s="245"/>
      <c r="H355" s="173">
        <v>55</v>
      </c>
      <c r="I355">
        <v>1222</v>
      </c>
      <c r="J355" s="173">
        <v>453</v>
      </c>
      <c r="K355" s="402">
        <f t="shared" si="62"/>
        <v>20.388707037643208</v>
      </c>
      <c r="L355" s="173">
        <f t="shared" si="63"/>
        <v>75.388707037643201</v>
      </c>
      <c r="M355" s="174"/>
      <c r="N355" s="173">
        <f t="shared" si="64"/>
        <v>105.54418985270047</v>
      </c>
      <c r="O355" s="173">
        <v>125</v>
      </c>
    </row>
    <row r="356" spans="1:16" customFormat="1" ht="14.5" x14ac:dyDescent="0.35">
      <c r="A356" s="594" t="s">
        <v>1336</v>
      </c>
      <c r="B356" s="594" t="s">
        <v>1261</v>
      </c>
      <c r="C356" s="597" t="s">
        <v>1237</v>
      </c>
      <c r="D356" s="670">
        <v>340</v>
      </c>
      <c r="E356" s="745">
        <v>46</v>
      </c>
      <c r="F356" s="245" t="s">
        <v>1314</v>
      </c>
      <c r="G356" s="245"/>
      <c r="H356" s="173">
        <v>55</v>
      </c>
      <c r="I356">
        <v>1222</v>
      </c>
      <c r="J356" s="173">
        <v>453</v>
      </c>
      <c r="K356" s="402">
        <f t="shared" si="62"/>
        <v>20.388707037643208</v>
      </c>
      <c r="L356" s="173">
        <f t="shared" si="63"/>
        <v>75.388707037643201</v>
      </c>
      <c r="M356" s="174"/>
      <c r="N356" s="173">
        <f t="shared" si="64"/>
        <v>105.54418985270047</v>
      </c>
      <c r="O356" s="173">
        <v>125</v>
      </c>
    </row>
    <row r="357" spans="1:16" customFormat="1" ht="14.5" x14ac:dyDescent="0.35">
      <c r="A357" s="594" t="s">
        <v>1336</v>
      </c>
      <c r="B357" s="594"/>
      <c r="C357" s="597" t="s">
        <v>1237</v>
      </c>
      <c r="D357" s="670">
        <v>342</v>
      </c>
      <c r="E357" s="745">
        <v>50</v>
      </c>
      <c r="F357" s="245" t="s">
        <v>1314</v>
      </c>
      <c r="G357" s="245"/>
      <c r="H357" s="173">
        <v>55</v>
      </c>
      <c r="I357">
        <v>1222</v>
      </c>
      <c r="J357" s="173">
        <v>453</v>
      </c>
      <c r="K357" s="402">
        <f t="shared" si="62"/>
        <v>20.388707037643208</v>
      </c>
      <c r="L357" s="173">
        <f t="shared" si="63"/>
        <v>75.388707037643201</v>
      </c>
      <c r="M357" s="174"/>
      <c r="N357" s="173">
        <f t="shared" si="64"/>
        <v>105.54418985270047</v>
      </c>
      <c r="O357" s="173">
        <v>125</v>
      </c>
    </row>
    <row r="358" spans="1:16" customFormat="1" ht="14.5" x14ac:dyDescent="0.35">
      <c r="A358" s="594" t="s">
        <v>1336</v>
      </c>
      <c r="B358" s="594"/>
      <c r="C358" s="597" t="s">
        <v>1237</v>
      </c>
      <c r="D358" s="670">
        <v>344</v>
      </c>
      <c r="E358" s="745">
        <v>46</v>
      </c>
      <c r="F358" s="245" t="s">
        <v>1315</v>
      </c>
      <c r="G358" s="245"/>
      <c r="H358" s="173">
        <v>55</v>
      </c>
      <c r="I358">
        <v>1222</v>
      </c>
      <c r="J358" s="173">
        <v>453</v>
      </c>
      <c r="K358" s="402">
        <f t="shared" si="62"/>
        <v>20.388707037643208</v>
      </c>
      <c r="L358" s="173">
        <f t="shared" si="63"/>
        <v>75.388707037643201</v>
      </c>
      <c r="M358" s="174"/>
      <c r="N358" s="173">
        <f t="shared" si="64"/>
        <v>105.54418985270047</v>
      </c>
      <c r="O358" s="173">
        <v>125</v>
      </c>
    </row>
    <row r="359" spans="1:16" customFormat="1" ht="14.5" x14ac:dyDescent="0.35">
      <c r="A359" s="670" t="s">
        <v>1328</v>
      </c>
      <c r="B359" s="670"/>
      <c r="C359" s="670" t="s">
        <v>1328</v>
      </c>
      <c r="D359" s="670">
        <v>346</v>
      </c>
      <c r="E359" s="745">
        <v>40</v>
      </c>
      <c r="F359" s="245" t="s">
        <v>1329</v>
      </c>
      <c r="G359" s="245"/>
      <c r="H359" s="173">
        <v>49</v>
      </c>
      <c r="I359">
        <v>928</v>
      </c>
      <c r="J359" s="173">
        <v>300</v>
      </c>
      <c r="K359" s="402">
        <f t="shared" si="62"/>
        <v>15.840517241379311</v>
      </c>
      <c r="L359" s="173">
        <f t="shared" si="63"/>
        <v>64.840517241379317</v>
      </c>
      <c r="M359" s="174"/>
      <c r="N359" s="173">
        <f t="shared" si="64"/>
        <v>90.776724137931041</v>
      </c>
      <c r="O359" s="173">
        <v>125</v>
      </c>
      <c r="P359">
        <v>110</v>
      </c>
    </row>
    <row r="360" spans="1:16" customFormat="1" ht="14.5" x14ac:dyDescent="0.35">
      <c r="A360" s="670" t="s">
        <v>1328</v>
      </c>
      <c r="B360" s="670"/>
      <c r="C360" s="670" t="s">
        <v>1328</v>
      </c>
      <c r="D360" s="670">
        <v>347</v>
      </c>
      <c r="E360" s="745">
        <v>42</v>
      </c>
      <c r="F360" s="245" t="s">
        <v>1329</v>
      </c>
      <c r="G360" s="245"/>
      <c r="H360" s="173">
        <v>49</v>
      </c>
      <c r="I360">
        <v>928</v>
      </c>
      <c r="J360" s="173">
        <v>300</v>
      </c>
      <c r="K360" s="402">
        <f t="shared" si="62"/>
        <v>15.840517241379311</v>
      </c>
      <c r="L360" s="173">
        <f t="shared" si="63"/>
        <v>64.840517241379317</v>
      </c>
      <c r="M360" s="174"/>
      <c r="N360" s="173">
        <f t="shared" si="64"/>
        <v>90.776724137931041</v>
      </c>
      <c r="O360" s="173">
        <v>125</v>
      </c>
      <c r="P360">
        <v>110</v>
      </c>
    </row>
    <row r="361" spans="1:16" customFormat="1" ht="14.5" x14ac:dyDescent="0.35">
      <c r="A361" s="670" t="s">
        <v>1328</v>
      </c>
      <c r="B361" s="670"/>
      <c r="C361" s="670" t="s">
        <v>1328</v>
      </c>
      <c r="D361" s="670">
        <v>352</v>
      </c>
      <c r="E361" s="745">
        <v>38</v>
      </c>
      <c r="F361" s="245" t="s">
        <v>1331</v>
      </c>
      <c r="G361" s="245"/>
      <c r="H361" s="173">
        <v>39</v>
      </c>
      <c r="I361">
        <v>928</v>
      </c>
      <c r="J361" s="173">
        <v>300</v>
      </c>
      <c r="K361" s="402">
        <f t="shared" si="62"/>
        <v>12.607758620689655</v>
      </c>
      <c r="L361" s="173">
        <f t="shared" si="63"/>
        <v>51.607758620689651</v>
      </c>
      <c r="M361" s="174"/>
      <c r="N361" s="173">
        <f t="shared" si="64"/>
        <v>72.250862068965503</v>
      </c>
      <c r="O361" s="173">
        <v>125</v>
      </c>
      <c r="P361">
        <v>75</v>
      </c>
    </row>
    <row r="362" spans="1:16" customFormat="1" ht="14.5" x14ac:dyDescent="0.35">
      <c r="A362" s="670" t="s">
        <v>1328</v>
      </c>
      <c r="B362" s="670"/>
      <c r="C362" s="670" t="s">
        <v>1328</v>
      </c>
      <c r="D362" s="670">
        <v>353</v>
      </c>
      <c r="E362" s="745">
        <v>40</v>
      </c>
      <c r="F362" s="245" t="s">
        <v>1331</v>
      </c>
      <c r="G362" s="245"/>
      <c r="H362" s="173">
        <v>39</v>
      </c>
      <c r="I362">
        <v>928</v>
      </c>
      <c r="J362" s="173">
        <v>300</v>
      </c>
      <c r="K362" s="402">
        <f t="shared" si="62"/>
        <v>12.607758620689655</v>
      </c>
      <c r="L362" s="173">
        <f t="shared" si="63"/>
        <v>51.607758620689651</v>
      </c>
      <c r="M362" s="174"/>
      <c r="N362" s="173">
        <f t="shared" si="64"/>
        <v>72.250862068965503</v>
      </c>
      <c r="O362" s="173">
        <v>125</v>
      </c>
      <c r="P362">
        <v>75</v>
      </c>
    </row>
    <row r="363" spans="1:16" customFormat="1" ht="14.5" x14ac:dyDescent="0.35">
      <c r="A363" s="670" t="s">
        <v>1328</v>
      </c>
      <c r="B363" s="670"/>
      <c r="C363" s="670" t="s">
        <v>1328</v>
      </c>
      <c r="D363" s="670">
        <v>354</v>
      </c>
      <c r="E363" s="745">
        <v>42</v>
      </c>
      <c r="F363" s="245" t="s">
        <v>1331</v>
      </c>
      <c r="G363" s="245"/>
      <c r="H363" s="173">
        <v>39</v>
      </c>
      <c r="I363">
        <v>928</v>
      </c>
      <c r="J363" s="173">
        <v>300</v>
      </c>
      <c r="K363" s="402">
        <f t="shared" si="62"/>
        <v>12.607758620689655</v>
      </c>
      <c r="L363" s="173">
        <f t="shared" si="63"/>
        <v>51.607758620689651</v>
      </c>
      <c r="M363" s="174"/>
      <c r="N363" s="173">
        <f t="shared" si="64"/>
        <v>72.250862068965503</v>
      </c>
      <c r="O363" s="173">
        <v>125</v>
      </c>
      <c r="P363">
        <v>75</v>
      </c>
    </row>
    <row r="364" spans="1:16" customFormat="1" ht="14.5" x14ac:dyDescent="0.35">
      <c r="A364" s="670" t="s">
        <v>1328</v>
      </c>
      <c r="B364" s="670"/>
      <c r="C364" s="670" t="s">
        <v>1328</v>
      </c>
      <c r="D364" s="670">
        <v>355</v>
      </c>
      <c r="E364" s="745">
        <v>44</v>
      </c>
      <c r="F364" s="245" t="s">
        <v>1331</v>
      </c>
      <c r="G364" s="245"/>
      <c r="H364" s="173">
        <v>39</v>
      </c>
      <c r="I364">
        <v>928</v>
      </c>
      <c r="J364" s="173">
        <v>300</v>
      </c>
      <c r="K364" s="402">
        <f t="shared" si="62"/>
        <v>12.607758620689655</v>
      </c>
      <c r="L364" s="173">
        <f t="shared" si="63"/>
        <v>51.607758620689651</v>
      </c>
      <c r="M364" s="174"/>
      <c r="N364" s="173">
        <f t="shared" si="64"/>
        <v>72.250862068965503</v>
      </c>
      <c r="O364" s="173">
        <v>125</v>
      </c>
      <c r="P364">
        <v>75</v>
      </c>
    </row>
    <row r="365" spans="1:16" customFormat="1" ht="14.5" x14ac:dyDescent="0.35">
      <c r="B365" s="3"/>
      <c r="C365" s="256" t="s">
        <v>1431</v>
      </c>
      <c r="E365" s="366"/>
      <c r="H365" s="173"/>
      <c r="I365" s="173"/>
      <c r="J365" s="173"/>
      <c r="K365" s="173"/>
      <c r="L365" s="173"/>
      <c r="M365" s="173"/>
      <c r="N365" s="173"/>
      <c r="O365" s="173"/>
      <c r="P365" s="13"/>
    </row>
    <row r="366" spans="1:16" customFormat="1" ht="14.5" x14ac:dyDescent="0.35">
      <c r="A366" s="92"/>
      <c r="B366" s="594"/>
      <c r="C366" s="597" t="s">
        <v>1432</v>
      </c>
      <c r="D366" s="92"/>
      <c r="E366" s="745"/>
      <c r="F366" s="245" t="s">
        <v>1433</v>
      </c>
      <c r="G366" s="245"/>
      <c r="H366" s="173">
        <v>19</v>
      </c>
      <c r="I366" s="173"/>
      <c r="J366" s="173"/>
      <c r="K366" s="173"/>
      <c r="L366" s="173"/>
      <c r="M366" s="173"/>
      <c r="N366" s="173"/>
      <c r="O366" s="173">
        <v>90</v>
      </c>
      <c r="P366">
        <v>55</v>
      </c>
    </row>
    <row r="367" spans="1:16" customFormat="1" ht="14.5" x14ac:dyDescent="0.35">
      <c r="A367" s="92"/>
      <c r="B367" s="594"/>
      <c r="C367" s="597" t="s">
        <v>1432</v>
      </c>
      <c r="D367" s="92"/>
      <c r="E367" s="745"/>
      <c r="F367" s="245" t="s">
        <v>2584</v>
      </c>
      <c r="G367" s="245"/>
      <c r="H367" s="173">
        <v>25</v>
      </c>
      <c r="J367" s="173"/>
      <c r="K367" s="173"/>
      <c r="L367" s="173"/>
      <c r="M367" s="174"/>
      <c r="N367" s="173"/>
      <c r="O367" s="173">
        <v>90</v>
      </c>
      <c r="P367">
        <v>55</v>
      </c>
    </row>
    <row r="368" spans="1:16" customFormat="1" ht="14.5" x14ac:dyDescent="0.35">
      <c r="B368" s="3"/>
      <c r="C368" s="233"/>
      <c r="E368" s="366"/>
      <c r="F368" s="256" t="s">
        <v>1439</v>
      </c>
      <c r="G368" s="256"/>
      <c r="H368" s="173"/>
      <c r="J368" s="173"/>
      <c r="K368" s="173"/>
      <c r="L368" s="173"/>
      <c r="M368" s="174"/>
      <c r="N368" s="173"/>
      <c r="O368" s="173"/>
      <c r="P368" s="13"/>
    </row>
    <row r="369" spans="1:20" customFormat="1" ht="14.5" x14ac:dyDescent="0.35">
      <c r="A369" s="92"/>
      <c r="B369" s="594"/>
      <c r="C369" s="597" t="s">
        <v>2001</v>
      </c>
      <c r="D369" s="92">
        <v>1</v>
      </c>
      <c r="E369" s="745" t="s">
        <v>408</v>
      </c>
      <c r="F369" s="372" t="s">
        <v>1349</v>
      </c>
      <c r="G369" s="372"/>
      <c r="H369" s="373">
        <v>25</v>
      </c>
      <c r="I369" s="343">
        <v>3550</v>
      </c>
      <c r="J369" s="373">
        <v>5698</v>
      </c>
      <c r="K369" s="407">
        <f t="shared" ref="K369:K406" si="65">+H369/I369*J369</f>
        <v>40.12676056338028</v>
      </c>
      <c r="L369" s="373">
        <f t="shared" ref="L369:L406" si="66">+H369+K369</f>
        <v>65.126760563380287</v>
      </c>
      <c r="M369" s="408"/>
      <c r="N369" s="373">
        <f t="shared" ref="N369:N406" si="67">+L369*1.4</f>
        <v>91.177464788732394</v>
      </c>
      <c r="O369" s="373">
        <v>130</v>
      </c>
      <c r="P369" s="13">
        <v>75</v>
      </c>
      <c r="S369" t="s">
        <v>2713</v>
      </c>
      <c r="T369" s="6">
        <v>46087</v>
      </c>
    </row>
    <row r="370" spans="1:20" customFormat="1" ht="14.5" x14ac:dyDescent="0.35">
      <c r="A370" s="92"/>
      <c r="B370" s="594"/>
      <c r="C370" s="597" t="s">
        <v>2001</v>
      </c>
      <c r="D370" s="92">
        <v>2</v>
      </c>
      <c r="E370" s="745" t="s">
        <v>407</v>
      </c>
      <c r="F370" s="371" t="s">
        <v>1349</v>
      </c>
      <c r="G370" s="371"/>
      <c r="H370" s="176">
        <v>25</v>
      </c>
      <c r="I370" s="12">
        <v>3550</v>
      </c>
      <c r="J370" s="176">
        <v>5698</v>
      </c>
      <c r="K370" s="410">
        <f t="shared" si="65"/>
        <v>40.12676056338028</v>
      </c>
      <c r="L370" s="176">
        <f t="shared" si="66"/>
        <v>65.126760563380287</v>
      </c>
      <c r="M370" s="411"/>
      <c r="N370" s="176">
        <f t="shared" si="67"/>
        <v>91.177464788732394</v>
      </c>
      <c r="O370" s="176">
        <v>130</v>
      </c>
      <c r="P370" s="12">
        <v>75</v>
      </c>
      <c r="S370" t="s">
        <v>3001</v>
      </c>
      <c r="T370" s="6">
        <v>46111</v>
      </c>
    </row>
    <row r="371" spans="1:20" customFormat="1" ht="14.5" x14ac:dyDescent="0.35">
      <c r="A371" s="92"/>
      <c r="B371" s="594"/>
      <c r="C371" s="597" t="s">
        <v>2001</v>
      </c>
      <c r="D371" s="92">
        <v>3</v>
      </c>
      <c r="E371" s="745" t="s">
        <v>410</v>
      </c>
      <c r="F371" s="245" t="s">
        <v>1349</v>
      </c>
      <c r="G371" s="245"/>
      <c r="H371" s="173">
        <v>25</v>
      </c>
      <c r="I371">
        <v>3550</v>
      </c>
      <c r="J371" s="173">
        <v>5698</v>
      </c>
      <c r="K371" s="402">
        <f t="shared" si="65"/>
        <v>40.12676056338028</v>
      </c>
      <c r="L371" s="173">
        <f t="shared" si="66"/>
        <v>65.126760563380287</v>
      </c>
      <c r="M371" s="174"/>
      <c r="N371" s="173">
        <f t="shared" si="67"/>
        <v>91.177464788732394</v>
      </c>
      <c r="O371" s="173">
        <v>130</v>
      </c>
      <c r="P371">
        <v>75</v>
      </c>
    </row>
    <row r="372" spans="1:20" customFormat="1" ht="14.5" x14ac:dyDescent="0.35">
      <c r="A372" s="92"/>
      <c r="B372" s="594"/>
      <c r="C372" s="597" t="s">
        <v>1348</v>
      </c>
      <c r="D372" s="92">
        <v>4</v>
      </c>
      <c r="E372" s="745"/>
      <c r="F372" s="245" t="s">
        <v>1349</v>
      </c>
      <c r="G372" s="245"/>
      <c r="H372" s="173">
        <v>25</v>
      </c>
      <c r="I372">
        <v>3550</v>
      </c>
      <c r="J372" s="173">
        <v>5698</v>
      </c>
      <c r="K372" s="402">
        <f t="shared" si="65"/>
        <v>40.12676056338028</v>
      </c>
      <c r="L372" s="173">
        <f t="shared" si="66"/>
        <v>65.126760563380287</v>
      </c>
      <c r="M372" s="174"/>
      <c r="N372" s="173">
        <f t="shared" si="67"/>
        <v>91.177464788732394</v>
      </c>
      <c r="O372" s="173">
        <v>130</v>
      </c>
      <c r="P372">
        <v>90</v>
      </c>
    </row>
    <row r="373" spans="1:20" customFormat="1" ht="14.5" x14ac:dyDescent="0.35">
      <c r="A373" s="92"/>
      <c r="B373" s="594"/>
      <c r="C373" s="597" t="s">
        <v>1348</v>
      </c>
      <c r="D373" s="92">
        <v>5</v>
      </c>
      <c r="E373" s="745" t="s">
        <v>1494</v>
      </c>
      <c r="F373" s="245" t="s">
        <v>1349</v>
      </c>
      <c r="G373" s="245"/>
      <c r="H373" s="173">
        <v>25</v>
      </c>
      <c r="I373">
        <v>3550</v>
      </c>
      <c r="J373" s="173">
        <v>5698</v>
      </c>
      <c r="K373" s="402">
        <f t="shared" si="65"/>
        <v>40.12676056338028</v>
      </c>
      <c r="L373" s="173">
        <f t="shared" si="66"/>
        <v>65.126760563380287</v>
      </c>
      <c r="M373" s="174"/>
      <c r="N373" s="173">
        <f t="shared" si="67"/>
        <v>91.177464788732394</v>
      </c>
      <c r="O373" s="173">
        <v>130</v>
      </c>
      <c r="P373">
        <v>90</v>
      </c>
    </row>
    <row r="374" spans="1:20" s="13" customFormat="1" ht="14.5" x14ac:dyDescent="0.35">
      <c r="B374" s="369"/>
      <c r="C374" s="368" t="s">
        <v>1348</v>
      </c>
      <c r="D374" s="13">
        <v>6</v>
      </c>
      <c r="E374" s="399" t="s">
        <v>409</v>
      </c>
      <c r="F374" s="435" t="s">
        <v>1349</v>
      </c>
      <c r="G374" s="435"/>
      <c r="H374" s="344">
        <v>25</v>
      </c>
      <c r="I374" s="13">
        <v>3550</v>
      </c>
      <c r="J374" s="344">
        <v>5698</v>
      </c>
      <c r="K374" s="443">
        <f t="shared" si="65"/>
        <v>40.12676056338028</v>
      </c>
      <c r="L374" s="344">
        <f t="shared" si="66"/>
        <v>65.126760563380287</v>
      </c>
      <c r="M374" s="444"/>
      <c r="N374" s="344">
        <f t="shared" si="67"/>
        <v>91.177464788732394</v>
      </c>
      <c r="O374" s="344">
        <v>130</v>
      </c>
      <c r="P374" s="13">
        <v>90</v>
      </c>
    </row>
    <row r="375" spans="1:20" customFormat="1" ht="14.5" x14ac:dyDescent="0.35">
      <c r="A375" s="92"/>
      <c r="B375" s="594"/>
      <c r="C375" s="597" t="s">
        <v>1348</v>
      </c>
      <c r="D375" s="92">
        <v>8</v>
      </c>
      <c r="E375" s="745" t="s">
        <v>409</v>
      </c>
      <c r="F375" s="245" t="s">
        <v>1350</v>
      </c>
      <c r="G375" s="245"/>
      <c r="H375" s="173">
        <v>22.142857142857142</v>
      </c>
      <c r="I375">
        <v>3550</v>
      </c>
      <c r="J375" s="173">
        <v>5698</v>
      </c>
      <c r="K375" s="402">
        <f t="shared" si="65"/>
        <v>35.540845070422534</v>
      </c>
      <c r="L375" s="173">
        <f t="shared" si="66"/>
        <v>57.683702213279673</v>
      </c>
      <c r="M375" s="174"/>
      <c r="N375" s="173">
        <f t="shared" si="67"/>
        <v>80.75718309859154</v>
      </c>
      <c r="O375" s="173">
        <v>125</v>
      </c>
      <c r="P375">
        <v>75</v>
      </c>
    </row>
    <row r="376" spans="1:20" customFormat="1" ht="14.5" x14ac:dyDescent="0.35">
      <c r="A376" s="92"/>
      <c r="B376" s="594"/>
      <c r="C376" s="597" t="s">
        <v>1348</v>
      </c>
      <c r="D376" s="92">
        <v>9</v>
      </c>
      <c r="E376" s="745" t="s">
        <v>410</v>
      </c>
      <c r="F376" s="245" t="s">
        <v>1350</v>
      </c>
      <c r="G376" s="245"/>
      <c r="H376" s="173">
        <v>22.142857142857142</v>
      </c>
      <c r="I376">
        <v>3550</v>
      </c>
      <c r="J376" s="173">
        <v>5698</v>
      </c>
      <c r="K376" s="402">
        <f t="shared" si="65"/>
        <v>35.540845070422534</v>
      </c>
      <c r="L376" s="173">
        <f t="shared" si="66"/>
        <v>57.683702213279673</v>
      </c>
      <c r="M376" s="174"/>
      <c r="N376" s="173">
        <f t="shared" si="67"/>
        <v>80.75718309859154</v>
      </c>
      <c r="O376" s="173">
        <v>125</v>
      </c>
      <c r="P376">
        <v>75</v>
      </c>
    </row>
    <row r="377" spans="1:20" customFormat="1" ht="14.5" x14ac:dyDescent="0.35">
      <c r="A377" s="92"/>
      <c r="B377" s="594"/>
      <c r="C377" s="597" t="s">
        <v>1348</v>
      </c>
      <c r="D377" s="92">
        <v>10</v>
      </c>
      <c r="E377" s="745"/>
      <c r="F377" s="245" t="s">
        <v>1350</v>
      </c>
      <c r="G377" s="245"/>
      <c r="H377" s="173">
        <v>22.142857142857142</v>
      </c>
      <c r="I377">
        <v>3550</v>
      </c>
      <c r="J377" s="173">
        <v>5698</v>
      </c>
      <c r="K377" s="402">
        <f t="shared" si="65"/>
        <v>35.540845070422534</v>
      </c>
      <c r="L377" s="173">
        <f t="shared" si="66"/>
        <v>57.683702213279673</v>
      </c>
      <c r="M377" s="174"/>
      <c r="N377" s="173">
        <f t="shared" si="67"/>
        <v>80.75718309859154</v>
      </c>
      <c r="O377" s="173">
        <v>125</v>
      </c>
      <c r="P377">
        <v>75</v>
      </c>
    </row>
    <row r="378" spans="1:20" customFormat="1" ht="14.5" x14ac:dyDescent="0.35">
      <c r="A378" s="92"/>
      <c r="B378" s="594"/>
      <c r="C378" s="597" t="s">
        <v>1348</v>
      </c>
      <c r="D378" s="92">
        <v>12</v>
      </c>
      <c r="E378" s="745" t="s">
        <v>408</v>
      </c>
      <c r="F378" s="371" t="s">
        <v>1416</v>
      </c>
      <c r="G378" s="371"/>
      <c r="H378" s="176">
        <v>22</v>
      </c>
      <c r="I378" s="12">
        <v>3550</v>
      </c>
      <c r="J378" s="176">
        <v>5698</v>
      </c>
      <c r="K378" s="410">
        <f t="shared" si="65"/>
        <v>35.311549295774647</v>
      </c>
      <c r="L378" s="176">
        <f t="shared" si="66"/>
        <v>57.311549295774647</v>
      </c>
      <c r="M378" s="411"/>
      <c r="N378" s="176">
        <f t="shared" si="67"/>
        <v>80.236169014084496</v>
      </c>
      <c r="O378" s="176">
        <v>125</v>
      </c>
      <c r="P378" s="12">
        <v>100</v>
      </c>
      <c r="S378" t="s">
        <v>12</v>
      </c>
      <c r="T378" s="6">
        <v>46130</v>
      </c>
    </row>
    <row r="379" spans="1:20" customFormat="1" ht="14.5" x14ac:dyDescent="0.35">
      <c r="A379" s="92"/>
      <c r="B379" s="594"/>
      <c r="C379" s="597" t="s">
        <v>1348</v>
      </c>
      <c r="D379" s="92">
        <v>13</v>
      </c>
      <c r="E379" s="745" t="s">
        <v>408</v>
      </c>
      <c r="F379" s="245" t="s">
        <v>1416</v>
      </c>
      <c r="G379" s="245"/>
      <c r="H379" s="173">
        <v>22</v>
      </c>
      <c r="I379">
        <v>3550</v>
      </c>
      <c r="J379" s="173">
        <v>5698</v>
      </c>
      <c r="K379" s="402">
        <f t="shared" si="65"/>
        <v>35.311549295774647</v>
      </c>
      <c r="L379" s="173">
        <f t="shared" si="66"/>
        <v>57.311549295774647</v>
      </c>
      <c r="M379" s="174"/>
      <c r="N379" s="173">
        <f t="shared" si="67"/>
        <v>80.236169014084496</v>
      </c>
      <c r="O379" s="173">
        <v>125</v>
      </c>
      <c r="P379">
        <v>75</v>
      </c>
    </row>
    <row r="380" spans="1:20" customFormat="1" ht="14.5" x14ac:dyDescent="0.35">
      <c r="A380" s="92"/>
      <c r="B380" s="594"/>
      <c r="C380" s="597" t="s">
        <v>1348</v>
      </c>
      <c r="D380" s="92">
        <v>14</v>
      </c>
      <c r="E380" s="745" t="s">
        <v>407</v>
      </c>
      <c r="F380" s="245" t="s">
        <v>1416</v>
      </c>
      <c r="G380" s="245"/>
      <c r="H380" s="173">
        <v>22</v>
      </c>
      <c r="I380">
        <v>3550</v>
      </c>
      <c r="J380" s="173">
        <v>5698</v>
      </c>
      <c r="K380" s="402">
        <f t="shared" si="65"/>
        <v>35.311549295774647</v>
      </c>
      <c r="L380" s="173">
        <f t="shared" si="66"/>
        <v>57.311549295774647</v>
      </c>
      <c r="M380" s="174"/>
      <c r="N380" s="173">
        <f t="shared" si="67"/>
        <v>80.236169014084496</v>
      </c>
      <c r="O380" s="173">
        <v>125</v>
      </c>
      <c r="P380">
        <v>75</v>
      </c>
    </row>
    <row r="381" spans="1:20" customFormat="1" ht="14.5" x14ac:dyDescent="0.35">
      <c r="A381" s="92"/>
      <c r="B381" s="594"/>
      <c r="C381" s="597" t="s">
        <v>1348</v>
      </c>
      <c r="D381" s="92">
        <v>15</v>
      </c>
      <c r="E381" s="745" t="s">
        <v>407</v>
      </c>
      <c r="F381" s="245" t="s">
        <v>2610</v>
      </c>
      <c r="G381" s="245"/>
      <c r="H381" s="173">
        <v>34</v>
      </c>
      <c r="I381">
        <v>3550</v>
      </c>
      <c r="J381" s="173">
        <v>5698</v>
      </c>
      <c r="K381" s="402">
        <f t="shared" si="65"/>
        <v>54.57239436619718</v>
      </c>
      <c r="L381" s="173">
        <f t="shared" si="66"/>
        <v>88.572394366197187</v>
      </c>
      <c r="M381" s="174"/>
      <c r="N381" s="173">
        <f t="shared" si="67"/>
        <v>124.00135211267606</v>
      </c>
      <c r="O381" s="173">
        <v>150</v>
      </c>
      <c r="P381">
        <v>100</v>
      </c>
      <c r="T381" s="6"/>
    </row>
    <row r="382" spans="1:20" customFormat="1" ht="14.5" x14ac:dyDescent="0.35">
      <c r="A382" s="92"/>
      <c r="B382" s="594"/>
      <c r="C382" s="597" t="s">
        <v>1348</v>
      </c>
      <c r="D382" s="92">
        <v>16</v>
      </c>
      <c r="E382" s="745" t="s">
        <v>407</v>
      </c>
      <c r="F382" s="371" t="s">
        <v>1364</v>
      </c>
      <c r="G382" s="371"/>
      <c r="H382" s="176">
        <v>34</v>
      </c>
      <c r="I382" s="12">
        <v>3550</v>
      </c>
      <c r="J382" s="176">
        <v>5698</v>
      </c>
      <c r="K382" s="410">
        <f t="shared" si="65"/>
        <v>54.57239436619718</v>
      </c>
      <c r="L382" s="176">
        <f t="shared" si="66"/>
        <v>88.572394366197187</v>
      </c>
      <c r="M382" s="411"/>
      <c r="N382" s="176">
        <f t="shared" si="67"/>
        <v>124.00135211267606</v>
      </c>
      <c r="O382" s="176">
        <v>150</v>
      </c>
      <c r="P382">
        <v>100</v>
      </c>
      <c r="S382" t="s">
        <v>12</v>
      </c>
      <c r="T382" s="6">
        <v>46108</v>
      </c>
    </row>
    <row r="383" spans="1:20" customFormat="1" ht="14.5" x14ac:dyDescent="0.35">
      <c r="A383" s="92"/>
      <c r="B383" s="594"/>
      <c r="C383" s="597" t="s">
        <v>1348</v>
      </c>
      <c r="D383" s="92">
        <v>17</v>
      </c>
      <c r="E383" s="745" t="s">
        <v>409</v>
      </c>
      <c r="F383" s="245" t="s">
        <v>1364</v>
      </c>
      <c r="G383" s="245"/>
      <c r="H383" s="173">
        <v>34</v>
      </c>
      <c r="I383">
        <v>3550</v>
      </c>
      <c r="J383" s="173">
        <v>5698</v>
      </c>
      <c r="K383" s="402">
        <f t="shared" si="65"/>
        <v>54.57239436619718</v>
      </c>
      <c r="L383" s="173">
        <f t="shared" si="66"/>
        <v>88.572394366197187</v>
      </c>
      <c r="M383" s="174"/>
      <c r="N383" s="173">
        <f t="shared" si="67"/>
        <v>124.00135211267606</v>
      </c>
      <c r="O383" s="173">
        <v>150</v>
      </c>
      <c r="P383">
        <v>100</v>
      </c>
    </row>
    <row r="384" spans="1:20" customFormat="1" ht="14.5" x14ac:dyDescent="0.35">
      <c r="A384" s="92"/>
      <c r="B384" s="594"/>
      <c r="C384" s="597" t="s">
        <v>1353</v>
      </c>
      <c r="D384" s="92">
        <v>23</v>
      </c>
      <c r="E384" s="745" t="s">
        <v>411</v>
      </c>
      <c r="F384" s="245" t="s">
        <v>1352</v>
      </c>
      <c r="G384" s="245"/>
      <c r="H384" s="173">
        <v>25</v>
      </c>
      <c r="I384">
        <v>3550</v>
      </c>
      <c r="J384" s="173">
        <v>5698</v>
      </c>
      <c r="K384" s="402">
        <f t="shared" si="65"/>
        <v>40.12676056338028</v>
      </c>
      <c r="L384" s="173">
        <f t="shared" si="66"/>
        <v>65.126760563380287</v>
      </c>
      <c r="M384" s="174"/>
      <c r="N384" s="173">
        <f t="shared" si="67"/>
        <v>91.177464788732394</v>
      </c>
      <c r="O384" s="173">
        <v>125</v>
      </c>
      <c r="P384">
        <v>90</v>
      </c>
    </row>
    <row r="385" spans="1:20" customFormat="1" ht="14.5" x14ac:dyDescent="0.35">
      <c r="A385" s="92"/>
      <c r="B385" s="594"/>
      <c r="C385" s="597" t="s">
        <v>1353</v>
      </c>
      <c r="D385" s="92">
        <v>24</v>
      </c>
      <c r="E385" s="745" t="s">
        <v>407</v>
      </c>
      <c r="F385" s="245" t="s">
        <v>1352</v>
      </c>
      <c r="G385" s="245"/>
      <c r="H385" s="173">
        <v>25</v>
      </c>
      <c r="I385">
        <v>3550</v>
      </c>
      <c r="J385" s="173">
        <v>5698</v>
      </c>
      <c r="K385" s="402">
        <f t="shared" si="65"/>
        <v>40.12676056338028</v>
      </c>
      <c r="L385" s="173">
        <f t="shared" si="66"/>
        <v>65.126760563380287</v>
      </c>
      <c r="M385" s="174"/>
      <c r="N385" s="173">
        <f t="shared" si="67"/>
        <v>91.177464788732394</v>
      </c>
      <c r="O385" s="173">
        <v>125</v>
      </c>
      <c r="P385">
        <v>90</v>
      </c>
    </row>
    <row r="386" spans="1:20" customFormat="1" ht="14.5" x14ac:dyDescent="0.35">
      <c r="A386" s="92"/>
      <c r="B386" s="594"/>
      <c r="C386" s="597" t="s">
        <v>1353</v>
      </c>
      <c r="D386" s="92">
        <v>25</v>
      </c>
      <c r="E386" s="745" t="s">
        <v>410</v>
      </c>
      <c r="F386" s="245" t="s">
        <v>1352</v>
      </c>
      <c r="G386" s="245"/>
      <c r="H386" s="173">
        <v>25</v>
      </c>
      <c r="I386">
        <v>3550</v>
      </c>
      <c r="J386" s="173">
        <v>5698</v>
      </c>
      <c r="K386" s="402">
        <f t="shared" si="65"/>
        <v>40.12676056338028</v>
      </c>
      <c r="L386" s="173">
        <f t="shared" si="66"/>
        <v>65.126760563380287</v>
      </c>
      <c r="M386" s="174"/>
      <c r="N386" s="173">
        <f t="shared" si="67"/>
        <v>91.177464788732394</v>
      </c>
      <c r="O386" s="173">
        <v>125</v>
      </c>
      <c r="P386">
        <v>90</v>
      </c>
    </row>
    <row r="387" spans="1:20" customFormat="1" ht="14.5" x14ac:dyDescent="0.35">
      <c r="A387" s="92"/>
      <c r="B387" s="594"/>
      <c r="C387" s="597" t="s">
        <v>1353</v>
      </c>
      <c r="D387" s="92">
        <v>26</v>
      </c>
      <c r="E387" s="745" t="s">
        <v>760</v>
      </c>
      <c r="F387" s="245" t="s">
        <v>1352</v>
      </c>
      <c r="G387" s="245"/>
      <c r="H387" s="173">
        <v>25</v>
      </c>
      <c r="I387">
        <v>3550</v>
      </c>
      <c r="J387" s="173">
        <v>5698</v>
      </c>
      <c r="K387" s="402">
        <f t="shared" si="65"/>
        <v>40.12676056338028</v>
      </c>
      <c r="L387" s="173">
        <f t="shared" si="66"/>
        <v>65.126760563380287</v>
      </c>
      <c r="M387" s="174"/>
      <c r="N387" s="173">
        <f t="shared" si="67"/>
        <v>91.177464788732394</v>
      </c>
      <c r="O387" s="173">
        <v>125</v>
      </c>
      <c r="P387">
        <v>90</v>
      </c>
    </row>
    <row r="388" spans="1:20" customFormat="1" ht="14.5" x14ac:dyDescent="0.35">
      <c r="A388" s="92"/>
      <c r="B388" s="594"/>
      <c r="C388" s="597" t="s">
        <v>1353</v>
      </c>
      <c r="D388" s="92">
        <v>27</v>
      </c>
      <c r="E388" s="745" t="s">
        <v>760</v>
      </c>
      <c r="F388" s="245" t="s">
        <v>1352</v>
      </c>
      <c r="G388" s="245"/>
      <c r="H388" s="173">
        <v>25</v>
      </c>
      <c r="I388">
        <v>3550</v>
      </c>
      <c r="J388" s="173">
        <v>5698</v>
      </c>
      <c r="K388" s="402">
        <f t="shared" si="65"/>
        <v>40.12676056338028</v>
      </c>
      <c r="L388" s="173">
        <f t="shared" si="66"/>
        <v>65.126760563380287</v>
      </c>
      <c r="M388" s="174"/>
      <c r="N388" s="173">
        <f t="shared" si="67"/>
        <v>91.177464788732394</v>
      </c>
      <c r="O388" s="173">
        <v>125</v>
      </c>
      <c r="P388">
        <v>90</v>
      </c>
    </row>
    <row r="389" spans="1:20" customFormat="1" ht="14.5" x14ac:dyDescent="0.35">
      <c r="A389" s="92"/>
      <c r="B389" s="594"/>
      <c r="C389" s="597" t="s">
        <v>1353</v>
      </c>
      <c r="D389" s="92">
        <v>27</v>
      </c>
      <c r="E389" s="745" t="s">
        <v>760</v>
      </c>
      <c r="F389" s="245" t="s">
        <v>1352</v>
      </c>
      <c r="G389" s="245"/>
      <c r="H389" s="173">
        <v>25</v>
      </c>
      <c r="I389">
        <v>3550</v>
      </c>
      <c r="J389" s="173">
        <v>5698</v>
      </c>
      <c r="K389" s="402">
        <f t="shared" si="65"/>
        <v>40.12676056338028</v>
      </c>
      <c r="L389" s="173">
        <f t="shared" si="66"/>
        <v>65.126760563380287</v>
      </c>
      <c r="M389" s="174"/>
      <c r="N389" s="173">
        <f t="shared" si="67"/>
        <v>91.177464788732394</v>
      </c>
      <c r="O389" s="173">
        <v>125</v>
      </c>
      <c r="P389">
        <v>90</v>
      </c>
      <c r="R389" t="s">
        <v>2606</v>
      </c>
    </row>
    <row r="390" spans="1:20" customFormat="1" ht="14.5" x14ac:dyDescent="0.35">
      <c r="A390" s="92"/>
      <c r="B390" s="594"/>
      <c r="C390" s="597" t="s">
        <v>561</v>
      </c>
      <c r="D390" s="92">
        <v>33</v>
      </c>
      <c r="E390" s="745"/>
      <c r="F390" s="245" t="s">
        <v>1368</v>
      </c>
      <c r="G390" s="245"/>
      <c r="H390" s="146">
        <v>23.571428571428573</v>
      </c>
      <c r="I390">
        <v>3550</v>
      </c>
      <c r="J390" s="173">
        <v>5698</v>
      </c>
      <c r="K390" s="402">
        <f t="shared" si="65"/>
        <v>37.833802816901411</v>
      </c>
      <c r="L390" s="173">
        <f t="shared" si="66"/>
        <v>61.40523138832998</v>
      </c>
      <c r="M390" s="174"/>
      <c r="N390" s="173">
        <f t="shared" si="67"/>
        <v>85.967323943661967</v>
      </c>
      <c r="O390" s="173">
        <v>90</v>
      </c>
    </row>
    <row r="391" spans="1:20" customFormat="1" ht="14.5" x14ac:dyDescent="0.35">
      <c r="A391" s="92"/>
      <c r="B391" s="594"/>
      <c r="C391" s="597" t="s">
        <v>1363</v>
      </c>
      <c r="D391" s="92">
        <v>38</v>
      </c>
      <c r="E391" s="745" t="s">
        <v>405</v>
      </c>
      <c r="F391" s="245" t="s">
        <v>1354</v>
      </c>
      <c r="G391" s="245"/>
      <c r="H391" s="146">
        <v>27.857142857142858</v>
      </c>
      <c r="I391">
        <v>3550</v>
      </c>
      <c r="J391" s="173">
        <v>5698</v>
      </c>
      <c r="K391" s="402">
        <f t="shared" si="65"/>
        <v>44.712676056338026</v>
      </c>
      <c r="L391" s="173">
        <f t="shared" si="66"/>
        <v>72.569818913480887</v>
      </c>
      <c r="M391" s="174"/>
      <c r="N391" s="173">
        <f t="shared" si="67"/>
        <v>101.59774647887323</v>
      </c>
      <c r="O391" s="173">
        <v>100</v>
      </c>
    </row>
    <row r="392" spans="1:20" customFormat="1" ht="14.5" x14ac:dyDescent="0.35">
      <c r="A392" s="92"/>
      <c r="B392" s="594"/>
      <c r="C392" s="597" t="s">
        <v>1363</v>
      </c>
      <c r="D392" s="92">
        <v>40</v>
      </c>
      <c r="E392" s="745" t="s">
        <v>628</v>
      </c>
      <c r="F392" s="245" t="s">
        <v>1354</v>
      </c>
      <c r="G392" s="245"/>
      <c r="H392" s="146">
        <v>27.857142857142858</v>
      </c>
      <c r="I392">
        <v>3550</v>
      </c>
      <c r="J392" s="173">
        <v>5698</v>
      </c>
      <c r="K392" s="402">
        <f t="shared" si="65"/>
        <v>44.712676056338026</v>
      </c>
      <c r="L392" s="173">
        <f t="shared" si="66"/>
        <v>72.569818913480887</v>
      </c>
      <c r="M392" s="174"/>
      <c r="N392" s="173">
        <f t="shared" si="67"/>
        <v>101.59774647887323</v>
      </c>
      <c r="O392" s="173">
        <v>100</v>
      </c>
    </row>
    <row r="393" spans="1:20" customFormat="1" ht="14.5" x14ac:dyDescent="0.35">
      <c r="A393" s="92"/>
      <c r="B393" s="594"/>
      <c r="C393" s="597" t="s">
        <v>1357</v>
      </c>
      <c r="D393" s="92">
        <v>55</v>
      </c>
      <c r="E393" s="745" t="s">
        <v>408</v>
      </c>
      <c r="F393" s="245" t="s">
        <v>1358</v>
      </c>
      <c r="G393" s="245"/>
      <c r="H393" s="145">
        <v>25</v>
      </c>
      <c r="I393">
        <v>3550</v>
      </c>
      <c r="J393" s="173">
        <v>5698</v>
      </c>
      <c r="K393" s="402">
        <f t="shared" si="65"/>
        <v>40.12676056338028</v>
      </c>
      <c r="L393" s="173">
        <f t="shared" si="66"/>
        <v>65.126760563380287</v>
      </c>
      <c r="M393" s="174"/>
      <c r="N393" s="173">
        <f t="shared" si="67"/>
        <v>91.177464788732394</v>
      </c>
      <c r="O393" s="173">
        <v>125</v>
      </c>
      <c r="P393">
        <v>75</v>
      </c>
    </row>
    <row r="394" spans="1:20" customFormat="1" ht="14.5" x14ac:dyDescent="0.35">
      <c r="A394" s="92"/>
      <c r="B394" s="594"/>
      <c r="C394" s="597" t="s">
        <v>1357</v>
      </c>
      <c r="D394" s="92">
        <v>55</v>
      </c>
      <c r="E394" s="745" t="s">
        <v>408</v>
      </c>
      <c r="F394" s="245" t="s">
        <v>1358</v>
      </c>
      <c r="G394" s="245"/>
      <c r="H394" s="145">
        <v>25</v>
      </c>
      <c r="I394">
        <v>3550</v>
      </c>
      <c r="J394" s="173">
        <v>5698</v>
      </c>
      <c r="K394" s="402">
        <f t="shared" si="65"/>
        <v>40.12676056338028</v>
      </c>
      <c r="L394" s="173">
        <f t="shared" si="66"/>
        <v>65.126760563380287</v>
      </c>
      <c r="M394" s="174"/>
      <c r="N394" s="173">
        <f t="shared" si="67"/>
        <v>91.177464788732394</v>
      </c>
      <c r="O394" s="173">
        <v>125</v>
      </c>
      <c r="P394">
        <v>75</v>
      </c>
    </row>
    <row r="395" spans="1:20" customFormat="1" ht="14.5" x14ac:dyDescent="0.35">
      <c r="A395" s="92"/>
      <c r="B395" s="594"/>
      <c r="C395" s="597" t="s">
        <v>1357</v>
      </c>
      <c r="D395" s="92">
        <v>84</v>
      </c>
      <c r="E395" s="745" t="s">
        <v>588</v>
      </c>
      <c r="F395" s="371" t="s">
        <v>1371</v>
      </c>
      <c r="G395" s="371"/>
      <c r="H395" s="342">
        <v>36.428571428571431</v>
      </c>
      <c r="I395" s="12">
        <v>3550</v>
      </c>
      <c r="J395" s="176">
        <v>5698</v>
      </c>
      <c r="K395" s="410">
        <f t="shared" si="65"/>
        <v>58.47042253521127</v>
      </c>
      <c r="L395" s="176">
        <f t="shared" si="66"/>
        <v>94.898993963782701</v>
      </c>
      <c r="M395" s="411"/>
      <c r="N395" s="176">
        <f t="shared" si="67"/>
        <v>132.85859154929577</v>
      </c>
      <c r="O395" s="176">
        <v>90</v>
      </c>
      <c r="P395">
        <v>75</v>
      </c>
      <c r="S395" t="s">
        <v>12</v>
      </c>
      <c r="T395" s="6">
        <v>46102</v>
      </c>
    </row>
    <row r="396" spans="1:20" customFormat="1" ht="14.5" x14ac:dyDescent="0.35">
      <c r="A396" s="92"/>
      <c r="B396" s="594"/>
      <c r="C396" s="597" t="s">
        <v>1357</v>
      </c>
      <c r="D396" s="92">
        <v>90</v>
      </c>
      <c r="E396" s="745"/>
      <c r="F396" s="245" t="s">
        <v>2609</v>
      </c>
      <c r="G396" s="245"/>
      <c r="H396" s="173">
        <v>25.714285714285715</v>
      </c>
      <c r="I396">
        <v>3550</v>
      </c>
      <c r="J396" s="173">
        <v>5698</v>
      </c>
      <c r="K396" s="402">
        <f t="shared" si="65"/>
        <v>41.273239436619718</v>
      </c>
      <c r="L396" s="173">
        <f t="shared" si="66"/>
        <v>66.987525150905441</v>
      </c>
      <c r="M396" s="174"/>
      <c r="N396" s="173">
        <f t="shared" si="67"/>
        <v>93.782535211267614</v>
      </c>
      <c r="O396" s="173">
        <v>180</v>
      </c>
      <c r="P396">
        <v>125</v>
      </c>
    </row>
    <row r="397" spans="1:20" customFormat="1" ht="14.5" x14ac:dyDescent="0.35">
      <c r="B397" s="3"/>
      <c r="C397" s="596" t="s">
        <v>561</v>
      </c>
      <c r="D397">
        <v>95</v>
      </c>
      <c r="E397" s="366"/>
      <c r="F397" s="371" t="s">
        <v>1375</v>
      </c>
      <c r="G397" s="371"/>
      <c r="H397" s="176">
        <v>21.428571428571427</v>
      </c>
      <c r="I397" s="12">
        <v>3550</v>
      </c>
      <c r="J397" s="176">
        <v>5698</v>
      </c>
      <c r="K397" s="410">
        <f t="shared" si="65"/>
        <v>34.394366197183096</v>
      </c>
      <c r="L397" s="176">
        <f t="shared" si="66"/>
        <v>55.82293762575452</v>
      </c>
      <c r="M397" s="411"/>
      <c r="N397" s="176">
        <f t="shared" si="67"/>
        <v>78.152112676056319</v>
      </c>
      <c r="O397" s="176">
        <v>90</v>
      </c>
      <c r="P397" s="13">
        <v>90</v>
      </c>
      <c r="S397" t="s">
        <v>12</v>
      </c>
      <c r="T397" s="6">
        <v>46064</v>
      </c>
    </row>
    <row r="398" spans="1:20" customFormat="1" ht="14.5" x14ac:dyDescent="0.35">
      <c r="A398" s="92"/>
      <c r="B398" s="594"/>
      <c r="C398" s="597" t="s">
        <v>1357</v>
      </c>
      <c r="D398" s="92">
        <v>96</v>
      </c>
      <c r="E398" s="745" t="s">
        <v>408</v>
      </c>
      <c r="F398" s="371" t="s">
        <v>1376</v>
      </c>
      <c r="G398" s="371"/>
      <c r="H398" s="176">
        <v>22.142857142857142</v>
      </c>
      <c r="I398" s="12">
        <v>3550</v>
      </c>
      <c r="J398" s="176">
        <v>5698</v>
      </c>
      <c r="K398" s="410">
        <f t="shared" si="65"/>
        <v>35.540845070422534</v>
      </c>
      <c r="L398" s="176">
        <f t="shared" si="66"/>
        <v>57.683702213279673</v>
      </c>
      <c r="M398" s="411"/>
      <c r="N398" s="176">
        <f t="shared" si="67"/>
        <v>80.75718309859154</v>
      </c>
      <c r="O398" s="176">
        <v>110</v>
      </c>
      <c r="P398">
        <v>75</v>
      </c>
      <c r="S398" t="s">
        <v>12</v>
      </c>
      <c r="T398" s="6">
        <v>46102</v>
      </c>
    </row>
    <row r="399" spans="1:20" customFormat="1" ht="14.5" x14ac:dyDescent="0.35">
      <c r="A399" s="92"/>
      <c r="B399" s="594"/>
      <c r="C399" s="597" t="s">
        <v>1357</v>
      </c>
      <c r="D399" s="92">
        <v>97</v>
      </c>
      <c r="E399" s="745" t="s">
        <v>407</v>
      </c>
      <c r="F399" s="245" t="s">
        <v>1376</v>
      </c>
      <c r="G399" s="245"/>
      <c r="H399" s="173">
        <v>22.142857142857142</v>
      </c>
      <c r="I399">
        <v>3550</v>
      </c>
      <c r="J399" s="173">
        <v>5698</v>
      </c>
      <c r="K399" s="402">
        <f t="shared" si="65"/>
        <v>35.540845070422534</v>
      </c>
      <c r="L399" s="173">
        <f t="shared" si="66"/>
        <v>57.683702213279673</v>
      </c>
      <c r="M399" s="174"/>
      <c r="N399" s="173">
        <f t="shared" si="67"/>
        <v>80.75718309859154</v>
      </c>
      <c r="O399" s="173">
        <v>110</v>
      </c>
      <c r="P399">
        <v>75</v>
      </c>
    </row>
    <row r="400" spans="1:20" customFormat="1" ht="14.5" x14ac:dyDescent="0.35">
      <c r="A400" s="92"/>
      <c r="B400" s="594"/>
      <c r="C400" s="597" t="s">
        <v>1357</v>
      </c>
      <c r="D400" s="92">
        <v>98</v>
      </c>
      <c r="E400" s="745" t="s">
        <v>409</v>
      </c>
      <c r="F400" s="245" t="s">
        <v>1376</v>
      </c>
      <c r="G400" s="245"/>
      <c r="H400" s="173">
        <v>22.142857142857142</v>
      </c>
      <c r="I400">
        <v>3550</v>
      </c>
      <c r="J400" s="173">
        <v>5698</v>
      </c>
      <c r="K400" s="402">
        <f t="shared" si="65"/>
        <v>35.540845070422534</v>
      </c>
      <c r="L400" s="173">
        <f t="shared" si="66"/>
        <v>57.683702213279673</v>
      </c>
      <c r="M400" s="174"/>
      <c r="N400" s="173">
        <f t="shared" si="67"/>
        <v>80.75718309859154</v>
      </c>
      <c r="O400" s="173">
        <v>110</v>
      </c>
      <c r="P400">
        <v>75</v>
      </c>
    </row>
    <row r="401" spans="1:20" customFormat="1" ht="14.5" x14ac:dyDescent="0.35">
      <c r="A401" s="92"/>
      <c r="B401" s="594"/>
      <c r="C401" s="597" t="s">
        <v>561</v>
      </c>
      <c r="D401" s="92">
        <v>100</v>
      </c>
      <c r="E401" s="745" t="s">
        <v>409</v>
      </c>
      <c r="F401" s="245" t="s">
        <v>1403</v>
      </c>
      <c r="G401" s="245"/>
      <c r="H401" s="173">
        <v>29.571428571428573</v>
      </c>
      <c r="I401">
        <v>3550</v>
      </c>
      <c r="J401" s="173">
        <v>5698</v>
      </c>
      <c r="K401" s="402">
        <f t="shared" si="65"/>
        <v>47.46422535211267</v>
      </c>
      <c r="L401" s="173">
        <f t="shared" si="66"/>
        <v>77.035653923541247</v>
      </c>
      <c r="M401" s="174"/>
      <c r="N401" s="173">
        <f t="shared" si="67"/>
        <v>107.84991549295773</v>
      </c>
      <c r="O401" s="173">
        <v>150</v>
      </c>
      <c r="P401">
        <v>90</v>
      </c>
    </row>
    <row r="402" spans="1:20" customFormat="1" ht="14.5" x14ac:dyDescent="0.35">
      <c r="A402" s="92"/>
      <c r="B402" s="594"/>
      <c r="C402" s="597" t="s">
        <v>561</v>
      </c>
      <c r="D402" s="92">
        <v>102</v>
      </c>
      <c r="E402" s="745" t="s">
        <v>407</v>
      </c>
      <c r="F402" s="371" t="s">
        <v>1404</v>
      </c>
      <c r="G402" s="371"/>
      <c r="H402" s="176">
        <v>29.571428571428573</v>
      </c>
      <c r="I402" s="12">
        <v>3550</v>
      </c>
      <c r="J402" s="176">
        <v>5698</v>
      </c>
      <c r="K402" s="410">
        <f t="shared" si="65"/>
        <v>47.46422535211267</v>
      </c>
      <c r="L402" s="176">
        <f t="shared" si="66"/>
        <v>77.035653923541247</v>
      </c>
      <c r="M402" s="411"/>
      <c r="N402" s="176">
        <f t="shared" si="67"/>
        <v>107.84991549295773</v>
      </c>
      <c r="O402" s="176">
        <v>150</v>
      </c>
      <c r="P402" s="12">
        <v>90</v>
      </c>
      <c r="S402" t="s">
        <v>749</v>
      </c>
      <c r="T402" s="6">
        <v>46136</v>
      </c>
    </row>
    <row r="403" spans="1:20" customFormat="1" ht="14.5" x14ac:dyDescent="0.35">
      <c r="A403" s="92"/>
      <c r="B403" s="594"/>
      <c r="C403" s="597" t="s">
        <v>561</v>
      </c>
      <c r="D403" s="92">
        <v>103</v>
      </c>
      <c r="E403" s="745" t="s">
        <v>409</v>
      </c>
      <c r="F403" s="371" t="s">
        <v>1404</v>
      </c>
      <c r="G403" s="371"/>
      <c r="H403" s="176">
        <v>29.571428571428573</v>
      </c>
      <c r="I403" s="12">
        <v>3550</v>
      </c>
      <c r="J403" s="176">
        <v>5698</v>
      </c>
      <c r="K403" s="410">
        <f t="shared" si="65"/>
        <v>47.46422535211267</v>
      </c>
      <c r="L403" s="176">
        <f t="shared" si="66"/>
        <v>77.035653923541247</v>
      </c>
      <c r="M403" s="411"/>
      <c r="N403" s="176">
        <f t="shared" si="67"/>
        <v>107.84991549295773</v>
      </c>
      <c r="O403" s="176">
        <v>150</v>
      </c>
      <c r="P403" s="12">
        <v>90</v>
      </c>
      <c r="S403" t="s">
        <v>12</v>
      </c>
      <c r="T403" s="6">
        <v>46141</v>
      </c>
    </row>
    <row r="404" spans="1:20" customFormat="1" ht="14.5" x14ac:dyDescent="0.35">
      <c r="A404" s="92"/>
      <c r="B404" s="594"/>
      <c r="C404" s="597" t="s">
        <v>561</v>
      </c>
      <c r="D404" s="92">
        <v>104</v>
      </c>
      <c r="E404" s="745" t="s">
        <v>410</v>
      </c>
      <c r="F404" s="245" t="s">
        <v>1404</v>
      </c>
      <c r="G404" s="245"/>
      <c r="H404" s="173">
        <v>29.571428571428573</v>
      </c>
      <c r="I404">
        <v>3550</v>
      </c>
      <c r="J404" s="173">
        <v>5698</v>
      </c>
      <c r="K404" s="402">
        <f t="shared" si="65"/>
        <v>47.46422535211267</v>
      </c>
      <c r="L404" s="173">
        <f t="shared" si="66"/>
        <v>77.035653923541247</v>
      </c>
      <c r="M404" s="174"/>
      <c r="N404" s="173">
        <f t="shared" si="67"/>
        <v>107.84991549295773</v>
      </c>
      <c r="O404" s="173">
        <v>150</v>
      </c>
      <c r="P404">
        <v>90</v>
      </c>
    </row>
    <row r="405" spans="1:20" customFormat="1" ht="14.5" x14ac:dyDescent="0.35">
      <c r="A405" s="92"/>
      <c r="B405" s="594"/>
      <c r="C405" s="597" t="s">
        <v>561</v>
      </c>
      <c r="D405" s="92">
        <v>106</v>
      </c>
      <c r="E405" s="745" t="s">
        <v>407</v>
      </c>
      <c r="F405" s="245" t="s">
        <v>1418</v>
      </c>
      <c r="G405" s="245"/>
      <c r="H405" s="173">
        <v>7.8571428571428568</v>
      </c>
      <c r="I405">
        <v>3550</v>
      </c>
      <c r="J405" s="173">
        <v>5698</v>
      </c>
      <c r="K405" s="402">
        <f t="shared" si="65"/>
        <v>12.611267605633802</v>
      </c>
      <c r="L405" s="173">
        <f t="shared" si="66"/>
        <v>20.46841046277666</v>
      </c>
      <c r="M405" s="174"/>
      <c r="N405" s="173">
        <f t="shared" si="67"/>
        <v>28.655774647887323</v>
      </c>
      <c r="O405" s="173">
        <v>90</v>
      </c>
      <c r="P405">
        <v>55</v>
      </c>
    </row>
    <row r="406" spans="1:20" customFormat="1" ht="14.5" x14ac:dyDescent="0.35">
      <c r="A406" s="92"/>
      <c r="B406" s="594"/>
      <c r="C406" s="597" t="s">
        <v>561</v>
      </c>
      <c r="D406" s="92">
        <v>106</v>
      </c>
      <c r="E406" s="745" t="s">
        <v>407</v>
      </c>
      <c r="F406" s="245" t="s">
        <v>1418</v>
      </c>
      <c r="G406" s="245"/>
      <c r="H406" s="173">
        <v>7.8571428571428568</v>
      </c>
      <c r="I406">
        <v>3550</v>
      </c>
      <c r="J406" s="173">
        <v>5698</v>
      </c>
      <c r="K406" s="402">
        <f t="shared" si="65"/>
        <v>12.611267605633802</v>
      </c>
      <c r="L406" s="173">
        <f t="shared" si="66"/>
        <v>20.46841046277666</v>
      </c>
      <c r="M406" s="174"/>
      <c r="N406" s="173">
        <f t="shared" si="67"/>
        <v>28.655774647887323</v>
      </c>
      <c r="O406" s="173">
        <v>90</v>
      </c>
      <c r="P406">
        <v>55</v>
      </c>
      <c r="R406" t="s">
        <v>2604</v>
      </c>
    </row>
    <row r="407" spans="1:20" customFormat="1" ht="14.5" x14ac:dyDescent="0.35">
      <c r="A407" s="3"/>
      <c r="B407" s="3"/>
      <c r="C407" s="233"/>
      <c r="E407" s="366"/>
      <c r="F407" s="256" t="s">
        <v>1554</v>
      </c>
      <c r="G407" s="256"/>
      <c r="H407" s="173"/>
      <c r="J407" s="173"/>
      <c r="K407" s="173"/>
      <c r="L407" s="173"/>
      <c r="M407" s="174"/>
      <c r="N407" s="173"/>
      <c r="O407" s="173"/>
      <c r="P407" s="13"/>
    </row>
    <row r="408" spans="1:20" customFormat="1" ht="14.5" x14ac:dyDescent="0.35">
      <c r="A408" s="3"/>
      <c r="B408" s="3"/>
      <c r="C408" s="233" t="s">
        <v>801</v>
      </c>
      <c r="E408" s="366">
        <v>38</v>
      </c>
      <c r="F408" s="371" t="s">
        <v>1545</v>
      </c>
      <c r="G408" s="371"/>
      <c r="H408" s="176">
        <v>46</v>
      </c>
      <c r="I408" s="12">
        <v>477</v>
      </c>
      <c r="J408" s="176">
        <v>188</v>
      </c>
      <c r="K408" s="410">
        <f>+H408/I408*J408</f>
        <v>18.129979035639412</v>
      </c>
      <c r="L408" s="176">
        <f>+H408+K408</f>
        <v>64.129979035639408</v>
      </c>
      <c r="M408" s="411"/>
      <c r="N408" s="176">
        <f>+L408*1.4</f>
        <v>89.781970649895172</v>
      </c>
      <c r="O408" s="176">
        <v>125</v>
      </c>
      <c r="P408" s="13"/>
      <c r="S408" t="s">
        <v>12</v>
      </c>
      <c r="T408" s="6">
        <v>46038</v>
      </c>
    </row>
    <row r="409" spans="1:20" customFormat="1" ht="14.5" x14ac:dyDescent="0.35">
      <c r="A409" s="92"/>
      <c r="B409" s="594"/>
      <c r="C409" s="597" t="s">
        <v>801</v>
      </c>
      <c r="D409" s="92"/>
      <c r="E409" s="745">
        <v>42</v>
      </c>
      <c r="F409" s="245" t="s">
        <v>1545</v>
      </c>
      <c r="G409" s="245"/>
      <c r="H409" s="173">
        <v>46</v>
      </c>
      <c r="I409">
        <v>477</v>
      </c>
      <c r="J409" s="173">
        <v>188</v>
      </c>
      <c r="K409" s="402">
        <f>+H409/I409*J409</f>
        <v>18.129979035639412</v>
      </c>
      <c r="L409" s="173">
        <f>+H409+K409</f>
        <v>64.129979035639408</v>
      </c>
      <c r="M409" s="174"/>
      <c r="N409" s="173">
        <f>+L409*1.4</f>
        <v>89.781970649895172</v>
      </c>
      <c r="O409" s="173">
        <v>125</v>
      </c>
      <c r="P409">
        <v>90</v>
      </c>
    </row>
    <row r="410" spans="1:20" customFormat="1" ht="18.5" x14ac:dyDescent="0.45">
      <c r="B410" s="3"/>
      <c r="C410" s="5" t="s">
        <v>2106</v>
      </c>
      <c r="E410" s="366"/>
      <c r="F410" s="245"/>
      <c r="G410" s="245"/>
      <c r="H410" s="173"/>
      <c r="K410" s="402"/>
      <c r="L410" s="173"/>
      <c r="M410" s="174"/>
      <c r="N410" s="173"/>
      <c r="O410" s="173"/>
      <c r="P410" s="13"/>
    </row>
    <row r="411" spans="1:20" customFormat="1" ht="14.5" x14ac:dyDescent="0.35">
      <c r="A411" s="92"/>
      <c r="B411" s="594" t="s">
        <v>2683</v>
      </c>
      <c r="C411" s="597" t="s">
        <v>1655</v>
      </c>
      <c r="D411" s="92"/>
      <c r="E411" s="745">
        <v>50</v>
      </c>
      <c r="F411" s="245" t="s">
        <v>1652</v>
      </c>
      <c r="G411" s="245"/>
      <c r="H411" s="173">
        <v>28</v>
      </c>
      <c r="I411">
        <v>6149</v>
      </c>
      <c r="J411" s="173">
        <f t="shared" ref="J411:J429" si="68">5832-600</f>
        <v>5232</v>
      </c>
      <c r="K411" s="402">
        <f t="shared" ref="K411:K422" si="69">+H411/I411*J411</f>
        <v>23.824361684826801</v>
      </c>
      <c r="L411" s="173">
        <f t="shared" ref="L411:L422" si="70">+H411+K411</f>
        <v>51.824361684826798</v>
      </c>
      <c r="M411" s="174"/>
      <c r="N411" s="173">
        <f t="shared" ref="N411:N424" si="71">+L411*1.4</f>
        <v>72.554106358757508</v>
      </c>
      <c r="O411" s="173">
        <v>90</v>
      </c>
    </row>
    <row r="412" spans="1:20" customFormat="1" ht="14.5" x14ac:dyDescent="0.35">
      <c r="A412" s="594"/>
      <c r="B412" s="594"/>
      <c r="C412" s="597" t="s">
        <v>154</v>
      </c>
      <c r="D412" s="92"/>
      <c r="E412" s="745">
        <v>52</v>
      </c>
      <c r="F412" s="245" t="s">
        <v>1581</v>
      </c>
      <c r="G412" s="245"/>
      <c r="H412" s="173">
        <v>44</v>
      </c>
      <c r="I412">
        <v>6149</v>
      </c>
      <c r="J412" s="173">
        <f t="shared" si="68"/>
        <v>5232</v>
      </c>
      <c r="K412" s="402">
        <f t="shared" si="69"/>
        <v>37.438282647584977</v>
      </c>
      <c r="L412" s="173">
        <f t="shared" si="70"/>
        <v>81.43828264758497</v>
      </c>
      <c r="M412" s="174"/>
      <c r="N412" s="173">
        <f t="shared" si="71"/>
        <v>114.01359570661894</v>
      </c>
      <c r="O412" s="173">
        <v>150</v>
      </c>
    </row>
    <row r="413" spans="1:20" customFormat="1" ht="14.5" x14ac:dyDescent="0.35">
      <c r="A413" s="594"/>
      <c r="B413" s="594"/>
      <c r="C413" s="597" t="s">
        <v>154</v>
      </c>
      <c r="D413" s="92"/>
      <c r="E413" s="745">
        <v>54</v>
      </c>
      <c r="F413" s="245" t="s">
        <v>1581</v>
      </c>
      <c r="G413" s="245"/>
      <c r="H413" s="173">
        <v>44</v>
      </c>
      <c r="I413">
        <v>6149</v>
      </c>
      <c r="J413" s="173">
        <f t="shared" si="68"/>
        <v>5232</v>
      </c>
      <c r="K413" s="402">
        <f t="shared" si="69"/>
        <v>37.438282647584977</v>
      </c>
      <c r="L413" s="173">
        <f t="shared" si="70"/>
        <v>81.43828264758497</v>
      </c>
      <c r="M413" s="174"/>
      <c r="N413" s="173">
        <f t="shared" si="71"/>
        <v>114.01359570661894</v>
      </c>
      <c r="O413" s="173">
        <v>150</v>
      </c>
    </row>
    <row r="414" spans="1:20" customFormat="1" ht="14.5" x14ac:dyDescent="0.35">
      <c r="A414" s="594"/>
      <c r="B414" s="594"/>
      <c r="C414" s="597" t="s">
        <v>154</v>
      </c>
      <c r="D414" s="92"/>
      <c r="E414" s="745">
        <v>56</v>
      </c>
      <c r="F414" s="245" t="s">
        <v>1581</v>
      </c>
      <c r="G414" s="245"/>
      <c r="H414" s="173">
        <v>44</v>
      </c>
      <c r="I414">
        <v>6149</v>
      </c>
      <c r="J414" s="173">
        <f t="shared" si="68"/>
        <v>5232</v>
      </c>
      <c r="K414" s="402">
        <f t="shared" si="69"/>
        <v>37.438282647584977</v>
      </c>
      <c r="L414" s="173">
        <f t="shared" si="70"/>
        <v>81.43828264758497</v>
      </c>
      <c r="M414" s="174"/>
      <c r="N414" s="173">
        <f t="shared" si="71"/>
        <v>114.01359570661894</v>
      </c>
      <c r="O414" s="173">
        <v>150</v>
      </c>
    </row>
    <row r="415" spans="1:20" customFormat="1" ht="14.5" x14ac:dyDescent="0.35">
      <c r="A415" s="594"/>
      <c r="B415" s="594"/>
      <c r="C415" s="597" t="s">
        <v>154</v>
      </c>
      <c r="D415" s="92"/>
      <c r="E415" s="745">
        <v>50</v>
      </c>
      <c r="F415" s="245" t="s">
        <v>1582</v>
      </c>
      <c r="G415" s="245"/>
      <c r="H415" s="173">
        <v>28</v>
      </c>
      <c r="I415">
        <v>6149</v>
      </c>
      <c r="J415" s="173">
        <f t="shared" si="68"/>
        <v>5232</v>
      </c>
      <c r="K415" s="402">
        <f t="shared" si="69"/>
        <v>23.824361684826801</v>
      </c>
      <c r="L415" s="173">
        <f t="shared" si="70"/>
        <v>51.824361684826798</v>
      </c>
      <c r="M415" s="174"/>
      <c r="N415" s="173">
        <f t="shared" si="71"/>
        <v>72.554106358757508</v>
      </c>
      <c r="O415" s="173">
        <v>110</v>
      </c>
      <c r="P415">
        <v>100</v>
      </c>
    </row>
    <row r="416" spans="1:20" customFormat="1" ht="14.5" x14ac:dyDescent="0.35">
      <c r="A416" s="594"/>
      <c r="B416" s="594"/>
      <c r="C416" s="597" t="s">
        <v>154</v>
      </c>
      <c r="D416" s="92"/>
      <c r="E416" s="745">
        <v>52</v>
      </c>
      <c r="F416" s="245" t="s">
        <v>1582</v>
      </c>
      <c r="G416" s="245"/>
      <c r="H416" s="173">
        <v>28</v>
      </c>
      <c r="I416">
        <v>6149</v>
      </c>
      <c r="J416" s="173">
        <f t="shared" si="68"/>
        <v>5232</v>
      </c>
      <c r="K416" s="402">
        <f t="shared" si="69"/>
        <v>23.824361684826801</v>
      </c>
      <c r="L416" s="173">
        <f t="shared" si="70"/>
        <v>51.824361684826798</v>
      </c>
      <c r="M416" s="174"/>
      <c r="N416" s="173">
        <f t="shared" si="71"/>
        <v>72.554106358757508</v>
      </c>
      <c r="O416" s="173">
        <v>110</v>
      </c>
      <c r="P416">
        <v>100</v>
      </c>
    </row>
    <row r="417" spans="1:20" customFormat="1" ht="14.5" x14ac:dyDescent="0.35">
      <c r="A417" s="594"/>
      <c r="B417" s="594"/>
      <c r="C417" s="597" t="s">
        <v>154</v>
      </c>
      <c r="D417" s="92"/>
      <c r="E417" s="745">
        <v>54</v>
      </c>
      <c r="F417" s="245" t="s">
        <v>1582</v>
      </c>
      <c r="G417" s="245"/>
      <c r="H417" s="173">
        <v>28</v>
      </c>
      <c r="I417">
        <v>6149</v>
      </c>
      <c r="J417" s="173">
        <f t="shared" si="68"/>
        <v>5232</v>
      </c>
      <c r="K417" s="402">
        <f t="shared" si="69"/>
        <v>23.824361684826801</v>
      </c>
      <c r="L417" s="173">
        <f t="shared" si="70"/>
        <v>51.824361684826798</v>
      </c>
      <c r="M417" s="174"/>
      <c r="N417" s="173">
        <f t="shared" si="71"/>
        <v>72.554106358757508</v>
      </c>
      <c r="O417" s="173">
        <v>110</v>
      </c>
      <c r="P417">
        <v>100</v>
      </c>
    </row>
    <row r="418" spans="1:20" customFormat="1" ht="14.5" x14ac:dyDescent="0.35">
      <c r="A418" s="594"/>
      <c r="B418" s="594"/>
      <c r="C418" s="597" t="s">
        <v>154</v>
      </c>
      <c r="D418" s="92"/>
      <c r="E418" s="745">
        <v>56</v>
      </c>
      <c r="F418" s="245" t="s">
        <v>1582</v>
      </c>
      <c r="G418" s="245"/>
      <c r="H418" s="173">
        <v>28</v>
      </c>
      <c r="I418">
        <v>6149</v>
      </c>
      <c r="J418" s="173">
        <f t="shared" si="68"/>
        <v>5232</v>
      </c>
      <c r="K418" s="402">
        <f t="shared" si="69"/>
        <v>23.824361684826801</v>
      </c>
      <c r="L418" s="173">
        <f t="shared" si="70"/>
        <v>51.824361684826798</v>
      </c>
      <c r="M418" s="174"/>
      <c r="N418" s="173">
        <f t="shared" si="71"/>
        <v>72.554106358757508</v>
      </c>
      <c r="O418" s="173">
        <v>110</v>
      </c>
      <c r="P418">
        <v>100</v>
      </c>
    </row>
    <row r="419" spans="1:20" customFormat="1" ht="14.5" x14ac:dyDescent="0.35">
      <c r="A419" s="3"/>
      <c r="B419" s="3"/>
      <c r="C419" s="233" t="s">
        <v>154</v>
      </c>
      <c r="E419" s="366">
        <v>52</v>
      </c>
      <c r="F419" s="371" t="s">
        <v>1656</v>
      </c>
      <c r="G419" s="371"/>
      <c r="H419" s="176">
        <v>28</v>
      </c>
      <c r="I419" s="12">
        <v>6149</v>
      </c>
      <c r="J419" s="176">
        <f t="shared" si="68"/>
        <v>5232</v>
      </c>
      <c r="K419" s="410">
        <f t="shared" si="69"/>
        <v>23.824361684826801</v>
      </c>
      <c r="L419" s="176">
        <f t="shared" si="70"/>
        <v>51.824361684826798</v>
      </c>
      <c r="M419" s="411"/>
      <c r="N419" s="176">
        <f t="shared" si="71"/>
        <v>72.554106358757508</v>
      </c>
      <c r="O419" s="176">
        <v>110</v>
      </c>
      <c r="P419" s="13"/>
      <c r="S419" t="s">
        <v>2300</v>
      </c>
      <c r="T419" s="6">
        <v>46044</v>
      </c>
    </row>
    <row r="420" spans="1:20" customFormat="1" ht="14.5" x14ac:dyDescent="0.35">
      <c r="A420" s="594"/>
      <c r="B420" s="594"/>
      <c r="C420" s="597" t="s">
        <v>154</v>
      </c>
      <c r="D420" s="92"/>
      <c r="E420" s="745">
        <v>54</v>
      </c>
      <c r="F420" s="245" t="s">
        <v>1656</v>
      </c>
      <c r="G420" s="245"/>
      <c r="H420" s="173">
        <v>28</v>
      </c>
      <c r="I420">
        <v>6149</v>
      </c>
      <c r="J420" s="173">
        <f t="shared" si="68"/>
        <v>5232</v>
      </c>
      <c r="K420" s="402">
        <f t="shared" si="69"/>
        <v>23.824361684826801</v>
      </c>
      <c r="L420" s="173">
        <f t="shared" si="70"/>
        <v>51.824361684826798</v>
      </c>
      <c r="M420" s="174"/>
      <c r="N420" s="173">
        <f t="shared" si="71"/>
        <v>72.554106358757508</v>
      </c>
      <c r="O420" s="173">
        <v>110</v>
      </c>
      <c r="P420">
        <v>100</v>
      </c>
    </row>
    <row r="421" spans="1:20" customFormat="1" ht="14.5" x14ac:dyDescent="0.35">
      <c r="A421" s="3"/>
      <c r="B421" s="233" t="s">
        <v>469</v>
      </c>
      <c r="C421" t="s">
        <v>1069</v>
      </c>
      <c r="E421" s="366"/>
      <c r="F421" s="371" t="s">
        <v>1594</v>
      </c>
      <c r="G421" s="371"/>
      <c r="H421" s="176">
        <v>20</v>
      </c>
      <c r="I421" s="12">
        <v>6149</v>
      </c>
      <c r="J421" s="176">
        <f t="shared" si="68"/>
        <v>5232</v>
      </c>
      <c r="K421" s="410">
        <f t="shared" si="69"/>
        <v>17.017401203447715</v>
      </c>
      <c r="L421" s="176">
        <f t="shared" si="70"/>
        <v>37.017401203447719</v>
      </c>
      <c r="M421" s="411"/>
      <c r="N421" s="176">
        <f t="shared" si="71"/>
        <v>51.824361684826805</v>
      </c>
      <c r="O421" s="176">
        <v>85</v>
      </c>
      <c r="P421" s="13">
        <f>+H421*3</f>
        <v>60</v>
      </c>
      <c r="S421" t="s">
        <v>2261</v>
      </c>
      <c r="T421" s="6">
        <v>46030</v>
      </c>
    </row>
    <row r="422" spans="1:20" customFormat="1" ht="14.5" x14ac:dyDescent="0.35">
      <c r="A422" s="3"/>
      <c r="B422" s="233" t="s">
        <v>469</v>
      </c>
      <c r="C422" t="s">
        <v>1069</v>
      </c>
      <c r="E422" s="366"/>
      <c r="F422" s="371" t="s">
        <v>1594</v>
      </c>
      <c r="G422" s="371"/>
      <c r="H422" s="176">
        <v>20</v>
      </c>
      <c r="I422" s="12">
        <v>6149</v>
      </c>
      <c r="J422" s="176">
        <f t="shared" si="68"/>
        <v>5232</v>
      </c>
      <c r="K422" s="410">
        <f t="shared" si="69"/>
        <v>17.017401203447715</v>
      </c>
      <c r="L422" s="176">
        <f t="shared" si="70"/>
        <v>37.017401203447719</v>
      </c>
      <c r="M422" s="411"/>
      <c r="N422" s="176">
        <f t="shared" si="71"/>
        <v>51.824361684826805</v>
      </c>
      <c r="O422" s="176">
        <v>85</v>
      </c>
      <c r="P422" s="13">
        <v>55</v>
      </c>
      <c r="S422" t="s">
        <v>1086</v>
      </c>
      <c r="T422" s="6">
        <v>46067</v>
      </c>
    </row>
    <row r="423" spans="1:20" customFormat="1" ht="14.5" x14ac:dyDescent="0.35">
      <c r="A423" s="594"/>
      <c r="B423" s="597" t="s">
        <v>469</v>
      </c>
      <c r="C423" s="597" t="s">
        <v>2564</v>
      </c>
      <c r="D423" s="92"/>
      <c r="E423" s="745"/>
      <c r="F423" s="245" t="s">
        <v>1660</v>
      </c>
      <c r="G423" s="245"/>
      <c r="H423" s="173">
        <v>30</v>
      </c>
      <c r="I423">
        <v>6149</v>
      </c>
      <c r="J423" s="173">
        <f t="shared" si="68"/>
        <v>5232</v>
      </c>
      <c r="K423" s="402">
        <f>+H427/I423*J423</f>
        <v>21.271751504309645</v>
      </c>
      <c r="L423" s="173">
        <f>+H427+K423</f>
        <v>46.271751504309648</v>
      </c>
      <c r="M423" s="174"/>
      <c r="N423" s="173">
        <f t="shared" si="71"/>
        <v>64.780452106033508</v>
      </c>
      <c r="O423" s="173">
        <v>125</v>
      </c>
      <c r="P423">
        <v>90</v>
      </c>
    </row>
    <row r="424" spans="1:20" customFormat="1" ht="14.5" x14ac:dyDescent="0.35">
      <c r="A424" s="3"/>
      <c r="B424" s="233" t="s">
        <v>469</v>
      </c>
      <c r="C424" s="233" t="s">
        <v>1137</v>
      </c>
      <c r="E424" s="366"/>
      <c r="F424" s="371" t="s">
        <v>1595</v>
      </c>
      <c r="G424" s="371"/>
      <c r="H424" s="176">
        <v>24</v>
      </c>
      <c r="I424" s="12">
        <v>6149</v>
      </c>
      <c r="J424" s="176">
        <f t="shared" si="68"/>
        <v>5232</v>
      </c>
      <c r="K424" s="410">
        <f t="shared" ref="K424:K453" si="72">+H424/I424*J424</f>
        <v>20.420881444137258</v>
      </c>
      <c r="L424" s="176">
        <f t="shared" ref="L424:L453" si="73">+H424+K424</f>
        <v>44.420881444137258</v>
      </c>
      <c r="M424" s="411"/>
      <c r="N424" s="176">
        <f t="shared" si="71"/>
        <v>62.18923402179216</v>
      </c>
      <c r="O424" s="176">
        <v>90</v>
      </c>
      <c r="P424" s="13">
        <f>+H424*3</f>
        <v>72</v>
      </c>
      <c r="S424" t="s">
        <v>1086</v>
      </c>
      <c r="T424" s="6">
        <v>46067</v>
      </c>
    </row>
    <row r="425" spans="1:20" customFormat="1" ht="14.5" x14ac:dyDescent="0.35">
      <c r="A425" s="594"/>
      <c r="B425" s="597" t="s">
        <v>469</v>
      </c>
      <c r="C425" s="597" t="s">
        <v>1137</v>
      </c>
      <c r="D425" s="92"/>
      <c r="E425" s="745"/>
      <c r="F425" s="245" t="s">
        <v>1595</v>
      </c>
      <c r="G425" s="245"/>
      <c r="H425" s="173">
        <v>24</v>
      </c>
      <c r="I425">
        <v>6149</v>
      </c>
      <c r="J425" s="173">
        <f t="shared" si="68"/>
        <v>5232</v>
      </c>
      <c r="K425" s="402">
        <f t="shared" si="72"/>
        <v>20.420881444137258</v>
      </c>
      <c r="L425" s="173">
        <f t="shared" si="73"/>
        <v>44.420881444137258</v>
      </c>
      <c r="M425" s="174"/>
      <c r="N425" s="173"/>
      <c r="O425" s="173">
        <v>90</v>
      </c>
      <c r="P425">
        <v>55</v>
      </c>
    </row>
    <row r="426" spans="1:20" customFormat="1" ht="14.5" x14ac:dyDescent="0.35">
      <c r="A426" s="594"/>
      <c r="B426" s="597" t="s">
        <v>469</v>
      </c>
      <c r="C426" s="597" t="s">
        <v>1137</v>
      </c>
      <c r="D426" s="92"/>
      <c r="E426" s="745"/>
      <c r="F426" s="245" t="s">
        <v>1595</v>
      </c>
      <c r="G426" s="245"/>
      <c r="H426" s="173">
        <v>24</v>
      </c>
      <c r="I426">
        <v>6149</v>
      </c>
      <c r="J426" s="173">
        <f t="shared" si="68"/>
        <v>5232</v>
      </c>
      <c r="K426" s="402">
        <f t="shared" si="72"/>
        <v>20.420881444137258</v>
      </c>
      <c r="L426" s="173">
        <f t="shared" si="73"/>
        <v>44.420881444137258</v>
      </c>
      <c r="M426" s="174"/>
      <c r="N426" s="173">
        <f t="shared" ref="N426:N453" si="74">+L426*1.4</f>
        <v>62.18923402179216</v>
      </c>
      <c r="O426" s="173">
        <v>90</v>
      </c>
      <c r="P426">
        <v>55</v>
      </c>
    </row>
    <row r="427" spans="1:20" customFormat="1" ht="14.5" x14ac:dyDescent="0.35">
      <c r="A427" s="594"/>
      <c r="B427" s="597" t="s">
        <v>469</v>
      </c>
      <c r="C427" s="597" t="s">
        <v>2565</v>
      </c>
      <c r="D427" s="92"/>
      <c r="E427" s="745"/>
      <c r="F427" s="245" t="s">
        <v>1596</v>
      </c>
      <c r="G427" s="245"/>
      <c r="H427" s="173">
        <v>25</v>
      </c>
      <c r="I427">
        <v>6149</v>
      </c>
      <c r="J427" s="173">
        <f t="shared" si="68"/>
        <v>5232</v>
      </c>
      <c r="K427" s="402">
        <f t="shared" si="72"/>
        <v>21.271751504309645</v>
      </c>
      <c r="L427" s="173">
        <f t="shared" si="73"/>
        <v>46.271751504309648</v>
      </c>
      <c r="M427" s="174"/>
      <c r="N427" s="173">
        <f t="shared" si="74"/>
        <v>64.780452106033508</v>
      </c>
      <c r="O427" s="173">
        <v>110</v>
      </c>
      <c r="P427">
        <v>90</v>
      </c>
      <c r="S427" t="s">
        <v>1725</v>
      </c>
      <c r="T427" s="6">
        <v>45797</v>
      </c>
    </row>
    <row r="428" spans="1:20" customFormat="1" ht="14.5" x14ac:dyDescent="0.35">
      <c r="A428" s="594"/>
      <c r="B428" s="597" t="s">
        <v>469</v>
      </c>
      <c r="C428" s="597" t="s">
        <v>2565</v>
      </c>
      <c r="D428" s="92"/>
      <c r="E428" s="745"/>
      <c r="F428" s="245" t="s">
        <v>1596</v>
      </c>
      <c r="G428" s="245"/>
      <c r="H428" s="173">
        <v>25</v>
      </c>
      <c r="I428">
        <v>6149</v>
      </c>
      <c r="J428" s="173">
        <f t="shared" si="68"/>
        <v>5232</v>
      </c>
      <c r="K428" s="402">
        <f t="shared" si="72"/>
        <v>21.271751504309645</v>
      </c>
      <c r="L428" s="173">
        <f t="shared" si="73"/>
        <v>46.271751504309648</v>
      </c>
      <c r="M428" s="174"/>
      <c r="N428" s="173">
        <f t="shared" si="74"/>
        <v>64.780452106033508</v>
      </c>
      <c r="O428" s="173">
        <v>110</v>
      </c>
      <c r="P428">
        <v>90</v>
      </c>
    </row>
    <row r="429" spans="1:20" customFormat="1" ht="14.5" x14ac:dyDescent="0.35">
      <c r="A429" s="594"/>
      <c r="B429" s="597" t="s">
        <v>469</v>
      </c>
      <c r="C429" s="597" t="s">
        <v>2565</v>
      </c>
      <c r="D429" s="92"/>
      <c r="E429" s="745"/>
      <c r="F429" s="245" t="s">
        <v>1596</v>
      </c>
      <c r="G429" s="245"/>
      <c r="H429" s="173">
        <v>25</v>
      </c>
      <c r="I429">
        <v>6149</v>
      </c>
      <c r="J429" s="173">
        <f t="shared" si="68"/>
        <v>5232</v>
      </c>
      <c r="K429" s="402">
        <f t="shared" si="72"/>
        <v>21.271751504309645</v>
      </c>
      <c r="L429" s="173">
        <f t="shared" si="73"/>
        <v>46.271751504309648</v>
      </c>
      <c r="M429" s="174"/>
      <c r="N429" s="173">
        <f t="shared" si="74"/>
        <v>64.780452106033508</v>
      </c>
      <c r="O429" s="173">
        <v>110</v>
      </c>
      <c r="P429">
        <v>90</v>
      </c>
    </row>
    <row r="430" spans="1:20" customFormat="1" ht="14.5" x14ac:dyDescent="0.35">
      <c r="A430" s="3"/>
      <c r="B430" s="233" t="s">
        <v>1343</v>
      </c>
      <c r="C430" s="233" t="s">
        <v>1137</v>
      </c>
      <c r="E430" s="366"/>
      <c r="F430" s="371" t="s">
        <v>1721</v>
      </c>
      <c r="G430" s="371"/>
      <c r="H430" s="176">
        <v>25</v>
      </c>
      <c r="I430" s="12">
        <v>200</v>
      </c>
      <c r="J430" s="176">
        <f t="shared" ref="J430:J442" si="75">8*14</f>
        <v>112</v>
      </c>
      <c r="K430" s="410">
        <f t="shared" si="72"/>
        <v>14</v>
      </c>
      <c r="L430" s="176">
        <f t="shared" si="73"/>
        <v>39</v>
      </c>
      <c r="M430" s="411"/>
      <c r="N430" s="176">
        <f t="shared" si="74"/>
        <v>54.599999999999994</v>
      </c>
      <c r="O430" s="176">
        <v>90</v>
      </c>
      <c r="P430" s="13"/>
      <c r="S430" t="s">
        <v>1086</v>
      </c>
      <c r="T430" s="6">
        <v>46067</v>
      </c>
    </row>
    <row r="431" spans="1:20" customFormat="1" ht="14.5" x14ac:dyDescent="0.35">
      <c r="A431" s="594"/>
      <c r="B431" s="597" t="s">
        <v>1343</v>
      </c>
      <c r="C431" s="597" t="s">
        <v>1137</v>
      </c>
      <c r="D431" s="92"/>
      <c r="E431" s="745"/>
      <c r="F431" s="245" t="s">
        <v>1721</v>
      </c>
      <c r="G431" s="245"/>
      <c r="H431" s="173">
        <v>25</v>
      </c>
      <c r="I431">
        <v>200</v>
      </c>
      <c r="J431" s="173">
        <f t="shared" si="75"/>
        <v>112</v>
      </c>
      <c r="K431" s="402">
        <f t="shared" si="72"/>
        <v>14</v>
      </c>
      <c r="L431" s="173">
        <f t="shared" si="73"/>
        <v>39</v>
      </c>
      <c r="M431" s="174"/>
      <c r="N431" s="173">
        <f t="shared" si="74"/>
        <v>54.599999999999994</v>
      </c>
      <c r="O431" s="173">
        <v>90</v>
      </c>
      <c r="P431">
        <v>55</v>
      </c>
    </row>
    <row r="432" spans="1:20" customFormat="1" ht="14.5" x14ac:dyDescent="0.35">
      <c r="A432" s="594"/>
      <c r="B432" s="597" t="s">
        <v>1343</v>
      </c>
      <c r="C432" s="597" t="s">
        <v>1137</v>
      </c>
      <c r="D432" s="92"/>
      <c r="E432" s="745"/>
      <c r="F432" s="245" t="s">
        <v>1721</v>
      </c>
      <c r="G432" s="245"/>
      <c r="H432" s="173">
        <v>25</v>
      </c>
      <c r="I432">
        <v>200</v>
      </c>
      <c r="J432" s="173">
        <f t="shared" si="75"/>
        <v>112</v>
      </c>
      <c r="K432" s="402">
        <f t="shared" si="72"/>
        <v>14</v>
      </c>
      <c r="L432" s="173">
        <f t="shared" si="73"/>
        <v>39</v>
      </c>
      <c r="M432" s="174"/>
      <c r="N432" s="173">
        <f t="shared" si="74"/>
        <v>54.599999999999994</v>
      </c>
      <c r="O432" s="173">
        <v>90</v>
      </c>
      <c r="P432">
        <v>55</v>
      </c>
    </row>
    <row r="433" spans="1:16" customFormat="1" ht="14.5" x14ac:dyDescent="0.35">
      <c r="A433" s="594"/>
      <c r="B433" s="597" t="s">
        <v>1343</v>
      </c>
      <c r="C433" s="597" t="s">
        <v>1137</v>
      </c>
      <c r="D433" s="92"/>
      <c r="E433" s="745"/>
      <c r="F433" s="245" t="s">
        <v>1721</v>
      </c>
      <c r="G433" s="245"/>
      <c r="H433" s="173">
        <v>25</v>
      </c>
      <c r="I433">
        <v>200</v>
      </c>
      <c r="J433" s="173">
        <f t="shared" si="75"/>
        <v>112</v>
      </c>
      <c r="K433" s="402">
        <f t="shared" si="72"/>
        <v>14</v>
      </c>
      <c r="L433" s="173">
        <f t="shared" si="73"/>
        <v>39</v>
      </c>
      <c r="M433" s="174"/>
      <c r="N433" s="173">
        <f t="shared" si="74"/>
        <v>54.599999999999994</v>
      </c>
      <c r="O433" s="173">
        <v>90</v>
      </c>
      <c r="P433">
        <v>55</v>
      </c>
    </row>
    <row r="434" spans="1:16" customFormat="1" ht="14.5" x14ac:dyDescent="0.35">
      <c r="A434" s="594"/>
      <c r="B434" s="597" t="s">
        <v>1343</v>
      </c>
      <c r="C434" s="597" t="s">
        <v>1137</v>
      </c>
      <c r="D434" s="92"/>
      <c r="E434" s="745"/>
      <c r="F434" s="245" t="s">
        <v>1722</v>
      </c>
      <c r="G434" s="245"/>
      <c r="H434" s="173">
        <v>25</v>
      </c>
      <c r="I434">
        <v>200</v>
      </c>
      <c r="J434" s="173">
        <f t="shared" si="75"/>
        <v>112</v>
      </c>
      <c r="K434" s="402">
        <f t="shared" si="72"/>
        <v>14</v>
      </c>
      <c r="L434" s="173">
        <f t="shared" si="73"/>
        <v>39</v>
      </c>
      <c r="M434" s="174"/>
      <c r="N434" s="173">
        <f t="shared" si="74"/>
        <v>54.599999999999994</v>
      </c>
      <c r="O434" s="173">
        <v>90</v>
      </c>
      <c r="P434">
        <v>55</v>
      </c>
    </row>
    <row r="435" spans="1:16" customFormat="1" ht="14.5" x14ac:dyDescent="0.35">
      <c r="A435" s="594"/>
      <c r="B435" s="597" t="s">
        <v>1343</v>
      </c>
      <c r="C435" s="597" t="s">
        <v>1137</v>
      </c>
      <c r="D435" s="92"/>
      <c r="E435" s="745"/>
      <c r="F435" s="245" t="s">
        <v>1722</v>
      </c>
      <c r="G435" s="245"/>
      <c r="H435" s="173">
        <v>25</v>
      </c>
      <c r="I435">
        <v>200</v>
      </c>
      <c r="J435" s="173">
        <f t="shared" si="75"/>
        <v>112</v>
      </c>
      <c r="K435" s="402">
        <f t="shared" si="72"/>
        <v>14</v>
      </c>
      <c r="L435" s="173">
        <f t="shared" si="73"/>
        <v>39</v>
      </c>
      <c r="M435" s="174"/>
      <c r="N435" s="173">
        <f t="shared" si="74"/>
        <v>54.599999999999994</v>
      </c>
      <c r="O435" s="173">
        <v>90</v>
      </c>
      <c r="P435">
        <v>55</v>
      </c>
    </row>
    <row r="436" spans="1:16" customFormat="1" ht="14.5" x14ac:dyDescent="0.35">
      <c r="A436" s="594"/>
      <c r="B436" s="597" t="s">
        <v>1343</v>
      </c>
      <c r="C436" s="597" t="s">
        <v>1137</v>
      </c>
      <c r="D436" s="92"/>
      <c r="E436" s="745"/>
      <c r="F436" s="245" t="s">
        <v>1722</v>
      </c>
      <c r="G436" s="245"/>
      <c r="H436" s="173">
        <v>25</v>
      </c>
      <c r="I436">
        <v>200</v>
      </c>
      <c r="J436" s="173">
        <f t="shared" si="75"/>
        <v>112</v>
      </c>
      <c r="K436" s="402">
        <f t="shared" si="72"/>
        <v>14</v>
      </c>
      <c r="L436" s="173">
        <f t="shared" si="73"/>
        <v>39</v>
      </c>
      <c r="M436" s="174"/>
      <c r="N436" s="173">
        <f t="shared" si="74"/>
        <v>54.599999999999994</v>
      </c>
      <c r="O436" s="173">
        <v>90</v>
      </c>
      <c r="P436">
        <v>55</v>
      </c>
    </row>
    <row r="437" spans="1:16" customFormat="1" ht="14.5" x14ac:dyDescent="0.35">
      <c r="A437" s="594"/>
      <c r="B437" s="597" t="s">
        <v>1343</v>
      </c>
      <c r="C437" s="597" t="s">
        <v>1137</v>
      </c>
      <c r="D437" s="92"/>
      <c r="E437" s="745"/>
      <c r="F437" s="245" t="s">
        <v>1722</v>
      </c>
      <c r="G437" s="245"/>
      <c r="H437" s="173">
        <v>25</v>
      </c>
      <c r="I437">
        <v>200</v>
      </c>
      <c r="J437" s="173">
        <f t="shared" si="75"/>
        <v>112</v>
      </c>
      <c r="K437" s="402">
        <f t="shared" si="72"/>
        <v>14</v>
      </c>
      <c r="L437" s="173">
        <f t="shared" si="73"/>
        <v>39</v>
      </c>
      <c r="M437" s="174"/>
      <c r="N437" s="173">
        <f t="shared" si="74"/>
        <v>54.599999999999994</v>
      </c>
      <c r="O437" s="173">
        <v>90</v>
      </c>
      <c r="P437">
        <v>55</v>
      </c>
    </row>
    <row r="438" spans="1:16" customFormat="1" ht="14.5" x14ac:dyDescent="0.35">
      <c r="A438" s="594"/>
      <c r="B438" s="597" t="s">
        <v>1613</v>
      </c>
      <c r="C438" s="597" t="s">
        <v>1613</v>
      </c>
      <c r="D438" s="92"/>
      <c r="E438" s="745">
        <v>42</v>
      </c>
      <c r="F438" s="245" t="s">
        <v>1614</v>
      </c>
      <c r="G438" s="245"/>
      <c r="H438" s="173">
        <v>50</v>
      </c>
      <c r="I438">
        <v>800</v>
      </c>
      <c r="J438" s="173">
        <f t="shared" si="75"/>
        <v>112</v>
      </c>
      <c r="K438" s="402">
        <f t="shared" si="72"/>
        <v>7</v>
      </c>
      <c r="L438" s="173">
        <f t="shared" si="73"/>
        <v>57</v>
      </c>
      <c r="M438" s="174"/>
      <c r="N438" s="173">
        <f t="shared" si="74"/>
        <v>79.8</v>
      </c>
      <c r="O438" s="173">
        <v>125</v>
      </c>
    </row>
    <row r="439" spans="1:16" customFormat="1" ht="14.5" x14ac:dyDescent="0.35">
      <c r="A439" s="594"/>
      <c r="B439" s="597" t="s">
        <v>1613</v>
      </c>
      <c r="C439" s="597" t="s">
        <v>1613</v>
      </c>
      <c r="D439" s="92"/>
      <c r="E439" s="745">
        <v>44</v>
      </c>
      <c r="F439" s="245" t="s">
        <v>1614</v>
      </c>
      <c r="G439" s="245"/>
      <c r="H439" s="173">
        <v>50</v>
      </c>
      <c r="I439">
        <v>800</v>
      </c>
      <c r="J439" s="173">
        <f t="shared" si="75"/>
        <v>112</v>
      </c>
      <c r="K439" s="402">
        <f t="shared" si="72"/>
        <v>7</v>
      </c>
      <c r="L439" s="173">
        <f t="shared" si="73"/>
        <v>57</v>
      </c>
      <c r="M439" s="174"/>
      <c r="N439" s="173">
        <f t="shared" si="74"/>
        <v>79.8</v>
      </c>
      <c r="O439" s="173">
        <v>125</v>
      </c>
    </row>
    <row r="440" spans="1:16" customFormat="1" ht="14.5" x14ac:dyDescent="0.35">
      <c r="A440" s="594"/>
      <c r="B440" s="597" t="s">
        <v>1613</v>
      </c>
      <c r="C440" s="597" t="s">
        <v>1613</v>
      </c>
      <c r="D440" s="92"/>
      <c r="E440" s="745">
        <v>46</v>
      </c>
      <c r="F440" s="245" t="s">
        <v>1614</v>
      </c>
      <c r="G440" s="245"/>
      <c r="H440" s="173">
        <v>50</v>
      </c>
      <c r="I440">
        <v>800</v>
      </c>
      <c r="J440" s="173">
        <f t="shared" si="75"/>
        <v>112</v>
      </c>
      <c r="K440" s="402">
        <f t="shared" si="72"/>
        <v>7</v>
      </c>
      <c r="L440" s="173">
        <f t="shared" si="73"/>
        <v>57</v>
      </c>
      <c r="M440" s="174"/>
      <c r="N440" s="173">
        <f t="shared" si="74"/>
        <v>79.8</v>
      </c>
      <c r="O440" s="173">
        <v>125</v>
      </c>
    </row>
    <row r="441" spans="1:16" customFormat="1" ht="14.5" x14ac:dyDescent="0.35">
      <c r="A441" s="594"/>
      <c r="B441" s="597" t="s">
        <v>1613</v>
      </c>
      <c r="C441" s="597" t="s">
        <v>1613</v>
      </c>
      <c r="D441" s="92"/>
      <c r="E441" s="745">
        <v>48</v>
      </c>
      <c r="F441" s="245" t="s">
        <v>1614</v>
      </c>
      <c r="G441" s="245"/>
      <c r="H441" s="173">
        <v>50</v>
      </c>
      <c r="I441">
        <v>800</v>
      </c>
      <c r="J441" s="173">
        <f t="shared" si="75"/>
        <v>112</v>
      </c>
      <c r="K441" s="402">
        <f t="shared" si="72"/>
        <v>7</v>
      </c>
      <c r="L441" s="173">
        <f t="shared" si="73"/>
        <v>57</v>
      </c>
      <c r="M441" s="174"/>
      <c r="N441" s="173">
        <f t="shared" si="74"/>
        <v>79.8</v>
      </c>
      <c r="O441" s="173">
        <v>125</v>
      </c>
    </row>
    <row r="442" spans="1:16" s="13" customFormat="1" ht="14.5" x14ac:dyDescent="0.35">
      <c r="A442" s="369"/>
      <c r="B442" s="368" t="s">
        <v>1613</v>
      </c>
      <c r="C442" s="368" t="s">
        <v>1613</v>
      </c>
      <c r="E442" s="399">
        <v>42</v>
      </c>
      <c r="F442" s="435" t="s">
        <v>1617</v>
      </c>
      <c r="G442" s="435"/>
      <c r="H442" s="344">
        <v>50</v>
      </c>
      <c r="I442" s="13">
        <v>800</v>
      </c>
      <c r="J442" s="344">
        <f t="shared" si="75"/>
        <v>112</v>
      </c>
      <c r="K442" s="443">
        <f t="shared" si="72"/>
        <v>7</v>
      </c>
      <c r="L442" s="344">
        <f t="shared" si="73"/>
        <v>57</v>
      </c>
      <c r="M442" s="444"/>
      <c r="N442" s="344">
        <f t="shared" si="74"/>
        <v>79.8</v>
      </c>
      <c r="O442" s="344">
        <v>150</v>
      </c>
    </row>
    <row r="443" spans="1:16" customFormat="1" ht="14.5" x14ac:dyDescent="0.35">
      <c r="A443" s="594"/>
      <c r="B443" s="594" t="s">
        <v>1336</v>
      </c>
      <c r="C443" s="597" t="s">
        <v>1623</v>
      </c>
      <c r="D443" s="92"/>
      <c r="E443" s="745">
        <v>46</v>
      </c>
      <c r="F443" s="245" t="s">
        <v>1624</v>
      </c>
      <c r="G443" s="245"/>
      <c r="H443" s="173">
        <v>53</v>
      </c>
      <c r="I443">
        <v>904</v>
      </c>
      <c r="J443" s="173">
        <v>140</v>
      </c>
      <c r="K443" s="402">
        <f t="shared" si="72"/>
        <v>8.2079646017699108</v>
      </c>
      <c r="L443" s="173">
        <f t="shared" si="73"/>
        <v>61.207964601769909</v>
      </c>
      <c r="M443" s="174"/>
      <c r="N443" s="173">
        <f t="shared" si="74"/>
        <v>85.691150442477863</v>
      </c>
      <c r="O443" s="173">
        <v>150</v>
      </c>
    </row>
    <row r="444" spans="1:16" customFormat="1" ht="14.5" x14ac:dyDescent="0.35">
      <c r="A444" s="594"/>
      <c r="B444" s="594" t="s">
        <v>1336</v>
      </c>
      <c r="C444" s="597" t="s">
        <v>1623</v>
      </c>
      <c r="D444" s="92"/>
      <c r="E444" s="745">
        <v>44</v>
      </c>
      <c r="F444" s="245" t="s">
        <v>1624</v>
      </c>
      <c r="G444" s="245"/>
      <c r="H444" s="173">
        <v>53</v>
      </c>
      <c r="I444">
        <v>904</v>
      </c>
      <c r="J444" s="173">
        <v>140</v>
      </c>
      <c r="K444" s="402">
        <f t="shared" si="72"/>
        <v>8.2079646017699108</v>
      </c>
      <c r="L444" s="173">
        <f t="shared" si="73"/>
        <v>61.207964601769909</v>
      </c>
      <c r="M444" s="174"/>
      <c r="N444" s="173">
        <f t="shared" si="74"/>
        <v>85.691150442477863</v>
      </c>
      <c r="O444" s="173">
        <v>150</v>
      </c>
    </row>
    <row r="445" spans="1:16" customFormat="1" ht="14.5" x14ac:dyDescent="0.35">
      <c r="A445" s="594"/>
      <c r="B445" s="594" t="s">
        <v>1336</v>
      </c>
      <c r="C445" s="597" t="s">
        <v>1623</v>
      </c>
      <c r="D445" s="92"/>
      <c r="E445" s="745">
        <v>48</v>
      </c>
      <c r="F445" s="245" t="s">
        <v>1624</v>
      </c>
      <c r="G445" s="245"/>
      <c r="H445" s="173">
        <v>53</v>
      </c>
      <c r="I445">
        <v>904</v>
      </c>
      <c r="J445" s="173">
        <v>140</v>
      </c>
      <c r="K445" s="402">
        <f t="shared" si="72"/>
        <v>8.2079646017699108</v>
      </c>
      <c r="L445" s="173">
        <f t="shared" si="73"/>
        <v>61.207964601769909</v>
      </c>
      <c r="M445" s="174"/>
      <c r="N445" s="173">
        <f t="shared" si="74"/>
        <v>85.691150442477863</v>
      </c>
      <c r="O445" s="173">
        <v>150</v>
      </c>
    </row>
    <row r="446" spans="1:16" customFormat="1" ht="14.5" x14ac:dyDescent="0.35">
      <c r="A446" s="594"/>
      <c r="B446" s="594" t="s">
        <v>1336</v>
      </c>
      <c r="C446" s="597" t="s">
        <v>1623</v>
      </c>
      <c r="D446" s="92"/>
      <c r="E446" s="745">
        <v>50</v>
      </c>
      <c r="F446" s="245" t="s">
        <v>2607</v>
      </c>
      <c r="G446" s="245"/>
      <c r="H446" s="173">
        <v>53</v>
      </c>
      <c r="I446">
        <v>904</v>
      </c>
      <c r="J446" s="173">
        <v>140</v>
      </c>
      <c r="K446" s="402">
        <f t="shared" si="72"/>
        <v>8.2079646017699108</v>
      </c>
      <c r="L446" s="173">
        <f t="shared" si="73"/>
        <v>61.207964601769909</v>
      </c>
      <c r="M446" s="174"/>
      <c r="N446" s="173">
        <f t="shared" si="74"/>
        <v>85.691150442477863</v>
      </c>
      <c r="O446" s="173">
        <v>150</v>
      </c>
    </row>
    <row r="447" spans="1:16" customFormat="1" ht="14.5" x14ac:dyDescent="0.35">
      <c r="A447" s="594"/>
      <c r="B447" s="594" t="s">
        <v>1336</v>
      </c>
      <c r="C447" s="597" t="s">
        <v>1623</v>
      </c>
      <c r="D447" s="92"/>
      <c r="E447" s="745">
        <v>48</v>
      </c>
      <c r="F447" s="245" t="s">
        <v>1625</v>
      </c>
      <c r="G447" s="245"/>
      <c r="H447" s="173">
        <v>53</v>
      </c>
      <c r="I447">
        <v>904</v>
      </c>
      <c r="J447" s="173">
        <v>140</v>
      </c>
      <c r="K447" s="402">
        <f t="shared" si="72"/>
        <v>8.2079646017699108</v>
      </c>
      <c r="L447" s="173">
        <f t="shared" si="73"/>
        <v>61.207964601769909</v>
      </c>
      <c r="M447" s="174"/>
      <c r="N447" s="173">
        <f t="shared" si="74"/>
        <v>85.691150442477863</v>
      </c>
      <c r="O447" s="173">
        <v>150</v>
      </c>
    </row>
    <row r="448" spans="1:16" customFormat="1" ht="14.5" x14ac:dyDescent="0.35">
      <c r="A448" s="594"/>
      <c r="B448" s="594" t="s">
        <v>1336</v>
      </c>
      <c r="C448" s="597" t="s">
        <v>1623</v>
      </c>
      <c r="D448" s="92"/>
      <c r="E448" s="745">
        <v>50</v>
      </c>
      <c r="F448" s="245" t="s">
        <v>1625</v>
      </c>
      <c r="G448" s="245"/>
      <c r="H448" s="173">
        <v>53</v>
      </c>
      <c r="I448">
        <v>904</v>
      </c>
      <c r="J448" s="173">
        <v>140</v>
      </c>
      <c r="K448" s="402">
        <f t="shared" si="72"/>
        <v>8.2079646017699108</v>
      </c>
      <c r="L448" s="173">
        <f t="shared" si="73"/>
        <v>61.207964601769909</v>
      </c>
      <c r="M448" s="174"/>
      <c r="N448" s="173">
        <f t="shared" si="74"/>
        <v>85.691150442477863</v>
      </c>
      <c r="O448" s="173">
        <v>150</v>
      </c>
    </row>
    <row r="449" spans="1:20" customFormat="1" ht="14.5" x14ac:dyDescent="0.35">
      <c r="A449" s="594"/>
      <c r="B449" s="594" t="s">
        <v>1336</v>
      </c>
      <c r="C449" s="597" t="s">
        <v>1623</v>
      </c>
      <c r="D449" s="92"/>
      <c r="E449" s="745">
        <v>50</v>
      </c>
      <c r="F449" s="245" t="s">
        <v>1626</v>
      </c>
      <c r="G449" s="245"/>
      <c r="H449" s="173">
        <v>55</v>
      </c>
      <c r="I449">
        <v>904</v>
      </c>
      <c r="J449" s="173">
        <v>140</v>
      </c>
      <c r="K449" s="402">
        <f t="shared" si="72"/>
        <v>8.5176991150442483</v>
      </c>
      <c r="L449" s="173">
        <f t="shared" si="73"/>
        <v>63.517699115044252</v>
      </c>
      <c r="M449" s="174"/>
      <c r="N449" s="173">
        <f t="shared" si="74"/>
        <v>88.924778761061944</v>
      </c>
      <c r="O449" s="173">
        <v>150</v>
      </c>
    </row>
    <row r="450" spans="1:20" customFormat="1" ht="14.5" x14ac:dyDescent="0.35">
      <c r="A450" s="594"/>
      <c r="B450" s="594" t="s">
        <v>1336</v>
      </c>
      <c r="C450" s="597" t="s">
        <v>1623</v>
      </c>
      <c r="D450" s="92"/>
      <c r="E450" s="745">
        <v>52</v>
      </c>
      <c r="F450" s="245" t="s">
        <v>1626</v>
      </c>
      <c r="G450" s="245"/>
      <c r="H450" s="173">
        <v>55</v>
      </c>
      <c r="I450">
        <v>904</v>
      </c>
      <c r="J450" s="173">
        <v>140</v>
      </c>
      <c r="K450" s="402">
        <f t="shared" si="72"/>
        <v>8.5176991150442483</v>
      </c>
      <c r="L450" s="173">
        <f t="shared" si="73"/>
        <v>63.517699115044252</v>
      </c>
      <c r="M450" s="174"/>
      <c r="N450" s="173">
        <f t="shared" si="74"/>
        <v>88.924778761061944</v>
      </c>
      <c r="O450" s="173">
        <v>150</v>
      </c>
    </row>
    <row r="451" spans="1:20" customFormat="1" ht="14.5" x14ac:dyDescent="0.35">
      <c r="A451" s="594"/>
      <c r="B451" s="594" t="s">
        <v>1336</v>
      </c>
      <c r="C451" s="597" t="s">
        <v>1623</v>
      </c>
      <c r="D451" s="92"/>
      <c r="E451" s="745">
        <v>44</v>
      </c>
      <c r="F451" s="245" t="s">
        <v>1706</v>
      </c>
      <c r="G451" s="245"/>
      <c r="H451" s="173">
        <v>65</v>
      </c>
      <c r="I451">
        <v>904</v>
      </c>
      <c r="J451" s="173">
        <v>140</v>
      </c>
      <c r="K451" s="402">
        <f t="shared" si="72"/>
        <v>10.06637168141593</v>
      </c>
      <c r="L451" s="173">
        <f t="shared" si="73"/>
        <v>75.06637168141593</v>
      </c>
      <c r="M451" s="174"/>
      <c r="N451" s="173">
        <f t="shared" si="74"/>
        <v>105.09292035398229</v>
      </c>
      <c r="O451" s="173">
        <v>125</v>
      </c>
    </row>
    <row r="452" spans="1:20" customFormat="1" ht="14.5" x14ac:dyDescent="0.35">
      <c r="A452" s="594"/>
      <c r="B452" s="594" t="s">
        <v>1336</v>
      </c>
      <c r="C452" s="597" t="s">
        <v>1623</v>
      </c>
      <c r="D452" s="92"/>
      <c r="E452" s="745">
        <v>48</v>
      </c>
      <c r="F452" s="245" t="s">
        <v>1706</v>
      </c>
      <c r="G452" s="245"/>
      <c r="H452" s="173">
        <v>65</v>
      </c>
      <c r="I452">
        <v>904</v>
      </c>
      <c r="J452" s="173">
        <v>140</v>
      </c>
      <c r="K452" s="402">
        <f t="shared" si="72"/>
        <v>10.06637168141593</v>
      </c>
      <c r="L452" s="173">
        <f t="shared" si="73"/>
        <v>75.06637168141593</v>
      </c>
      <c r="M452" s="174"/>
      <c r="N452" s="173">
        <f t="shared" si="74"/>
        <v>105.09292035398229</v>
      </c>
      <c r="O452" s="173">
        <v>125</v>
      </c>
    </row>
    <row r="453" spans="1:20" customFormat="1" ht="14.5" x14ac:dyDescent="0.35">
      <c r="A453" s="594"/>
      <c r="B453" s="594" t="s">
        <v>1336</v>
      </c>
      <c r="C453" s="597" t="s">
        <v>1623</v>
      </c>
      <c r="D453" s="92"/>
      <c r="E453" s="745">
        <v>50</v>
      </c>
      <c r="F453" s="245" t="s">
        <v>1706</v>
      </c>
      <c r="G453" s="245"/>
      <c r="H453" s="173">
        <v>65</v>
      </c>
      <c r="I453">
        <v>904</v>
      </c>
      <c r="J453" s="173">
        <v>140</v>
      </c>
      <c r="K453" s="402">
        <f t="shared" si="72"/>
        <v>10.06637168141593</v>
      </c>
      <c r="L453" s="173">
        <f t="shared" si="73"/>
        <v>75.06637168141593</v>
      </c>
      <c r="M453" s="174"/>
      <c r="N453" s="173">
        <f t="shared" si="74"/>
        <v>105.09292035398229</v>
      </c>
      <c r="O453" s="173">
        <v>125</v>
      </c>
    </row>
    <row r="454" spans="1:20" customFormat="1" ht="14.5" x14ac:dyDescent="0.35">
      <c r="A454" s="3"/>
      <c r="B454" s="3"/>
      <c r="C454" s="233"/>
      <c r="E454" s="366"/>
      <c r="F454" s="245"/>
      <c r="G454" s="245"/>
      <c r="H454" s="173"/>
      <c r="J454" s="173"/>
      <c r="K454" s="173"/>
      <c r="L454" s="173"/>
      <c r="N454" s="173"/>
      <c r="O454" s="173"/>
      <c r="P454" s="13"/>
    </row>
    <row r="455" spans="1:20" customFormat="1" ht="14.5" x14ac:dyDescent="0.35">
      <c r="A455" s="594"/>
      <c r="B455" s="594" t="s">
        <v>1723</v>
      </c>
      <c r="C455" s="597" t="s">
        <v>2597</v>
      </c>
      <c r="D455" s="92"/>
      <c r="E455" s="745"/>
      <c r="F455" s="245" t="s">
        <v>2622</v>
      </c>
      <c r="G455" s="245"/>
      <c r="H455" s="173">
        <v>16</v>
      </c>
      <c r="I455">
        <v>394</v>
      </c>
      <c r="J455" s="173">
        <v>225</v>
      </c>
      <c r="K455" s="402">
        <f t="shared" ref="K455:K461" si="76">+H455/I455*J455</f>
        <v>9.1370558375634516</v>
      </c>
      <c r="L455" s="173">
        <f t="shared" ref="L455:L461" si="77">+H455+K455</f>
        <v>25.137055837563452</v>
      </c>
      <c r="M455" s="174"/>
      <c r="N455" s="173">
        <f t="shared" ref="N455:N461" si="78">+L455*1.4</f>
        <v>35.191878172588829</v>
      </c>
      <c r="O455" s="173">
        <v>45</v>
      </c>
      <c r="P455">
        <v>55</v>
      </c>
    </row>
    <row r="456" spans="1:20" customFormat="1" ht="14.5" x14ac:dyDescent="0.35">
      <c r="A456" s="594"/>
      <c r="B456" s="594" t="s">
        <v>1723</v>
      </c>
      <c r="C456" s="597" t="s">
        <v>1707</v>
      </c>
      <c r="D456" s="92"/>
      <c r="E456" s="745"/>
      <c r="F456" s="245" t="s">
        <v>2622</v>
      </c>
      <c r="G456" s="245"/>
      <c r="H456" s="173">
        <v>19</v>
      </c>
      <c r="I456">
        <v>394</v>
      </c>
      <c r="J456" s="173">
        <v>225</v>
      </c>
      <c r="K456" s="402">
        <f t="shared" si="76"/>
        <v>10.850253807106599</v>
      </c>
      <c r="L456" s="173">
        <f t="shared" si="77"/>
        <v>29.850253807106597</v>
      </c>
      <c r="M456" s="174"/>
      <c r="N456" s="173">
        <f t="shared" si="78"/>
        <v>41.790355329949236</v>
      </c>
      <c r="O456" s="173">
        <v>55</v>
      </c>
    </row>
    <row r="457" spans="1:20" customFormat="1" ht="14.5" x14ac:dyDescent="0.35">
      <c r="A457" s="594"/>
      <c r="B457" s="597" t="s">
        <v>1065</v>
      </c>
      <c r="C457" s="597" t="s">
        <v>1133</v>
      </c>
      <c r="D457" s="92"/>
      <c r="E457" s="745"/>
      <c r="F457" s="371" t="s">
        <v>1738</v>
      </c>
      <c r="G457" s="371"/>
      <c r="H457" s="176">
        <v>10</v>
      </c>
      <c r="I457" s="12">
        <v>1304</v>
      </c>
      <c r="J457" s="176">
        <v>580</v>
      </c>
      <c r="K457" s="410">
        <f t="shared" si="76"/>
        <v>4.447852760736196</v>
      </c>
      <c r="L457" s="176">
        <f t="shared" si="77"/>
        <v>14.447852760736197</v>
      </c>
      <c r="M457" s="411"/>
      <c r="N457" s="176">
        <f t="shared" si="78"/>
        <v>20.226993865030675</v>
      </c>
      <c r="O457" s="176">
        <v>35</v>
      </c>
      <c r="S457" t="s">
        <v>12</v>
      </c>
      <c r="T457" s="6">
        <v>46102</v>
      </c>
    </row>
    <row r="458" spans="1:20" customFormat="1" ht="14.5" x14ac:dyDescent="0.35">
      <c r="A458" s="594"/>
      <c r="B458" s="597" t="s">
        <v>1065</v>
      </c>
      <c r="C458" s="597" t="s">
        <v>1133</v>
      </c>
      <c r="D458" s="92"/>
      <c r="E458" s="745"/>
      <c r="F458" s="245" t="s">
        <v>1738</v>
      </c>
      <c r="G458" s="245"/>
      <c r="H458" s="173">
        <v>10</v>
      </c>
      <c r="I458">
        <v>1304</v>
      </c>
      <c r="J458" s="173">
        <v>580</v>
      </c>
      <c r="K458" s="402">
        <f t="shared" si="76"/>
        <v>4.447852760736196</v>
      </c>
      <c r="L458" s="173">
        <f t="shared" si="77"/>
        <v>14.447852760736197</v>
      </c>
      <c r="M458" s="174"/>
      <c r="N458" s="173">
        <f t="shared" si="78"/>
        <v>20.226993865030675</v>
      </c>
      <c r="O458" s="173">
        <v>35</v>
      </c>
    </row>
    <row r="459" spans="1:20" s="13" customFormat="1" ht="14.5" x14ac:dyDescent="0.35">
      <c r="A459" s="369"/>
      <c r="B459" s="368" t="s">
        <v>1065</v>
      </c>
      <c r="C459" s="368" t="s">
        <v>1133</v>
      </c>
      <c r="E459" s="399"/>
      <c r="F459" s="435" t="s">
        <v>1738</v>
      </c>
      <c r="G459" s="435"/>
      <c r="H459" s="344">
        <v>10</v>
      </c>
      <c r="I459" s="13">
        <v>1304</v>
      </c>
      <c r="J459" s="344">
        <v>580</v>
      </c>
      <c r="K459" s="443">
        <f t="shared" si="76"/>
        <v>4.447852760736196</v>
      </c>
      <c r="L459" s="344">
        <f t="shared" si="77"/>
        <v>14.447852760736197</v>
      </c>
      <c r="M459" s="444"/>
      <c r="N459" s="344">
        <f t="shared" si="78"/>
        <v>20.226993865030675</v>
      </c>
      <c r="O459" s="344">
        <v>35</v>
      </c>
    </row>
    <row r="460" spans="1:20" customFormat="1" ht="14.5" x14ac:dyDescent="0.35">
      <c r="A460" s="3"/>
      <c r="B460" s="233" t="s">
        <v>1930</v>
      </c>
      <c r="C460" s="233"/>
      <c r="E460" s="366"/>
      <c r="F460" s="371" t="s">
        <v>1931</v>
      </c>
      <c r="G460" s="371"/>
      <c r="H460" s="176">
        <v>45</v>
      </c>
      <c r="I460" s="12">
        <v>6149</v>
      </c>
      <c r="J460" s="176">
        <f>5832-600</f>
        <v>5232</v>
      </c>
      <c r="K460" s="410">
        <f t="shared" si="76"/>
        <v>38.28915270775736</v>
      </c>
      <c r="L460" s="176">
        <f t="shared" si="77"/>
        <v>83.289152707757353</v>
      </c>
      <c r="M460" s="411"/>
      <c r="N460" s="176">
        <f t="shared" si="78"/>
        <v>116.60481379086029</v>
      </c>
      <c r="O460" s="12">
        <v>150</v>
      </c>
      <c r="P460" s="13"/>
      <c r="S460" t="s">
        <v>2379</v>
      </c>
      <c r="T460" s="6">
        <v>46053</v>
      </c>
    </row>
    <row r="461" spans="1:20" customFormat="1" ht="14.5" x14ac:dyDescent="0.35">
      <c r="A461" s="3"/>
      <c r="B461" s="233" t="s">
        <v>1930</v>
      </c>
      <c r="C461" s="233"/>
      <c r="E461" s="366"/>
      <c r="F461" s="371" t="s">
        <v>1933</v>
      </c>
      <c r="G461" s="371"/>
      <c r="H461" s="176">
        <v>45</v>
      </c>
      <c r="I461" s="12">
        <v>6149</v>
      </c>
      <c r="J461" s="176">
        <f>5832-600</f>
        <v>5232</v>
      </c>
      <c r="K461" s="410">
        <f t="shared" si="76"/>
        <v>38.28915270775736</v>
      </c>
      <c r="L461" s="176">
        <f t="shared" si="77"/>
        <v>83.289152707757353</v>
      </c>
      <c r="M461" s="411"/>
      <c r="N461" s="176">
        <f t="shared" si="78"/>
        <v>116.60481379086029</v>
      </c>
      <c r="O461" s="12">
        <v>150</v>
      </c>
      <c r="P461" s="13"/>
      <c r="S461" t="s">
        <v>12</v>
      </c>
      <c r="T461" s="6">
        <v>46034</v>
      </c>
    </row>
    <row r="462" spans="1:20" customFormat="1" ht="14.5" x14ac:dyDescent="0.35">
      <c r="A462" s="3"/>
      <c r="B462" s="233"/>
      <c r="C462" s="232" t="s">
        <v>1781</v>
      </c>
      <c r="E462" s="366"/>
      <c r="F462" s="245"/>
      <c r="G462" s="245"/>
      <c r="H462" s="173"/>
      <c r="J462" s="173"/>
      <c r="K462" s="402"/>
      <c r="L462" s="173"/>
      <c r="M462" s="174"/>
      <c r="N462" s="173"/>
      <c r="O462" s="173"/>
      <c r="P462" s="13"/>
    </row>
    <row r="463" spans="1:20" customFormat="1" ht="14.5" x14ac:dyDescent="0.35">
      <c r="A463" s="594"/>
      <c r="B463" s="594"/>
      <c r="C463" s="597" t="s">
        <v>783</v>
      </c>
      <c r="D463" s="92"/>
      <c r="E463" s="745">
        <v>36</v>
      </c>
      <c r="F463" s="245" t="s">
        <v>1772</v>
      </c>
      <c r="G463" s="245"/>
      <c r="H463" s="173">
        <v>25</v>
      </c>
      <c r="I463">
        <f t="shared" ref="I463:I472" si="79">350*1.05</f>
        <v>367.5</v>
      </c>
      <c r="J463" s="173">
        <v>140</v>
      </c>
      <c r="K463" s="402">
        <f t="shared" ref="K463:K476" si="80">+H463/I463*J463</f>
        <v>9.5238095238095255</v>
      </c>
      <c r="L463" s="173">
        <f t="shared" ref="L463:L476" si="81">+H463+K463</f>
        <v>34.523809523809526</v>
      </c>
      <c r="N463" s="173">
        <f t="shared" ref="N463:N476" si="82">+L463*1.4</f>
        <v>48.333333333333336</v>
      </c>
      <c r="O463" s="173">
        <v>110</v>
      </c>
      <c r="P463">
        <v>90</v>
      </c>
    </row>
    <row r="464" spans="1:20" customFormat="1" ht="14.5" x14ac:dyDescent="0.35">
      <c r="A464" s="594"/>
      <c r="B464" s="594"/>
      <c r="C464" s="597" t="s">
        <v>783</v>
      </c>
      <c r="D464" s="92"/>
      <c r="E464" s="745">
        <v>38</v>
      </c>
      <c r="F464" s="371" t="s">
        <v>1772</v>
      </c>
      <c r="G464" s="371"/>
      <c r="H464" s="176">
        <v>25</v>
      </c>
      <c r="I464" s="12">
        <f t="shared" si="79"/>
        <v>367.5</v>
      </c>
      <c r="J464" s="176">
        <v>140</v>
      </c>
      <c r="K464" s="410">
        <f t="shared" si="80"/>
        <v>9.5238095238095255</v>
      </c>
      <c r="L464" s="176">
        <f t="shared" si="81"/>
        <v>34.523809523809526</v>
      </c>
      <c r="M464" s="12"/>
      <c r="N464" s="176">
        <f t="shared" si="82"/>
        <v>48.333333333333336</v>
      </c>
      <c r="O464" s="176">
        <v>110</v>
      </c>
      <c r="P464">
        <v>85</v>
      </c>
      <c r="S464" t="s">
        <v>12</v>
      </c>
      <c r="T464" s="6">
        <v>46109</v>
      </c>
    </row>
    <row r="465" spans="1:20" customFormat="1" ht="14.5" x14ac:dyDescent="0.35">
      <c r="A465" s="594"/>
      <c r="B465" s="594"/>
      <c r="C465" s="597" t="s">
        <v>783</v>
      </c>
      <c r="D465" s="92"/>
      <c r="E465" s="745">
        <v>36</v>
      </c>
      <c r="F465" s="245" t="s">
        <v>1773</v>
      </c>
      <c r="G465" s="245"/>
      <c r="H465" s="173">
        <v>25</v>
      </c>
      <c r="I465">
        <f t="shared" si="79"/>
        <v>367.5</v>
      </c>
      <c r="J465" s="173">
        <v>140</v>
      </c>
      <c r="K465" s="402">
        <f t="shared" si="80"/>
        <v>9.5238095238095255</v>
      </c>
      <c r="L465" s="173">
        <f t="shared" si="81"/>
        <v>34.523809523809526</v>
      </c>
      <c r="N465" s="173">
        <f t="shared" si="82"/>
        <v>48.333333333333336</v>
      </c>
      <c r="O465" s="173">
        <v>110</v>
      </c>
      <c r="P465">
        <v>90</v>
      </c>
    </row>
    <row r="466" spans="1:20" customFormat="1" ht="14.5" x14ac:dyDescent="0.35">
      <c r="A466" s="594"/>
      <c r="B466" s="594"/>
      <c r="C466" s="597" t="s">
        <v>783</v>
      </c>
      <c r="D466" s="92"/>
      <c r="E466" s="745">
        <v>38</v>
      </c>
      <c r="F466" s="245" t="s">
        <v>1773</v>
      </c>
      <c r="G466" s="245"/>
      <c r="H466" s="173">
        <v>25</v>
      </c>
      <c r="I466">
        <f t="shared" si="79"/>
        <v>367.5</v>
      </c>
      <c r="J466" s="173">
        <v>140</v>
      </c>
      <c r="K466" s="402">
        <f t="shared" si="80"/>
        <v>9.5238095238095255</v>
      </c>
      <c r="L466" s="173">
        <f t="shared" si="81"/>
        <v>34.523809523809526</v>
      </c>
      <c r="N466" s="173">
        <f t="shared" si="82"/>
        <v>48.333333333333336</v>
      </c>
      <c r="O466" s="173">
        <v>110</v>
      </c>
      <c r="P466">
        <v>90</v>
      </c>
    </row>
    <row r="467" spans="1:20" customFormat="1" ht="14.5" x14ac:dyDescent="0.35">
      <c r="A467" s="3"/>
      <c r="B467" s="3"/>
      <c r="C467" s="233" t="s">
        <v>783</v>
      </c>
      <c r="E467" s="366">
        <v>40</v>
      </c>
      <c r="F467" s="371" t="s">
        <v>1773</v>
      </c>
      <c r="G467" s="371"/>
      <c r="H467" s="176">
        <v>25</v>
      </c>
      <c r="I467" s="12">
        <f t="shared" si="79"/>
        <v>367.5</v>
      </c>
      <c r="J467" s="176">
        <v>140</v>
      </c>
      <c r="K467" s="410">
        <f t="shared" si="80"/>
        <v>9.5238095238095255</v>
      </c>
      <c r="L467" s="176">
        <f t="shared" si="81"/>
        <v>34.523809523809526</v>
      </c>
      <c r="M467" s="12"/>
      <c r="N467" s="176">
        <f t="shared" si="82"/>
        <v>48.333333333333336</v>
      </c>
      <c r="O467" s="176">
        <v>110</v>
      </c>
      <c r="P467" s="13">
        <v>90</v>
      </c>
      <c r="S467" t="s">
        <v>12</v>
      </c>
      <c r="T467" s="6">
        <v>46071</v>
      </c>
    </row>
    <row r="468" spans="1:20" customFormat="1" ht="14.5" x14ac:dyDescent="0.35">
      <c r="A468" s="594"/>
      <c r="B468" s="594"/>
      <c r="C468" s="597" t="s">
        <v>783</v>
      </c>
      <c r="D468" s="92"/>
      <c r="E468" s="745">
        <v>36</v>
      </c>
      <c r="F468" s="245" t="s">
        <v>1774</v>
      </c>
      <c r="G468" s="245"/>
      <c r="H468" s="173">
        <v>25</v>
      </c>
      <c r="I468">
        <f t="shared" si="79"/>
        <v>367.5</v>
      </c>
      <c r="J468" s="173">
        <v>140</v>
      </c>
      <c r="K468" s="402">
        <f t="shared" si="80"/>
        <v>9.5238095238095255</v>
      </c>
      <c r="L468" s="173">
        <f t="shared" si="81"/>
        <v>34.523809523809526</v>
      </c>
      <c r="N468" s="173">
        <f t="shared" si="82"/>
        <v>48.333333333333336</v>
      </c>
      <c r="O468" s="173">
        <v>110</v>
      </c>
      <c r="P468">
        <v>90</v>
      </c>
    </row>
    <row r="469" spans="1:20" customFormat="1" ht="14.5" x14ac:dyDescent="0.35">
      <c r="A469" s="594"/>
      <c r="B469" s="594"/>
      <c r="C469" s="597" t="s">
        <v>783</v>
      </c>
      <c r="D469" s="92"/>
      <c r="E469" s="745">
        <v>38</v>
      </c>
      <c r="F469" s="245" t="s">
        <v>1774</v>
      </c>
      <c r="G469" s="245"/>
      <c r="H469" s="173">
        <v>25</v>
      </c>
      <c r="I469">
        <f t="shared" si="79"/>
        <v>367.5</v>
      </c>
      <c r="J469" s="173">
        <v>140</v>
      </c>
      <c r="K469" s="402">
        <f t="shared" si="80"/>
        <v>9.5238095238095255</v>
      </c>
      <c r="L469" s="173">
        <f t="shared" si="81"/>
        <v>34.523809523809526</v>
      </c>
      <c r="N469" s="173">
        <f t="shared" si="82"/>
        <v>48.333333333333336</v>
      </c>
      <c r="O469" s="173">
        <v>110</v>
      </c>
    </row>
    <row r="470" spans="1:20" customFormat="1" ht="14.5" x14ac:dyDescent="0.35">
      <c r="A470" s="594"/>
      <c r="B470" s="594"/>
      <c r="C470" s="597" t="s">
        <v>783</v>
      </c>
      <c r="D470" s="92"/>
      <c r="E470" s="745">
        <v>42</v>
      </c>
      <c r="F470" s="371" t="s">
        <v>1774</v>
      </c>
      <c r="G470" s="371"/>
      <c r="H470" s="176">
        <v>25</v>
      </c>
      <c r="I470" s="12">
        <f t="shared" si="79"/>
        <v>367.5</v>
      </c>
      <c r="J470" s="176">
        <v>140</v>
      </c>
      <c r="K470" s="410">
        <f t="shared" si="80"/>
        <v>9.5238095238095255</v>
      </c>
      <c r="L470" s="176">
        <f t="shared" si="81"/>
        <v>34.523809523809526</v>
      </c>
      <c r="M470" s="12"/>
      <c r="N470" s="176">
        <f t="shared" si="82"/>
        <v>48.333333333333336</v>
      </c>
      <c r="O470" s="176">
        <v>110</v>
      </c>
      <c r="S470" t="s">
        <v>12</v>
      </c>
      <c r="T470" s="6">
        <v>46111</v>
      </c>
    </row>
    <row r="471" spans="1:20" customFormat="1" ht="14.5" x14ac:dyDescent="0.35">
      <c r="A471" s="3"/>
      <c r="B471" s="3"/>
      <c r="C471" s="233" t="s">
        <v>783</v>
      </c>
      <c r="E471" s="366">
        <v>52</v>
      </c>
      <c r="F471" s="371" t="s">
        <v>1775</v>
      </c>
      <c r="G471" s="371"/>
      <c r="H471" s="176">
        <v>25</v>
      </c>
      <c r="I471" s="12">
        <f t="shared" si="79"/>
        <v>367.5</v>
      </c>
      <c r="J471" s="176">
        <v>140</v>
      </c>
      <c r="K471" s="410">
        <f t="shared" si="80"/>
        <v>9.5238095238095255</v>
      </c>
      <c r="L471" s="176">
        <f t="shared" si="81"/>
        <v>34.523809523809526</v>
      </c>
      <c r="M471" s="12"/>
      <c r="N471" s="176">
        <f t="shared" si="82"/>
        <v>48.333333333333336</v>
      </c>
      <c r="O471" s="176">
        <v>110</v>
      </c>
      <c r="P471" s="13">
        <v>90</v>
      </c>
      <c r="S471" t="s">
        <v>12</v>
      </c>
      <c r="T471" s="6">
        <v>46052</v>
      </c>
    </row>
    <row r="472" spans="1:20" customFormat="1" ht="14.5" x14ac:dyDescent="0.35">
      <c r="A472" s="594"/>
      <c r="B472" s="594"/>
      <c r="C472" s="597" t="s">
        <v>783</v>
      </c>
      <c r="D472" s="92"/>
      <c r="E472" s="745">
        <v>54</v>
      </c>
      <c r="F472" s="245" t="s">
        <v>1775</v>
      </c>
      <c r="G472" s="245"/>
      <c r="H472" s="173">
        <v>25</v>
      </c>
      <c r="I472">
        <f t="shared" si="79"/>
        <v>367.5</v>
      </c>
      <c r="J472" s="173">
        <v>140</v>
      </c>
      <c r="K472" s="402">
        <f t="shared" si="80"/>
        <v>9.5238095238095255</v>
      </c>
      <c r="L472" s="173">
        <f t="shared" si="81"/>
        <v>34.523809523809526</v>
      </c>
      <c r="N472" s="173">
        <f t="shared" si="82"/>
        <v>48.333333333333336</v>
      </c>
      <c r="O472" s="173">
        <v>110</v>
      </c>
      <c r="P472">
        <v>90</v>
      </c>
      <c r="Q472" s="4"/>
      <c r="R472" s="4"/>
    </row>
    <row r="473" spans="1:20" customFormat="1" ht="14.5" x14ac:dyDescent="0.35">
      <c r="A473" s="594"/>
      <c r="B473" s="594"/>
      <c r="C473" s="597" t="s">
        <v>1782</v>
      </c>
      <c r="D473" s="92"/>
      <c r="E473" s="745">
        <v>52</v>
      </c>
      <c r="F473" s="245" t="s">
        <v>1784</v>
      </c>
      <c r="G473" s="245"/>
      <c r="H473" s="173">
        <v>40</v>
      </c>
      <c r="I473">
        <v>320</v>
      </c>
      <c r="J473" s="173">
        <v>90</v>
      </c>
      <c r="K473" s="402">
        <f t="shared" si="80"/>
        <v>11.25</v>
      </c>
      <c r="L473" s="173">
        <f t="shared" si="81"/>
        <v>51.25</v>
      </c>
      <c r="N473" s="173">
        <f t="shared" si="82"/>
        <v>71.75</v>
      </c>
      <c r="O473" s="173">
        <v>110</v>
      </c>
    </row>
    <row r="474" spans="1:20" customFormat="1" ht="15.5" x14ac:dyDescent="0.35">
      <c r="A474" s="594"/>
      <c r="B474" s="597" t="s">
        <v>1789</v>
      </c>
      <c r="C474" s="597" t="s">
        <v>944</v>
      </c>
      <c r="D474" s="785"/>
      <c r="E474" s="745">
        <v>44</v>
      </c>
      <c r="F474" s="245" t="s">
        <v>1790</v>
      </c>
      <c r="G474" s="245"/>
      <c r="H474" s="173">
        <v>68</v>
      </c>
      <c r="I474">
        <v>204</v>
      </c>
      <c r="J474" s="173">
        <f>10+36</f>
        <v>46</v>
      </c>
      <c r="K474" s="402">
        <f t="shared" si="80"/>
        <v>15.333333333333332</v>
      </c>
      <c r="L474" s="173">
        <f t="shared" si="81"/>
        <v>83.333333333333329</v>
      </c>
      <c r="N474" s="173">
        <f t="shared" si="82"/>
        <v>116.66666666666666</v>
      </c>
      <c r="O474" s="173">
        <v>150</v>
      </c>
      <c r="P474">
        <v>125</v>
      </c>
    </row>
    <row r="475" spans="1:20" customFormat="1" ht="15.5" x14ac:dyDescent="0.35">
      <c r="A475" s="594"/>
      <c r="B475" s="597" t="s">
        <v>1789</v>
      </c>
      <c r="C475" s="597" t="s">
        <v>944</v>
      </c>
      <c r="D475" s="785"/>
      <c r="E475" s="745">
        <v>46</v>
      </c>
      <c r="F475" s="245" t="s">
        <v>1790</v>
      </c>
      <c r="G475" s="245"/>
      <c r="H475" s="173">
        <v>68</v>
      </c>
      <c r="I475">
        <v>204</v>
      </c>
      <c r="J475" s="173">
        <f>10+36</f>
        <v>46</v>
      </c>
      <c r="K475" s="402">
        <f t="shared" si="80"/>
        <v>15.333333333333332</v>
      </c>
      <c r="L475" s="173">
        <f t="shared" si="81"/>
        <v>83.333333333333329</v>
      </c>
      <c r="N475" s="173">
        <f t="shared" si="82"/>
        <v>116.66666666666666</v>
      </c>
      <c r="O475" s="173">
        <v>150</v>
      </c>
      <c r="P475">
        <v>125</v>
      </c>
    </row>
    <row r="476" spans="1:20" customFormat="1" ht="15.5" x14ac:dyDescent="0.35">
      <c r="A476" s="594"/>
      <c r="B476" s="597" t="s">
        <v>1789</v>
      </c>
      <c r="C476" s="597" t="s">
        <v>944</v>
      </c>
      <c r="D476" s="785"/>
      <c r="E476" s="745">
        <v>48</v>
      </c>
      <c r="F476" s="245" t="s">
        <v>1790</v>
      </c>
      <c r="G476" s="245"/>
      <c r="H476" s="173">
        <v>68</v>
      </c>
      <c r="I476">
        <v>204</v>
      </c>
      <c r="J476" s="173">
        <f>10+36</f>
        <v>46</v>
      </c>
      <c r="K476" s="402">
        <f t="shared" si="80"/>
        <v>15.333333333333332</v>
      </c>
      <c r="L476" s="173">
        <f t="shared" si="81"/>
        <v>83.333333333333329</v>
      </c>
      <c r="N476" s="173">
        <f t="shared" si="82"/>
        <v>116.66666666666666</v>
      </c>
      <c r="O476" s="173">
        <v>150</v>
      </c>
      <c r="P476">
        <v>125</v>
      </c>
    </row>
    <row r="477" spans="1:20" customFormat="1" ht="14.5" x14ac:dyDescent="0.35">
      <c r="A477" s="3"/>
      <c r="B477" s="3"/>
      <c r="C477" s="232" t="s">
        <v>1817</v>
      </c>
      <c r="E477" s="366"/>
      <c r="F477" s="245"/>
      <c r="G477" s="245"/>
      <c r="H477" s="173"/>
      <c r="J477" s="173"/>
      <c r="K477" s="173"/>
      <c r="L477" s="173"/>
      <c r="N477" s="173"/>
      <c r="O477" s="173"/>
      <c r="P477" s="13"/>
    </row>
    <row r="478" spans="1:20" customFormat="1" ht="14.5" x14ac:dyDescent="0.35">
      <c r="A478" s="594"/>
      <c r="B478" s="594"/>
      <c r="C478" s="597" t="s">
        <v>1808</v>
      </c>
      <c r="D478" s="92"/>
      <c r="E478" s="745">
        <v>46</v>
      </c>
      <c r="F478" s="245" t="s">
        <v>1813</v>
      </c>
      <c r="G478" s="245"/>
      <c r="H478" s="173">
        <v>13</v>
      </c>
      <c r="I478">
        <v>330</v>
      </c>
      <c r="J478" s="173">
        <v>191</v>
      </c>
      <c r="K478" s="402">
        <f t="shared" ref="K478:K497" si="83">+H478/I478*J478</f>
        <v>7.5242424242424235</v>
      </c>
      <c r="L478" s="173">
        <f t="shared" ref="L478:L497" si="84">+H478+K478</f>
        <v>20.524242424242424</v>
      </c>
      <c r="N478" s="173">
        <f t="shared" ref="N478:N497" si="85">+L478*1.5</f>
        <v>30.786363636363635</v>
      </c>
      <c r="O478" s="173">
        <v>55</v>
      </c>
    </row>
    <row r="479" spans="1:20" customFormat="1" ht="14.5" x14ac:dyDescent="0.35">
      <c r="A479" s="594"/>
      <c r="B479" s="594"/>
      <c r="C479" s="597" t="s">
        <v>1808</v>
      </c>
      <c r="D479" s="92"/>
      <c r="E479" s="745">
        <v>48</v>
      </c>
      <c r="F479" s="245" t="s">
        <v>1813</v>
      </c>
      <c r="G479" s="245"/>
      <c r="H479" s="173">
        <v>13</v>
      </c>
      <c r="I479">
        <v>330</v>
      </c>
      <c r="J479" s="173">
        <v>191</v>
      </c>
      <c r="K479" s="402">
        <f t="shared" si="83"/>
        <v>7.5242424242424235</v>
      </c>
      <c r="L479" s="173">
        <f t="shared" si="84"/>
        <v>20.524242424242424</v>
      </c>
      <c r="N479" s="173">
        <f t="shared" si="85"/>
        <v>30.786363636363635</v>
      </c>
      <c r="O479" s="173">
        <v>55</v>
      </c>
    </row>
    <row r="480" spans="1:20" customFormat="1" ht="14.5" x14ac:dyDescent="0.35">
      <c r="A480" s="594"/>
      <c r="B480" s="594"/>
      <c r="C480" s="597" t="s">
        <v>1808</v>
      </c>
      <c r="D480" s="92"/>
      <c r="E480" s="745">
        <v>50</v>
      </c>
      <c r="F480" s="245" t="s">
        <v>1813</v>
      </c>
      <c r="G480" s="245"/>
      <c r="H480" s="173">
        <v>13</v>
      </c>
      <c r="I480">
        <v>330</v>
      </c>
      <c r="J480" s="173">
        <v>191</v>
      </c>
      <c r="K480" s="402">
        <f t="shared" si="83"/>
        <v>7.5242424242424235</v>
      </c>
      <c r="L480" s="173">
        <f t="shared" si="84"/>
        <v>20.524242424242424</v>
      </c>
      <c r="N480" s="173">
        <f t="shared" si="85"/>
        <v>30.786363636363635</v>
      </c>
      <c r="O480" s="173">
        <v>55</v>
      </c>
    </row>
    <row r="481" spans="1:15" customFormat="1" ht="14.5" x14ac:dyDescent="0.35">
      <c r="A481" s="594"/>
      <c r="B481" s="594"/>
      <c r="C481" s="597" t="s">
        <v>1808</v>
      </c>
      <c r="D481" s="92"/>
      <c r="E481" s="745">
        <v>46</v>
      </c>
      <c r="F481" s="245" t="s">
        <v>1814</v>
      </c>
      <c r="G481" s="245"/>
      <c r="H481" s="173">
        <v>13</v>
      </c>
      <c r="I481">
        <v>330</v>
      </c>
      <c r="J481" s="173">
        <v>191</v>
      </c>
      <c r="K481" s="402">
        <f t="shared" si="83"/>
        <v>7.5242424242424235</v>
      </c>
      <c r="L481" s="173">
        <f t="shared" si="84"/>
        <v>20.524242424242424</v>
      </c>
      <c r="N481" s="173">
        <f t="shared" si="85"/>
        <v>30.786363636363635</v>
      </c>
      <c r="O481" s="173">
        <v>55</v>
      </c>
    </row>
    <row r="482" spans="1:15" customFormat="1" ht="14.5" x14ac:dyDescent="0.35">
      <c r="A482" s="594"/>
      <c r="B482" s="594"/>
      <c r="C482" s="597" t="s">
        <v>1808</v>
      </c>
      <c r="D482" s="92"/>
      <c r="E482" s="745">
        <v>48</v>
      </c>
      <c r="F482" s="245" t="s">
        <v>1814</v>
      </c>
      <c r="G482" s="245"/>
      <c r="H482" s="173">
        <v>13</v>
      </c>
      <c r="I482">
        <v>330</v>
      </c>
      <c r="J482" s="173">
        <v>191</v>
      </c>
      <c r="K482" s="402">
        <f t="shared" si="83"/>
        <v>7.5242424242424235</v>
      </c>
      <c r="L482" s="173">
        <f t="shared" si="84"/>
        <v>20.524242424242424</v>
      </c>
      <c r="N482" s="173">
        <f t="shared" si="85"/>
        <v>30.786363636363635</v>
      </c>
      <c r="O482" s="173">
        <v>55</v>
      </c>
    </row>
    <row r="483" spans="1:15" customFormat="1" ht="14.5" x14ac:dyDescent="0.35">
      <c r="A483" s="594"/>
      <c r="B483" s="594"/>
      <c r="C483" s="597" t="s">
        <v>1808</v>
      </c>
      <c r="D483" s="92"/>
      <c r="E483" s="745">
        <v>44</v>
      </c>
      <c r="F483" s="245" t="s">
        <v>1815</v>
      </c>
      <c r="G483" s="245"/>
      <c r="H483" s="173">
        <v>13</v>
      </c>
      <c r="I483">
        <v>330</v>
      </c>
      <c r="J483" s="173">
        <v>191</v>
      </c>
      <c r="K483" s="402">
        <f t="shared" si="83"/>
        <v>7.5242424242424235</v>
      </c>
      <c r="L483" s="173">
        <f t="shared" si="84"/>
        <v>20.524242424242424</v>
      </c>
      <c r="N483" s="173">
        <f t="shared" si="85"/>
        <v>30.786363636363635</v>
      </c>
      <c r="O483" s="173">
        <v>55</v>
      </c>
    </row>
    <row r="484" spans="1:15" customFormat="1" ht="14.5" x14ac:dyDescent="0.35">
      <c r="A484" s="594"/>
      <c r="B484" s="594"/>
      <c r="C484" s="597" t="s">
        <v>1808</v>
      </c>
      <c r="D484" s="92"/>
      <c r="E484" s="745">
        <v>46</v>
      </c>
      <c r="F484" s="245" t="s">
        <v>1815</v>
      </c>
      <c r="G484" s="245"/>
      <c r="H484" s="173">
        <v>13</v>
      </c>
      <c r="I484">
        <v>330</v>
      </c>
      <c r="J484" s="173">
        <v>191</v>
      </c>
      <c r="K484" s="402">
        <f t="shared" si="83"/>
        <v>7.5242424242424235</v>
      </c>
      <c r="L484" s="173">
        <f t="shared" si="84"/>
        <v>20.524242424242424</v>
      </c>
      <c r="N484" s="173">
        <f t="shared" si="85"/>
        <v>30.786363636363635</v>
      </c>
      <c r="O484" s="173">
        <v>55</v>
      </c>
    </row>
    <row r="485" spans="1:15" customFormat="1" ht="14.5" x14ac:dyDescent="0.35">
      <c r="A485" s="594"/>
      <c r="B485" s="594"/>
      <c r="C485" s="597" t="s">
        <v>1808</v>
      </c>
      <c r="D485" s="92"/>
      <c r="E485" s="745">
        <v>48</v>
      </c>
      <c r="F485" s="245" t="s">
        <v>1815</v>
      </c>
      <c r="G485" s="245"/>
      <c r="H485" s="173">
        <v>13</v>
      </c>
      <c r="I485">
        <v>330</v>
      </c>
      <c r="J485" s="173">
        <v>191</v>
      </c>
      <c r="K485" s="402">
        <f t="shared" si="83"/>
        <v>7.5242424242424235</v>
      </c>
      <c r="L485" s="173">
        <f t="shared" si="84"/>
        <v>20.524242424242424</v>
      </c>
      <c r="N485" s="173">
        <f t="shared" si="85"/>
        <v>30.786363636363635</v>
      </c>
      <c r="O485" s="173">
        <v>55</v>
      </c>
    </row>
    <row r="486" spans="1:15" customFormat="1" ht="14.5" x14ac:dyDescent="0.35">
      <c r="A486" s="594"/>
      <c r="B486" s="594"/>
      <c r="C486" s="597" t="s">
        <v>1808</v>
      </c>
      <c r="D486" s="92"/>
      <c r="E486" s="745">
        <v>50</v>
      </c>
      <c r="F486" s="245" t="s">
        <v>1815</v>
      </c>
      <c r="G486" s="245"/>
      <c r="H486" s="173">
        <v>13</v>
      </c>
      <c r="I486">
        <v>330</v>
      </c>
      <c r="J486" s="173">
        <v>191</v>
      </c>
      <c r="K486" s="402">
        <f t="shared" si="83"/>
        <v>7.5242424242424235</v>
      </c>
      <c r="L486" s="173">
        <f t="shared" si="84"/>
        <v>20.524242424242424</v>
      </c>
      <c r="N486" s="173">
        <f t="shared" si="85"/>
        <v>30.786363636363635</v>
      </c>
      <c r="O486" s="173">
        <v>55</v>
      </c>
    </row>
    <row r="487" spans="1:15" customFormat="1" ht="14.5" x14ac:dyDescent="0.35">
      <c r="A487" s="594"/>
      <c r="B487" s="594"/>
      <c r="C487" s="597" t="s">
        <v>1808</v>
      </c>
      <c r="D487" s="92"/>
      <c r="E487" s="745">
        <v>44</v>
      </c>
      <c r="F487" s="245" t="s">
        <v>1816</v>
      </c>
      <c r="G487" s="245"/>
      <c r="H487" s="173">
        <v>13</v>
      </c>
      <c r="I487">
        <v>330</v>
      </c>
      <c r="J487" s="173">
        <v>191</v>
      </c>
      <c r="K487" s="402">
        <f t="shared" si="83"/>
        <v>7.5242424242424235</v>
      </c>
      <c r="L487" s="173">
        <f t="shared" si="84"/>
        <v>20.524242424242424</v>
      </c>
      <c r="N487" s="173">
        <f t="shared" si="85"/>
        <v>30.786363636363635</v>
      </c>
      <c r="O487" s="173">
        <v>55</v>
      </c>
    </row>
    <row r="488" spans="1:15" customFormat="1" ht="14.5" x14ac:dyDescent="0.35">
      <c r="A488" s="594"/>
      <c r="B488" s="594"/>
      <c r="C488" s="597" t="s">
        <v>1808</v>
      </c>
      <c r="D488" s="92"/>
      <c r="E488" s="745">
        <v>46</v>
      </c>
      <c r="F488" s="245" t="s">
        <v>1816</v>
      </c>
      <c r="G488" s="245"/>
      <c r="H488" s="173">
        <v>13</v>
      </c>
      <c r="I488">
        <v>330</v>
      </c>
      <c r="J488" s="173">
        <v>191</v>
      </c>
      <c r="K488" s="402">
        <f t="shared" si="83"/>
        <v>7.5242424242424235</v>
      </c>
      <c r="L488" s="173">
        <f t="shared" si="84"/>
        <v>20.524242424242424</v>
      </c>
      <c r="N488" s="173">
        <f t="shared" si="85"/>
        <v>30.786363636363635</v>
      </c>
      <c r="O488" s="173">
        <v>55</v>
      </c>
    </row>
    <row r="489" spans="1:15" customFormat="1" ht="14.5" x14ac:dyDescent="0.35">
      <c r="A489" s="594"/>
      <c r="B489" s="594"/>
      <c r="C489" s="597" t="s">
        <v>1808</v>
      </c>
      <c r="D489" s="92"/>
      <c r="E489" s="745">
        <v>48</v>
      </c>
      <c r="F489" s="245" t="s">
        <v>1816</v>
      </c>
      <c r="G489" s="245"/>
      <c r="H489" s="173">
        <v>13</v>
      </c>
      <c r="I489">
        <v>330</v>
      </c>
      <c r="J489" s="173">
        <v>191</v>
      </c>
      <c r="K489" s="402">
        <f t="shared" si="83"/>
        <v>7.5242424242424235</v>
      </c>
      <c r="L489" s="173">
        <f t="shared" si="84"/>
        <v>20.524242424242424</v>
      </c>
      <c r="N489" s="173">
        <f t="shared" si="85"/>
        <v>30.786363636363635</v>
      </c>
      <c r="O489" s="173">
        <v>55</v>
      </c>
    </row>
    <row r="490" spans="1:15" customFormat="1" ht="14.5" x14ac:dyDescent="0.35">
      <c r="A490" s="594"/>
      <c r="B490" s="594"/>
      <c r="C490" s="597" t="s">
        <v>1808</v>
      </c>
      <c r="D490" s="92"/>
      <c r="E490" s="745">
        <v>50</v>
      </c>
      <c r="F490" s="245" t="s">
        <v>1816</v>
      </c>
      <c r="G490" s="245"/>
      <c r="H490" s="173">
        <v>13</v>
      </c>
      <c r="I490">
        <v>330</v>
      </c>
      <c r="J490" s="173">
        <v>191</v>
      </c>
      <c r="K490" s="402">
        <f t="shared" si="83"/>
        <v>7.5242424242424235</v>
      </c>
      <c r="L490" s="173">
        <f t="shared" si="84"/>
        <v>20.524242424242424</v>
      </c>
      <c r="N490" s="173">
        <f t="shared" si="85"/>
        <v>30.786363636363635</v>
      </c>
      <c r="O490" s="173">
        <v>55</v>
      </c>
    </row>
    <row r="491" spans="1:15" customFormat="1" ht="14.5" x14ac:dyDescent="0.35">
      <c r="A491" s="594"/>
      <c r="B491" s="594"/>
      <c r="C491" s="597" t="s">
        <v>1808</v>
      </c>
      <c r="D491" s="92"/>
      <c r="E491" s="745">
        <v>46</v>
      </c>
      <c r="F491" s="245" t="s">
        <v>1809</v>
      </c>
      <c r="G491" s="245"/>
      <c r="H491" s="173">
        <v>13</v>
      </c>
      <c r="I491">
        <v>330</v>
      </c>
      <c r="J491" s="173">
        <v>191</v>
      </c>
      <c r="K491" s="402">
        <f t="shared" si="83"/>
        <v>7.5242424242424235</v>
      </c>
      <c r="L491" s="173">
        <f t="shared" si="84"/>
        <v>20.524242424242424</v>
      </c>
      <c r="N491" s="173">
        <f t="shared" si="85"/>
        <v>30.786363636363635</v>
      </c>
      <c r="O491" s="173">
        <v>55</v>
      </c>
    </row>
    <row r="492" spans="1:15" customFormat="1" ht="14.5" x14ac:dyDescent="0.35">
      <c r="A492" s="594"/>
      <c r="B492" s="594"/>
      <c r="C492" s="597" t="s">
        <v>1808</v>
      </c>
      <c r="D492" s="92"/>
      <c r="E492" s="745">
        <v>48</v>
      </c>
      <c r="F492" s="245" t="s">
        <v>1809</v>
      </c>
      <c r="G492" s="245"/>
      <c r="H492" s="173">
        <v>13</v>
      </c>
      <c r="I492">
        <v>330</v>
      </c>
      <c r="J492" s="173">
        <v>191</v>
      </c>
      <c r="K492" s="402">
        <f t="shared" si="83"/>
        <v>7.5242424242424235</v>
      </c>
      <c r="L492" s="173">
        <f t="shared" si="84"/>
        <v>20.524242424242424</v>
      </c>
      <c r="N492" s="173">
        <f t="shared" si="85"/>
        <v>30.786363636363635</v>
      </c>
      <c r="O492" s="173">
        <v>55</v>
      </c>
    </row>
    <row r="493" spans="1:15" customFormat="1" ht="14.5" x14ac:dyDescent="0.35">
      <c r="A493" s="594"/>
      <c r="B493" s="594"/>
      <c r="C493" s="597" t="s">
        <v>1808</v>
      </c>
      <c r="D493" s="92"/>
      <c r="E493" s="745">
        <v>50</v>
      </c>
      <c r="F493" s="245" t="s">
        <v>1809</v>
      </c>
      <c r="G493" s="245"/>
      <c r="H493" s="173">
        <v>13</v>
      </c>
      <c r="I493">
        <v>330</v>
      </c>
      <c r="J493" s="173">
        <v>191</v>
      </c>
      <c r="K493" s="402">
        <f t="shared" si="83"/>
        <v>7.5242424242424235</v>
      </c>
      <c r="L493" s="173">
        <f t="shared" si="84"/>
        <v>20.524242424242424</v>
      </c>
      <c r="N493" s="173">
        <f t="shared" si="85"/>
        <v>30.786363636363635</v>
      </c>
      <c r="O493" s="173">
        <v>55</v>
      </c>
    </row>
    <row r="494" spans="1:15" customFormat="1" ht="14.5" x14ac:dyDescent="0.35">
      <c r="A494" s="594"/>
      <c r="B494" s="594"/>
      <c r="C494" s="597" t="s">
        <v>1808</v>
      </c>
      <c r="D494" s="92"/>
      <c r="E494" s="745">
        <v>44</v>
      </c>
      <c r="F494" s="245" t="s">
        <v>1810</v>
      </c>
      <c r="G494" s="245"/>
      <c r="H494" s="173">
        <v>13</v>
      </c>
      <c r="I494">
        <v>330</v>
      </c>
      <c r="J494" s="173">
        <v>191</v>
      </c>
      <c r="K494" s="402">
        <f t="shared" si="83"/>
        <v>7.5242424242424235</v>
      </c>
      <c r="L494" s="173">
        <f t="shared" si="84"/>
        <v>20.524242424242424</v>
      </c>
      <c r="N494" s="173">
        <f t="shared" si="85"/>
        <v>30.786363636363635</v>
      </c>
      <c r="O494" s="173">
        <v>55</v>
      </c>
    </row>
    <row r="495" spans="1:15" customFormat="1" ht="14.5" x14ac:dyDescent="0.35">
      <c r="A495" s="594"/>
      <c r="B495" s="594"/>
      <c r="C495" s="597" t="s">
        <v>1808</v>
      </c>
      <c r="D495" s="92"/>
      <c r="E495" s="745">
        <v>46</v>
      </c>
      <c r="F495" s="245" t="s">
        <v>1810</v>
      </c>
      <c r="G495" s="245"/>
      <c r="H495" s="173">
        <v>13</v>
      </c>
      <c r="I495">
        <v>330</v>
      </c>
      <c r="J495" s="173">
        <v>191</v>
      </c>
      <c r="K495" s="402">
        <f t="shared" si="83"/>
        <v>7.5242424242424235</v>
      </c>
      <c r="L495" s="173">
        <f t="shared" si="84"/>
        <v>20.524242424242424</v>
      </c>
      <c r="N495" s="173">
        <f t="shared" si="85"/>
        <v>30.786363636363635</v>
      </c>
      <c r="O495" s="173">
        <v>55</v>
      </c>
    </row>
    <row r="496" spans="1:15" customFormat="1" ht="14.5" x14ac:dyDescent="0.35">
      <c r="A496" s="594"/>
      <c r="B496" s="594"/>
      <c r="C496" s="597" t="s">
        <v>1808</v>
      </c>
      <c r="D496" s="92"/>
      <c r="E496" s="745">
        <v>48</v>
      </c>
      <c r="F496" s="245" t="s">
        <v>1810</v>
      </c>
      <c r="G496" s="245"/>
      <c r="H496" s="173">
        <v>13</v>
      </c>
      <c r="I496">
        <v>330</v>
      </c>
      <c r="J496" s="173">
        <v>191</v>
      </c>
      <c r="K496" s="402">
        <f t="shared" si="83"/>
        <v>7.5242424242424235</v>
      </c>
      <c r="L496" s="173">
        <f t="shared" si="84"/>
        <v>20.524242424242424</v>
      </c>
      <c r="N496" s="173">
        <f t="shared" si="85"/>
        <v>30.786363636363635</v>
      </c>
      <c r="O496" s="173">
        <v>55</v>
      </c>
    </row>
    <row r="497" spans="1:20" customFormat="1" ht="14.5" x14ac:dyDescent="0.35">
      <c r="A497" s="594"/>
      <c r="B497" s="594"/>
      <c r="C497" s="597" t="s">
        <v>1808</v>
      </c>
      <c r="D497" s="92"/>
      <c r="E497" s="745">
        <v>50</v>
      </c>
      <c r="F497" s="245" t="s">
        <v>1810</v>
      </c>
      <c r="G497" s="245"/>
      <c r="H497" s="173">
        <v>13</v>
      </c>
      <c r="I497">
        <v>330</v>
      </c>
      <c r="J497" s="173">
        <v>191</v>
      </c>
      <c r="K497" s="402">
        <f t="shared" si="83"/>
        <v>7.5242424242424235</v>
      </c>
      <c r="L497" s="173">
        <f t="shared" si="84"/>
        <v>20.524242424242424</v>
      </c>
      <c r="N497" s="173">
        <f t="shared" si="85"/>
        <v>30.786363636363635</v>
      </c>
      <c r="O497" s="173">
        <v>55</v>
      </c>
    </row>
    <row r="498" spans="1:20" customFormat="1" ht="18.5" x14ac:dyDescent="0.45">
      <c r="A498" s="3"/>
      <c r="B498" s="3"/>
      <c r="C498" s="666">
        <v>45901</v>
      </c>
      <c r="E498" s="366"/>
      <c r="F498" s="245"/>
      <c r="G498" s="245"/>
      <c r="H498" s="173"/>
      <c r="J498" s="173"/>
      <c r="K498" s="402"/>
      <c r="L498" s="173"/>
      <c r="N498" s="173"/>
      <c r="O498" s="173"/>
      <c r="P498" s="13"/>
    </row>
    <row r="499" spans="1:20" customFormat="1" ht="14.5" x14ac:dyDescent="0.35">
      <c r="A499" s="594"/>
      <c r="B499" s="775" t="s">
        <v>195</v>
      </c>
      <c r="C499" s="775" t="s">
        <v>195</v>
      </c>
      <c r="D499" s="92"/>
      <c r="E499" s="745">
        <v>52</v>
      </c>
      <c r="F499" s="245" t="s">
        <v>1828</v>
      </c>
      <c r="G499" s="245"/>
      <c r="H499" s="173">
        <v>28</v>
      </c>
      <c r="I499">
        <v>5225</v>
      </c>
      <c r="J499" s="173">
        <v>3700</v>
      </c>
      <c r="K499" s="402">
        <f t="shared" ref="K499:K534" si="86">+H499/I499*J499</f>
        <v>19.827751196172247</v>
      </c>
      <c r="L499" s="173">
        <f t="shared" ref="L499:L534" si="87">+H499+K499</f>
        <v>47.827751196172244</v>
      </c>
      <c r="N499" s="173">
        <f t="shared" ref="N499:N534" si="88">+L499*1.5</f>
        <v>71.741626794258366</v>
      </c>
      <c r="O499" s="173">
        <v>90</v>
      </c>
      <c r="P499" s="173">
        <v>90</v>
      </c>
    </row>
    <row r="500" spans="1:20" customFormat="1" ht="14.5" x14ac:dyDescent="0.35">
      <c r="A500" s="594"/>
      <c r="B500" s="775" t="s">
        <v>1777</v>
      </c>
      <c r="C500" s="775" t="s">
        <v>1858</v>
      </c>
      <c r="D500" s="92"/>
      <c r="E500" s="745">
        <v>44</v>
      </c>
      <c r="F500" s="245" t="s">
        <v>1829</v>
      </c>
      <c r="G500" s="245"/>
      <c r="H500" s="173">
        <v>34</v>
      </c>
      <c r="I500">
        <v>5225</v>
      </c>
      <c r="J500" s="173">
        <v>3700</v>
      </c>
      <c r="K500" s="402">
        <f t="shared" si="86"/>
        <v>24.076555023923447</v>
      </c>
      <c r="L500" s="173">
        <f t="shared" si="87"/>
        <v>58.076555023923447</v>
      </c>
      <c r="N500" s="173">
        <f t="shared" si="88"/>
        <v>87.114832535885171</v>
      </c>
      <c r="O500" s="173">
        <v>125</v>
      </c>
      <c r="P500" s="173">
        <v>100</v>
      </c>
    </row>
    <row r="501" spans="1:20" customFormat="1" ht="14.5" x14ac:dyDescent="0.35">
      <c r="A501" s="594"/>
      <c r="B501" s="775" t="s">
        <v>1777</v>
      </c>
      <c r="C501" s="775" t="s">
        <v>1858</v>
      </c>
      <c r="D501" s="92"/>
      <c r="E501" s="745">
        <v>46</v>
      </c>
      <c r="F501" s="245" t="s">
        <v>1829</v>
      </c>
      <c r="G501" s="245"/>
      <c r="H501" s="173">
        <v>34</v>
      </c>
      <c r="I501">
        <v>5225</v>
      </c>
      <c r="J501" s="173">
        <v>3700</v>
      </c>
      <c r="K501" s="402">
        <f t="shared" si="86"/>
        <v>24.076555023923447</v>
      </c>
      <c r="L501" s="173">
        <f t="shared" si="87"/>
        <v>58.076555023923447</v>
      </c>
      <c r="N501" s="173">
        <f t="shared" si="88"/>
        <v>87.114832535885171</v>
      </c>
      <c r="O501" s="173">
        <v>125</v>
      </c>
      <c r="P501" s="173">
        <v>100</v>
      </c>
    </row>
    <row r="502" spans="1:20" customFormat="1" ht="14.5" x14ac:dyDescent="0.35">
      <c r="A502" s="594"/>
      <c r="B502" s="775" t="s">
        <v>1777</v>
      </c>
      <c r="C502" s="775" t="s">
        <v>1858</v>
      </c>
      <c r="D502" s="92"/>
      <c r="E502" s="745">
        <v>48</v>
      </c>
      <c r="F502" s="245" t="s">
        <v>1829</v>
      </c>
      <c r="G502" s="245"/>
      <c r="H502" s="173">
        <v>34</v>
      </c>
      <c r="I502">
        <v>5225</v>
      </c>
      <c r="J502" s="173">
        <v>3700</v>
      </c>
      <c r="K502" s="402">
        <f t="shared" si="86"/>
        <v>24.076555023923447</v>
      </c>
      <c r="L502" s="173">
        <f t="shared" si="87"/>
        <v>58.076555023923447</v>
      </c>
      <c r="N502" s="173">
        <f t="shared" si="88"/>
        <v>87.114832535885171</v>
      </c>
      <c r="O502" s="173">
        <v>125</v>
      </c>
      <c r="P502" s="173">
        <v>100</v>
      </c>
    </row>
    <row r="503" spans="1:20" customFormat="1" ht="14.5" x14ac:dyDescent="0.35">
      <c r="A503" s="594"/>
      <c r="B503" s="775" t="s">
        <v>1777</v>
      </c>
      <c r="C503" s="775" t="s">
        <v>1858</v>
      </c>
      <c r="D503" s="92"/>
      <c r="E503" s="745">
        <v>50</v>
      </c>
      <c r="F503" s="245" t="s">
        <v>1829</v>
      </c>
      <c r="G503" s="245"/>
      <c r="H503" s="173">
        <v>34</v>
      </c>
      <c r="I503">
        <v>5225</v>
      </c>
      <c r="J503" s="173">
        <v>3700</v>
      </c>
      <c r="K503" s="402">
        <f t="shared" si="86"/>
        <v>24.076555023923447</v>
      </c>
      <c r="L503" s="173">
        <f t="shared" si="87"/>
        <v>58.076555023923447</v>
      </c>
      <c r="N503" s="173">
        <f t="shared" si="88"/>
        <v>87.114832535885171</v>
      </c>
      <c r="O503" s="173">
        <v>125</v>
      </c>
      <c r="P503" s="173">
        <v>100</v>
      </c>
    </row>
    <row r="504" spans="1:20" customFormat="1" ht="14.5" x14ac:dyDescent="0.35">
      <c r="A504" s="594"/>
      <c r="B504" s="775" t="s">
        <v>1777</v>
      </c>
      <c r="C504" s="775" t="s">
        <v>1858</v>
      </c>
      <c r="D504" s="92"/>
      <c r="E504" s="745">
        <v>52</v>
      </c>
      <c r="F504" s="245" t="s">
        <v>1830</v>
      </c>
      <c r="G504" s="245"/>
      <c r="H504" s="173">
        <v>34</v>
      </c>
      <c r="I504">
        <v>5225</v>
      </c>
      <c r="J504" s="173">
        <v>3700</v>
      </c>
      <c r="K504" s="402">
        <f t="shared" si="86"/>
        <v>24.076555023923447</v>
      </c>
      <c r="L504" s="173">
        <f t="shared" si="87"/>
        <v>58.076555023923447</v>
      </c>
      <c r="N504" s="173">
        <f t="shared" si="88"/>
        <v>87.114832535885171</v>
      </c>
      <c r="O504" s="173">
        <v>125</v>
      </c>
      <c r="P504" s="173">
        <v>100</v>
      </c>
    </row>
    <row r="505" spans="1:20" customFormat="1" ht="14.5" x14ac:dyDescent="0.35">
      <c r="A505" s="594"/>
      <c r="B505" s="775" t="s">
        <v>1777</v>
      </c>
      <c r="C505" s="775" t="s">
        <v>1858</v>
      </c>
      <c r="D505" s="92"/>
      <c r="E505" s="745">
        <v>54</v>
      </c>
      <c r="F505" s="245" t="s">
        <v>1830</v>
      </c>
      <c r="G505" s="245"/>
      <c r="H505" s="173">
        <v>34</v>
      </c>
      <c r="I505">
        <v>5225</v>
      </c>
      <c r="J505" s="173">
        <v>3700</v>
      </c>
      <c r="K505" s="402">
        <f t="shared" si="86"/>
        <v>24.076555023923447</v>
      </c>
      <c r="L505" s="173">
        <f t="shared" si="87"/>
        <v>58.076555023923447</v>
      </c>
      <c r="N505" s="173">
        <f t="shared" si="88"/>
        <v>87.114832535885171</v>
      </c>
      <c r="O505" s="173">
        <v>125</v>
      </c>
      <c r="P505" s="173">
        <v>100</v>
      </c>
    </row>
    <row r="506" spans="1:20" customFormat="1" ht="14.5" x14ac:dyDescent="0.35">
      <c r="A506" s="594"/>
      <c r="B506" s="775" t="s">
        <v>1777</v>
      </c>
      <c r="C506" s="775" t="s">
        <v>1858</v>
      </c>
      <c r="D506" s="92"/>
      <c r="E506" s="745">
        <v>56</v>
      </c>
      <c r="F506" s="245" t="s">
        <v>1830</v>
      </c>
      <c r="G506" s="245"/>
      <c r="H506" s="173">
        <v>34</v>
      </c>
      <c r="I506">
        <v>5225</v>
      </c>
      <c r="J506" s="173">
        <v>3700</v>
      </c>
      <c r="K506" s="402">
        <f t="shared" si="86"/>
        <v>24.076555023923447</v>
      </c>
      <c r="L506" s="173">
        <f t="shared" si="87"/>
        <v>58.076555023923447</v>
      </c>
      <c r="N506" s="173">
        <f t="shared" si="88"/>
        <v>87.114832535885171</v>
      </c>
      <c r="O506" s="173">
        <v>125</v>
      </c>
      <c r="P506" s="173">
        <v>100</v>
      </c>
    </row>
    <row r="507" spans="1:20" customFormat="1" ht="14.5" x14ac:dyDescent="0.35">
      <c r="A507" s="594"/>
      <c r="B507" s="775" t="s">
        <v>1777</v>
      </c>
      <c r="C507" s="775" t="s">
        <v>1858</v>
      </c>
      <c r="D507" s="92"/>
      <c r="E507" s="745">
        <v>58</v>
      </c>
      <c r="F507" s="245" t="s">
        <v>1830</v>
      </c>
      <c r="G507" s="245"/>
      <c r="H507" s="173">
        <v>34</v>
      </c>
      <c r="I507">
        <v>5225</v>
      </c>
      <c r="J507" s="173">
        <v>3700</v>
      </c>
      <c r="K507" s="402">
        <f t="shared" si="86"/>
        <v>24.076555023923447</v>
      </c>
      <c r="L507" s="173">
        <f t="shared" si="87"/>
        <v>58.076555023923447</v>
      </c>
      <c r="N507" s="173">
        <f t="shared" si="88"/>
        <v>87.114832535885171</v>
      </c>
      <c r="O507" s="173">
        <v>125</v>
      </c>
      <c r="P507" s="173">
        <v>100</v>
      </c>
    </row>
    <row r="508" spans="1:20" customFormat="1" ht="14.5" x14ac:dyDescent="0.35">
      <c r="A508" s="594"/>
      <c r="B508" s="775" t="s">
        <v>1777</v>
      </c>
      <c r="C508" s="775" t="s">
        <v>1858</v>
      </c>
      <c r="D508" s="92"/>
      <c r="E508" s="745">
        <v>52</v>
      </c>
      <c r="F508" s="245" t="s">
        <v>1831</v>
      </c>
      <c r="G508" s="245"/>
      <c r="H508" s="173">
        <v>34</v>
      </c>
      <c r="I508">
        <v>5225</v>
      </c>
      <c r="J508" s="173">
        <v>3700</v>
      </c>
      <c r="K508" s="402">
        <f t="shared" si="86"/>
        <v>24.076555023923447</v>
      </c>
      <c r="L508" s="173">
        <f t="shared" si="87"/>
        <v>58.076555023923447</v>
      </c>
      <c r="N508" s="173">
        <f t="shared" si="88"/>
        <v>87.114832535885171</v>
      </c>
      <c r="O508" s="173">
        <v>125</v>
      </c>
      <c r="P508" s="173">
        <v>100</v>
      </c>
    </row>
    <row r="509" spans="1:20" customFormat="1" ht="14.5" x14ac:dyDescent="0.35">
      <c r="A509" s="3"/>
      <c r="B509" s="232" t="s">
        <v>1777</v>
      </c>
      <c r="C509" s="232" t="s">
        <v>1858</v>
      </c>
      <c r="E509" s="366">
        <v>54</v>
      </c>
      <c r="F509" s="371" t="s">
        <v>1831</v>
      </c>
      <c r="G509" s="371"/>
      <c r="H509" s="176">
        <v>34</v>
      </c>
      <c r="I509" s="12">
        <v>5225</v>
      </c>
      <c r="J509" s="176">
        <v>3700</v>
      </c>
      <c r="K509" s="410">
        <f t="shared" si="86"/>
        <v>24.076555023923447</v>
      </c>
      <c r="L509" s="176">
        <f t="shared" si="87"/>
        <v>58.076555023923447</v>
      </c>
      <c r="M509" s="12"/>
      <c r="N509" s="176">
        <f t="shared" si="88"/>
        <v>87.114832535885171</v>
      </c>
      <c r="O509" s="176">
        <v>125</v>
      </c>
      <c r="P509" s="344">
        <v>125</v>
      </c>
      <c r="S509" t="s">
        <v>12</v>
      </c>
      <c r="T509" s="6">
        <v>46048</v>
      </c>
    </row>
    <row r="510" spans="1:20" customFormat="1" ht="14.5" x14ac:dyDescent="0.35">
      <c r="A510" s="594"/>
      <c r="B510" s="775" t="s">
        <v>1777</v>
      </c>
      <c r="C510" s="775" t="s">
        <v>1858</v>
      </c>
      <c r="D510" s="92"/>
      <c r="E510" s="745">
        <v>56</v>
      </c>
      <c r="F510" s="245" t="s">
        <v>1831</v>
      </c>
      <c r="G510" s="245"/>
      <c r="H510" s="173">
        <v>34</v>
      </c>
      <c r="I510">
        <v>5225</v>
      </c>
      <c r="J510" s="173">
        <v>3700</v>
      </c>
      <c r="K510" s="402">
        <f t="shared" si="86"/>
        <v>24.076555023923447</v>
      </c>
      <c r="L510" s="173">
        <f t="shared" si="87"/>
        <v>58.076555023923447</v>
      </c>
      <c r="N510" s="173">
        <f t="shared" si="88"/>
        <v>87.114832535885171</v>
      </c>
      <c r="O510" s="173">
        <v>125</v>
      </c>
      <c r="P510" s="173">
        <v>100</v>
      </c>
    </row>
    <row r="511" spans="1:20" customFormat="1" ht="14.5" x14ac:dyDescent="0.35">
      <c r="A511" s="594"/>
      <c r="B511" s="775" t="s">
        <v>1777</v>
      </c>
      <c r="C511" s="775" t="s">
        <v>1858</v>
      </c>
      <c r="D511" s="92"/>
      <c r="E511" s="745">
        <v>58</v>
      </c>
      <c r="F511" s="245" t="s">
        <v>1831</v>
      </c>
      <c r="G511" s="245"/>
      <c r="H511" s="173">
        <v>34</v>
      </c>
      <c r="I511">
        <v>5225</v>
      </c>
      <c r="J511" s="173">
        <v>3700</v>
      </c>
      <c r="K511" s="402">
        <f t="shared" si="86"/>
        <v>24.076555023923447</v>
      </c>
      <c r="L511" s="173">
        <f t="shared" si="87"/>
        <v>58.076555023923447</v>
      </c>
      <c r="N511" s="173">
        <f t="shared" si="88"/>
        <v>87.114832535885171</v>
      </c>
      <c r="O511" s="173">
        <v>125</v>
      </c>
      <c r="P511" s="173">
        <v>100</v>
      </c>
    </row>
    <row r="512" spans="1:20" customFormat="1" ht="14.5" x14ac:dyDescent="0.35">
      <c r="A512" s="594"/>
      <c r="B512" s="775" t="s">
        <v>1856</v>
      </c>
      <c r="C512" s="775" t="s">
        <v>1857</v>
      </c>
      <c r="D512" s="92"/>
      <c r="E512" s="745">
        <v>42</v>
      </c>
      <c r="F512" s="245" t="s">
        <v>2594</v>
      </c>
      <c r="G512" s="245"/>
      <c r="H512" s="173">
        <v>40</v>
      </c>
      <c r="I512">
        <v>5225</v>
      </c>
      <c r="J512" s="173">
        <v>3700</v>
      </c>
      <c r="K512" s="402">
        <f t="shared" si="86"/>
        <v>28.325358851674643</v>
      </c>
      <c r="L512" s="173">
        <f t="shared" si="87"/>
        <v>68.32535885167465</v>
      </c>
      <c r="N512" s="173">
        <f t="shared" si="88"/>
        <v>102.48803827751198</v>
      </c>
      <c r="O512" s="173">
        <v>125</v>
      </c>
      <c r="P512" s="173">
        <v>125</v>
      </c>
    </row>
    <row r="513" spans="1:20" customFormat="1" ht="14.5" x14ac:dyDescent="0.35">
      <c r="A513" s="594"/>
      <c r="B513" s="775" t="s">
        <v>731</v>
      </c>
      <c r="C513" s="775" t="s">
        <v>1857</v>
      </c>
      <c r="D513" s="92"/>
      <c r="E513" s="745">
        <v>44</v>
      </c>
      <c r="F513" s="245" t="s">
        <v>2595</v>
      </c>
      <c r="G513" s="245"/>
      <c r="H513" s="173">
        <v>40</v>
      </c>
      <c r="I513">
        <v>5225</v>
      </c>
      <c r="J513" s="173">
        <v>3700</v>
      </c>
      <c r="K513" s="402">
        <f t="shared" si="86"/>
        <v>28.325358851674643</v>
      </c>
      <c r="L513" s="173">
        <f t="shared" si="87"/>
        <v>68.32535885167465</v>
      </c>
      <c r="N513" s="173">
        <f t="shared" si="88"/>
        <v>102.48803827751198</v>
      </c>
      <c r="O513" s="173">
        <v>125</v>
      </c>
      <c r="P513" s="173">
        <v>125</v>
      </c>
    </row>
    <row r="514" spans="1:20" customFormat="1" ht="14.5" x14ac:dyDescent="0.35">
      <c r="A514" s="594"/>
      <c r="B514" s="775" t="s">
        <v>731</v>
      </c>
      <c r="C514" s="775" t="s">
        <v>1857</v>
      </c>
      <c r="D514" s="92"/>
      <c r="E514" s="745">
        <v>46</v>
      </c>
      <c r="F514" s="245" t="s">
        <v>2595</v>
      </c>
      <c r="G514" s="245"/>
      <c r="H514" s="173">
        <v>40</v>
      </c>
      <c r="I514">
        <v>5225</v>
      </c>
      <c r="J514" s="173">
        <v>3700</v>
      </c>
      <c r="K514" s="402">
        <f t="shared" si="86"/>
        <v>28.325358851674643</v>
      </c>
      <c r="L514" s="173">
        <f t="shared" si="87"/>
        <v>68.32535885167465</v>
      </c>
      <c r="N514" s="173">
        <f t="shared" si="88"/>
        <v>102.48803827751198</v>
      </c>
      <c r="O514" s="173">
        <v>125</v>
      </c>
      <c r="P514" s="173">
        <v>125</v>
      </c>
    </row>
    <row r="515" spans="1:20" customFormat="1" ht="14.5" x14ac:dyDescent="0.35">
      <c r="A515" s="3"/>
      <c r="B515" s="232" t="s">
        <v>731</v>
      </c>
      <c r="C515" s="232" t="s">
        <v>1859</v>
      </c>
      <c r="E515" s="366">
        <v>42</v>
      </c>
      <c r="F515" s="371" t="s">
        <v>1864</v>
      </c>
      <c r="G515" s="371"/>
      <c r="H515" s="176">
        <v>37</v>
      </c>
      <c r="I515" s="12">
        <v>5225</v>
      </c>
      <c r="J515" s="176">
        <v>3700</v>
      </c>
      <c r="K515" s="410">
        <f t="shared" si="86"/>
        <v>26.200956937799045</v>
      </c>
      <c r="L515" s="176">
        <f t="shared" si="87"/>
        <v>63.200956937799049</v>
      </c>
      <c r="M515" s="12"/>
      <c r="N515" s="176">
        <f t="shared" si="88"/>
        <v>94.801435406698573</v>
      </c>
      <c r="O515" s="176">
        <v>125</v>
      </c>
      <c r="P515" s="344">
        <v>125</v>
      </c>
      <c r="S515" t="s">
        <v>12</v>
      </c>
      <c r="T515" s="6">
        <v>46045</v>
      </c>
    </row>
    <row r="516" spans="1:20" customFormat="1" ht="14.5" x14ac:dyDescent="0.35">
      <c r="A516" s="594"/>
      <c r="B516" s="775" t="s">
        <v>731</v>
      </c>
      <c r="C516" s="775" t="s">
        <v>1859</v>
      </c>
      <c r="D516" s="92"/>
      <c r="E516" s="745">
        <v>44</v>
      </c>
      <c r="F516" s="245" t="s">
        <v>1864</v>
      </c>
      <c r="G516" s="245"/>
      <c r="H516" s="173">
        <v>37</v>
      </c>
      <c r="I516">
        <v>5225</v>
      </c>
      <c r="J516" s="173">
        <v>3700</v>
      </c>
      <c r="K516" s="402">
        <f t="shared" si="86"/>
        <v>26.200956937799045</v>
      </c>
      <c r="L516" s="173">
        <f t="shared" si="87"/>
        <v>63.200956937799049</v>
      </c>
      <c r="N516" s="173">
        <f t="shared" si="88"/>
        <v>94.801435406698573</v>
      </c>
      <c r="O516" s="173">
        <v>125</v>
      </c>
      <c r="P516" s="173">
        <v>125</v>
      </c>
    </row>
    <row r="517" spans="1:20" customFormat="1" ht="14.5" x14ac:dyDescent="0.35">
      <c r="A517" s="594"/>
      <c r="B517" s="775" t="s">
        <v>723</v>
      </c>
      <c r="C517" s="775" t="s">
        <v>1875</v>
      </c>
      <c r="D517" s="92"/>
      <c r="E517" s="745">
        <v>44</v>
      </c>
      <c r="F517" s="245" t="s">
        <v>1841</v>
      </c>
      <c r="G517" s="245"/>
      <c r="H517" s="173">
        <v>40</v>
      </c>
      <c r="I517">
        <v>5225</v>
      </c>
      <c r="J517" s="173">
        <v>3700</v>
      </c>
      <c r="K517" s="402">
        <f t="shared" si="86"/>
        <v>28.325358851674643</v>
      </c>
      <c r="L517" s="173">
        <f t="shared" si="87"/>
        <v>68.32535885167465</v>
      </c>
      <c r="N517" s="173">
        <f t="shared" si="88"/>
        <v>102.48803827751198</v>
      </c>
      <c r="O517" s="173">
        <v>125</v>
      </c>
      <c r="P517" s="173">
        <v>125</v>
      </c>
    </row>
    <row r="518" spans="1:20" customFormat="1" ht="14.5" x14ac:dyDescent="0.35">
      <c r="A518" s="3"/>
      <c r="B518" s="232" t="s">
        <v>723</v>
      </c>
      <c r="C518" s="232" t="s">
        <v>1875</v>
      </c>
      <c r="E518" s="366">
        <v>46</v>
      </c>
      <c r="F518" s="371" t="s">
        <v>1841</v>
      </c>
      <c r="G518" s="371"/>
      <c r="H518" s="176">
        <v>40</v>
      </c>
      <c r="I518" s="12">
        <v>5225</v>
      </c>
      <c r="J518" s="176">
        <v>3700</v>
      </c>
      <c r="K518" s="410">
        <f t="shared" si="86"/>
        <v>28.325358851674643</v>
      </c>
      <c r="L518" s="176">
        <f t="shared" si="87"/>
        <v>68.32535885167465</v>
      </c>
      <c r="M518" s="12"/>
      <c r="N518" s="176">
        <f t="shared" si="88"/>
        <v>102.48803827751198</v>
      </c>
      <c r="O518" s="176">
        <v>125</v>
      </c>
      <c r="P518" s="344">
        <v>125</v>
      </c>
      <c r="S518" t="s">
        <v>2574</v>
      </c>
      <c r="T518" s="6">
        <v>46072</v>
      </c>
    </row>
    <row r="519" spans="1:20" customFormat="1" ht="14.5" x14ac:dyDescent="0.35">
      <c r="A519" s="594"/>
      <c r="B519" s="775" t="s">
        <v>723</v>
      </c>
      <c r="C519" s="775" t="s">
        <v>1875</v>
      </c>
      <c r="D519" s="92"/>
      <c r="E519" s="745">
        <v>50</v>
      </c>
      <c r="F519" s="371" t="s">
        <v>1841</v>
      </c>
      <c r="G519" s="371"/>
      <c r="H519" s="176">
        <v>40</v>
      </c>
      <c r="I519" s="12">
        <v>5225</v>
      </c>
      <c r="J519" s="176">
        <v>3700</v>
      </c>
      <c r="K519" s="410">
        <f t="shared" si="86"/>
        <v>28.325358851674643</v>
      </c>
      <c r="L519" s="176">
        <f t="shared" si="87"/>
        <v>68.32535885167465</v>
      </c>
      <c r="M519" s="12"/>
      <c r="N519" s="176">
        <f t="shared" si="88"/>
        <v>102.48803827751198</v>
      </c>
      <c r="O519" s="176">
        <v>125</v>
      </c>
      <c r="P519" s="173">
        <v>125</v>
      </c>
      <c r="S519" t="s">
        <v>2884</v>
      </c>
      <c r="T519" s="6">
        <v>46107</v>
      </c>
    </row>
    <row r="520" spans="1:20" customFormat="1" ht="14.5" x14ac:dyDescent="0.35">
      <c r="A520" s="594"/>
      <c r="B520" s="775" t="s">
        <v>1236</v>
      </c>
      <c r="C520" s="775" t="s">
        <v>1236</v>
      </c>
      <c r="D520" s="92"/>
      <c r="E520" s="92">
        <v>42</v>
      </c>
      <c r="F520" s="245" t="s">
        <v>1844</v>
      </c>
      <c r="G520" s="245"/>
      <c r="H520" s="366">
        <v>40</v>
      </c>
      <c r="I520">
        <v>5225</v>
      </c>
      <c r="J520" s="173">
        <v>3700</v>
      </c>
      <c r="K520" s="402">
        <f t="shared" si="86"/>
        <v>28.325358851674643</v>
      </c>
      <c r="L520" s="173">
        <f t="shared" si="87"/>
        <v>68.32535885167465</v>
      </c>
      <c r="N520" s="173">
        <f t="shared" si="88"/>
        <v>102.48803827751198</v>
      </c>
      <c r="O520" s="173">
        <v>150</v>
      </c>
      <c r="P520" s="173">
        <v>150</v>
      </c>
    </row>
    <row r="521" spans="1:20" customFormat="1" ht="14.5" x14ac:dyDescent="0.35">
      <c r="A521" s="594"/>
      <c r="B521" s="775" t="s">
        <v>1236</v>
      </c>
      <c r="C521" s="775" t="s">
        <v>1236</v>
      </c>
      <c r="D521" s="92"/>
      <c r="E521" s="92">
        <v>44</v>
      </c>
      <c r="F521" s="245" t="s">
        <v>1844</v>
      </c>
      <c r="G521" s="245"/>
      <c r="H521" s="366">
        <v>40</v>
      </c>
      <c r="I521">
        <v>5225</v>
      </c>
      <c r="J521" s="173">
        <v>3700</v>
      </c>
      <c r="K521" s="402">
        <f t="shared" si="86"/>
        <v>28.325358851674643</v>
      </c>
      <c r="L521" s="173">
        <f t="shared" si="87"/>
        <v>68.32535885167465</v>
      </c>
      <c r="N521" s="173">
        <f t="shared" si="88"/>
        <v>102.48803827751198</v>
      </c>
      <c r="O521" s="173">
        <v>150</v>
      </c>
      <c r="P521" s="173">
        <v>150</v>
      </c>
    </row>
    <row r="522" spans="1:20" customFormat="1" ht="14.5" x14ac:dyDescent="0.35">
      <c r="A522" s="594"/>
      <c r="B522" s="775" t="s">
        <v>1236</v>
      </c>
      <c r="C522" s="775" t="s">
        <v>1236</v>
      </c>
      <c r="D522" s="92"/>
      <c r="E522" s="92">
        <v>4</v>
      </c>
      <c r="F522" s="245" t="s">
        <v>1844</v>
      </c>
      <c r="G522" s="245"/>
      <c r="H522" s="366">
        <v>40</v>
      </c>
      <c r="I522">
        <v>5225</v>
      </c>
      <c r="J522" s="173">
        <v>3700</v>
      </c>
      <c r="K522" s="402">
        <f t="shared" si="86"/>
        <v>28.325358851674643</v>
      </c>
      <c r="L522" s="173">
        <f t="shared" si="87"/>
        <v>68.32535885167465</v>
      </c>
      <c r="N522" s="173">
        <f t="shared" si="88"/>
        <v>102.48803827751198</v>
      </c>
      <c r="O522" s="173">
        <v>125</v>
      </c>
      <c r="P522" s="173">
        <v>125</v>
      </c>
    </row>
    <row r="523" spans="1:20" customFormat="1" ht="14.5" x14ac:dyDescent="0.35">
      <c r="A523" s="594"/>
      <c r="B523" s="775" t="s">
        <v>1236</v>
      </c>
      <c r="C523" s="775" t="s">
        <v>1236</v>
      </c>
      <c r="D523" s="92"/>
      <c r="E523" s="92">
        <v>42</v>
      </c>
      <c r="F523" s="371" t="s">
        <v>2563</v>
      </c>
      <c r="G523" s="371"/>
      <c r="H523" s="786">
        <v>30</v>
      </c>
      <c r="I523" s="12">
        <v>5225</v>
      </c>
      <c r="J523" s="176">
        <v>3700</v>
      </c>
      <c r="K523" s="410">
        <f t="shared" si="86"/>
        <v>21.244019138755981</v>
      </c>
      <c r="L523" s="176">
        <f t="shared" si="87"/>
        <v>51.244019138755981</v>
      </c>
      <c r="M523" s="12"/>
      <c r="N523" s="176">
        <f t="shared" si="88"/>
        <v>76.866028708133967</v>
      </c>
      <c r="O523" s="176">
        <v>125</v>
      </c>
      <c r="P523" s="176">
        <v>125</v>
      </c>
      <c r="S523" t="s">
        <v>3153</v>
      </c>
      <c r="T523" s="6">
        <v>46140</v>
      </c>
    </row>
    <row r="524" spans="1:20" customFormat="1" ht="14.5" x14ac:dyDescent="0.35">
      <c r="A524" s="594"/>
      <c r="B524" s="775" t="s">
        <v>231</v>
      </c>
      <c r="C524" s="775" t="s">
        <v>194</v>
      </c>
      <c r="D524" s="92"/>
      <c r="E524" s="745">
        <v>54</v>
      </c>
      <c r="F524" s="245" t="s">
        <v>1845</v>
      </c>
      <c r="G524" s="245"/>
      <c r="H524" s="173">
        <v>44</v>
      </c>
      <c r="I524">
        <v>5225</v>
      </c>
      <c r="J524" s="173">
        <v>3700</v>
      </c>
      <c r="K524" s="402">
        <f t="shared" si="86"/>
        <v>31.157894736842106</v>
      </c>
      <c r="L524" s="173">
        <f t="shared" si="87"/>
        <v>75.15789473684211</v>
      </c>
      <c r="N524" s="173">
        <f t="shared" si="88"/>
        <v>112.73684210526316</v>
      </c>
      <c r="O524" s="173">
        <v>125</v>
      </c>
      <c r="P524" s="173">
        <v>125</v>
      </c>
    </row>
    <row r="525" spans="1:20" customFormat="1" ht="14.5" x14ac:dyDescent="0.35">
      <c r="A525" s="3"/>
      <c r="B525" s="232" t="s">
        <v>231</v>
      </c>
      <c r="C525" s="232" t="s">
        <v>194</v>
      </c>
      <c r="E525" s="366">
        <v>56</v>
      </c>
      <c r="F525" s="371" t="s">
        <v>1845</v>
      </c>
      <c r="G525" s="371"/>
      <c r="H525" s="176">
        <v>44</v>
      </c>
      <c r="I525" s="12">
        <v>5225</v>
      </c>
      <c r="J525" s="176">
        <v>3700</v>
      </c>
      <c r="K525" s="410">
        <f t="shared" si="86"/>
        <v>31.157894736842106</v>
      </c>
      <c r="L525" s="176">
        <f t="shared" si="87"/>
        <v>75.15789473684211</v>
      </c>
      <c r="M525" s="12"/>
      <c r="N525" s="176">
        <f t="shared" si="88"/>
        <v>112.73684210526316</v>
      </c>
      <c r="O525" s="176">
        <v>125</v>
      </c>
      <c r="P525" s="344">
        <v>125</v>
      </c>
      <c r="S525" t="s">
        <v>12</v>
      </c>
      <c r="T525" s="6">
        <v>46048</v>
      </c>
    </row>
    <row r="526" spans="1:20" customFormat="1" ht="14.5" x14ac:dyDescent="0.35">
      <c r="A526" s="3"/>
      <c r="B526" s="232" t="s">
        <v>231</v>
      </c>
      <c r="C526" s="671" t="s">
        <v>1872</v>
      </c>
      <c r="E526" s="366">
        <v>48</v>
      </c>
      <c r="F526" s="371" t="s">
        <v>1846</v>
      </c>
      <c r="G526" s="371"/>
      <c r="H526" s="176">
        <v>37</v>
      </c>
      <c r="I526" s="12">
        <v>5225</v>
      </c>
      <c r="J526" s="176">
        <v>3700</v>
      </c>
      <c r="K526" s="410">
        <f t="shared" si="86"/>
        <v>26.200956937799045</v>
      </c>
      <c r="L526" s="176">
        <f t="shared" si="87"/>
        <v>63.200956937799049</v>
      </c>
      <c r="M526" s="12"/>
      <c r="N526" s="176">
        <f t="shared" si="88"/>
        <v>94.801435406698573</v>
      </c>
      <c r="O526" s="176">
        <v>110</v>
      </c>
      <c r="P526" s="344">
        <v>125</v>
      </c>
      <c r="S526" t="s">
        <v>12</v>
      </c>
      <c r="T526" s="6">
        <v>46069</v>
      </c>
    </row>
    <row r="527" spans="1:20" customFormat="1" ht="14.5" x14ac:dyDescent="0.35">
      <c r="A527" s="594"/>
      <c r="B527" s="775" t="s">
        <v>1855</v>
      </c>
      <c r="C527" s="775" t="s">
        <v>1855</v>
      </c>
      <c r="D527" s="92"/>
      <c r="E527" s="745">
        <v>50</v>
      </c>
      <c r="F527" s="245" t="s">
        <v>1854</v>
      </c>
      <c r="G527" s="245"/>
      <c r="H527" s="173">
        <v>43</v>
      </c>
      <c r="I527">
        <v>5225</v>
      </c>
      <c r="J527" s="173">
        <v>3700</v>
      </c>
      <c r="K527" s="402">
        <f t="shared" si="86"/>
        <v>30.449760765550241</v>
      </c>
      <c r="L527" s="173">
        <f t="shared" si="87"/>
        <v>73.449760765550238</v>
      </c>
      <c r="N527" s="173">
        <f t="shared" si="88"/>
        <v>110.17464114832535</v>
      </c>
      <c r="O527" s="173">
        <v>125</v>
      </c>
      <c r="P527" s="173">
        <v>125</v>
      </c>
      <c r="T527" s="6"/>
    </row>
    <row r="528" spans="1:20" customFormat="1" ht="14.5" x14ac:dyDescent="0.35">
      <c r="A528" s="594"/>
      <c r="B528" s="775" t="s">
        <v>1855</v>
      </c>
      <c r="C528" s="775" t="s">
        <v>1855</v>
      </c>
      <c r="D528" s="92"/>
      <c r="E528" s="745">
        <v>52</v>
      </c>
      <c r="F528" s="245" t="s">
        <v>1854</v>
      </c>
      <c r="G528" s="245"/>
      <c r="H528" s="173">
        <v>43</v>
      </c>
      <c r="I528">
        <v>5225</v>
      </c>
      <c r="J528" s="173">
        <v>3700</v>
      </c>
      <c r="K528" s="402">
        <f t="shared" si="86"/>
        <v>30.449760765550241</v>
      </c>
      <c r="L528" s="173">
        <f t="shared" si="87"/>
        <v>73.449760765550238</v>
      </c>
      <c r="N528" s="173">
        <f t="shared" si="88"/>
        <v>110.17464114832535</v>
      </c>
      <c r="O528" s="173">
        <v>125</v>
      </c>
      <c r="P528" s="173">
        <v>125</v>
      </c>
    </row>
    <row r="529" spans="1:20" customFormat="1" ht="14.5" x14ac:dyDescent="0.35">
      <c r="A529" s="594"/>
      <c r="B529" s="775" t="s">
        <v>1855</v>
      </c>
      <c r="C529" s="775" t="s">
        <v>1855</v>
      </c>
      <c r="D529" s="92"/>
      <c r="E529" s="745">
        <v>54</v>
      </c>
      <c r="F529" s="245" t="s">
        <v>1854</v>
      </c>
      <c r="G529" s="245"/>
      <c r="H529" s="173">
        <v>43</v>
      </c>
      <c r="I529">
        <v>5225</v>
      </c>
      <c r="J529" s="173">
        <v>3700</v>
      </c>
      <c r="K529" s="402">
        <f t="shared" si="86"/>
        <v>30.449760765550241</v>
      </c>
      <c r="L529" s="173">
        <f t="shared" si="87"/>
        <v>73.449760765550238</v>
      </c>
      <c r="N529" s="173">
        <f t="shared" si="88"/>
        <v>110.17464114832535</v>
      </c>
      <c r="O529" s="173">
        <v>125</v>
      </c>
      <c r="P529" s="173">
        <v>125</v>
      </c>
    </row>
    <row r="530" spans="1:20" customFormat="1" ht="14.5" x14ac:dyDescent="0.35">
      <c r="A530" s="3"/>
      <c r="B530" s="232" t="s">
        <v>1855</v>
      </c>
      <c r="C530" s="232" t="s">
        <v>1855</v>
      </c>
      <c r="E530" s="366">
        <v>56</v>
      </c>
      <c r="F530" s="371" t="s">
        <v>1854</v>
      </c>
      <c r="G530" s="371"/>
      <c r="H530" s="176">
        <v>43</v>
      </c>
      <c r="I530" s="12">
        <v>5225</v>
      </c>
      <c r="J530" s="176">
        <v>3700</v>
      </c>
      <c r="K530" s="410">
        <f t="shared" si="86"/>
        <v>30.449760765550241</v>
      </c>
      <c r="L530" s="176">
        <f t="shared" si="87"/>
        <v>73.449760765550238</v>
      </c>
      <c r="M530" s="12"/>
      <c r="N530" s="176">
        <f t="shared" si="88"/>
        <v>110.17464114832535</v>
      </c>
      <c r="O530" s="176">
        <v>125</v>
      </c>
      <c r="P530" s="344">
        <v>125</v>
      </c>
      <c r="S530" t="s">
        <v>12</v>
      </c>
      <c r="T530" s="6">
        <v>46048</v>
      </c>
    </row>
    <row r="531" spans="1:20" customFormat="1" ht="14.5" x14ac:dyDescent="0.35">
      <c r="A531" s="594"/>
      <c r="B531" s="775" t="s">
        <v>571</v>
      </c>
      <c r="C531" s="775" t="s">
        <v>1233</v>
      </c>
      <c r="D531" s="92"/>
      <c r="E531" s="745">
        <v>36</v>
      </c>
      <c r="F531" s="245" t="s">
        <v>1873</v>
      </c>
      <c r="G531" s="245"/>
      <c r="H531" s="173">
        <v>33</v>
      </c>
      <c r="I531">
        <v>5225</v>
      </c>
      <c r="J531" s="173">
        <v>3700</v>
      </c>
      <c r="K531" s="402">
        <f t="shared" si="86"/>
        <v>23.368421052631579</v>
      </c>
      <c r="L531" s="173">
        <f t="shared" si="87"/>
        <v>56.368421052631575</v>
      </c>
      <c r="N531" s="173">
        <f t="shared" si="88"/>
        <v>84.55263157894737</v>
      </c>
      <c r="O531" s="173">
        <v>110</v>
      </c>
      <c r="P531" s="173">
        <v>90</v>
      </c>
    </row>
    <row r="532" spans="1:20" customFormat="1" ht="14.5" x14ac:dyDescent="0.35">
      <c r="A532" s="594"/>
      <c r="B532" s="775" t="s">
        <v>571</v>
      </c>
      <c r="C532" s="775" t="s">
        <v>1233</v>
      </c>
      <c r="D532" s="92"/>
      <c r="E532" s="745">
        <v>38</v>
      </c>
      <c r="F532" s="371" t="s">
        <v>1873</v>
      </c>
      <c r="G532" s="371"/>
      <c r="H532" s="176">
        <v>33</v>
      </c>
      <c r="I532" s="12">
        <v>5225</v>
      </c>
      <c r="J532" s="176">
        <v>3700</v>
      </c>
      <c r="K532" s="410">
        <f t="shared" si="86"/>
        <v>23.368421052631579</v>
      </c>
      <c r="L532" s="176">
        <f t="shared" si="87"/>
        <v>56.368421052631575</v>
      </c>
      <c r="M532" s="12"/>
      <c r="N532" s="176">
        <f t="shared" si="88"/>
        <v>84.55263157894737</v>
      </c>
      <c r="O532" s="176">
        <v>110</v>
      </c>
      <c r="P532" s="173">
        <v>90</v>
      </c>
      <c r="S532" t="s">
        <v>12</v>
      </c>
      <c r="T532" s="6">
        <v>46141</v>
      </c>
    </row>
    <row r="533" spans="1:20" customFormat="1" ht="14.5" x14ac:dyDescent="0.35">
      <c r="A533" s="594"/>
      <c r="B533" s="775" t="s">
        <v>571</v>
      </c>
      <c r="C533" s="775" t="s">
        <v>1233</v>
      </c>
      <c r="D533" s="92"/>
      <c r="E533" s="786">
        <v>40</v>
      </c>
      <c r="F533" s="371" t="s">
        <v>1873</v>
      </c>
      <c r="G533" s="371"/>
      <c r="H533" s="176">
        <v>33</v>
      </c>
      <c r="I533" s="12">
        <v>5225</v>
      </c>
      <c r="J533" s="176">
        <v>3700</v>
      </c>
      <c r="K533" s="410">
        <f t="shared" si="86"/>
        <v>23.368421052631579</v>
      </c>
      <c r="L533" s="176">
        <f t="shared" si="87"/>
        <v>56.368421052631575</v>
      </c>
      <c r="M533" s="12"/>
      <c r="N533" s="176">
        <f t="shared" si="88"/>
        <v>84.55263157894737</v>
      </c>
      <c r="O533" s="176">
        <v>110</v>
      </c>
      <c r="P533" s="344">
        <v>90</v>
      </c>
      <c r="S533" t="s">
        <v>1075</v>
      </c>
      <c r="T533" s="6">
        <v>46076</v>
      </c>
    </row>
    <row r="534" spans="1:20" customFormat="1" ht="14.5" x14ac:dyDescent="0.35">
      <c r="A534" s="594"/>
      <c r="B534" s="775" t="s">
        <v>1876</v>
      </c>
      <c r="C534" s="775" t="s">
        <v>1877</v>
      </c>
      <c r="D534" s="92"/>
      <c r="E534" s="745">
        <v>1</v>
      </c>
      <c r="F534" s="245" t="s">
        <v>1878</v>
      </c>
      <c r="G534" s="245"/>
      <c r="H534" s="173">
        <v>20</v>
      </c>
      <c r="I534">
        <v>5225</v>
      </c>
      <c r="J534" s="173">
        <v>3700</v>
      </c>
      <c r="K534" s="402">
        <f t="shared" si="86"/>
        <v>14.162679425837322</v>
      </c>
      <c r="L534" s="173">
        <f t="shared" si="87"/>
        <v>34.162679425837325</v>
      </c>
      <c r="N534" s="173">
        <f t="shared" si="88"/>
        <v>51.244019138755988</v>
      </c>
      <c r="O534" s="173">
        <v>100</v>
      </c>
      <c r="P534" s="173">
        <v>80</v>
      </c>
      <c r="S534" t="s">
        <v>2058</v>
      </c>
      <c r="T534" s="6">
        <v>45937</v>
      </c>
    </row>
    <row r="535" spans="1:20" customFormat="1" ht="14.5" x14ac:dyDescent="0.35">
      <c r="A535" s="3"/>
      <c r="B535" s="233"/>
      <c r="C535" s="232" t="s">
        <v>1915</v>
      </c>
      <c r="E535" s="366"/>
      <c r="F535" s="245"/>
      <c r="G535" s="245"/>
      <c r="H535" s="173"/>
      <c r="J535" s="173"/>
      <c r="K535" s="402"/>
      <c r="L535" s="173"/>
      <c r="N535" s="173"/>
      <c r="O535" s="173"/>
      <c r="P535" s="344"/>
    </row>
    <row r="536" spans="1:20" customFormat="1" ht="14.5" x14ac:dyDescent="0.35">
      <c r="A536" s="594"/>
      <c r="B536" s="597" t="s">
        <v>731</v>
      </c>
      <c r="C536" s="597" t="s">
        <v>1916</v>
      </c>
      <c r="D536" s="92"/>
      <c r="E536" s="745">
        <v>44</v>
      </c>
      <c r="F536" s="245" t="s">
        <v>1811</v>
      </c>
      <c r="G536" s="245"/>
      <c r="H536" s="173">
        <v>65</v>
      </c>
      <c r="I536">
        <f>520*1.05</f>
        <v>546</v>
      </c>
      <c r="J536" s="173">
        <f t="shared" ref="J536:J541" si="89">10*15</f>
        <v>150</v>
      </c>
      <c r="K536" s="402">
        <f t="shared" ref="K536:K541" si="90">+H536/I536*J536</f>
        <v>17.857142857142858</v>
      </c>
      <c r="L536" s="173">
        <f t="shared" ref="L536:L541" si="91">+H536+K536</f>
        <v>82.857142857142861</v>
      </c>
      <c r="N536" s="173">
        <f t="shared" ref="N536:N541" si="92">+L536*1.5</f>
        <v>124.28571428571429</v>
      </c>
      <c r="O536" s="173">
        <v>150</v>
      </c>
      <c r="P536" s="173">
        <v>150</v>
      </c>
    </row>
    <row r="537" spans="1:20" customFormat="1" ht="14.5" x14ac:dyDescent="0.35">
      <c r="A537" s="594"/>
      <c r="B537" s="597" t="s">
        <v>731</v>
      </c>
      <c r="C537" s="597" t="s">
        <v>1916</v>
      </c>
      <c r="D537" s="92"/>
      <c r="E537" s="745">
        <v>46</v>
      </c>
      <c r="F537" s="371" t="s">
        <v>1811</v>
      </c>
      <c r="G537" s="371"/>
      <c r="H537" s="176">
        <v>65</v>
      </c>
      <c r="I537" s="12">
        <v>546</v>
      </c>
      <c r="J537" s="176">
        <f t="shared" si="89"/>
        <v>150</v>
      </c>
      <c r="K537" s="410">
        <f t="shared" si="90"/>
        <v>17.857142857142858</v>
      </c>
      <c r="L537" s="176">
        <f t="shared" si="91"/>
        <v>82.857142857142861</v>
      </c>
      <c r="M537" s="12"/>
      <c r="N537" s="176">
        <f t="shared" si="92"/>
        <v>124.28571428571429</v>
      </c>
      <c r="O537" s="176">
        <v>150</v>
      </c>
      <c r="P537" s="344">
        <v>150</v>
      </c>
      <c r="S537" t="s">
        <v>2814</v>
      </c>
      <c r="T537" s="6">
        <v>46100</v>
      </c>
    </row>
    <row r="538" spans="1:20" customFormat="1" ht="14.5" x14ac:dyDescent="0.35">
      <c r="A538" s="594"/>
      <c r="B538" s="597" t="s">
        <v>731</v>
      </c>
      <c r="C538" s="597" t="s">
        <v>1916</v>
      </c>
      <c r="D538" s="92"/>
      <c r="E538" s="745">
        <v>50</v>
      </c>
      <c r="F538" s="245" t="s">
        <v>1811</v>
      </c>
      <c r="G538" s="245"/>
      <c r="H538" s="173">
        <v>65</v>
      </c>
      <c r="I538">
        <v>546</v>
      </c>
      <c r="J538" s="173">
        <f t="shared" si="89"/>
        <v>150</v>
      </c>
      <c r="K538" s="402">
        <f t="shared" si="90"/>
        <v>17.857142857142858</v>
      </c>
      <c r="L538" s="173">
        <f t="shared" si="91"/>
        <v>82.857142857142861</v>
      </c>
      <c r="N538" s="173">
        <f t="shared" si="92"/>
        <v>124.28571428571429</v>
      </c>
      <c r="O538" s="173">
        <v>150</v>
      </c>
      <c r="P538" s="173">
        <v>150</v>
      </c>
    </row>
    <row r="539" spans="1:20" customFormat="1" ht="14.5" x14ac:dyDescent="0.35">
      <c r="A539" s="594"/>
      <c r="B539" s="597" t="s">
        <v>731</v>
      </c>
      <c r="C539" s="597" t="s">
        <v>1916</v>
      </c>
      <c r="D539" s="92"/>
      <c r="E539" s="745">
        <v>44</v>
      </c>
      <c r="F539" s="245" t="s">
        <v>1812</v>
      </c>
      <c r="G539" s="245"/>
      <c r="H539" s="173">
        <v>65</v>
      </c>
      <c r="I539">
        <v>546</v>
      </c>
      <c r="J539" s="173">
        <f t="shared" si="89"/>
        <v>150</v>
      </c>
      <c r="K539" s="402">
        <f t="shared" si="90"/>
        <v>17.857142857142858</v>
      </c>
      <c r="L539" s="173">
        <f t="shared" si="91"/>
        <v>82.857142857142861</v>
      </c>
      <c r="N539" s="173">
        <f t="shared" si="92"/>
        <v>124.28571428571429</v>
      </c>
      <c r="O539" s="173">
        <v>150</v>
      </c>
      <c r="P539" s="173">
        <v>150</v>
      </c>
    </row>
    <row r="540" spans="1:20" customFormat="1" ht="14.5" x14ac:dyDescent="0.35">
      <c r="A540" s="594"/>
      <c r="B540" s="597" t="s">
        <v>731</v>
      </c>
      <c r="C540" s="597" t="s">
        <v>1916</v>
      </c>
      <c r="D540" s="92"/>
      <c r="E540" s="745">
        <v>48</v>
      </c>
      <c r="F540" s="245" t="s">
        <v>1812</v>
      </c>
      <c r="G540" s="245"/>
      <c r="H540" s="173">
        <v>65</v>
      </c>
      <c r="I540">
        <v>546</v>
      </c>
      <c r="J540" s="173">
        <f t="shared" si="89"/>
        <v>150</v>
      </c>
      <c r="K540" s="402">
        <f t="shared" si="90"/>
        <v>17.857142857142858</v>
      </c>
      <c r="L540" s="173">
        <f t="shared" si="91"/>
        <v>82.857142857142861</v>
      </c>
      <c r="N540" s="173">
        <f t="shared" si="92"/>
        <v>124.28571428571429</v>
      </c>
      <c r="O540" s="173">
        <v>150</v>
      </c>
      <c r="P540" s="173">
        <v>150</v>
      </c>
    </row>
    <row r="541" spans="1:20" customFormat="1" ht="14.5" x14ac:dyDescent="0.35">
      <c r="A541" s="594"/>
      <c r="B541" s="597" t="s">
        <v>731</v>
      </c>
      <c r="C541" s="597" t="s">
        <v>1916</v>
      </c>
      <c r="D541" s="92"/>
      <c r="E541" s="745">
        <v>50</v>
      </c>
      <c r="F541" s="245" t="s">
        <v>1812</v>
      </c>
      <c r="G541" s="245"/>
      <c r="H541" s="173">
        <v>65</v>
      </c>
      <c r="I541">
        <v>546</v>
      </c>
      <c r="J541" s="173">
        <f t="shared" si="89"/>
        <v>150</v>
      </c>
      <c r="K541" s="402">
        <f t="shared" si="90"/>
        <v>17.857142857142858</v>
      </c>
      <c r="L541" s="173">
        <f t="shared" si="91"/>
        <v>82.857142857142861</v>
      </c>
      <c r="N541" s="173">
        <f t="shared" si="92"/>
        <v>124.28571428571429</v>
      </c>
      <c r="O541" s="173">
        <v>150</v>
      </c>
      <c r="P541" s="173">
        <v>150</v>
      </c>
    </row>
    <row r="542" spans="1:20" customFormat="1" ht="14.5" x14ac:dyDescent="0.35">
      <c r="A542" s="594"/>
      <c r="B542" s="597" t="s">
        <v>231</v>
      </c>
      <c r="C542" s="597" t="s">
        <v>1872</v>
      </c>
      <c r="D542" s="92"/>
      <c r="E542" s="745">
        <v>42</v>
      </c>
      <c r="F542" s="371" t="s">
        <v>1926</v>
      </c>
      <c r="G542" s="371"/>
      <c r="H542" s="176">
        <v>37</v>
      </c>
      <c r="I542" s="12">
        <v>67</v>
      </c>
      <c r="J542" s="176">
        <v>110</v>
      </c>
      <c r="K542" s="410"/>
      <c r="L542" s="176"/>
      <c r="M542" s="12" t="s">
        <v>1520</v>
      </c>
      <c r="N542" s="173">
        <f t="shared" ref="N542" si="93">+L542*1.5</f>
        <v>0</v>
      </c>
      <c r="O542" s="173">
        <v>90</v>
      </c>
      <c r="P542" s="173">
        <v>110</v>
      </c>
      <c r="S542" t="s">
        <v>749</v>
      </c>
      <c r="T542" s="6">
        <v>46139</v>
      </c>
    </row>
    <row r="543" spans="1:20" customFormat="1" ht="14.5" x14ac:dyDescent="0.35">
      <c r="A543" s="3"/>
      <c r="B543" s="233"/>
      <c r="C543" s="233" t="s">
        <v>1910</v>
      </c>
      <c r="E543" s="366"/>
      <c r="F543" s="245"/>
      <c r="G543" s="245"/>
      <c r="H543" s="173"/>
      <c r="J543" s="173"/>
      <c r="K543" s="173"/>
      <c r="L543" s="173"/>
      <c r="N543" s="173"/>
      <c r="P543" s="344"/>
    </row>
    <row r="544" spans="1:20" customFormat="1" ht="14.5" x14ac:dyDescent="0.35">
      <c r="A544" s="594"/>
      <c r="B544" s="597" t="s">
        <v>1028</v>
      </c>
      <c r="C544" s="597" t="s">
        <v>1028</v>
      </c>
      <c r="D544" s="92"/>
      <c r="E544" s="745">
        <v>38</v>
      </c>
      <c r="F544" s="371" t="s">
        <v>1911</v>
      </c>
      <c r="G544" s="371"/>
      <c r="H544" s="176">
        <v>35</v>
      </c>
      <c r="I544" s="12">
        <v>418</v>
      </c>
      <c r="J544" s="12">
        <f t="shared" ref="J544:J552" si="94">9*15</f>
        <v>135</v>
      </c>
      <c r="K544" s="176">
        <f t="shared" ref="K544:K552" si="95">+H544/I544*J544</f>
        <v>11.303827751196174</v>
      </c>
      <c r="L544" s="176">
        <f t="shared" ref="L544:L552" si="96">+H544+K544</f>
        <v>46.303827751196174</v>
      </c>
      <c r="M544" s="12"/>
      <c r="N544" s="176">
        <f t="shared" ref="N544:N552" si="97">+L544*1.5</f>
        <v>69.455741626794264</v>
      </c>
      <c r="O544" s="176">
        <v>125</v>
      </c>
      <c r="P544" s="173">
        <v>120</v>
      </c>
      <c r="S544" t="s">
        <v>12</v>
      </c>
      <c r="T544" s="6">
        <v>46137</v>
      </c>
    </row>
    <row r="545" spans="1:20" customFormat="1" ht="14.5" x14ac:dyDescent="0.35">
      <c r="A545" s="594"/>
      <c r="B545" s="597" t="s">
        <v>1028</v>
      </c>
      <c r="C545" s="597" t="s">
        <v>1028</v>
      </c>
      <c r="D545" s="92"/>
      <c r="E545" s="745">
        <v>40</v>
      </c>
      <c r="F545" s="245" t="s">
        <v>1911</v>
      </c>
      <c r="G545" s="245"/>
      <c r="H545" s="173">
        <v>35</v>
      </c>
      <c r="I545">
        <v>418</v>
      </c>
      <c r="J545">
        <f t="shared" si="94"/>
        <v>135</v>
      </c>
      <c r="K545" s="173">
        <f t="shared" si="95"/>
        <v>11.303827751196174</v>
      </c>
      <c r="L545" s="173">
        <f t="shared" si="96"/>
        <v>46.303827751196174</v>
      </c>
      <c r="N545" s="173">
        <f t="shared" si="97"/>
        <v>69.455741626794264</v>
      </c>
      <c r="O545" s="173">
        <v>125</v>
      </c>
      <c r="P545" s="173">
        <v>120</v>
      </c>
    </row>
    <row r="546" spans="1:20" customFormat="1" ht="14.5" x14ac:dyDescent="0.35">
      <c r="A546" s="594"/>
      <c r="B546" s="597" t="s">
        <v>1028</v>
      </c>
      <c r="C546" s="597" t="s">
        <v>1028</v>
      </c>
      <c r="D546" s="92"/>
      <c r="E546" s="745">
        <v>36</v>
      </c>
      <c r="F546" s="245" t="s">
        <v>2570</v>
      </c>
      <c r="G546" s="245"/>
      <c r="H546" s="173">
        <v>35</v>
      </c>
      <c r="I546">
        <v>418</v>
      </c>
      <c r="J546">
        <f t="shared" si="94"/>
        <v>135</v>
      </c>
      <c r="K546" s="173">
        <f t="shared" si="95"/>
        <v>11.303827751196174</v>
      </c>
      <c r="L546" s="173">
        <f t="shared" si="96"/>
        <v>46.303827751196174</v>
      </c>
      <c r="N546" s="173">
        <f t="shared" si="97"/>
        <v>69.455741626794264</v>
      </c>
      <c r="O546" s="173">
        <v>125</v>
      </c>
      <c r="P546" s="173">
        <v>120</v>
      </c>
    </row>
    <row r="547" spans="1:20" customFormat="1" ht="14.5" x14ac:dyDescent="0.35">
      <c r="A547" s="594"/>
      <c r="B547" s="597" t="s">
        <v>1028</v>
      </c>
      <c r="C547" s="597" t="s">
        <v>1028</v>
      </c>
      <c r="D547" s="92"/>
      <c r="E547" s="745">
        <v>38</v>
      </c>
      <c r="F547" s="245" t="s">
        <v>2570</v>
      </c>
      <c r="G547" s="245"/>
      <c r="H547" s="173">
        <v>35</v>
      </c>
      <c r="I547">
        <v>418</v>
      </c>
      <c r="J547">
        <f t="shared" si="94"/>
        <v>135</v>
      </c>
      <c r="K547" s="173">
        <f t="shared" si="95"/>
        <v>11.303827751196174</v>
      </c>
      <c r="L547" s="173">
        <f t="shared" si="96"/>
        <v>46.303827751196174</v>
      </c>
      <c r="N547" s="173">
        <f t="shared" si="97"/>
        <v>69.455741626794264</v>
      </c>
      <c r="O547" s="173">
        <v>125</v>
      </c>
      <c r="P547" s="173">
        <v>120</v>
      </c>
    </row>
    <row r="548" spans="1:20" customFormat="1" ht="14.5" x14ac:dyDescent="0.35">
      <c r="A548" s="594"/>
      <c r="B548" s="597" t="s">
        <v>1028</v>
      </c>
      <c r="C548" s="597" t="s">
        <v>1028</v>
      </c>
      <c r="D548" s="92"/>
      <c r="E548" s="745">
        <v>40</v>
      </c>
      <c r="F548" s="245" t="s">
        <v>2570</v>
      </c>
      <c r="G548" s="245"/>
      <c r="H548" s="173">
        <v>35</v>
      </c>
      <c r="I548">
        <v>418</v>
      </c>
      <c r="J548">
        <f t="shared" si="94"/>
        <v>135</v>
      </c>
      <c r="K548" s="173">
        <f t="shared" si="95"/>
        <v>11.303827751196174</v>
      </c>
      <c r="L548" s="173">
        <f t="shared" si="96"/>
        <v>46.303827751196174</v>
      </c>
      <c r="N548" s="173">
        <f t="shared" si="97"/>
        <v>69.455741626794264</v>
      </c>
      <c r="O548" s="173">
        <v>125</v>
      </c>
      <c r="P548" s="173">
        <v>120</v>
      </c>
    </row>
    <row r="549" spans="1:20" customFormat="1" ht="14.5" x14ac:dyDescent="0.35">
      <c r="A549" s="594"/>
      <c r="B549" s="597" t="s">
        <v>1028</v>
      </c>
      <c r="C549" s="597" t="s">
        <v>1028</v>
      </c>
      <c r="D549" s="92"/>
      <c r="E549" s="745">
        <v>42</v>
      </c>
      <c r="F549" s="245" t="s">
        <v>1914</v>
      </c>
      <c r="G549" s="245"/>
      <c r="H549" s="173">
        <v>30</v>
      </c>
      <c r="I549">
        <v>418</v>
      </c>
      <c r="J549">
        <f t="shared" si="94"/>
        <v>135</v>
      </c>
      <c r="K549" s="173">
        <f t="shared" si="95"/>
        <v>9.6889952153110048</v>
      </c>
      <c r="L549" s="173">
        <f t="shared" si="96"/>
        <v>39.688995215311003</v>
      </c>
      <c r="N549" s="173">
        <f t="shared" si="97"/>
        <v>59.533492822966508</v>
      </c>
      <c r="O549" s="173">
        <v>125</v>
      </c>
      <c r="P549" s="173">
        <v>100</v>
      </c>
    </row>
    <row r="550" spans="1:20" customFormat="1" ht="14.5" x14ac:dyDescent="0.35">
      <c r="A550" s="594"/>
      <c r="B550" s="597" t="s">
        <v>1028</v>
      </c>
      <c r="C550" s="597" t="s">
        <v>1028</v>
      </c>
      <c r="D550" s="92"/>
      <c r="E550" s="745">
        <v>44</v>
      </c>
      <c r="F550" s="245" t="s">
        <v>1914</v>
      </c>
      <c r="G550" s="245"/>
      <c r="H550" s="173">
        <v>30</v>
      </c>
      <c r="I550">
        <v>418</v>
      </c>
      <c r="J550">
        <f t="shared" si="94"/>
        <v>135</v>
      </c>
      <c r="K550" s="173">
        <f t="shared" si="95"/>
        <v>9.6889952153110048</v>
      </c>
      <c r="L550" s="173">
        <f t="shared" si="96"/>
        <v>39.688995215311003</v>
      </c>
      <c r="N550" s="173">
        <f t="shared" si="97"/>
        <v>59.533492822966508</v>
      </c>
      <c r="O550" s="173">
        <v>125</v>
      </c>
      <c r="P550" s="173">
        <v>100</v>
      </c>
    </row>
    <row r="551" spans="1:20" customFormat="1" ht="14.5" x14ac:dyDescent="0.35">
      <c r="A551" s="594"/>
      <c r="B551" s="597" t="s">
        <v>1028</v>
      </c>
      <c r="C551" s="597" t="s">
        <v>1028</v>
      </c>
      <c r="D551" s="92"/>
      <c r="E551" s="745">
        <v>46</v>
      </c>
      <c r="F551" s="245" t="s">
        <v>1914</v>
      </c>
      <c r="G551" s="245"/>
      <c r="H551" s="173">
        <v>30</v>
      </c>
      <c r="I551">
        <v>418</v>
      </c>
      <c r="J551">
        <f t="shared" si="94"/>
        <v>135</v>
      </c>
      <c r="K551" s="173">
        <f t="shared" si="95"/>
        <v>9.6889952153110048</v>
      </c>
      <c r="L551" s="173">
        <f t="shared" si="96"/>
        <v>39.688995215311003</v>
      </c>
      <c r="N551" s="173">
        <f t="shared" si="97"/>
        <v>59.533492822966508</v>
      </c>
      <c r="O551" s="173">
        <v>125</v>
      </c>
      <c r="P551" s="173">
        <v>100</v>
      </c>
    </row>
    <row r="552" spans="1:20" customFormat="1" ht="14.5" hidden="1" x14ac:dyDescent="0.35">
      <c r="A552" s="3"/>
      <c r="B552" s="597" t="s">
        <v>1028</v>
      </c>
      <c r="C552" s="597" t="s">
        <v>1028</v>
      </c>
      <c r="D552" s="92"/>
      <c r="E552" s="745">
        <v>42</v>
      </c>
      <c r="F552" s="371" t="s">
        <v>1913</v>
      </c>
      <c r="G552" s="371"/>
      <c r="H552" s="176">
        <v>16</v>
      </c>
      <c r="I552" s="12">
        <v>418</v>
      </c>
      <c r="J552" s="12">
        <f t="shared" si="94"/>
        <v>135</v>
      </c>
      <c r="K552" s="176">
        <f t="shared" si="95"/>
        <v>5.1674641148325353</v>
      </c>
      <c r="L552" s="176">
        <f t="shared" si="96"/>
        <v>21.167464114832534</v>
      </c>
      <c r="M552" s="12"/>
      <c r="N552" s="176">
        <f t="shared" si="97"/>
        <v>31.7511961722488</v>
      </c>
      <c r="O552" s="176">
        <v>75</v>
      </c>
      <c r="P552" s="344">
        <v>75</v>
      </c>
      <c r="S552" t="s">
        <v>12</v>
      </c>
      <c r="T552" s="6">
        <v>46086</v>
      </c>
    </row>
    <row r="553" spans="1:20" customFormat="1" ht="14.5" x14ac:dyDescent="0.35">
      <c r="A553" s="3"/>
      <c r="B553" s="232" t="s">
        <v>2783</v>
      </c>
      <c r="C553" s="233"/>
      <c r="E553" s="366"/>
      <c r="F553" s="245"/>
      <c r="G553" s="245"/>
      <c r="H553" s="173"/>
      <c r="K553" s="173"/>
      <c r="L553" s="173"/>
      <c r="N553" s="173"/>
      <c r="O553" s="173"/>
      <c r="P553" s="344"/>
      <c r="T553" s="6"/>
    </row>
    <row r="554" spans="1:20" customFormat="1" ht="14.5" x14ac:dyDescent="0.35">
      <c r="A554" s="594"/>
      <c r="B554" s="775" t="s">
        <v>195</v>
      </c>
      <c r="C554" s="775" t="s">
        <v>195</v>
      </c>
      <c r="D554" s="92"/>
      <c r="E554" s="745">
        <v>48</v>
      </c>
      <c r="F554" s="245" t="s">
        <v>1827</v>
      </c>
      <c r="G554" s="245"/>
      <c r="H554" s="173">
        <v>28</v>
      </c>
      <c r="I554">
        <v>5225</v>
      </c>
      <c r="J554" s="173">
        <v>3700</v>
      </c>
      <c r="K554" s="402">
        <f>+H554/I554*J554</f>
        <v>19.827751196172247</v>
      </c>
      <c r="L554" s="173">
        <f>+H554+K554</f>
        <v>47.827751196172244</v>
      </c>
      <c r="N554" s="173">
        <f>+L554*1.5</f>
        <v>71.741626794258366</v>
      </c>
      <c r="O554" s="173">
        <v>90</v>
      </c>
      <c r="P554" s="344">
        <v>90</v>
      </c>
      <c r="S554" s="6"/>
    </row>
    <row r="555" spans="1:20" customFormat="1" ht="14.5" x14ac:dyDescent="0.35">
      <c r="A555" s="3"/>
      <c r="B555" s="3"/>
      <c r="C555" s="232" t="s">
        <v>1922</v>
      </c>
      <c r="D555" s="233"/>
      <c r="F555" s="366"/>
      <c r="G555" s="366"/>
      <c r="H555" s="245"/>
      <c r="I555" s="173"/>
      <c r="K555" s="173"/>
      <c r="L555" s="173"/>
      <c r="M555" s="173"/>
      <c r="O555" s="173"/>
      <c r="P555" s="344"/>
    </row>
    <row r="556" spans="1:20" customFormat="1" ht="14.5" x14ac:dyDescent="0.35">
      <c r="A556" s="594"/>
      <c r="B556" s="597" t="s">
        <v>1919</v>
      </c>
      <c r="C556" s="597" t="s">
        <v>1855</v>
      </c>
      <c r="D556" s="92"/>
      <c r="E556" s="745">
        <v>54</v>
      </c>
      <c r="F556" s="245" t="s">
        <v>1920</v>
      </c>
      <c r="G556" s="245"/>
      <c r="H556" s="173">
        <v>41</v>
      </c>
      <c r="I556">
        <v>336</v>
      </c>
      <c r="J556" s="173">
        <v>155</v>
      </c>
      <c r="K556" s="173">
        <f t="shared" ref="K556:K565" si="98">+H556/I556*J556</f>
        <v>18.913690476190474</v>
      </c>
      <c r="L556" s="173">
        <f t="shared" ref="L556:L565" si="99">+H556+K556</f>
        <v>59.913690476190474</v>
      </c>
      <c r="N556" s="173">
        <f t="shared" ref="N556:N565" si="100">+L556*1.5</f>
        <v>89.870535714285708</v>
      </c>
      <c r="O556" s="173">
        <v>125</v>
      </c>
      <c r="P556" s="173"/>
    </row>
    <row r="557" spans="1:20" customFormat="1" ht="14.5" hidden="1" x14ac:dyDescent="0.35">
      <c r="A557" s="594"/>
      <c r="B557" s="597" t="s">
        <v>1919</v>
      </c>
      <c r="C557" s="233" t="s">
        <v>1855</v>
      </c>
      <c r="E557" s="366">
        <v>56</v>
      </c>
      <c r="F557" s="371" t="s">
        <v>1920</v>
      </c>
      <c r="G557" s="371"/>
      <c r="H557" s="176">
        <v>41</v>
      </c>
      <c r="I557" s="12">
        <v>336</v>
      </c>
      <c r="J557" s="176">
        <v>155</v>
      </c>
      <c r="K557" s="176">
        <f t="shared" si="98"/>
        <v>18.913690476190474</v>
      </c>
      <c r="L557" s="176">
        <f t="shared" si="99"/>
        <v>59.913690476190474</v>
      </c>
      <c r="M557" s="12"/>
      <c r="N557" s="176">
        <f t="shared" si="100"/>
        <v>89.870535714285708</v>
      </c>
      <c r="O557" s="176">
        <v>125</v>
      </c>
      <c r="P557" s="344"/>
      <c r="S557" t="s">
        <v>12</v>
      </c>
      <c r="T557" s="6">
        <v>46048</v>
      </c>
    </row>
    <row r="558" spans="1:20" customFormat="1" ht="14.5" x14ac:dyDescent="0.35">
      <c r="A558" s="594"/>
      <c r="B558" s="597" t="s">
        <v>1919</v>
      </c>
      <c r="C558" s="597" t="s">
        <v>1855</v>
      </c>
      <c r="D558" s="92"/>
      <c r="E558" s="745">
        <v>58</v>
      </c>
      <c r="F558" s="245" t="s">
        <v>1920</v>
      </c>
      <c r="G558" s="245"/>
      <c r="H558" s="173">
        <v>41</v>
      </c>
      <c r="I558">
        <v>336</v>
      </c>
      <c r="J558" s="173">
        <v>155</v>
      </c>
      <c r="K558" s="173">
        <f t="shared" si="98"/>
        <v>18.913690476190474</v>
      </c>
      <c r="L558" s="173">
        <f t="shared" si="99"/>
        <v>59.913690476190474</v>
      </c>
      <c r="N558" s="173">
        <f t="shared" si="100"/>
        <v>89.870535714285708</v>
      </c>
      <c r="O558" s="173">
        <v>125</v>
      </c>
      <c r="P558" s="173"/>
    </row>
    <row r="559" spans="1:20" customFormat="1" ht="14.5" hidden="1" x14ac:dyDescent="0.35">
      <c r="A559" s="594"/>
      <c r="B559" s="597" t="s">
        <v>1919</v>
      </c>
      <c r="C559" s="597" t="s">
        <v>1855</v>
      </c>
      <c r="D559" s="92"/>
      <c r="E559" s="745">
        <v>44</v>
      </c>
      <c r="F559" s="371" t="s">
        <v>1921</v>
      </c>
      <c r="G559" s="371"/>
      <c r="H559" s="176">
        <v>39</v>
      </c>
      <c r="I559" s="12">
        <v>336</v>
      </c>
      <c r="J559" s="176">
        <v>155</v>
      </c>
      <c r="K559" s="176">
        <f t="shared" si="98"/>
        <v>17.991071428571431</v>
      </c>
      <c r="L559" s="176">
        <f t="shared" si="99"/>
        <v>56.991071428571431</v>
      </c>
      <c r="M559" s="12"/>
      <c r="N559" s="176">
        <f t="shared" si="100"/>
        <v>85.486607142857139</v>
      </c>
      <c r="O559" s="176">
        <v>125</v>
      </c>
      <c r="P559" s="173"/>
      <c r="S559" t="s">
        <v>3014</v>
      </c>
      <c r="T559" s="6">
        <v>46119</v>
      </c>
    </row>
    <row r="560" spans="1:20" customFormat="1" ht="14.5" hidden="1" x14ac:dyDescent="0.35">
      <c r="A560" s="594"/>
      <c r="B560" s="597" t="s">
        <v>1919</v>
      </c>
      <c r="C560" s="597" t="s">
        <v>1855</v>
      </c>
      <c r="D560" s="92"/>
      <c r="E560" s="745">
        <v>50</v>
      </c>
      <c r="F560" s="371" t="s">
        <v>1921</v>
      </c>
      <c r="G560" s="371"/>
      <c r="H560" s="176">
        <v>39</v>
      </c>
      <c r="I560" s="12">
        <v>336</v>
      </c>
      <c r="J560" s="176">
        <v>155</v>
      </c>
      <c r="K560" s="176">
        <f t="shared" si="98"/>
        <v>17.991071428571431</v>
      </c>
      <c r="L560" s="176">
        <f t="shared" si="99"/>
        <v>56.991071428571431</v>
      </c>
      <c r="M560" s="12"/>
      <c r="N560" s="176">
        <f t="shared" si="100"/>
        <v>85.486607142857139</v>
      </c>
      <c r="O560" s="176">
        <v>125</v>
      </c>
      <c r="P560" s="173"/>
      <c r="S560" t="s">
        <v>12</v>
      </c>
      <c r="T560" s="6">
        <v>46101</v>
      </c>
    </row>
    <row r="561" spans="1:20" customFormat="1" ht="14.5" hidden="1" x14ac:dyDescent="0.35">
      <c r="A561" s="594"/>
      <c r="B561" s="597" t="s">
        <v>231</v>
      </c>
      <c r="C561" s="597" t="s">
        <v>194</v>
      </c>
      <c r="D561" s="92"/>
      <c r="E561" s="745">
        <v>52</v>
      </c>
      <c r="F561" s="371" t="s">
        <v>1924</v>
      </c>
      <c r="G561" s="371"/>
      <c r="H561" s="370">
        <v>19</v>
      </c>
      <c r="I561" s="12">
        <f>388*1.5</f>
        <v>582</v>
      </c>
      <c r="J561" s="176">
        <v>120</v>
      </c>
      <c r="K561" s="176">
        <f t="shared" si="98"/>
        <v>3.9175257731958766</v>
      </c>
      <c r="L561" s="176">
        <f t="shared" si="99"/>
        <v>22.917525773195877</v>
      </c>
      <c r="M561" s="12"/>
      <c r="N561" s="176">
        <f t="shared" si="100"/>
        <v>34.376288659793815</v>
      </c>
      <c r="O561" s="176">
        <v>90</v>
      </c>
      <c r="P561" s="13"/>
      <c r="S561" t="s">
        <v>12</v>
      </c>
      <c r="T561" s="6">
        <v>46088</v>
      </c>
    </row>
    <row r="562" spans="1:20" customFormat="1" ht="14.5" x14ac:dyDescent="0.35">
      <c r="A562" s="594"/>
      <c r="B562" s="597" t="s">
        <v>231</v>
      </c>
      <c r="C562" s="597" t="s">
        <v>1872</v>
      </c>
      <c r="D562" s="92"/>
      <c r="E562" s="745">
        <v>42</v>
      </c>
      <c r="F562" s="245" t="s">
        <v>1925</v>
      </c>
      <c r="G562" s="245"/>
      <c r="H562" s="146">
        <v>41</v>
      </c>
      <c r="I562">
        <f>388*1.5</f>
        <v>582</v>
      </c>
      <c r="J562" s="173">
        <v>120</v>
      </c>
      <c r="K562" s="173">
        <f t="shared" si="98"/>
        <v>8.4536082474226806</v>
      </c>
      <c r="L562" s="173">
        <f t="shared" si="99"/>
        <v>49.453608247422679</v>
      </c>
      <c r="N562" s="173">
        <f t="shared" si="100"/>
        <v>74.180412371134025</v>
      </c>
      <c r="O562" s="173">
        <v>110</v>
      </c>
    </row>
    <row r="563" spans="1:20" customFormat="1" ht="14.5" x14ac:dyDescent="0.35">
      <c r="A563" s="594"/>
      <c r="B563" s="597" t="s">
        <v>231</v>
      </c>
      <c r="C563" s="597" t="s">
        <v>1872</v>
      </c>
      <c r="D563" s="92"/>
      <c r="E563" s="745">
        <v>44</v>
      </c>
      <c r="F563" s="245" t="s">
        <v>1925</v>
      </c>
      <c r="G563" s="245"/>
      <c r="H563" s="146">
        <v>41</v>
      </c>
      <c r="I563">
        <f>388*1.5</f>
        <v>582</v>
      </c>
      <c r="J563" s="173">
        <v>120</v>
      </c>
      <c r="K563" s="173">
        <f t="shared" si="98"/>
        <v>8.4536082474226806</v>
      </c>
      <c r="L563" s="173">
        <f t="shared" si="99"/>
        <v>49.453608247422679</v>
      </c>
      <c r="N563" s="173">
        <f t="shared" si="100"/>
        <v>74.180412371134025</v>
      </c>
      <c r="O563" s="173">
        <v>110</v>
      </c>
    </row>
    <row r="564" spans="1:20" customFormat="1" ht="14.5" x14ac:dyDescent="0.35">
      <c r="A564" s="594"/>
      <c r="B564" s="597" t="s">
        <v>231</v>
      </c>
      <c r="C564" s="597" t="s">
        <v>1872</v>
      </c>
      <c r="D564" s="92"/>
      <c r="E564" s="745">
        <v>46</v>
      </c>
      <c r="F564" s="245" t="s">
        <v>1925</v>
      </c>
      <c r="G564" s="245"/>
      <c r="H564" s="146">
        <v>41</v>
      </c>
      <c r="I564">
        <f>388*1.5</f>
        <v>582</v>
      </c>
      <c r="J564" s="173">
        <v>120</v>
      </c>
      <c r="K564" s="173">
        <f t="shared" si="98"/>
        <v>8.4536082474226806</v>
      </c>
      <c r="L564" s="173">
        <f t="shared" si="99"/>
        <v>49.453608247422679</v>
      </c>
      <c r="N564" s="173">
        <f t="shared" si="100"/>
        <v>74.180412371134025</v>
      </c>
      <c r="O564" s="173">
        <v>110</v>
      </c>
    </row>
    <row r="565" spans="1:20" customFormat="1" ht="14.5" x14ac:dyDescent="0.35">
      <c r="A565" s="594"/>
      <c r="B565" s="597" t="s">
        <v>231</v>
      </c>
      <c r="C565" s="597" t="s">
        <v>1872</v>
      </c>
      <c r="D565" s="92"/>
      <c r="E565" s="745">
        <v>48</v>
      </c>
      <c r="F565" s="245" t="s">
        <v>1925</v>
      </c>
      <c r="G565" s="245"/>
      <c r="H565" s="146">
        <v>41</v>
      </c>
      <c r="I565">
        <f>388*1.5</f>
        <v>582</v>
      </c>
      <c r="J565" s="173">
        <v>120</v>
      </c>
      <c r="K565" s="173">
        <f t="shared" si="98"/>
        <v>8.4536082474226806</v>
      </c>
      <c r="L565" s="173">
        <f t="shared" si="99"/>
        <v>49.453608247422679</v>
      </c>
      <c r="N565" s="173">
        <f t="shared" si="100"/>
        <v>74.180412371134025</v>
      </c>
      <c r="O565" s="173">
        <v>110</v>
      </c>
    </row>
    <row r="566" spans="1:20" s="3" customFormat="1" ht="14.5" x14ac:dyDescent="0.35">
      <c r="B566" s="232"/>
      <c r="C566" s="232" t="s">
        <v>1937</v>
      </c>
      <c r="E566" s="340"/>
      <c r="F566" s="256"/>
      <c r="G566" s="256"/>
      <c r="H566" s="146"/>
      <c r="J566" s="146"/>
      <c r="K566" s="146"/>
      <c r="L566" s="146"/>
      <c r="N566" s="146"/>
      <c r="O566" s="146"/>
      <c r="P566" s="369"/>
      <c r="T566" s="181"/>
    </row>
    <row r="567" spans="1:20" customFormat="1" ht="14.5" x14ac:dyDescent="0.35">
      <c r="A567" s="594"/>
      <c r="B567" s="597" t="s">
        <v>1877</v>
      </c>
      <c r="C567" s="597" t="s">
        <v>1877</v>
      </c>
      <c r="D567" s="92"/>
      <c r="E567" s="745">
        <v>1</v>
      </c>
      <c r="F567" s="245" t="s">
        <v>1934</v>
      </c>
      <c r="G567" s="245"/>
      <c r="H567" s="173">
        <v>24</v>
      </c>
      <c r="I567">
        <f t="shared" ref="I567:I574" si="101">216*1.1</f>
        <v>237.60000000000002</v>
      </c>
      <c r="J567" s="173">
        <f t="shared" ref="J567:J574" si="102">7*15</f>
        <v>105</v>
      </c>
      <c r="K567" s="173">
        <f t="shared" ref="K567:K574" si="103">+H567/I567*J567</f>
        <v>10.606060606060604</v>
      </c>
      <c r="L567" s="173">
        <f t="shared" ref="L567:L574" si="104">+H567+K567</f>
        <v>34.606060606060602</v>
      </c>
      <c r="N567" s="173">
        <f t="shared" ref="N567:N574" si="105">+L567*1.5</f>
        <v>51.909090909090907</v>
      </c>
      <c r="O567" s="173">
        <v>125</v>
      </c>
    </row>
    <row r="568" spans="1:20" customFormat="1" ht="14.5" x14ac:dyDescent="0.35">
      <c r="A568" s="594"/>
      <c r="B568" s="597" t="s">
        <v>1877</v>
      </c>
      <c r="C568" s="597" t="s">
        <v>1877</v>
      </c>
      <c r="D568" s="92"/>
      <c r="E568" s="745">
        <v>2</v>
      </c>
      <c r="F568" s="245" t="s">
        <v>1934</v>
      </c>
      <c r="G568" s="245"/>
      <c r="H568" s="173">
        <v>24</v>
      </c>
      <c r="I568">
        <f t="shared" si="101"/>
        <v>237.60000000000002</v>
      </c>
      <c r="J568" s="173">
        <f t="shared" si="102"/>
        <v>105</v>
      </c>
      <c r="K568" s="173">
        <f t="shared" si="103"/>
        <v>10.606060606060604</v>
      </c>
      <c r="L568" s="173">
        <f t="shared" si="104"/>
        <v>34.606060606060602</v>
      </c>
      <c r="N568" s="173">
        <f t="shared" si="105"/>
        <v>51.909090909090907</v>
      </c>
      <c r="O568" s="173">
        <v>125</v>
      </c>
    </row>
    <row r="569" spans="1:20" customFormat="1" ht="14.5" x14ac:dyDescent="0.35">
      <c r="A569" s="594"/>
      <c r="B569" s="597" t="s">
        <v>1877</v>
      </c>
      <c r="C569" s="597" t="s">
        <v>1877</v>
      </c>
      <c r="D569" s="92"/>
      <c r="E569" s="745">
        <v>3</v>
      </c>
      <c r="F569" s="245" t="s">
        <v>1934</v>
      </c>
      <c r="G569" s="245"/>
      <c r="H569" s="173">
        <v>24</v>
      </c>
      <c r="I569">
        <f t="shared" si="101"/>
        <v>237.60000000000002</v>
      </c>
      <c r="J569" s="173">
        <f t="shared" si="102"/>
        <v>105</v>
      </c>
      <c r="K569" s="173">
        <f t="shared" si="103"/>
        <v>10.606060606060604</v>
      </c>
      <c r="L569" s="173">
        <f t="shared" si="104"/>
        <v>34.606060606060602</v>
      </c>
      <c r="N569" s="173">
        <f t="shared" si="105"/>
        <v>51.909090909090907</v>
      </c>
      <c r="O569" s="173">
        <v>125</v>
      </c>
    </row>
    <row r="570" spans="1:20" customFormat="1" ht="14.5" x14ac:dyDescent="0.35">
      <c r="A570" s="594"/>
      <c r="B570" s="597" t="s">
        <v>1877</v>
      </c>
      <c r="C570" s="597" t="s">
        <v>1877</v>
      </c>
      <c r="D570" s="92"/>
      <c r="E570" s="745">
        <v>1</v>
      </c>
      <c r="F570" s="371" t="s">
        <v>1935</v>
      </c>
      <c r="G570" s="371"/>
      <c r="H570" s="176">
        <v>24</v>
      </c>
      <c r="I570" s="12">
        <f t="shared" si="101"/>
        <v>237.60000000000002</v>
      </c>
      <c r="J570" s="176">
        <f t="shared" si="102"/>
        <v>105</v>
      </c>
      <c r="K570" s="176">
        <f t="shared" si="103"/>
        <v>10.606060606060604</v>
      </c>
      <c r="L570" s="176">
        <f t="shared" si="104"/>
        <v>34.606060606060602</v>
      </c>
      <c r="M570" s="12"/>
      <c r="N570" s="176">
        <f t="shared" si="105"/>
        <v>51.909090909090907</v>
      </c>
      <c r="O570" s="176">
        <v>80</v>
      </c>
      <c r="S570" t="s">
        <v>12</v>
      </c>
      <c r="T570" s="6">
        <v>46120</v>
      </c>
    </row>
    <row r="571" spans="1:20" customFormat="1" ht="14.5" x14ac:dyDescent="0.35">
      <c r="A571" s="594"/>
      <c r="B571" s="597" t="s">
        <v>1877</v>
      </c>
      <c r="C571" s="597" t="s">
        <v>1877</v>
      </c>
      <c r="D571" s="92"/>
      <c r="E571" s="745">
        <v>2</v>
      </c>
      <c r="F571" s="245" t="s">
        <v>1935</v>
      </c>
      <c r="G571" s="245"/>
      <c r="H571" s="173">
        <v>24</v>
      </c>
      <c r="I571">
        <f t="shared" si="101"/>
        <v>237.60000000000002</v>
      </c>
      <c r="J571" s="173">
        <f t="shared" si="102"/>
        <v>105</v>
      </c>
      <c r="K571" s="173">
        <f t="shared" si="103"/>
        <v>10.606060606060604</v>
      </c>
      <c r="L571" s="173">
        <f t="shared" si="104"/>
        <v>34.606060606060602</v>
      </c>
      <c r="N571" s="173">
        <f t="shared" si="105"/>
        <v>51.909090909090907</v>
      </c>
      <c r="O571" s="173">
        <v>125</v>
      </c>
    </row>
    <row r="572" spans="1:20" customFormat="1" ht="14.5" x14ac:dyDescent="0.35">
      <c r="A572" s="594"/>
      <c r="B572" s="597" t="s">
        <v>1877</v>
      </c>
      <c r="C572" s="597" t="s">
        <v>1877</v>
      </c>
      <c r="D572" s="92"/>
      <c r="E572" s="745">
        <v>1</v>
      </c>
      <c r="F572" s="245" t="s">
        <v>1936</v>
      </c>
      <c r="G572" s="245"/>
      <c r="H572" s="173">
        <v>24</v>
      </c>
      <c r="I572">
        <f t="shared" si="101"/>
        <v>237.60000000000002</v>
      </c>
      <c r="J572" s="173">
        <f t="shared" si="102"/>
        <v>105</v>
      </c>
      <c r="K572" s="173">
        <f t="shared" si="103"/>
        <v>10.606060606060604</v>
      </c>
      <c r="L572" s="173">
        <f t="shared" si="104"/>
        <v>34.606060606060602</v>
      </c>
      <c r="N572" s="173">
        <f t="shared" si="105"/>
        <v>51.909090909090907</v>
      </c>
      <c r="O572" s="173">
        <v>125</v>
      </c>
    </row>
    <row r="573" spans="1:20" customFormat="1" ht="14.5" x14ac:dyDescent="0.35">
      <c r="A573" s="594"/>
      <c r="B573" s="597" t="s">
        <v>1877</v>
      </c>
      <c r="C573" s="597" t="s">
        <v>1877</v>
      </c>
      <c r="D573" s="92"/>
      <c r="E573" s="745">
        <v>2</v>
      </c>
      <c r="F573" s="245" t="s">
        <v>1936</v>
      </c>
      <c r="G573" s="245"/>
      <c r="H573" s="173">
        <v>24</v>
      </c>
      <c r="I573">
        <f t="shared" si="101"/>
        <v>237.60000000000002</v>
      </c>
      <c r="J573" s="173">
        <f t="shared" si="102"/>
        <v>105</v>
      </c>
      <c r="K573" s="173">
        <f t="shared" si="103"/>
        <v>10.606060606060604</v>
      </c>
      <c r="L573" s="173">
        <f t="shared" si="104"/>
        <v>34.606060606060602</v>
      </c>
      <c r="N573" s="173">
        <f t="shared" si="105"/>
        <v>51.909090909090907</v>
      </c>
      <c r="O573" s="173">
        <v>125</v>
      </c>
    </row>
    <row r="574" spans="1:20" customFormat="1" ht="14.5" x14ac:dyDescent="0.35">
      <c r="A574" s="594"/>
      <c r="B574" s="597" t="s">
        <v>1877</v>
      </c>
      <c r="C574" s="597" t="s">
        <v>1877</v>
      </c>
      <c r="D574" s="92"/>
      <c r="E574" s="745">
        <v>3</v>
      </c>
      <c r="F574" s="245" t="s">
        <v>1936</v>
      </c>
      <c r="G574" s="245"/>
      <c r="H574" s="173">
        <v>24</v>
      </c>
      <c r="I574">
        <f t="shared" si="101"/>
        <v>237.60000000000002</v>
      </c>
      <c r="J574" s="173">
        <f t="shared" si="102"/>
        <v>105</v>
      </c>
      <c r="K574" s="173">
        <f t="shared" si="103"/>
        <v>10.606060606060604</v>
      </c>
      <c r="L574" s="173">
        <f t="shared" si="104"/>
        <v>34.606060606060602</v>
      </c>
      <c r="N574" s="173">
        <f t="shared" si="105"/>
        <v>51.909090909090907</v>
      </c>
      <c r="O574" s="173">
        <v>125</v>
      </c>
    </row>
    <row r="575" spans="1:20" customFormat="1" ht="14.5" x14ac:dyDescent="0.35">
      <c r="A575" s="3"/>
      <c r="B575" s="3"/>
      <c r="C575" s="233"/>
      <c r="D575" s="233"/>
      <c r="F575" s="366"/>
      <c r="G575" s="366"/>
      <c r="H575" s="245"/>
      <c r="I575" s="173">
        <f>SUM(H567:H574)</f>
        <v>192</v>
      </c>
      <c r="K575" s="173"/>
      <c r="L575" s="173"/>
      <c r="M575" s="173"/>
      <c r="O575" s="173"/>
      <c r="P575" s="344"/>
    </row>
    <row r="576" spans="1:20" customFormat="1" ht="15.5" x14ac:dyDescent="0.35">
      <c r="A576" s="3"/>
      <c r="B576" s="3"/>
      <c r="C576" s="232" t="s">
        <v>1305</v>
      </c>
      <c r="D576" s="454"/>
      <c r="F576" s="366"/>
      <c r="G576" s="366"/>
      <c r="H576" s="245"/>
      <c r="I576" s="173"/>
      <c r="K576" s="173"/>
      <c r="L576" s="173"/>
      <c r="M576" s="173"/>
      <c r="O576" s="173"/>
      <c r="P576" s="344"/>
    </row>
    <row r="577" spans="1:22" customFormat="1" ht="15.5" x14ac:dyDescent="0.35">
      <c r="A577" s="594"/>
      <c r="B577" s="597" t="s">
        <v>1938</v>
      </c>
      <c r="C577" s="597" t="s">
        <v>1577</v>
      </c>
      <c r="D577" s="92"/>
      <c r="E577" s="745">
        <v>44</v>
      </c>
      <c r="F577" s="245" t="s">
        <v>1939</v>
      </c>
      <c r="G577" s="245"/>
      <c r="H577" s="173">
        <v>39</v>
      </c>
      <c r="I577" s="135">
        <v>285</v>
      </c>
      <c r="J577" s="173">
        <f>8*15</f>
        <v>120</v>
      </c>
      <c r="K577" s="173">
        <f t="shared" ref="K577:K582" si="106">+H577/I577*J577</f>
        <v>16.421052631578949</v>
      </c>
      <c r="L577" s="173">
        <f t="shared" ref="L577:L582" si="107">+H577+K577</f>
        <v>55.421052631578945</v>
      </c>
      <c r="N577" s="173">
        <f t="shared" ref="N577:N582" si="108">+L577*1.5</f>
        <v>83.131578947368411</v>
      </c>
      <c r="O577" s="173">
        <v>125</v>
      </c>
      <c r="P577" s="140"/>
    </row>
    <row r="578" spans="1:22" customFormat="1" ht="15.5" x14ac:dyDescent="0.35">
      <c r="A578" s="594"/>
      <c r="B578" s="597" t="s">
        <v>1938</v>
      </c>
      <c r="C578" s="597" t="s">
        <v>1577</v>
      </c>
      <c r="D578" s="92"/>
      <c r="E578" s="745">
        <v>50</v>
      </c>
      <c r="F578" s="245" t="s">
        <v>1939</v>
      </c>
      <c r="G578" s="245"/>
      <c r="H578" s="173">
        <v>39</v>
      </c>
      <c r="I578">
        <v>285</v>
      </c>
      <c r="J578" s="173">
        <v>120</v>
      </c>
      <c r="K578" s="173">
        <f t="shared" si="106"/>
        <v>16.421052631578949</v>
      </c>
      <c r="L578" s="173">
        <f t="shared" si="107"/>
        <v>55.421052631578945</v>
      </c>
      <c r="N578" s="173">
        <f t="shared" si="108"/>
        <v>83.131578947368411</v>
      </c>
      <c r="O578" s="173">
        <v>125</v>
      </c>
      <c r="P578" s="140"/>
    </row>
    <row r="579" spans="1:22" customFormat="1" ht="15.5" x14ac:dyDescent="0.35">
      <c r="A579" s="594"/>
      <c r="B579" s="597" t="s">
        <v>1938</v>
      </c>
      <c r="C579" s="597" t="s">
        <v>1577</v>
      </c>
      <c r="D579" s="92"/>
      <c r="E579" s="745">
        <v>44</v>
      </c>
      <c r="F579" s="245" t="s">
        <v>1940</v>
      </c>
      <c r="G579" s="245"/>
      <c r="H579" s="173">
        <v>39</v>
      </c>
      <c r="I579">
        <v>285</v>
      </c>
      <c r="J579" s="173">
        <v>120</v>
      </c>
      <c r="K579" s="173">
        <f t="shared" si="106"/>
        <v>16.421052631578949</v>
      </c>
      <c r="L579" s="173">
        <f t="shared" si="107"/>
        <v>55.421052631578945</v>
      </c>
      <c r="N579" s="173">
        <f t="shared" si="108"/>
        <v>83.131578947368411</v>
      </c>
      <c r="O579" s="173">
        <v>125</v>
      </c>
      <c r="P579" s="140"/>
    </row>
    <row r="580" spans="1:22" customFormat="1" ht="15.5" x14ac:dyDescent="0.35">
      <c r="A580" s="594"/>
      <c r="B580" s="597" t="s">
        <v>1938</v>
      </c>
      <c r="C580" s="597" t="s">
        <v>1577</v>
      </c>
      <c r="D580" s="92"/>
      <c r="E580" s="745">
        <v>46</v>
      </c>
      <c r="F580" s="245" t="s">
        <v>1940</v>
      </c>
      <c r="G580" s="245"/>
      <c r="H580" s="173">
        <v>39</v>
      </c>
      <c r="I580">
        <v>285</v>
      </c>
      <c r="J580" s="173">
        <v>120</v>
      </c>
      <c r="K580" s="173">
        <f t="shared" si="106"/>
        <v>16.421052631578949</v>
      </c>
      <c r="L580" s="173">
        <f t="shared" si="107"/>
        <v>55.421052631578945</v>
      </c>
      <c r="N580" s="173">
        <f t="shared" si="108"/>
        <v>83.131578947368411</v>
      </c>
      <c r="O580" s="173">
        <v>125</v>
      </c>
      <c r="P580" s="140"/>
    </row>
    <row r="581" spans="1:22" customFormat="1" ht="15.5" x14ac:dyDescent="0.35">
      <c r="A581" s="594"/>
      <c r="B581" s="597" t="s">
        <v>1938</v>
      </c>
      <c r="C581" s="597" t="s">
        <v>1577</v>
      </c>
      <c r="D581" s="92"/>
      <c r="E581" s="745">
        <v>48</v>
      </c>
      <c r="F581" s="245" t="s">
        <v>1940</v>
      </c>
      <c r="G581" s="245"/>
      <c r="H581" s="173">
        <v>39</v>
      </c>
      <c r="I581">
        <v>285</v>
      </c>
      <c r="J581" s="173">
        <v>120</v>
      </c>
      <c r="K581" s="173">
        <f t="shared" si="106"/>
        <v>16.421052631578949</v>
      </c>
      <c r="L581" s="173">
        <f t="shared" si="107"/>
        <v>55.421052631578945</v>
      </c>
      <c r="N581" s="173">
        <f t="shared" si="108"/>
        <v>83.131578947368411</v>
      </c>
      <c r="O581" s="173">
        <v>125</v>
      </c>
      <c r="P581" s="140"/>
    </row>
    <row r="582" spans="1:22" customFormat="1" ht="15.5" x14ac:dyDescent="0.35">
      <c r="A582" s="3"/>
      <c r="B582" s="233" t="s">
        <v>1938</v>
      </c>
      <c r="C582" s="233" t="s">
        <v>1577</v>
      </c>
      <c r="E582" s="366">
        <v>50</v>
      </c>
      <c r="F582" s="371" t="s">
        <v>1940</v>
      </c>
      <c r="G582" s="371"/>
      <c r="H582" s="176">
        <v>39</v>
      </c>
      <c r="I582" s="12">
        <v>285</v>
      </c>
      <c r="J582" s="176">
        <v>120</v>
      </c>
      <c r="K582" s="176">
        <f t="shared" si="106"/>
        <v>16.421052631578949</v>
      </c>
      <c r="L582" s="176">
        <f t="shared" si="107"/>
        <v>55.421052631578945</v>
      </c>
      <c r="M582" s="12"/>
      <c r="N582" s="176">
        <f t="shared" si="108"/>
        <v>83.131578947368411</v>
      </c>
      <c r="O582" s="176">
        <v>125</v>
      </c>
      <c r="P582" s="325"/>
      <c r="S582" t="s">
        <v>401</v>
      </c>
      <c r="T582" s="6">
        <v>46034</v>
      </c>
    </row>
    <row r="583" spans="1:22" customFormat="1" ht="15.5" x14ac:dyDescent="0.35">
      <c r="A583" s="3"/>
      <c r="B583" s="233"/>
      <c r="C583" s="232" t="s">
        <v>2065</v>
      </c>
      <c r="E583" s="366"/>
      <c r="F583" s="245"/>
      <c r="G583" s="245"/>
      <c r="H583" s="245"/>
      <c r="I583" s="173"/>
      <c r="K583" s="173"/>
      <c r="L583" s="173"/>
      <c r="M583" s="173"/>
      <c r="O583" s="173"/>
      <c r="P583" s="344"/>
      <c r="Q583" s="10"/>
      <c r="R583" s="10"/>
    </row>
    <row r="584" spans="1:22" customFormat="1" ht="15.5" x14ac:dyDescent="0.35">
      <c r="A584" s="594"/>
      <c r="B584" s="597" t="s">
        <v>1432</v>
      </c>
      <c r="C584" s="597" t="s">
        <v>1432</v>
      </c>
      <c r="D584" s="92"/>
      <c r="E584" s="745">
        <v>1</v>
      </c>
      <c r="F584" s="245" t="s">
        <v>1941</v>
      </c>
      <c r="G584" s="245"/>
      <c r="H584" s="245"/>
      <c r="I584" s="173">
        <v>40</v>
      </c>
      <c r="J584">
        <v>368</v>
      </c>
      <c r="K584" s="173">
        <v>94</v>
      </c>
      <c r="L584" s="173">
        <f>+I584/J584*K584</f>
        <v>10.217391304347826</v>
      </c>
      <c r="M584" s="173">
        <f>+I584+L584</f>
        <v>50.217391304347828</v>
      </c>
      <c r="O584" s="173">
        <f>+M584*1.5</f>
        <v>75.326086956521749</v>
      </c>
      <c r="P584" s="173">
        <v>125</v>
      </c>
      <c r="Q584" s="10"/>
      <c r="R584" s="10"/>
    </row>
    <row r="585" spans="1:22" customFormat="1" ht="15.5" x14ac:dyDescent="0.35">
      <c r="A585" s="594"/>
      <c r="B585" s="597" t="s">
        <v>1432</v>
      </c>
      <c r="C585" s="597" t="s">
        <v>1432</v>
      </c>
      <c r="D585" s="92"/>
      <c r="E585" s="745">
        <v>2</v>
      </c>
      <c r="F585" s="245" t="s">
        <v>1941</v>
      </c>
      <c r="G585" s="245"/>
      <c r="H585" s="245"/>
      <c r="I585" s="173">
        <v>40</v>
      </c>
      <c r="J585">
        <v>368</v>
      </c>
      <c r="K585" s="173">
        <v>94</v>
      </c>
      <c r="L585" s="173">
        <f>+I585/J585*K585</f>
        <v>10.217391304347826</v>
      </c>
      <c r="M585" s="173">
        <f>+I585+L585</f>
        <v>50.217391304347828</v>
      </c>
      <c r="O585" s="173">
        <f>+M585*1.5</f>
        <v>75.326086956521749</v>
      </c>
      <c r="P585" s="173">
        <v>125</v>
      </c>
      <c r="Q585" s="10"/>
      <c r="R585" s="10"/>
    </row>
    <row r="586" spans="1:22" customFormat="1" ht="15.5" x14ac:dyDescent="0.35">
      <c r="A586" s="594"/>
      <c r="B586" s="597" t="s">
        <v>1432</v>
      </c>
      <c r="C586" s="597" t="s">
        <v>1432</v>
      </c>
      <c r="D586" s="92"/>
      <c r="E586" s="745">
        <v>3</v>
      </c>
      <c r="F586" s="245" t="s">
        <v>1941</v>
      </c>
      <c r="G586" s="245"/>
      <c r="H586" s="245"/>
      <c r="I586" s="173">
        <v>40</v>
      </c>
      <c r="J586">
        <v>368</v>
      </c>
      <c r="K586" s="173">
        <v>94</v>
      </c>
      <c r="L586" s="173">
        <f>+I586/J586*K586</f>
        <v>10.217391304347826</v>
      </c>
      <c r="M586" s="173">
        <f>+I586+L586</f>
        <v>50.217391304347828</v>
      </c>
      <c r="O586" s="173">
        <f>+M586*1.5</f>
        <v>75.326086956521749</v>
      </c>
      <c r="P586" s="173">
        <v>125</v>
      </c>
      <c r="Q586" s="10"/>
      <c r="R586" s="10"/>
    </row>
    <row r="587" spans="1:22" customFormat="1" ht="15.5" x14ac:dyDescent="0.35">
      <c r="A587" s="3"/>
      <c r="B587" s="233" t="s">
        <v>231</v>
      </c>
      <c r="C587" s="233" t="s">
        <v>194</v>
      </c>
      <c r="E587" s="366">
        <v>50</v>
      </c>
      <c r="F587" s="371" t="s">
        <v>1942</v>
      </c>
      <c r="G587" s="371"/>
      <c r="H587" s="371"/>
      <c r="I587" s="176">
        <v>52</v>
      </c>
      <c r="J587" s="12">
        <v>368</v>
      </c>
      <c r="K587" s="176">
        <v>94</v>
      </c>
      <c r="L587" s="176">
        <f>+I587/J587*K587</f>
        <v>13.282608695652172</v>
      </c>
      <c r="M587" s="176">
        <f>+I587+L587</f>
        <v>65.282608695652172</v>
      </c>
      <c r="N587" s="12"/>
      <c r="O587" s="176">
        <f>+M587*1.5</f>
        <v>97.923913043478251</v>
      </c>
      <c r="P587" s="344">
        <v>150</v>
      </c>
      <c r="Q587" s="10"/>
      <c r="R587" s="10"/>
      <c r="S587" t="s">
        <v>12</v>
      </c>
      <c r="T587" s="6">
        <v>46043</v>
      </c>
    </row>
    <row r="588" spans="1:22" customFormat="1" ht="15.5" x14ac:dyDescent="0.35">
      <c r="A588" s="594"/>
      <c r="B588" s="597" t="s">
        <v>231</v>
      </c>
      <c r="C588" s="597" t="s">
        <v>194</v>
      </c>
      <c r="D588" s="92"/>
      <c r="E588" s="745">
        <v>52</v>
      </c>
      <c r="F588" s="245" t="s">
        <v>1942</v>
      </c>
      <c r="G588" s="245"/>
      <c r="H588" s="245"/>
      <c r="I588" s="173">
        <v>52</v>
      </c>
      <c r="J588">
        <v>368</v>
      </c>
      <c r="K588" s="173">
        <v>94</v>
      </c>
      <c r="L588" s="173">
        <f>+I588/J588*K588</f>
        <v>13.282608695652172</v>
      </c>
      <c r="M588" s="173">
        <f>+I588+L588</f>
        <v>65.282608695652172</v>
      </c>
      <c r="O588" s="173">
        <f>+M588*1.5</f>
        <v>97.923913043478251</v>
      </c>
      <c r="P588" s="173">
        <v>150</v>
      </c>
      <c r="Q588" s="10"/>
      <c r="R588" s="10"/>
    </row>
    <row r="589" spans="1:22" customFormat="1" ht="15.5" x14ac:dyDescent="0.35">
      <c r="A589" s="3"/>
      <c r="B589" s="233"/>
      <c r="C589" s="232" t="s">
        <v>2066</v>
      </c>
      <c r="E589" s="366"/>
      <c r="F589" s="245"/>
      <c r="G589" s="245"/>
      <c r="H589" s="245"/>
      <c r="I589" s="173"/>
      <c r="K589" s="173"/>
      <c r="L589" s="173"/>
      <c r="M589" s="173"/>
      <c r="O589" s="173"/>
      <c r="P589" s="344"/>
      <c r="V589" s="10"/>
    </row>
    <row r="590" spans="1:22" customFormat="1" ht="15.5" x14ac:dyDescent="0.35">
      <c r="A590" s="594"/>
      <c r="B590" s="597"/>
      <c r="C590" s="597" t="s">
        <v>1947</v>
      </c>
      <c r="D590" s="92"/>
      <c r="E590" s="745" t="s">
        <v>410</v>
      </c>
      <c r="F590" s="371" t="s">
        <v>1943</v>
      </c>
      <c r="G590" s="371"/>
      <c r="H590" s="371">
        <v>260</v>
      </c>
      <c r="I590" s="176">
        <f>+H590/7</f>
        <v>37.142857142857146</v>
      </c>
      <c r="J590" s="12">
        <v>4072</v>
      </c>
      <c r="K590" s="176">
        <v>3073</v>
      </c>
      <c r="L590" s="176">
        <f>+I590/J590*K590</f>
        <v>28.030451866404718</v>
      </c>
      <c r="M590" s="176">
        <f>+I590+L590</f>
        <v>65.173309009261857</v>
      </c>
      <c r="N590" s="12"/>
      <c r="O590" s="176">
        <f>+M590*1.5</f>
        <v>97.759963513892785</v>
      </c>
      <c r="P590" s="344">
        <v>125</v>
      </c>
      <c r="S590" t="s">
        <v>2304</v>
      </c>
      <c r="T590" s="6">
        <v>46078</v>
      </c>
      <c r="V590" s="10"/>
    </row>
    <row r="591" spans="1:22" customFormat="1" ht="15.5" x14ac:dyDescent="0.35">
      <c r="A591" s="594"/>
      <c r="B591" s="597"/>
      <c r="C591" s="597" t="s">
        <v>1947</v>
      </c>
      <c r="D591" s="92"/>
      <c r="E591" s="745" t="s">
        <v>410</v>
      </c>
      <c r="F591" s="371" t="s">
        <v>1944</v>
      </c>
      <c r="G591" s="371"/>
      <c r="H591" s="371">
        <v>260</v>
      </c>
      <c r="I591" s="176">
        <f>+H591/7</f>
        <v>37.142857142857146</v>
      </c>
      <c r="J591" s="12">
        <v>4072</v>
      </c>
      <c r="K591" s="176">
        <v>3073</v>
      </c>
      <c r="L591" s="176">
        <f>+I591/J591*K591</f>
        <v>28.030451866404718</v>
      </c>
      <c r="M591" s="176">
        <f>+I591+L591</f>
        <v>65.173309009261857</v>
      </c>
      <c r="N591" s="12"/>
      <c r="O591" s="176">
        <f>+M591*1.5</f>
        <v>97.759963513892785</v>
      </c>
      <c r="P591" s="344">
        <v>125</v>
      </c>
      <c r="S591" t="s">
        <v>12</v>
      </c>
      <c r="T591" s="6">
        <v>46078</v>
      </c>
      <c r="V591" s="10"/>
    </row>
    <row r="592" spans="1:22" customFormat="1" ht="15.5" x14ac:dyDescent="0.35">
      <c r="A592" s="594"/>
      <c r="B592" s="597"/>
      <c r="C592" s="597" t="s">
        <v>1947</v>
      </c>
      <c r="D592" s="92"/>
      <c r="E592" s="745" t="s">
        <v>760</v>
      </c>
      <c r="F592" s="245" t="s">
        <v>1944</v>
      </c>
      <c r="G592" s="245"/>
      <c r="H592" s="245">
        <v>260</v>
      </c>
      <c r="I592" s="173">
        <f>+H592/7</f>
        <v>37.142857142857146</v>
      </c>
      <c r="J592">
        <v>4072</v>
      </c>
      <c r="K592" s="173">
        <v>3073</v>
      </c>
      <c r="L592" s="173">
        <f>+I592/J592*K592</f>
        <v>28.030451866404718</v>
      </c>
      <c r="M592" s="173">
        <f>+I592+L592</f>
        <v>65.173309009261857</v>
      </c>
      <c r="O592" s="173">
        <f>+M592*1.5</f>
        <v>97.759963513892785</v>
      </c>
      <c r="P592" s="173">
        <v>125</v>
      </c>
      <c r="V592" s="10"/>
    </row>
    <row r="593" spans="1:22" customFormat="1" ht="15.5" x14ac:dyDescent="0.35">
      <c r="A593" s="594"/>
      <c r="B593" s="597"/>
      <c r="C593" s="597" t="s">
        <v>1947</v>
      </c>
      <c r="D593" s="92"/>
      <c r="E593" s="745" t="s">
        <v>597</v>
      </c>
      <c r="F593" s="245" t="s">
        <v>1944</v>
      </c>
      <c r="G593" s="245"/>
      <c r="H593" s="245">
        <v>260</v>
      </c>
      <c r="I593" s="173">
        <f>+H593/7</f>
        <v>37.142857142857146</v>
      </c>
      <c r="J593">
        <v>4072</v>
      </c>
      <c r="K593" s="173">
        <v>3073</v>
      </c>
      <c r="L593" s="173">
        <f>+I593/J593*K593</f>
        <v>28.030451866404718</v>
      </c>
      <c r="M593" s="173">
        <f>+I593+L593</f>
        <v>65.173309009261857</v>
      </c>
      <c r="O593" s="173">
        <f>+M593*1.5</f>
        <v>97.759963513892785</v>
      </c>
      <c r="P593" s="173">
        <v>125</v>
      </c>
      <c r="V593" s="10"/>
    </row>
    <row r="595" spans="1:22" customFormat="1" ht="15.5" x14ac:dyDescent="0.35">
      <c r="A595" s="594"/>
      <c r="B595" s="597" t="s">
        <v>1949</v>
      </c>
      <c r="C595" s="597" t="s">
        <v>1948</v>
      </c>
      <c r="D595" s="92"/>
      <c r="E595" s="745"/>
      <c r="F595" s="245" t="s">
        <v>1950</v>
      </c>
      <c r="G595" s="245"/>
      <c r="H595" s="245">
        <v>168</v>
      </c>
      <c r="I595" s="173">
        <f t="shared" ref="I595:I626" si="109">+H595/7</f>
        <v>24</v>
      </c>
      <c r="J595">
        <v>4072</v>
      </c>
      <c r="K595" s="173">
        <v>3073</v>
      </c>
      <c r="L595" s="173">
        <f t="shared" ref="L595:L626" si="110">+I595/J595*K595</f>
        <v>18.111984282907663</v>
      </c>
      <c r="M595" s="173">
        <f t="shared" ref="M595:M626" si="111">+I595+L595</f>
        <v>42.111984282907663</v>
      </c>
      <c r="O595" s="173">
        <f t="shared" ref="O595:O626" si="112">+M595*1.5</f>
        <v>63.167976424361498</v>
      </c>
      <c r="P595" s="173">
        <v>100</v>
      </c>
      <c r="V595" s="10"/>
    </row>
    <row r="596" spans="1:22" customFormat="1" ht="15.5" x14ac:dyDescent="0.35">
      <c r="A596" s="594"/>
      <c r="B596" s="597" t="s">
        <v>1949</v>
      </c>
      <c r="C596" s="597" t="s">
        <v>1948</v>
      </c>
      <c r="D596" s="92"/>
      <c r="E596" s="745"/>
      <c r="F596" s="245" t="s">
        <v>1950</v>
      </c>
      <c r="G596" s="245"/>
      <c r="H596" s="245">
        <v>168</v>
      </c>
      <c r="I596" s="173">
        <f t="shared" si="109"/>
        <v>24</v>
      </c>
      <c r="J596">
        <v>4072</v>
      </c>
      <c r="K596" s="173">
        <v>3073</v>
      </c>
      <c r="L596" s="173">
        <f t="shared" si="110"/>
        <v>18.111984282907663</v>
      </c>
      <c r="M596" s="173">
        <f t="shared" si="111"/>
        <v>42.111984282907663</v>
      </c>
      <c r="O596" s="173">
        <f t="shared" si="112"/>
        <v>63.167976424361498</v>
      </c>
      <c r="P596" s="173">
        <v>100</v>
      </c>
      <c r="V596" s="10"/>
    </row>
    <row r="597" spans="1:22" customFormat="1" ht="15.5" hidden="1" x14ac:dyDescent="0.35">
      <c r="A597" s="594"/>
      <c r="B597" s="597"/>
      <c r="C597" s="597" t="s">
        <v>865</v>
      </c>
      <c r="D597" s="92"/>
      <c r="E597" s="745" t="s">
        <v>410</v>
      </c>
      <c r="F597" s="245" t="s">
        <v>2011</v>
      </c>
      <c r="G597" s="245"/>
      <c r="H597" s="245">
        <v>165</v>
      </c>
      <c r="I597" s="173">
        <f t="shared" si="109"/>
        <v>23.571428571428573</v>
      </c>
      <c r="J597">
        <v>4072</v>
      </c>
      <c r="K597" s="173">
        <v>3073</v>
      </c>
      <c r="L597" s="173">
        <f t="shared" si="110"/>
        <v>17.788555992141458</v>
      </c>
      <c r="M597" s="173">
        <f t="shared" si="111"/>
        <v>41.359984563570031</v>
      </c>
      <c r="O597" s="173">
        <f t="shared" si="112"/>
        <v>62.039976845355042</v>
      </c>
      <c r="P597" s="173">
        <v>125</v>
      </c>
      <c r="S597" t="s">
        <v>12</v>
      </c>
      <c r="T597" s="6">
        <v>46050</v>
      </c>
      <c r="V597" s="10"/>
    </row>
    <row r="598" spans="1:22" customFormat="1" ht="15.5" x14ac:dyDescent="0.35">
      <c r="A598" s="594"/>
      <c r="B598" s="597"/>
      <c r="C598" s="597" t="s">
        <v>865</v>
      </c>
      <c r="D598" s="92"/>
      <c r="E598" s="745" t="s">
        <v>408</v>
      </c>
      <c r="F598" s="245" t="s">
        <v>2008</v>
      </c>
      <c r="G598" s="245"/>
      <c r="H598" s="245">
        <v>175</v>
      </c>
      <c r="I598" s="173">
        <f t="shared" si="109"/>
        <v>25</v>
      </c>
      <c r="J598">
        <v>4072</v>
      </c>
      <c r="K598" s="173">
        <v>3073</v>
      </c>
      <c r="L598" s="173">
        <f t="shared" si="110"/>
        <v>18.866650294695479</v>
      </c>
      <c r="M598" s="173">
        <f t="shared" si="111"/>
        <v>43.866650294695475</v>
      </c>
      <c r="O598" s="173">
        <f t="shared" si="112"/>
        <v>65.799975442043205</v>
      </c>
      <c r="P598" s="173">
        <v>90</v>
      </c>
      <c r="V598" s="10"/>
    </row>
    <row r="599" spans="1:22" customFormat="1" ht="15.5" x14ac:dyDescent="0.35">
      <c r="A599" s="3"/>
      <c r="B599" s="233"/>
      <c r="C599" s="233" t="s">
        <v>865</v>
      </c>
      <c r="E599" s="366" t="s">
        <v>407</v>
      </c>
      <c r="F599" s="372" t="s">
        <v>2008</v>
      </c>
      <c r="G599" s="372"/>
      <c r="H599" s="372">
        <v>175</v>
      </c>
      <c r="I599" s="373">
        <f t="shared" si="109"/>
        <v>25</v>
      </c>
      <c r="J599" s="343">
        <v>4072</v>
      </c>
      <c r="K599" s="373">
        <v>3073</v>
      </c>
      <c r="L599" s="373">
        <f t="shared" si="110"/>
        <v>18.866650294695479</v>
      </c>
      <c r="M599" s="373">
        <f t="shared" si="111"/>
        <v>43.866650294695475</v>
      </c>
      <c r="N599" s="343"/>
      <c r="O599" s="373">
        <f t="shared" si="112"/>
        <v>65.799975442043205</v>
      </c>
      <c r="P599" s="344"/>
      <c r="S599" t="s">
        <v>1650</v>
      </c>
      <c r="T599" s="6">
        <v>46065</v>
      </c>
      <c r="V599" s="10"/>
    </row>
    <row r="600" spans="1:22" customFormat="1" ht="15.5" x14ac:dyDescent="0.35">
      <c r="A600" s="3"/>
      <c r="B600" s="233"/>
      <c r="C600" s="233" t="s">
        <v>865</v>
      </c>
      <c r="E600" s="366" t="s">
        <v>409</v>
      </c>
      <c r="F600" s="371" t="s">
        <v>2009</v>
      </c>
      <c r="G600" s="371"/>
      <c r="H600" s="371">
        <v>175</v>
      </c>
      <c r="I600" s="176">
        <f t="shared" si="109"/>
        <v>25</v>
      </c>
      <c r="J600" s="12">
        <v>4072</v>
      </c>
      <c r="K600" s="176">
        <v>3073</v>
      </c>
      <c r="L600" s="176">
        <f t="shared" si="110"/>
        <v>18.866650294695479</v>
      </c>
      <c r="M600" s="176">
        <f t="shared" si="111"/>
        <v>43.866650294695475</v>
      </c>
      <c r="N600" s="12"/>
      <c r="O600" s="176">
        <f t="shared" si="112"/>
        <v>65.799975442043205</v>
      </c>
      <c r="P600" s="344">
        <v>100</v>
      </c>
      <c r="S600" t="s">
        <v>2500</v>
      </c>
      <c r="T600" s="6">
        <v>46064</v>
      </c>
      <c r="V600" s="10"/>
    </row>
    <row r="601" spans="1:22" customFormat="1" ht="15.5" x14ac:dyDescent="0.35">
      <c r="A601" s="594"/>
      <c r="B601" s="597"/>
      <c r="C601" s="597" t="s">
        <v>865</v>
      </c>
      <c r="D601" s="92"/>
      <c r="E601" s="745" t="s">
        <v>410</v>
      </c>
      <c r="F601" s="245" t="s">
        <v>2009</v>
      </c>
      <c r="G601" s="245"/>
      <c r="H601" s="245">
        <v>175</v>
      </c>
      <c r="I601" s="173">
        <f t="shared" si="109"/>
        <v>25</v>
      </c>
      <c r="J601">
        <v>4072</v>
      </c>
      <c r="K601" s="173">
        <v>3073</v>
      </c>
      <c r="L601" s="173">
        <f t="shared" si="110"/>
        <v>18.866650294695479</v>
      </c>
      <c r="M601" s="173">
        <f t="shared" si="111"/>
        <v>43.866650294695475</v>
      </c>
      <c r="O601" s="173">
        <f t="shared" si="112"/>
        <v>65.799975442043205</v>
      </c>
      <c r="P601" s="173">
        <v>90</v>
      </c>
      <c r="V601" s="10"/>
    </row>
    <row r="602" spans="1:22" customFormat="1" ht="15.5" x14ac:dyDescent="0.35">
      <c r="A602" s="594"/>
      <c r="B602" s="597"/>
      <c r="C602" s="597" t="s">
        <v>865</v>
      </c>
      <c r="D602" s="92"/>
      <c r="E602" s="745" t="s">
        <v>588</v>
      </c>
      <c r="F602" s="245" t="s">
        <v>2007</v>
      </c>
      <c r="G602" s="245"/>
      <c r="H602" s="245">
        <v>165</v>
      </c>
      <c r="I602" s="173">
        <f t="shared" si="109"/>
        <v>23.571428571428573</v>
      </c>
      <c r="J602">
        <v>4072</v>
      </c>
      <c r="K602" s="173">
        <v>3073</v>
      </c>
      <c r="L602" s="173">
        <f t="shared" si="110"/>
        <v>17.788555992141458</v>
      </c>
      <c r="M602" s="173">
        <f t="shared" si="111"/>
        <v>41.359984563570031</v>
      </c>
      <c r="O602" s="173">
        <f t="shared" si="112"/>
        <v>62.039976845355042</v>
      </c>
      <c r="P602" s="173">
        <v>100</v>
      </c>
      <c r="V602" s="10"/>
    </row>
    <row r="603" spans="1:22" customFormat="1" ht="15.5" x14ac:dyDescent="0.35">
      <c r="A603" s="594"/>
      <c r="B603" s="597"/>
      <c r="C603" s="597" t="s">
        <v>865</v>
      </c>
      <c r="D603" s="92"/>
      <c r="E603" s="745" t="s">
        <v>588</v>
      </c>
      <c r="F603" s="245" t="s">
        <v>2007</v>
      </c>
      <c r="G603" s="245"/>
      <c r="H603" s="245">
        <v>165</v>
      </c>
      <c r="I603" s="173">
        <f t="shared" si="109"/>
        <v>23.571428571428573</v>
      </c>
      <c r="J603">
        <v>4072</v>
      </c>
      <c r="K603" s="173">
        <v>3073</v>
      </c>
      <c r="L603" s="173">
        <f t="shared" si="110"/>
        <v>17.788555992141458</v>
      </c>
      <c r="M603" s="173">
        <f t="shared" si="111"/>
        <v>41.359984563570031</v>
      </c>
      <c r="O603" s="173">
        <f t="shared" si="112"/>
        <v>62.039976845355042</v>
      </c>
      <c r="P603" s="173">
        <v>100</v>
      </c>
      <c r="V603" s="10"/>
    </row>
    <row r="604" spans="1:22" customFormat="1" ht="15.5" hidden="1" x14ac:dyDescent="0.35">
      <c r="A604" s="594"/>
      <c r="B604" s="597"/>
      <c r="C604" s="233" t="s">
        <v>865</v>
      </c>
      <c r="E604" s="366" t="s">
        <v>588</v>
      </c>
      <c r="F604" s="371" t="s">
        <v>2022</v>
      </c>
      <c r="G604" s="371"/>
      <c r="H604" s="371">
        <v>158</v>
      </c>
      <c r="I604" s="176">
        <f t="shared" si="109"/>
        <v>22.571428571428573</v>
      </c>
      <c r="J604" s="12">
        <v>4072</v>
      </c>
      <c r="K604" s="176">
        <v>3073</v>
      </c>
      <c r="L604" s="176">
        <f t="shared" si="110"/>
        <v>17.033889980353635</v>
      </c>
      <c r="M604" s="176">
        <f t="shared" si="111"/>
        <v>39.605318551782204</v>
      </c>
      <c r="N604" s="12"/>
      <c r="O604" s="176">
        <f t="shared" si="112"/>
        <v>59.407977827673307</v>
      </c>
      <c r="P604" s="344">
        <v>100</v>
      </c>
      <c r="S604" t="s">
        <v>2123</v>
      </c>
      <c r="T604" s="6">
        <v>46024</v>
      </c>
      <c r="V604" s="10"/>
    </row>
    <row r="605" spans="1:22" customFormat="1" ht="15.5" x14ac:dyDescent="0.35">
      <c r="A605" s="594"/>
      <c r="B605" s="597"/>
      <c r="C605" s="597" t="s">
        <v>865</v>
      </c>
      <c r="D605" s="92"/>
      <c r="E605" s="745" t="s">
        <v>411</v>
      </c>
      <c r="F605" s="245" t="s">
        <v>1953</v>
      </c>
      <c r="G605" s="245"/>
      <c r="H605" s="245">
        <v>175</v>
      </c>
      <c r="I605" s="173">
        <f t="shared" si="109"/>
        <v>25</v>
      </c>
      <c r="J605">
        <v>4072</v>
      </c>
      <c r="K605" s="173">
        <v>3073</v>
      </c>
      <c r="L605" s="173">
        <f t="shared" si="110"/>
        <v>18.866650294695479</v>
      </c>
      <c r="M605" s="173">
        <f t="shared" si="111"/>
        <v>43.866650294695475</v>
      </c>
      <c r="O605" s="173">
        <f t="shared" si="112"/>
        <v>65.799975442043205</v>
      </c>
      <c r="P605" s="173">
        <v>90</v>
      </c>
      <c r="V605" s="10"/>
    </row>
    <row r="606" spans="1:22" customFormat="1" ht="15.5" x14ac:dyDescent="0.35">
      <c r="A606" s="594"/>
      <c r="B606" s="597"/>
      <c r="C606" s="597" t="s">
        <v>865</v>
      </c>
      <c r="D606" s="92"/>
      <c r="E606" s="745" t="s">
        <v>588</v>
      </c>
      <c r="F606" s="245" t="s">
        <v>1953</v>
      </c>
      <c r="G606" s="245"/>
      <c r="H606" s="245">
        <v>175</v>
      </c>
      <c r="I606" s="173">
        <f t="shared" si="109"/>
        <v>25</v>
      </c>
      <c r="J606">
        <v>4072</v>
      </c>
      <c r="K606" s="173">
        <v>3073</v>
      </c>
      <c r="L606" s="173">
        <f t="shared" si="110"/>
        <v>18.866650294695479</v>
      </c>
      <c r="M606" s="173">
        <f t="shared" si="111"/>
        <v>43.866650294695475</v>
      </c>
      <c r="O606" s="173">
        <f t="shared" si="112"/>
        <v>65.799975442043205</v>
      </c>
      <c r="P606" s="173">
        <v>90</v>
      </c>
      <c r="V606" s="10"/>
    </row>
    <row r="607" spans="1:22" customFormat="1" ht="15.5" x14ac:dyDescent="0.35">
      <c r="A607" s="594"/>
      <c r="B607" s="597"/>
      <c r="C607" s="597" t="s">
        <v>865</v>
      </c>
      <c r="D607" s="92"/>
      <c r="E607" s="745" t="s">
        <v>409</v>
      </c>
      <c r="F607" s="371" t="s">
        <v>1954</v>
      </c>
      <c r="G607" s="371"/>
      <c r="H607" s="371">
        <v>175</v>
      </c>
      <c r="I607" s="176">
        <f t="shared" si="109"/>
        <v>25</v>
      </c>
      <c r="J607" s="12">
        <v>4072</v>
      </c>
      <c r="K607" s="176">
        <v>3073</v>
      </c>
      <c r="L607" s="176">
        <f t="shared" si="110"/>
        <v>18.866650294695479</v>
      </c>
      <c r="M607" s="176">
        <f t="shared" si="111"/>
        <v>43.866650294695475</v>
      </c>
      <c r="N607" s="12"/>
      <c r="O607" s="176">
        <f t="shared" si="112"/>
        <v>65.799975442043205</v>
      </c>
      <c r="P607" s="176">
        <v>90</v>
      </c>
      <c r="S607" t="s">
        <v>12</v>
      </c>
      <c r="T607" s="6">
        <v>46123</v>
      </c>
      <c r="V607" s="10"/>
    </row>
    <row r="608" spans="1:22" customFormat="1" ht="15.5" x14ac:dyDescent="0.35">
      <c r="A608" s="594"/>
      <c r="B608" s="597"/>
      <c r="C608" s="597" t="s">
        <v>865</v>
      </c>
      <c r="D608" s="92"/>
      <c r="E608" s="745" t="s">
        <v>410</v>
      </c>
      <c r="F608" s="245" t="s">
        <v>1954</v>
      </c>
      <c r="G608" s="245"/>
      <c r="H608" s="245">
        <v>175</v>
      </c>
      <c r="I608" s="173">
        <f t="shared" si="109"/>
        <v>25</v>
      </c>
      <c r="J608">
        <v>4072</v>
      </c>
      <c r="K608" s="173">
        <v>3073</v>
      </c>
      <c r="L608" s="173">
        <f t="shared" si="110"/>
        <v>18.866650294695479</v>
      </c>
      <c r="M608" s="173">
        <f t="shared" si="111"/>
        <v>43.866650294695475</v>
      </c>
      <c r="O608" s="173">
        <f t="shared" si="112"/>
        <v>65.799975442043205</v>
      </c>
      <c r="P608" s="173">
        <v>90</v>
      </c>
      <c r="V608" s="10"/>
    </row>
    <row r="609" spans="1:22" customFormat="1" ht="15.5" x14ac:dyDescent="0.35">
      <c r="A609" s="594"/>
      <c r="B609" s="597"/>
      <c r="C609" s="597"/>
      <c r="D609" s="92"/>
      <c r="E609" s="745" t="s">
        <v>410</v>
      </c>
      <c r="F609" s="245" t="s">
        <v>2579</v>
      </c>
      <c r="G609" s="245"/>
      <c r="H609" s="245">
        <v>168</v>
      </c>
      <c r="I609" s="173">
        <f t="shared" si="109"/>
        <v>24</v>
      </c>
      <c r="J609">
        <v>4072</v>
      </c>
      <c r="K609" s="173">
        <v>3073</v>
      </c>
      <c r="L609" s="173">
        <f t="shared" si="110"/>
        <v>18.111984282907663</v>
      </c>
      <c r="M609" s="173">
        <f t="shared" si="111"/>
        <v>42.111984282907663</v>
      </c>
      <c r="O609" s="173">
        <f t="shared" si="112"/>
        <v>63.167976424361498</v>
      </c>
      <c r="P609" s="173">
        <v>80</v>
      </c>
      <c r="V609" s="10"/>
    </row>
    <row r="610" spans="1:22" customFormat="1" ht="15.5" x14ac:dyDescent="0.35">
      <c r="A610" s="594"/>
      <c r="B610" s="597"/>
      <c r="C610" s="597" t="s">
        <v>865</v>
      </c>
      <c r="D610" s="92"/>
      <c r="E610" s="745" t="s">
        <v>588</v>
      </c>
      <c r="F610" s="245" t="s">
        <v>2582</v>
      </c>
      <c r="G610" s="245"/>
      <c r="H610" s="245">
        <v>190</v>
      </c>
      <c r="I610" s="173">
        <f t="shared" si="109"/>
        <v>27.142857142857142</v>
      </c>
      <c r="J610">
        <v>4072</v>
      </c>
      <c r="K610" s="173">
        <v>3073</v>
      </c>
      <c r="L610" s="173">
        <f t="shared" si="110"/>
        <v>20.483791748526521</v>
      </c>
      <c r="M610" s="173">
        <f t="shared" si="111"/>
        <v>47.626648891383667</v>
      </c>
      <c r="O610" s="173">
        <f t="shared" si="112"/>
        <v>71.4399733370755</v>
      </c>
      <c r="P610" s="173">
        <v>80</v>
      </c>
      <c r="V610" s="10"/>
    </row>
    <row r="611" spans="1:22" customFormat="1" ht="15.5" x14ac:dyDescent="0.35">
      <c r="A611" s="594"/>
      <c r="B611" s="597"/>
      <c r="C611" s="597" t="s">
        <v>865</v>
      </c>
      <c r="D611" s="92"/>
      <c r="E611" s="745" t="s">
        <v>588</v>
      </c>
      <c r="F611" s="245" t="s">
        <v>2581</v>
      </c>
      <c r="G611" s="245"/>
      <c r="H611" s="245">
        <v>190</v>
      </c>
      <c r="I611" s="173">
        <f t="shared" si="109"/>
        <v>27.142857142857142</v>
      </c>
      <c r="J611">
        <v>4072</v>
      </c>
      <c r="K611" s="173">
        <v>3073</v>
      </c>
      <c r="L611" s="173">
        <f t="shared" si="110"/>
        <v>20.483791748526521</v>
      </c>
      <c r="M611" s="173">
        <f t="shared" si="111"/>
        <v>47.626648891383667</v>
      </c>
      <c r="O611" s="173">
        <f t="shared" si="112"/>
        <v>71.4399733370755</v>
      </c>
      <c r="P611" s="173">
        <v>80</v>
      </c>
      <c r="V611" s="10"/>
    </row>
    <row r="612" spans="1:22" customFormat="1" ht="15.5" x14ac:dyDescent="0.35">
      <c r="A612" s="594"/>
      <c r="B612" s="597"/>
      <c r="C612" s="597" t="s">
        <v>865</v>
      </c>
      <c r="D612" s="92"/>
      <c r="E612" s="745" t="s">
        <v>411</v>
      </c>
      <c r="F612" s="245" t="s">
        <v>1956</v>
      </c>
      <c r="G612" s="245"/>
      <c r="H612" s="245">
        <v>198</v>
      </c>
      <c r="I612" s="173">
        <f t="shared" si="109"/>
        <v>28.285714285714285</v>
      </c>
      <c r="J612">
        <v>4072</v>
      </c>
      <c r="K612" s="173">
        <v>3073</v>
      </c>
      <c r="L612" s="173">
        <f t="shared" si="110"/>
        <v>21.346267190569744</v>
      </c>
      <c r="M612" s="173">
        <f t="shared" si="111"/>
        <v>49.631981476284025</v>
      </c>
      <c r="O612" s="173">
        <f t="shared" si="112"/>
        <v>74.447972214426045</v>
      </c>
      <c r="P612" s="173">
        <v>90</v>
      </c>
      <c r="V612" s="10"/>
    </row>
    <row r="613" spans="1:22" customFormat="1" ht="15.5" x14ac:dyDescent="0.35">
      <c r="A613" s="594"/>
      <c r="B613" s="597"/>
      <c r="C613" s="597" t="s">
        <v>865</v>
      </c>
      <c r="D613" s="92"/>
      <c r="E613" s="745" t="s">
        <v>588</v>
      </c>
      <c r="F613" s="245" t="s">
        <v>1956</v>
      </c>
      <c r="G613" s="245"/>
      <c r="H613" s="245">
        <v>198</v>
      </c>
      <c r="I613" s="173">
        <f t="shared" si="109"/>
        <v>28.285714285714285</v>
      </c>
      <c r="J613">
        <v>4072</v>
      </c>
      <c r="K613" s="173">
        <v>3073</v>
      </c>
      <c r="L613" s="173">
        <f t="shared" si="110"/>
        <v>21.346267190569744</v>
      </c>
      <c r="M613" s="173">
        <f t="shared" si="111"/>
        <v>49.631981476284025</v>
      </c>
      <c r="O613" s="173">
        <f t="shared" si="112"/>
        <v>74.447972214426045</v>
      </c>
      <c r="P613" s="173">
        <v>90</v>
      </c>
      <c r="V613" s="10"/>
    </row>
    <row r="614" spans="1:22" customFormat="1" ht="15.5" x14ac:dyDescent="0.35">
      <c r="A614" s="594"/>
      <c r="B614" s="597"/>
      <c r="C614" s="597" t="s">
        <v>865</v>
      </c>
      <c r="D614" s="92"/>
      <c r="E614" s="745" t="s">
        <v>410</v>
      </c>
      <c r="F614" s="245" t="s">
        <v>1956</v>
      </c>
      <c r="G614" s="245"/>
      <c r="H614" s="245">
        <v>198</v>
      </c>
      <c r="I614" s="173">
        <f t="shared" si="109"/>
        <v>28.285714285714285</v>
      </c>
      <c r="J614">
        <v>4072</v>
      </c>
      <c r="K614" s="173">
        <v>3073</v>
      </c>
      <c r="L614" s="173">
        <f t="shared" si="110"/>
        <v>21.346267190569744</v>
      </c>
      <c r="M614" s="173">
        <f t="shared" si="111"/>
        <v>49.631981476284025</v>
      </c>
      <c r="O614" s="173">
        <f t="shared" si="112"/>
        <v>74.447972214426045</v>
      </c>
      <c r="P614" s="173">
        <v>90</v>
      </c>
      <c r="V614" s="10"/>
    </row>
    <row r="615" spans="1:22" customFormat="1" ht="15.5" x14ac:dyDescent="0.35">
      <c r="A615" s="594"/>
      <c r="B615" s="597"/>
      <c r="C615" s="597" t="s">
        <v>865</v>
      </c>
      <c r="D615" s="92"/>
      <c r="E615" s="745" t="s">
        <v>588</v>
      </c>
      <c r="F615" s="245" t="s">
        <v>1957</v>
      </c>
      <c r="G615" s="245"/>
      <c r="H615" s="245">
        <v>228</v>
      </c>
      <c r="I615" s="173">
        <f t="shared" si="109"/>
        <v>32.571428571428569</v>
      </c>
      <c r="J615">
        <v>4072</v>
      </c>
      <c r="K615" s="173">
        <v>3073</v>
      </c>
      <c r="L615" s="173">
        <f t="shared" si="110"/>
        <v>24.580550098231825</v>
      </c>
      <c r="M615" s="173">
        <f t="shared" si="111"/>
        <v>57.151978669660394</v>
      </c>
      <c r="O615" s="173">
        <f t="shared" si="112"/>
        <v>85.727968004490592</v>
      </c>
      <c r="P615" s="173">
        <v>90</v>
      </c>
      <c r="V615" s="10"/>
    </row>
    <row r="616" spans="1:22" customFormat="1" ht="15.5" x14ac:dyDescent="0.35">
      <c r="A616" s="594"/>
      <c r="B616" s="597"/>
      <c r="C616" s="597" t="s">
        <v>865</v>
      </c>
      <c r="D616" s="92"/>
      <c r="E616" s="745" t="s">
        <v>588</v>
      </c>
      <c r="F616" s="245" t="s">
        <v>1957</v>
      </c>
      <c r="G616" s="245"/>
      <c r="H616" s="245">
        <v>228</v>
      </c>
      <c r="I616" s="173">
        <f t="shared" si="109"/>
        <v>32.571428571428569</v>
      </c>
      <c r="J616">
        <v>4072</v>
      </c>
      <c r="K616" s="173">
        <v>3073</v>
      </c>
      <c r="L616" s="173">
        <f t="shared" si="110"/>
        <v>24.580550098231825</v>
      </c>
      <c r="M616" s="173">
        <f t="shared" si="111"/>
        <v>57.151978669660394</v>
      </c>
      <c r="O616" s="173">
        <f t="shared" si="112"/>
        <v>85.727968004490592</v>
      </c>
      <c r="P616" s="173">
        <v>90</v>
      </c>
      <c r="V616" s="10"/>
    </row>
    <row r="617" spans="1:22" customFormat="1" ht="15.5" x14ac:dyDescent="0.35">
      <c r="A617" s="594"/>
      <c r="B617" s="597"/>
      <c r="C617" s="597" t="s">
        <v>865</v>
      </c>
      <c r="D617" s="92"/>
      <c r="E617" s="745" t="s">
        <v>408</v>
      </c>
      <c r="F617" s="245" t="s">
        <v>2619</v>
      </c>
      <c r="G617" s="245"/>
      <c r="H617" s="245">
        <v>130</v>
      </c>
      <c r="I617" s="173">
        <f t="shared" si="109"/>
        <v>18.571428571428573</v>
      </c>
      <c r="J617">
        <v>4072</v>
      </c>
      <c r="K617" s="173">
        <v>3073</v>
      </c>
      <c r="L617" s="173">
        <f t="shared" si="110"/>
        <v>14.015225933202359</v>
      </c>
      <c r="M617" s="173">
        <f t="shared" si="111"/>
        <v>32.586654504630928</v>
      </c>
      <c r="O617" s="173">
        <f t="shared" si="112"/>
        <v>48.879981756946393</v>
      </c>
      <c r="P617" s="173">
        <v>80</v>
      </c>
      <c r="V617" s="10"/>
    </row>
    <row r="618" spans="1:22" customFormat="1" ht="15.5" x14ac:dyDescent="0.35">
      <c r="A618" s="594"/>
      <c r="B618" s="597"/>
      <c r="C618" s="597" t="s">
        <v>865</v>
      </c>
      <c r="D618" s="92"/>
      <c r="E618" s="745" t="s">
        <v>407</v>
      </c>
      <c r="F618" s="371" t="s">
        <v>2580</v>
      </c>
      <c r="G618" s="371"/>
      <c r="H618" s="371">
        <v>130</v>
      </c>
      <c r="I618" s="176">
        <f t="shared" si="109"/>
        <v>18.571428571428573</v>
      </c>
      <c r="J618" s="12">
        <v>4072</v>
      </c>
      <c r="K618" s="176">
        <v>3073</v>
      </c>
      <c r="L618" s="176">
        <f t="shared" si="110"/>
        <v>14.015225933202359</v>
      </c>
      <c r="M618" s="176">
        <f t="shared" si="111"/>
        <v>32.586654504630928</v>
      </c>
      <c r="N618" s="12"/>
      <c r="O618" s="176">
        <f t="shared" si="112"/>
        <v>48.879981756946393</v>
      </c>
      <c r="P618" s="176">
        <v>80</v>
      </c>
      <c r="S618" t="s">
        <v>12</v>
      </c>
      <c r="T618" s="6">
        <v>46135</v>
      </c>
      <c r="V618" s="10"/>
    </row>
    <row r="619" spans="1:22" customFormat="1" ht="15.5" x14ac:dyDescent="0.35">
      <c r="A619" s="594"/>
      <c r="B619" s="597"/>
      <c r="C619" s="597" t="s">
        <v>865</v>
      </c>
      <c r="D619" s="92"/>
      <c r="E619" s="745" t="s">
        <v>409</v>
      </c>
      <c r="F619" s="245" t="s">
        <v>2580</v>
      </c>
      <c r="G619" s="245"/>
      <c r="H619" s="245">
        <v>130</v>
      </c>
      <c r="I619" s="173">
        <f t="shared" si="109"/>
        <v>18.571428571428573</v>
      </c>
      <c r="J619">
        <v>4072</v>
      </c>
      <c r="K619" s="173">
        <v>3073</v>
      </c>
      <c r="L619" s="173">
        <f t="shared" si="110"/>
        <v>14.015225933202359</v>
      </c>
      <c r="M619" s="173">
        <f t="shared" si="111"/>
        <v>32.586654504630928</v>
      </c>
      <c r="O619" s="173">
        <f t="shared" si="112"/>
        <v>48.879981756946393</v>
      </c>
      <c r="P619" s="173">
        <v>80</v>
      </c>
      <c r="V619" s="10"/>
    </row>
    <row r="620" spans="1:22" customFormat="1" ht="15.5" hidden="1" x14ac:dyDescent="0.35">
      <c r="A620" s="594"/>
      <c r="B620" s="597"/>
      <c r="C620" s="233" t="s">
        <v>865</v>
      </c>
      <c r="E620" s="366" t="s">
        <v>410</v>
      </c>
      <c r="F620" s="245" t="s">
        <v>2578</v>
      </c>
      <c r="G620" s="371"/>
      <c r="H620" s="371">
        <v>130</v>
      </c>
      <c r="I620" s="176">
        <f t="shared" si="109"/>
        <v>18.571428571428573</v>
      </c>
      <c r="J620" s="12">
        <v>4072</v>
      </c>
      <c r="K620" s="176">
        <v>3073</v>
      </c>
      <c r="L620" s="176">
        <f t="shared" si="110"/>
        <v>14.015225933202359</v>
      </c>
      <c r="M620" s="176">
        <f t="shared" si="111"/>
        <v>32.586654504630928</v>
      </c>
      <c r="N620" s="12"/>
      <c r="O620" s="176">
        <f t="shared" si="112"/>
        <v>48.879981756946393</v>
      </c>
      <c r="P620" s="344">
        <v>80</v>
      </c>
      <c r="S620" t="s">
        <v>2476</v>
      </c>
      <c r="T620" s="6">
        <v>46057</v>
      </c>
      <c r="V620" s="10"/>
    </row>
    <row r="621" spans="1:22" customFormat="1" ht="15.5" x14ac:dyDescent="0.35">
      <c r="A621" s="594"/>
      <c r="B621" s="597"/>
      <c r="C621" s="597" t="s">
        <v>865</v>
      </c>
      <c r="D621" s="92"/>
      <c r="E621" s="745" t="s">
        <v>1079</v>
      </c>
      <c r="F621" s="245" t="s">
        <v>1959</v>
      </c>
      <c r="G621" s="245"/>
      <c r="H621" s="245">
        <v>130</v>
      </c>
      <c r="I621" s="173">
        <f t="shared" si="109"/>
        <v>18.571428571428573</v>
      </c>
      <c r="J621">
        <v>4072</v>
      </c>
      <c r="K621" s="173">
        <v>3073</v>
      </c>
      <c r="L621" s="173">
        <f t="shared" si="110"/>
        <v>14.015225933202359</v>
      </c>
      <c r="M621" s="173">
        <f t="shared" si="111"/>
        <v>32.586654504630928</v>
      </c>
      <c r="O621" s="173">
        <f t="shared" si="112"/>
        <v>48.879981756946393</v>
      </c>
      <c r="P621" s="173">
        <v>65</v>
      </c>
      <c r="V621" s="10"/>
    </row>
    <row r="622" spans="1:22" customFormat="1" ht="15.5" x14ac:dyDescent="0.35">
      <c r="A622" s="594"/>
      <c r="B622" s="597"/>
      <c r="C622" s="597" t="s">
        <v>865</v>
      </c>
      <c r="D622" s="92"/>
      <c r="E622" s="745" t="s">
        <v>485</v>
      </c>
      <c r="F622" s="245" t="s">
        <v>1960</v>
      </c>
      <c r="G622" s="245"/>
      <c r="H622" s="245">
        <v>130</v>
      </c>
      <c r="I622" s="173">
        <f t="shared" si="109"/>
        <v>18.571428571428573</v>
      </c>
      <c r="J622">
        <v>4072</v>
      </c>
      <c r="K622" s="173">
        <v>3073</v>
      </c>
      <c r="L622" s="173">
        <f t="shared" si="110"/>
        <v>14.015225933202359</v>
      </c>
      <c r="M622" s="173">
        <f t="shared" si="111"/>
        <v>32.586654504630928</v>
      </c>
      <c r="O622" s="173">
        <f t="shared" si="112"/>
        <v>48.879981756946393</v>
      </c>
      <c r="P622" s="173">
        <v>65</v>
      </c>
      <c r="V622" s="10"/>
    </row>
    <row r="623" spans="1:22" customFormat="1" ht="15.5" x14ac:dyDescent="0.35">
      <c r="A623" s="594"/>
      <c r="B623" s="597"/>
      <c r="C623" s="597" t="s">
        <v>865</v>
      </c>
      <c r="D623" s="92"/>
      <c r="E623" s="745" t="s">
        <v>411</v>
      </c>
      <c r="F623" s="371" t="s">
        <v>1959</v>
      </c>
      <c r="G623" s="371"/>
      <c r="H623" s="371">
        <v>130</v>
      </c>
      <c r="I623" s="176">
        <f t="shared" si="109"/>
        <v>18.571428571428573</v>
      </c>
      <c r="J623" s="12">
        <v>4072</v>
      </c>
      <c r="K623" s="176">
        <v>3073</v>
      </c>
      <c r="L623" s="176">
        <f t="shared" si="110"/>
        <v>14.015225933202359</v>
      </c>
      <c r="M623" s="176">
        <f t="shared" si="111"/>
        <v>32.586654504630928</v>
      </c>
      <c r="N623" s="12"/>
      <c r="O623" s="176">
        <f t="shared" si="112"/>
        <v>48.879981756946393</v>
      </c>
      <c r="P623" s="176">
        <v>65</v>
      </c>
      <c r="S623" t="s">
        <v>3008</v>
      </c>
      <c r="T623" s="6">
        <v>46112</v>
      </c>
      <c r="V623" s="10"/>
    </row>
    <row r="624" spans="1:22" customFormat="1" ht="15.5" x14ac:dyDescent="0.35">
      <c r="A624" s="594"/>
      <c r="B624" s="597"/>
      <c r="C624" s="597"/>
      <c r="D624" s="92"/>
      <c r="E624" s="745" t="s">
        <v>1958</v>
      </c>
      <c r="F624" s="371" t="s">
        <v>1959</v>
      </c>
      <c r="G624" s="371"/>
      <c r="H624" s="371">
        <v>130</v>
      </c>
      <c r="I624" s="176">
        <f t="shared" si="109"/>
        <v>18.571428571428573</v>
      </c>
      <c r="J624" s="12">
        <v>4072</v>
      </c>
      <c r="K624" s="176">
        <v>3073</v>
      </c>
      <c r="L624" s="176">
        <f t="shared" si="110"/>
        <v>14.015225933202359</v>
      </c>
      <c r="M624" s="176">
        <f t="shared" si="111"/>
        <v>32.586654504630928</v>
      </c>
      <c r="N624" s="12"/>
      <c r="O624" s="176">
        <f t="shared" si="112"/>
        <v>48.879981756946393</v>
      </c>
      <c r="P624" s="176">
        <v>65</v>
      </c>
      <c r="S624" t="s">
        <v>12</v>
      </c>
      <c r="T624" s="6">
        <v>46130</v>
      </c>
      <c r="V624" s="10"/>
    </row>
    <row r="625" spans="1:22" customFormat="1" ht="15.5" x14ac:dyDescent="0.35">
      <c r="A625" s="594"/>
      <c r="B625" s="597"/>
      <c r="C625" s="597"/>
      <c r="D625" s="92"/>
      <c r="E625" s="745" t="s">
        <v>1958</v>
      </c>
      <c r="F625" s="245" t="s">
        <v>1959</v>
      </c>
      <c r="G625" s="245"/>
      <c r="H625" s="245">
        <v>130</v>
      </c>
      <c r="I625" s="173">
        <f t="shared" si="109"/>
        <v>18.571428571428573</v>
      </c>
      <c r="J625">
        <v>4072</v>
      </c>
      <c r="K625" s="173">
        <v>3073</v>
      </c>
      <c r="L625" s="173">
        <f t="shared" si="110"/>
        <v>14.015225933202359</v>
      </c>
      <c r="M625" s="173">
        <f t="shared" si="111"/>
        <v>32.586654504630928</v>
      </c>
      <c r="O625" s="173">
        <f t="shared" si="112"/>
        <v>48.879981756946393</v>
      </c>
      <c r="P625" s="173">
        <v>65</v>
      </c>
      <c r="V625" s="10"/>
    </row>
    <row r="626" spans="1:22" customFormat="1" ht="15.5" x14ac:dyDescent="0.35">
      <c r="A626" s="3"/>
      <c r="B626" s="233"/>
      <c r="C626" s="233"/>
      <c r="E626" s="366" t="s">
        <v>1962</v>
      </c>
      <c r="F626" s="371" t="s">
        <v>2028</v>
      </c>
      <c r="G626" s="371"/>
      <c r="H626" s="371">
        <v>130</v>
      </c>
      <c r="I626" s="176">
        <f t="shared" si="109"/>
        <v>18.571428571428573</v>
      </c>
      <c r="J626" s="12">
        <v>4072</v>
      </c>
      <c r="K626" s="176">
        <v>3073</v>
      </c>
      <c r="L626" s="176">
        <f t="shared" si="110"/>
        <v>14.015225933202359</v>
      </c>
      <c r="M626" s="176">
        <f t="shared" si="111"/>
        <v>32.586654504630928</v>
      </c>
      <c r="N626" s="12"/>
      <c r="O626" s="176">
        <f t="shared" si="112"/>
        <v>48.879981756946393</v>
      </c>
      <c r="P626" s="344">
        <v>90</v>
      </c>
      <c r="S626" t="s">
        <v>12</v>
      </c>
      <c r="T626" s="6">
        <v>46046</v>
      </c>
      <c r="V626" s="10"/>
    </row>
    <row r="627" spans="1:22" customFormat="1" ht="15.5" x14ac:dyDescent="0.35">
      <c r="A627" s="3"/>
      <c r="B627" s="233"/>
      <c r="C627" s="233"/>
      <c r="E627" s="366" t="s">
        <v>409</v>
      </c>
      <c r="F627" s="371" t="s">
        <v>1963</v>
      </c>
      <c r="G627" s="371"/>
      <c r="H627" s="371">
        <v>158</v>
      </c>
      <c r="I627" s="176">
        <f t="shared" ref="I627:I649" si="113">+H627/7</f>
        <v>22.571428571428573</v>
      </c>
      <c r="J627" s="12">
        <v>4072</v>
      </c>
      <c r="K627" s="176">
        <v>3073</v>
      </c>
      <c r="L627" s="176">
        <f t="shared" ref="L627:L649" si="114">+I627/J627*K627</f>
        <v>17.033889980353635</v>
      </c>
      <c r="M627" s="176">
        <f t="shared" ref="M627:M649" si="115">+I627+L627</f>
        <v>39.605318551782204</v>
      </c>
      <c r="N627" s="12"/>
      <c r="O627" s="176">
        <f t="shared" ref="O627:O649" si="116">+M627*1.5</f>
        <v>59.407977827673307</v>
      </c>
      <c r="P627" s="344">
        <v>110</v>
      </c>
      <c r="S627" t="s">
        <v>12</v>
      </c>
      <c r="T627" s="6">
        <v>46037</v>
      </c>
      <c r="V627" s="10"/>
    </row>
    <row r="628" spans="1:22" customFormat="1" ht="15.5" x14ac:dyDescent="0.35">
      <c r="A628" s="3"/>
      <c r="B628" s="233"/>
      <c r="C628" s="233"/>
      <c r="E628" s="366" t="s">
        <v>410</v>
      </c>
      <c r="F628" s="371" t="s">
        <v>1963</v>
      </c>
      <c r="G628" s="371"/>
      <c r="H628" s="371">
        <v>158</v>
      </c>
      <c r="I628" s="176">
        <f t="shared" si="113"/>
        <v>22.571428571428573</v>
      </c>
      <c r="J628" s="12">
        <v>4072</v>
      </c>
      <c r="K628" s="176">
        <v>3073</v>
      </c>
      <c r="L628" s="176">
        <f t="shared" si="114"/>
        <v>17.033889980353635</v>
      </c>
      <c r="M628" s="176">
        <f t="shared" si="115"/>
        <v>39.605318551782204</v>
      </c>
      <c r="N628" s="12"/>
      <c r="O628" s="176">
        <f t="shared" si="116"/>
        <v>59.407977827673307</v>
      </c>
      <c r="P628" s="344">
        <v>110</v>
      </c>
      <c r="S628" t="s">
        <v>12</v>
      </c>
      <c r="T628" s="6">
        <v>46058</v>
      </c>
      <c r="V628" s="10"/>
    </row>
    <row r="629" spans="1:22" customFormat="1" ht="15.5" x14ac:dyDescent="0.35">
      <c r="A629" s="594"/>
      <c r="B629" s="597"/>
      <c r="C629" s="597" t="s">
        <v>235</v>
      </c>
      <c r="D629" s="92"/>
      <c r="E629" s="745" t="s">
        <v>1958</v>
      </c>
      <c r="F629" s="371" t="s">
        <v>2019</v>
      </c>
      <c r="G629" s="371"/>
      <c r="H629" s="371">
        <v>125</v>
      </c>
      <c r="I629" s="176">
        <f t="shared" si="113"/>
        <v>17.857142857142858</v>
      </c>
      <c r="J629" s="12">
        <v>4072</v>
      </c>
      <c r="K629" s="176">
        <v>3073</v>
      </c>
      <c r="L629" s="176">
        <f t="shared" si="114"/>
        <v>13.476178781925345</v>
      </c>
      <c r="M629" s="176">
        <f t="shared" si="115"/>
        <v>31.333321639068203</v>
      </c>
      <c r="N629" s="12"/>
      <c r="O629" s="176">
        <f t="shared" si="116"/>
        <v>46.999982458602304</v>
      </c>
      <c r="P629" s="344">
        <v>75</v>
      </c>
      <c r="S629" t="s">
        <v>2678</v>
      </c>
      <c r="T629" s="6">
        <v>46083</v>
      </c>
      <c r="V629" s="10"/>
    </row>
    <row r="630" spans="1:22" customFormat="1" ht="15.5" x14ac:dyDescent="0.35">
      <c r="A630" s="594"/>
      <c r="B630" s="597"/>
      <c r="C630" s="597" t="s">
        <v>235</v>
      </c>
      <c r="D630" s="92"/>
      <c r="E630" s="745" t="s">
        <v>1958</v>
      </c>
      <c r="F630" s="245" t="s">
        <v>2019</v>
      </c>
      <c r="G630" s="245"/>
      <c r="H630" s="245">
        <v>125</v>
      </c>
      <c r="I630" s="173">
        <f t="shared" si="113"/>
        <v>17.857142857142858</v>
      </c>
      <c r="J630">
        <v>4072</v>
      </c>
      <c r="K630" s="173">
        <v>3073</v>
      </c>
      <c r="L630" s="173">
        <f t="shared" si="114"/>
        <v>13.476178781925345</v>
      </c>
      <c r="M630" s="173">
        <f t="shared" si="115"/>
        <v>31.333321639068203</v>
      </c>
      <c r="O630" s="173">
        <f t="shared" si="116"/>
        <v>46.999982458602304</v>
      </c>
      <c r="P630" s="173">
        <v>75</v>
      </c>
      <c r="V630" s="10"/>
    </row>
    <row r="631" spans="1:22" customFormat="1" ht="15.5" hidden="1" x14ac:dyDescent="0.35">
      <c r="A631" s="594"/>
      <c r="B631" s="597"/>
      <c r="C631" s="233"/>
      <c r="E631" s="366"/>
      <c r="F631" s="371" t="s">
        <v>2012</v>
      </c>
      <c r="G631" s="371"/>
      <c r="H631" s="371">
        <v>125</v>
      </c>
      <c r="I631" s="176">
        <f t="shared" si="113"/>
        <v>17.857142857142858</v>
      </c>
      <c r="J631" s="12">
        <v>4072</v>
      </c>
      <c r="K631" s="176">
        <v>3073</v>
      </c>
      <c r="L631" s="176">
        <f t="shared" si="114"/>
        <v>13.476178781925345</v>
      </c>
      <c r="M631" s="176">
        <f t="shared" si="115"/>
        <v>31.333321639068203</v>
      </c>
      <c r="N631" s="12"/>
      <c r="O631" s="176">
        <f t="shared" si="116"/>
        <v>46.999982458602304</v>
      </c>
      <c r="P631" s="344">
        <v>85</v>
      </c>
      <c r="S631" t="s">
        <v>2305</v>
      </c>
      <c r="T631" s="6">
        <v>46043</v>
      </c>
      <c r="V631" s="10"/>
    </row>
    <row r="632" spans="1:22" customFormat="1" ht="15.5" x14ac:dyDescent="0.35">
      <c r="A632" s="594"/>
      <c r="B632" s="597"/>
      <c r="C632" s="597"/>
      <c r="D632" s="92"/>
      <c r="E632" s="745"/>
      <c r="F632" s="371" t="s">
        <v>2012</v>
      </c>
      <c r="G632" s="371"/>
      <c r="H632" s="371">
        <v>125</v>
      </c>
      <c r="I632" s="176">
        <f t="shared" si="113"/>
        <v>17.857142857142858</v>
      </c>
      <c r="J632" s="12">
        <v>4072</v>
      </c>
      <c r="K632" s="176">
        <v>3073</v>
      </c>
      <c r="L632" s="176">
        <f t="shared" si="114"/>
        <v>13.476178781925345</v>
      </c>
      <c r="M632" s="176">
        <f t="shared" si="115"/>
        <v>31.333321639068203</v>
      </c>
      <c r="N632" s="12"/>
      <c r="O632" s="176">
        <f t="shared" si="116"/>
        <v>46.999982458602304</v>
      </c>
      <c r="P632" s="176">
        <v>90</v>
      </c>
      <c r="S632" t="s">
        <v>3025</v>
      </c>
      <c r="T632" s="6">
        <v>46114</v>
      </c>
      <c r="V632" s="10"/>
    </row>
    <row r="633" spans="1:22" customFormat="1" ht="15.5" hidden="1" x14ac:dyDescent="0.35">
      <c r="A633" s="594"/>
      <c r="B633" s="597"/>
      <c r="C633" s="233" t="s">
        <v>1989</v>
      </c>
      <c r="E633" s="366" t="s">
        <v>410</v>
      </c>
      <c r="F633" s="371" t="s">
        <v>2057</v>
      </c>
      <c r="G633" s="371"/>
      <c r="H633" s="371">
        <v>140</v>
      </c>
      <c r="I633" s="176">
        <f t="shared" si="113"/>
        <v>20</v>
      </c>
      <c r="J633" s="12">
        <v>4072</v>
      </c>
      <c r="K633" s="176">
        <v>3073</v>
      </c>
      <c r="L633" s="176">
        <f t="shared" si="114"/>
        <v>15.093320235756385</v>
      </c>
      <c r="M633" s="176">
        <f t="shared" si="115"/>
        <v>35.093320235756387</v>
      </c>
      <c r="N633" s="12"/>
      <c r="O633" s="176">
        <f t="shared" si="116"/>
        <v>52.639980353634584</v>
      </c>
      <c r="P633" s="344">
        <v>85</v>
      </c>
      <c r="S633" t="s">
        <v>998</v>
      </c>
      <c r="T633" s="6">
        <v>46059</v>
      </c>
      <c r="V633" s="10"/>
    </row>
    <row r="634" spans="1:22" customFormat="1" ht="15.5" x14ac:dyDescent="0.35">
      <c r="A634" s="594"/>
      <c r="B634" s="597"/>
      <c r="C634" s="597" t="s">
        <v>1988</v>
      </c>
      <c r="D634" s="92"/>
      <c r="E634" s="745" t="s">
        <v>409</v>
      </c>
      <c r="F634" s="245" t="s">
        <v>1987</v>
      </c>
      <c r="G634" s="245"/>
      <c r="H634" s="245">
        <v>135</v>
      </c>
      <c r="I634" s="173">
        <f t="shared" si="113"/>
        <v>19.285714285714285</v>
      </c>
      <c r="J634">
        <v>4072</v>
      </c>
      <c r="K634" s="173">
        <v>3073</v>
      </c>
      <c r="L634" s="173">
        <f t="shared" si="114"/>
        <v>14.554273084479371</v>
      </c>
      <c r="M634" s="173">
        <f t="shared" si="115"/>
        <v>33.839987370193654</v>
      </c>
      <c r="O634" s="173">
        <f t="shared" si="116"/>
        <v>50.759981055290481</v>
      </c>
      <c r="P634" s="173">
        <v>110</v>
      </c>
      <c r="V634" s="10"/>
    </row>
    <row r="635" spans="1:22" customFormat="1" ht="15.5" x14ac:dyDescent="0.35">
      <c r="A635" s="594"/>
      <c r="B635" s="597"/>
      <c r="C635" s="597" t="s">
        <v>1988</v>
      </c>
      <c r="D635" s="92"/>
      <c r="E635" s="745" t="s">
        <v>409</v>
      </c>
      <c r="F635" s="245" t="s">
        <v>1966</v>
      </c>
      <c r="G635" s="245"/>
      <c r="H635" s="245">
        <v>135</v>
      </c>
      <c r="I635" s="173">
        <f t="shared" si="113"/>
        <v>19.285714285714285</v>
      </c>
      <c r="J635">
        <v>4072</v>
      </c>
      <c r="K635" s="173">
        <v>3073</v>
      </c>
      <c r="L635" s="173">
        <f t="shared" si="114"/>
        <v>14.554273084479371</v>
      </c>
      <c r="M635" s="173">
        <f t="shared" si="115"/>
        <v>33.839987370193654</v>
      </c>
      <c r="O635" s="173">
        <f t="shared" si="116"/>
        <v>50.759981055290481</v>
      </c>
      <c r="P635" s="173">
        <v>110</v>
      </c>
      <c r="V635" s="10"/>
    </row>
    <row r="636" spans="1:22" customFormat="1" ht="15.5" x14ac:dyDescent="0.35">
      <c r="A636" s="594"/>
      <c r="B636" s="597"/>
      <c r="C636" s="597" t="s">
        <v>561</v>
      </c>
      <c r="D636" s="92"/>
      <c r="E636" s="745" t="s">
        <v>410</v>
      </c>
      <c r="F636" s="245" t="s">
        <v>1967</v>
      </c>
      <c r="G636" s="245"/>
      <c r="H636" s="245">
        <v>135</v>
      </c>
      <c r="I636" s="173">
        <f t="shared" si="113"/>
        <v>19.285714285714285</v>
      </c>
      <c r="J636">
        <v>4072</v>
      </c>
      <c r="K636" s="173">
        <v>3073</v>
      </c>
      <c r="L636" s="173">
        <f t="shared" si="114"/>
        <v>14.554273084479371</v>
      </c>
      <c r="M636" s="173">
        <f t="shared" si="115"/>
        <v>33.839987370193654</v>
      </c>
      <c r="O636" s="173">
        <f t="shared" si="116"/>
        <v>50.759981055290481</v>
      </c>
      <c r="P636" s="173">
        <v>90</v>
      </c>
      <c r="V636" s="10"/>
    </row>
    <row r="637" spans="1:22" customFormat="1" ht="15.5" x14ac:dyDescent="0.35">
      <c r="A637" s="594"/>
      <c r="B637" s="597"/>
      <c r="C637" s="597" t="s">
        <v>2590</v>
      </c>
      <c r="D637" s="92"/>
      <c r="E637" s="745"/>
      <c r="F637" s="245" t="s">
        <v>2029</v>
      </c>
      <c r="G637" s="245"/>
      <c r="H637" s="245">
        <v>195</v>
      </c>
      <c r="I637" s="173">
        <f t="shared" si="113"/>
        <v>27.857142857142858</v>
      </c>
      <c r="J637">
        <v>4072</v>
      </c>
      <c r="K637" s="173">
        <v>3073</v>
      </c>
      <c r="L637" s="173">
        <f t="shared" si="114"/>
        <v>21.022838899803535</v>
      </c>
      <c r="M637" s="173">
        <f t="shared" si="115"/>
        <v>48.879981756946393</v>
      </c>
      <c r="O637" s="173">
        <f t="shared" si="116"/>
        <v>73.319972635419589</v>
      </c>
      <c r="P637" s="173">
        <v>90</v>
      </c>
      <c r="V637" s="10"/>
    </row>
    <row r="638" spans="1:22" customFormat="1" ht="15.5" hidden="1" x14ac:dyDescent="0.35">
      <c r="A638" s="594"/>
      <c r="B638" s="597"/>
      <c r="C638" s="233"/>
      <c r="E638" s="366" t="s">
        <v>409</v>
      </c>
      <c r="F638" s="371" t="s">
        <v>1969</v>
      </c>
      <c r="G638" s="371"/>
      <c r="H638" s="371">
        <v>225</v>
      </c>
      <c r="I638" s="176">
        <f t="shared" si="113"/>
        <v>32.142857142857146</v>
      </c>
      <c r="J638" s="12">
        <v>4072</v>
      </c>
      <c r="K638" s="176">
        <v>3073</v>
      </c>
      <c r="L638" s="176">
        <f t="shared" si="114"/>
        <v>24.257121807465623</v>
      </c>
      <c r="M638" s="176">
        <f t="shared" si="115"/>
        <v>56.399978950322769</v>
      </c>
      <c r="N638" s="12"/>
      <c r="O638" s="176">
        <f t="shared" si="116"/>
        <v>84.59996842548415</v>
      </c>
      <c r="P638" s="344">
        <v>125</v>
      </c>
      <c r="S638" t="s">
        <v>12</v>
      </c>
      <c r="T638" s="6">
        <v>46024</v>
      </c>
      <c r="V638" s="10"/>
    </row>
    <row r="639" spans="1:22" customFormat="1" ht="15.5" hidden="1" x14ac:dyDescent="0.35">
      <c r="A639" s="594"/>
      <c r="B639" s="597"/>
      <c r="C639" s="233"/>
      <c r="E639" s="366" t="s">
        <v>410</v>
      </c>
      <c r="F639" s="371" t="s">
        <v>1969</v>
      </c>
      <c r="G639" s="371"/>
      <c r="H639" s="371">
        <v>225</v>
      </c>
      <c r="I639" s="176">
        <f t="shared" si="113"/>
        <v>32.142857142857146</v>
      </c>
      <c r="J639" s="12">
        <v>4072</v>
      </c>
      <c r="K639" s="176">
        <v>3073</v>
      </c>
      <c r="L639" s="176">
        <f t="shared" si="114"/>
        <v>24.257121807465623</v>
      </c>
      <c r="M639" s="176">
        <f t="shared" si="115"/>
        <v>56.399978950322769</v>
      </c>
      <c r="N639" s="12"/>
      <c r="O639" s="176">
        <f t="shared" si="116"/>
        <v>84.59996842548415</v>
      </c>
      <c r="P639" s="344">
        <v>125</v>
      </c>
      <c r="S639" t="s">
        <v>12</v>
      </c>
      <c r="T639" s="6">
        <v>46037</v>
      </c>
      <c r="V639" s="10"/>
    </row>
    <row r="640" spans="1:22" customFormat="1" ht="15.5" x14ac:dyDescent="0.35">
      <c r="A640" s="594"/>
      <c r="B640" s="597" t="s">
        <v>2005</v>
      </c>
      <c r="C640" s="597"/>
      <c r="D640" s="92"/>
      <c r="E640" s="745" t="s">
        <v>1958</v>
      </c>
      <c r="F640" s="245" t="s">
        <v>1971</v>
      </c>
      <c r="G640" s="245"/>
      <c r="H640" s="245">
        <v>189</v>
      </c>
      <c r="I640" s="173">
        <f t="shared" si="113"/>
        <v>27</v>
      </c>
      <c r="J640">
        <v>4072</v>
      </c>
      <c r="K640" s="173">
        <v>3073</v>
      </c>
      <c r="L640" s="173">
        <f t="shared" si="114"/>
        <v>20.37598231827112</v>
      </c>
      <c r="M640" s="173">
        <f t="shared" si="115"/>
        <v>47.37598231827112</v>
      </c>
      <c r="O640" s="173">
        <f t="shared" si="116"/>
        <v>71.063973477406677</v>
      </c>
      <c r="P640" s="344">
        <v>90</v>
      </c>
      <c r="S640" t="s">
        <v>955</v>
      </c>
      <c r="T640" s="6">
        <v>46077</v>
      </c>
      <c r="V640" s="10"/>
    </row>
    <row r="641" spans="1:22" s="92" customFormat="1" ht="15.5" hidden="1" x14ac:dyDescent="0.35">
      <c r="A641" s="594"/>
      <c r="B641" s="597" t="s">
        <v>2005</v>
      </c>
      <c r="C641" s="597"/>
      <c r="E641" s="745" t="s">
        <v>1958</v>
      </c>
      <c r="F641" s="670" t="s">
        <v>1972</v>
      </c>
      <c r="G641" s="670"/>
      <c r="H641" s="670">
        <v>189</v>
      </c>
      <c r="I641" s="746">
        <f t="shared" si="113"/>
        <v>27</v>
      </c>
      <c r="J641" s="92">
        <v>4072</v>
      </c>
      <c r="K641" s="746">
        <v>3073</v>
      </c>
      <c r="L641" s="746">
        <f t="shared" si="114"/>
        <v>20.37598231827112</v>
      </c>
      <c r="M641" s="746">
        <f t="shared" si="115"/>
        <v>47.37598231827112</v>
      </c>
      <c r="O641" s="746">
        <f t="shared" si="116"/>
        <v>71.063973477406677</v>
      </c>
      <c r="P641" s="344">
        <v>90</v>
      </c>
      <c r="S641" s="92" t="s">
        <v>12</v>
      </c>
      <c r="T641" s="689">
        <v>46043</v>
      </c>
      <c r="V641" s="451"/>
    </row>
    <row r="642" spans="1:22" s="92" customFormat="1" ht="15.5" hidden="1" x14ac:dyDescent="0.35">
      <c r="A642" s="594"/>
      <c r="B642" s="597" t="s">
        <v>2005</v>
      </c>
      <c r="C642" s="597"/>
      <c r="E642" s="745" t="s">
        <v>1958</v>
      </c>
      <c r="F642" s="670" t="s">
        <v>2471</v>
      </c>
      <c r="G642" s="670"/>
      <c r="H642" s="670">
        <v>189</v>
      </c>
      <c r="I642" s="746">
        <f t="shared" si="113"/>
        <v>27</v>
      </c>
      <c r="J642" s="92">
        <v>4072</v>
      </c>
      <c r="K642" s="746">
        <v>3073</v>
      </c>
      <c r="L642" s="746">
        <f t="shared" si="114"/>
        <v>20.37598231827112</v>
      </c>
      <c r="M642" s="746">
        <f t="shared" si="115"/>
        <v>47.37598231827112</v>
      </c>
      <c r="O642" s="746">
        <f t="shared" si="116"/>
        <v>71.063973477406677</v>
      </c>
      <c r="P642" s="344">
        <v>90</v>
      </c>
      <c r="S642" s="92" t="s">
        <v>12</v>
      </c>
      <c r="T642" s="689">
        <v>46057</v>
      </c>
      <c r="V642" s="451"/>
    </row>
    <row r="643" spans="1:22" customFormat="1" ht="15.5" x14ac:dyDescent="0.35">
      <c r="A643" s="594"/>
      <c r="B643" s="597" t="s">
        <v>2005</v>
      </c>
      <c r="C643" s="597"/>
      <c r="D643" s="92"/>
      <c r="E643" s="745" t="s">
        <v>1958</v>
      </c>
      <c r="F643" s="371" t="s">
        <v>1973</v>
      </c>
      <c r="G643" s="371"/>
      <c r="H643" s="371">
        <v>189</v>
      </c>
      <c r="I643" s="176">
        <f t="shared" si="113"/>
        <v>27</v>
      </c>
      <c r="J643" s="12">
        <v>4072</v>
      </c>
      <c r="K643" s="176">
        <v>3073</v>
      </c>
      <c r="L643" s="176">
        <f t="shared" si="114"/>
        <v>20.37598231827112</v>
      </c>
      <c r="M643" s="176">
        <f t="shared" si="115"/>
        <v>47.37598231827112</v>
      </c>
      <c r="N643" s="12"/>
      <c r="O643" s="176">
        <f t="shared" si="116"/>
        <v>71.063973477406677</v>
      </c>
      <c r="P643" s="176">
        <v>90</v>
      </c>
      <c r="S643" t="s">
        <v>12</v>
      </c>
      <c r="T643" s="43">
        <v>39173</v>
      </c>
      <c r="V643" s="10"/>
    </row>
    <row r="644" spans="1:22" customFormat="1" ht="15.5" x14ac:dyDescent="0.35">
      <c r="A644" s="594"/>
      <c r="B644" s="597" t="s">
        <v>2005</v>
      </c>
      <c r="C644" s="597"/>
      <c r="D644" s="92"/>
      <c r="E644" s="745" t="s">
        <v>1958</v>
      </c>
      <c r="F644" s="245" t="s">
        <v>1973</v>
      </c>
      <c r="G644" s="245"/>
      <c r="H644" s="245">
        <v>189</v>
      </c>
      <c r="I644" s="173">
        <f t="shared" si="113"/>
        <v>27</v>
      </c>
      <c r="J644">
        <v>4072</v>
      </c>
      <c r="K644" s="173">
        <v>3073</v>
      </c>
      <c r="L644" s="173">
        <f t="shared" si="114"/>
        <v>20.37598231827112</v>
      </c>
      <c r="M644" s="173">
        <f t="shared" si="115"/>
        <v>47.37598231827112</v>
      </c>
      <c r="O644" s="173">
        <f t="shared" si="116"/>
        <v>71.063973477406677</v>
      </c>
      <c r="P644" s="173">
        <v>90</v>
      </c>
      <c r="V644" s="10"/>
    </row>
    <row r="645" spans="1:22" customFormat="1" ht="15.5" x14ac:dyDescent="0.35">
      <c r="A645" s="594"/>
      <c r="B645" s="597" t="s">
        <v>2001</v>
      </c>
      <c r="C645" s="597"/>
      <c r="D645" s="92"/>
      <c r="E645" s="745" t="s">
        <v>409</v>
      </c>
      <c r="F645" s="245" t="s">
        <v>2000</v>
      </c>
      <c r="G645" s="245"/>
      <c r="H645" s="245">
        <v>210</v>
      </c>
      <c r="I645" s="173">
        <f t="shared" si="113"/>
        <v>30</v>
      </c>
      <c r="J645">
        <v>4072</v>
      </c>
      <c r="K645" s="173">
        <v>3073</v>
      </c>
      <c r="L645" s="173">
        <f t="shared" si="114"/>
        <v>22.639980353634577</v>
      </c>
      <c r="M645" s="173">
        <f t="shared" si="115"/>
        <v>52.639980353634577</v>
      </c>
      <c r="O645" s="173">
        <f t="shared" si="116"/>
        <v>78.959970530451869</v>
      </c>
      <c r="P645" s="173">
        <v>125</v>
      </c>
      <c r="V645" s="10"/>
    </row>
    <row r="646" spans="1:22" customFormat="1" ht="15.5" x14ac:dyDescent="0.35">
      <c r="A646" s="594"/>
      <c r="B646" s="597" t="s">
        <v>2001</v>
      </c>
      <c r="C646" s="597"/>
      <c r="D646" s="92"/>
      <c r="E646" s="745" t="s">
        <v>410</v>
      </c>
      <c r="F646" s="371" t="s">
        <v>2000</v>
      </c>
      <c r="G646" s="371"/>
      <c r="H646" s="371">
        <v>210</v>
      </c>
      <c r="I646" s="176">
        <f t="shared" si="113"/>
        <v>30</v>
      </c>
      <c r="J646" s="12">
        <v>4072</v>
      </c>
      <c r="K646" s="176">
        <v>3073</v>
      </c>
      <c r="L646" s="176">
        <f t="shared" si="114"/>
        <v>22.639980353634577</v>
      </c>
      <c r="M646" s="176">
        <f t="shared" si="115"/>
        <v>52.639980353634577</v>
      </c>
      <c r="N646" s="12"/>
      <c r="O646" s="176">
        <f t="shared" si="116"/>
        <v>78.959970530451869</v>
      </c>
      <c r="P646" s="344">
        <v>125</v>
      </c>
      <c r="S646" t="s">
        <v>12</v>
      </c>
      <c r="T646" s="6">
        <v>46088</v>
      </c>
      <c r="V646" s="10"/>
    </row>
    <row r="647" spans="1:22" customFormat="1" ht="15.5" x14ac:dyDescent="0.35">
      <c r="A647" s="594"/>
      <c r="B647" s="597" t="s">
        <v>2001</v>
      </c>
      <c r="C647" s="597"/>
      <c r="D647" s="92"/>
      <c r="E647" s="745" t="s">
        <v>407</v>
      </c>
      <c r="F647" s="245" t="s">
        <v>2002</v>
      </c>
      <c r="G647" s="245"/>
      <c r="H647" s="245">
        <v>210</v>
      </c>
      <c r="I647" s="173">
        <f t="shared" si="113"/>
        <v>30</v>
      </c>
      <c r="J647">
        <v>4072</v>
      </c>
      <c r="K647" s="173">
        <v>3073</v>
      </c>
      <c r="L647" s="173">
        <f t="shared" si="114"/>
        <v>22.639980353634577</v>
      </c>
      <c r="M647" s="173">
        <f t="shared" si="115"/>
        <v>52.639980353634577</v>
      </c>
      <c r="O647" s="173">
        <f t="shared" si="116"/>
        <v>78.959970530451869</v>
      </c>
      <c r="P647" s="344">
        <v>125</v>
      </c>
      <c r="V647" s="10"/>
    </row>
    <row r="648" spans="1:22" customFormat="1" ht="15.5" x14ac:dyDescent="0.35">
      <c r="A648" s="594"/>
      <c r="B648" s="597" t="s">
        <v>2001</v>
      </c>
      <c r="C648" s="597"/>
      <c r="D648" s="92"/>
      <c r="E648" s="745" t="s">
        <v>409</v>
      </c>
      <c r="F648" s="371" t="s">
        <v>2002</v>
      </c>
      <c r="G648" s="371"/>
      <c r="H648" s="371">
        <v>210</v>
      </c>
      <c r="I648" s="176">
        <f t="shared" si="113"/>
        <v>30</v>
      </c>
      <c r="J648" s="12">
        <v>4072</v>
      </c>
      <c r="K648" s="176">
        <v>3073</v>
      </c>
      <c r="L648" s="176">
        <f t="shared" si="114"/>
        <v>22.639980353634577</v>
      </c>
      <c r="M648" s="176">
        <f t="shared" si="115"/>
        <v>52.639980353634577</v>
      </c>
      <c r="N648" s="12"/>
      <c r="O648" s="176">
        <f t="shared" si="116"/>
        <v>78.959970530451869</v>
      </c>
      <c r="P648" s="344">
        <v>125</v>
      </c>
      <c r="S648" t="s">
        <v>12</v>
      </c>
      <c r="T648" s="6">
        <v>46098</v>
      </c>
      <c r="V648" s="10"/>
    </row>
    <row r="649" spans="1:22" customFormat="1" ht="15.5" x14ac:dyDescent="0.35">
      <c r="A649" s="594"/>
      <c r="B649" s="597" t="s">
        <v>1949</v>
      </c>
      <c r="C649" s="597"/>
      <c r="D649" s="92"/>
      <c r="E649" s="745"/>
      <c r="F649" s="371" t="s">
        <v>2032</v>
      </c>
      <c r="G649" s="371"/>
      <c r="H649" s="371">
        <v>168</v>
      </c>
      <c r="I649" s="176">
        <f t="shared" si="113"/>
        <v>24</v>
      </c>
      <c r="J649" s="12">
        <v>4072</v>
      </c>
      <c r="K649" s="176">
        <v>3073</v>
      </c>
      <c r="L649" s="176">
        <f t="shared" si="114"/>
        <v>18.111984282907663</v>
      </c>
      <c r="M649" s="176">
        <f t="shared" si="115"/>
        <v>42.111984282907663</v>
      </c>
      <c r="N649" s="12"/>
      <c r="O649" s="176">
        <f t="shared" si="116"/>
        <v>63.167976424361498</v>
      </c>
      <c r="P649" s="344">
        <v>80</v>
      </c>
      <c r="S649" t="s">
        <v>12</v>
      </c>
      <c r="T649" s="6">
        <v>46088</v>
      </c>
      <c r="V649" s="10"/>
    </row>
    <row r="650" spans="1:22" customFormat="1" ht="15.5" x14ac:dyDescent="0.35">
      <c r="A650" s="3"/>
      <c r="B650" s="233"/>
      <c r="C650" s="233"/>
      <c r="E650" s="366"/>
      <c r="F650" s="256" t="s">
        <v>1965</v>
      </c>
      <c r="G650" s="245"/>
      <c r="H650" s="245"/>
      <c r="I650" s="173"/>
      <c r="K650" s="173"/>
      <c r="L650" s="173"/>
      <c r="M650" s="173"/>
      <c r="O650" s="173"/>
      <c r="P650" s="344"/>
      <c r="V650" s="10"/>
    </row>
    <row r="651" spans="1:22" customFormat="1" ht="15.5" x14ac:dyDescent="0.35">
      <c r="A651" s="3"/>
      <c r="B651" s="233"/>
      <c r="C651" s="597"/>
      <c r="D651" s="92"/>
      <c r="E651" s="745" t="s">
        <v>570</v>
      </c>
      <c r="F651" s="245" t="s">
        <v>1968</v>
      </c>
      <c r="G651" s="245"/>
      <c r="H651" s="245">
        <v>27</v>
      </c>
      <c r="I651" s="173">
        <f t="shared" ref="I651:I681" si="117">+H651/7</f>
        <v>3.8571428571428572</v>
      </c>
      <c r="J651">
        <v>4072</v>
      </c>
      <c r="K651" s="173">
        <v>3073</v>
      </c>
      <c r="L651" s="173">
        <f t="shared" ref="L651:L681" si="118">+I651/J651*K651</f>
        <v>2.9108546168958744</v>
      </c>
      <c r="M651" s="173">
        <f t="shared" ref="M651:M681" si="119">+I651+L651</f>
        <v>6.7679974740387312</v>
      </c>
      <c r="O651" s="173">
        <f t="shared" ref="O651:O681" si="120">+M651*1.5</f>
        <v>10.151996211058098</v>
      </c>
      <c r="P651" s="344">
        <v>30</v>
      </c>
      <c r="V651" s="10"/>
    </row>
    <row r="652" spans="1:22" customFormat="1" ht="15.5" x14ac:dyDescent="0.35">
      <c r="A652" s="3"/>
      <c r="B652" s="233"/>
      <c r="C652" s="597"/>
      <c r="D652" s="92"/>
      <c r="E652" s="745" t="s">
        <v>570</v>
      </c>
      <c r="F652" s="245" t="s">
        <v>1968</v>
      </c>
      <c r="G652" s="245"/>
      <c r="H652" s="245">
        <v>27</v>
      </c>
      <c r="I652" s="173">
        <f t="shared" si="117"/>
        <v>3.8571428571428572</v>
      </c>
      <c r="J652">
        <v>4072</v>
      </c>
      <c r="K652" s="173">
        <v>3073</v>
      </c>
      <c r="L652" s="173">
        <f t="shared" si="118"/>
        <v>2.9108546168958744</v>
      </c>
      <c r="M652" s="173">
        <f t="shared" si="119"/>
        <v>6.7679974740387312</v>
      </c>
      <c r="O652" s="173">
        <f t="shared" si="120"/>
        <v>10.151996211058098</v>
      </c>
      <c r="P652" s="344">
        <v>30</v>
      </c>
      <c r="V652" s="10"/>
    </row>
    <row r="653" spans="1:22" customFormat="1" ht="15.5" x14ac:dyDescent="0.35">
      <c r="A653" s="3"/>
      <c r="B653" s="233"/>
      <c r="C653" s="597"/>
      <c r="D653" s="92"/>
      <c r="E653" s="745" t="s">
        <v>570</v>
      </c>
      <c r="F653" s="245" t="s">
        <v>1968</v>
      </c>
      <c r="G653" s="245"/>
      <c r="H653" s="245">
        <v>27</v>
      </c>
      <c r="I653" s="173">
        <f t="shared" si="117"/>
        <v>3.8571428571428572</v>
      </c>
      <c r="J653">
        <v>4072</v>
      </c>
      <c r="K653" s="173">
        <v>3073</v>
      </c>
      <c r="L653" s="173">
        <f t="shared" si="118"/>
        <v>2.9108546168958744</v>
      </c>
      <c r="M653" s="173">
        <f t="shared" si="119"/>
        <v>6.7679974740387312</v>
      </c>
      <c r="O653" s="173">
        <f t="shared" si="120"/>
        <v>10.151996211058098</v>
      </c>
      <c r="P653" s="344">
        <v>30</v>
      </c>
      <c r="V653" s="10"/>
    </row>
    <row r="654" spans="1:22" customFormat="1" ht="15.5" x14ac:dyDescent="0.35">
      <c r="A654" s="3"/>
      <c r="B654" s="233"/>
      <c r="C654" s="597" t="s">
        <v>561</v>
      </c>
      <c r="D654" s="92"/>
      <c r="E654" s="745" t="s">
        <v>570</v>
      </c>
      <c r="F654" s="245" t="s">
        <v>2006</v>
      </c>
      <c r="G654" s="245"/>
      <c r="H654" s="245">
        <v>100</v>
      </c>
      <c r="I654" s="173">
        <f t="shared" si="117"/>
        <v>14.285714285714286</v>
      </c>
      <c r="J654">
        <v>4072</v>
      </c>
      <c r="K654" s="173">
        <v>3073</v>
      </c>
      <c r="L654" s="173">
        <f t="shared" si="118"/>
        <v>10.780943025540276</v>
      </c>
      <c r="M654" s="173">
        <f t="shared" si="119"/>
        <v>25.066657311254563</v>
      </c>
      <c r="O654" s="173">
        <f t="shared" si="120"/>
        <v>37.599985966881846</v>
      </c>
      <c r="P654" s="344">
        <v>75</v>
      </c>
      <c r="V654" s="10"/>
    </row>
    <row r="655" spans="1:22" customFormat="1" ht="15.5" hidden="1" x14ac:dyDescent="0.35">
      <c r="A655" s="594"/>
      <c r="B655" s="597"/>
      <c r="C655" s="597" t="s">
        <v>2600</v>
      </c>
      <c r="D655" s="92"/>
      <c r="E655" s="745"/>
      <c r="F655" s="371" t="s">
        <v>2020</v>
      </c>
      <c r="G655" s="371"/>
      <c r="H655" s="371">
        <v>195</v>
      </c>
      <c r="I655" s="176">
        <f t="shared" si="117"/>
        <v>27.857142857142858</v>
      </c>
      <c r="J655" s="12">
        <v>4072</v>
      </c>
      <c r="K655" s="176">
        <v>3073</v>
      </c>
      <c r="L655" s="176">
        <f t="shared" si="118"/>
        <v>21.022838899803535</v>
      </c>
      <c r="M655" s="176">
        <f t="shared" si="119"/>
        <v>48.879981756946393</v>
      </c>
      <c r="N655" s="12"/>
      <c r="O655" s="176">
        <f t="shared" si="120"/>
        <v>73.319972635419589</v>
      </c>
      <c r="P655" s="344">
        <v>110</v>
      </c>
      <c r="S655" t="s">
        <v>12</v>
      </c>
      <c r="T655" s="6">
        <v>46101</v>
      </c>
      <c r="V655" s="10"/>
    </row>
    <row r="656" spans="1:22" customFormat="1" ht="15.5" hidden="1" x14ac:dyDescent="0.35">
      <c r="A656" s="3"/>
      <c r="B656" s="233"/>
      <c r="C656" s="233"/>
      <c r="E656" s="366"/>
      <c r="F656" s="371" t="s">
        <v>2021</v>
      </c>
      <c r="G656" s="371"/>
      <c r="H656" s="371">
        <v>195</v>
      </c>
      <c r="I656" s="176">
        <f t="shared" si="117"/>
        <v>27.857142857142858</v>
      </c>
      <c r="J656" s="12">
        <v>4072</v>
      </c>
      <c r="K656" s="176">
        <v>3073</v>
      </c>
      <c r="L656" s="176">
        <f t="shared" si="118"/>
        <v>21.022838899803535</v>
      </c>
      <c r="M656" s="176">
        <f t="shared" si="119"/>
        <v>48.879981756946393</v>
      </c>
      <c r="N656" s="12"/>
      <c r="O656" s="176">
        <f t="shared" si="120"/>
        <v>73.319972635419589</v>
      </c>
      <c r="P656" s="344">
        <v>110</v>
      </c>
      <c r="S656" t="s">
        <v>12</v>
      </c>
      <c r="T656" s="6">
        <v>46024</v>
      </c>
      <c r="V656" s="10"/>
    </row>
    <row r="657" spans="1:22" customFormat="1" ht="15.5" hidden="1" x14ac:dyDescent="0.35">
      <c r="A657" s="3"/>
      <c r="B657" s="233"/>
      <c r="C657" s="233"/>
      <c r="E657" s="366" t="s">
        <v>409</v>
      </c>
      <c r="F657" s="371" t="s">
        <v>2015</v>
      </c>
      <c r="G657" s="371"/>
      <c r="H657" s="371">
        <v>135</v>
      </c>
      <c r="I657" s="176">
        <f t="shared" si="117"/>
        <v>19.285714285714285</v>
      </c>
      <c r="J657" s="12">
        <v>4072</v>
      </c>
      <c r="K657" s="176">
        <v>3073</v>
      </c>
      <c r="L657" s="176">
        <f t="shared" si="118"/>
        <v>14.554273084479371</v>
      </c>
      <c r="M657" s="176">
        <f t="shared" si="119"/>
        <v>33.839987370193654</v>
      </c>
      <c r="N657" s="12"/>
      <c r="O657" s="176">
        <f t="shared" si="120"/>
        <v>50.759981055290481</v>
      </c>
      <c r="P657" s="344">
        <v>70</v>
      </c>
      <c r="S657" t="s">
        <v>2422</v>
      </c>
      <c r="T657" s="6">
        <v>46057</v>
      </c>
      <c r="V657" s="10"/>
    </row>
    <row r="658" spans="1:22" customFormat="1" ht="15.5" hidden="1" x14ac:dyDescent="0.35">
      <c r="A658" s="3"/>
      <c r="B658" s="233"/>
      <c r="C658" s="597"/>
      <c r="D658" s="92"/>
      <c r="E658" s="745" t="s">
        <v>410</v>
      </c>
      <c r="F658" s="371" t="s">
        <v>2015</v>
      </c>
      <c r="G658" s="371"/>
      <c r="H658" s="371">
        <v>135</v>
      </c>
      <c r="I658" s="176">
        <f t="shared" si="117"/>
        <v>19.285714285714285</v>
      </c>
      <c r="J658" s="12">
        <v>4072</v>
      </c>
      <c r="K658" s="176">
        <v>3073</v>
      </c>
      <c r="L658" s="176">
        <f t="shared" si="118"/>
        <v>14.554273084479371</v>
      </c>
      <c r="M658" s="176">
        <f t="shared" si="119"/>
        <v>33.839987370193654</v>
      </c>
      <c r="N658" s="12"/>
      <c r="O658" s="176">
        <f t="shared" si="120"/>
        <v>50.759981055290481</v>
      </c>
      <c r="P658" s="344">
        <v>70</v>
      </c>
      <c r="S658" t="s">
        <v>3008</v>
      </c>
      <c r="T658" s="6">
        <v>46112</v>
      </c>
      <c r="V658" s="10"/>
    </row>
    <row r="659" spans="1:22" customFormat="1" ht="15.5" hidden="1" x14ac:dyDescent="0.35">
      <c r="A659" s="3"/>
      <c r="B659" s="233"/>
      <c r="C659" s="233"/>
      <c r="E659" s="366" t="s">
        <v>411</v>
      </c>
      <c r="F659" s="371" t="s">
        <v>1974</v>
      </c>
      <c r="G659" s="371"/>
      <c r="H659" s="371">
        <v>115</v>
      </c>
      <c r="I659" s="176">
        <f t="shared" si="117"/>
        <v>16.428571428571427</v>
      </c>
      <c r="J659" s="12">
        <v>4072</v>
      </c>
      <c r="K659" s="176">
        <v>3073</v>
      </c>
      <c r="L659" s="176">
        <f t="shared" si="118"/>
        <v>12.398084479371315</v>
      </c>
      <c r="M659" s="176">
        <f t="shared" si="119"/>
        <v>28.826655907942744</v>
      </c>
      <c r="N659" s="12"/>
      <c r="O659" s="176">
        <f t="shared" si="120"/>
        <v>43.239983861914112</v>
      </c>
      <c r="P659" s="344">
        <v>75</v>
      </c>
      <c r="S659" t="s">
        <v>998</v>
      </c>
      <c r="T659" s="6">
        <v>46059</v>
      </c>
      <c r="V659" s="10"/>
    </row>
    <row r="660" spans="1:22" customFormat="1" ht="15.5" x14ac:dyDescent="0.35">
      <c r="A660" s="3"/>
      <c r="B660" s="233"/>
      <c r="C660" s="597" t="s">
        <v>2598</v>
      </c>
      <c r="D660" s="92"/>
      <c r="E660" s="745" t="s">
        <v>588</v>
      </c>
      <c r="F660" s="245" t="s">
        <v>1974</v>
      </c>
      <c r="G660" s="245"/>
      <c r="H660" s="245">
        <v>115</v>
      </c>
      <c r="I660" s="173">
        <f t="shared" si="117"/>
        <v>16.428571428571427</v>
      </c>
      <c r="J660">
        <v>4072</v>
      </c>
      <c r="K660" s="173">
        <v>3073</v>
      </c>
      <c r="L660" s="173">
        <f t="shared" si="118"/>
        <v>12.398084479371315</v>
      </c>
      <c r="M660" s="173">
        <f t="shared" si="119"/>
        <v>28.826655907942744</v>
      </c>
      <c r="O660" s="173">
        <f t="shared" si="120"/>
        <v>43.239983861914112</v>
      </c>
      <c r="P660" s="344">
        <v>75</v>
      </c>
      <c r="V660" s="10"/>
    </row>
    <row r="661" spans="1:22" customFormat="1" ht="15.5" hidden="1" x14ac:dyDescent="0.35">
      <c r="A661" s="3"/>
      <c r="B661" s="233" t="s">
        <v>1359</v>
      </c>
      <c r="C661" s="597"/>
      <c r="D661" s="92"/>
      <c r="E661" s="745"/>
      <c r="F661" s="245" t="s">
        <v>1990</v>
      </c>
      <c r="G661" s="245"/>
      <c r="H661" s="245">
        <v>85</v>
      </c>
      <c r="I661" s="173">
        <f t="shared" si="117"/>
        <v>12.142857142857142</v>
      </c>
      <c r="J661">
        <v>4072</v>
      </c>
      <c r="K661" s="173">
        <v>3073</v>
      </c>
      <c r="L661" s="173">
        <f t="shared" si="118"/>
        <v>9.163801571709234</v>
      </c>
      <c r="M661" s="173">
        <f t="shared" si="119"/>
        <v>21.306658714566375</v>
      </c>
      <c r="O661" s="173">
        <f t="shared" si="120"/>
        <v>31.959988071849562</v>
      </c>
      <c r="P661" s="344">
        <v>55</v>
      </c>
      <c r="S661" t="s">
        <v>12</v>
      </c>
      <c r="T661" s="6">
        <v>46048</v>
      </c>
      <c r="V661" s="10"/>
    </row>
    <row r="662" spans="1:22" customFormat="1" ht="15.5" hidden="1" x14ac:dyDescent="0.35">
      <c r="A662" s="3"/>
      <c r="B662" s="233"/>
      <c r="C662" s="597"/>
      <c r="D662" s="92"/>
      <c r="E662" s="745"/>
      <c r="F662" s="245" t="s">
        <v>1991</v>
      </c>
      <c r="G662" s="245"/>
      <c r="H662" s="245">
        <v>85</v>
      </c>
      <c r="I662" s="173">
        <f t="shared" si="117"/>
        <v>12.142857142857142</v>
      </c>
      <c r="J662">
        <v>4072</v>
      </c>
      <c r="K662" s="173">
        <v>3073</v>
      </c>
      <c r="L662" s="173">
        <f t="shared" si="118"/>
        <v>9.163801571709234</v>
      </c>
      <c r="M662" s="173">
        <f t="shared" si="119"/>
        <v>21.306658714566375</v>
      </c>
      <c r="O662" s="173">
        <f t="shared" si="120"/>
        <v>31.959988071849562</v>
      </c>
      <c r="P662" s="344">
        <v>55</v>
      </c>
      <c r="S662" t="s">
        <v>12</v>
      </c>
      <c r="T662" s="6">
        <v>46028</v>
      </c>
      <c r="V662" s="10"/>
    </row>
    <row r="663" spans="1:22" customFormat="1" ht="15.5" hidden="1" x14ac:dyDescent="0.35">
      <c r="A663" s="3"/>
      <c r="B663" s="233"/>
      <c r="C663" s="597"/>
      <c r="D663" s="92"/>
      <c r="E663" s="745"/>
      <c r="F663" s="245" t="s">
        <v>1991</v>
      </c>
      <c r="G663" s="245"/>
      <c r="H663" s="245">
        <v>85</v>
      </c>
      <c r="I663" s="173">
        <f t="shared" si="117"/>
        <v>12.142857142857142</v>
      </c>
      <c r="J663">
        <v>4072</v>
      </c>
      <c r="K663" s="173">
        <v>3073</v>
      </c>
      <c r="L663" s="173">
        <f t="shared" si="118"/>
        <v>9.163801571709234</v>
      </c>
      <c r="M663" s="173">
        <f t="shared" si="119"/>
        <v>21.306658714566375</v>
      </c>
      <c r="O663" s="173">
        <f t="shared" si="120"/>
        <v>31.959988071849562</v>
      </c>
      <c r="P663" s="344">
        <v>55</v>
      </c>
      <c r="R663" t="s">
        <v>2301</v>
      </c>
      <c r="S663" t="s">
        <v>12</v>
      </c>
      <c r="T663" s="6">
        <v>46046</v>
      </c>
      <c r="V663" s="10"/>
    </row>
    <row r="664" spans="1:22" customFormat="1" ht="15.5" hidden="1" x14ac:dyDescent="0.35">
      <c r="A664" s="3"/>
      <c r="B664" s="233"/>
      <c r="C664" s="597"/>
      <c r="D664" s="92"/>
      <c r="E664" s="745"/>
      <c r="F664" s="371" t="s">
        <v>1993</v>
      </c>
      <c r="G664" s="371"/>
      <c r="H664" s="371">
        <v>85</v>
      </c>
      <c r="I664" s="176">
        <f t="shared" si="117"/>
        <v>12.142857142857142</v>
      </c>
      <c r="J664" s="12">
        <v>4072</v>
      </c>
      <c r="K664" s="176">
        <v>3073</v>
      </c>
      <c r="L664" s="176">
        <f t="shared" si="118"/>
        <v>9.163801571709234</v>
      </c>
      <c r="M664" s="176">
        <f t="shared" si="119"/>
        <v>21.306658714566375</v>
      </c>
      <c r="N664" s="12"/>
      <c r="O664" s="176">
        <f t="shared" si="120"/>
        <v>31.959988071849562</v>
      </c>
      <c r="P664" s="344">
        <v>55</v>
      </c>
      <c r="S664" t="s">
        <v>3018</v>
      </c>
      <c r="T664" s="6">
        <v>46119</v>
      </c>
      <c r="V664" s="10"/>
    </row>
    <row r="665" spans="1:22" customFormat="1" ht="15.5" x14ac:dyDescent="0.35">
      <c r="A665" s="3"/>
      <c r="B665" s="233"/>
      <c r="C665" s="597"/>
      <c r="D665" s="92"/>
      <c r="E665" s="745"/>
      <c r="F665" s="245" t="s">
        <v>2583</v>
      </c>
      <c r="G665" s="245"/>
      <c r="H665" s="245">
        <v>85</v>
      </c>
      <c r="I665" s="173">
        <f t="shared" si="117"/>
        <v>12.142857142857142</v>
      </c>
      <c r="J665">
        <v>4072</v>
      </c>
      <c r="K665" s="173">
        <v>3073</v>
      </c>
      <c r="L665" s="173">
        <f t="shared" si="118"/>
        <v>9.163801571709234</v>
      </c>
      <c r="M665" s="173">
        <f t="shared" si="119"/>
        <v>21.306658714566375</v>
      </c>
      <c r="O665" s="173">
        <f t="shared" si="120"/>
        <v>31.959988071849562</v>
      </c>
      <c r="P665" s="344">
        <v>55</v>
      </c>
      <c r="V665" s="10"/>
    </row>
    <row r="666" spans="1:22" customFormat="1" ht="15.5" hidden="1" x14ac:dyDescent="0.35">
      <c r="A666" s="3"/>
      <c r="B666" s="233"/>
      <c r="C666" s="597"/>
      <c r="D666" s="92"/>
      <c r="E666" s="745"/>
      <c r="F666" s="371" t="s">
        <v>2599</v>
      </c>
      <c r="G666" s="371"/>
      <c r="H666" s="371">
        <v>85</v>
      </c>
      <c r="I666" s="176">
        <f t="shared" si="117"/>
        <v>12.142857142857142</v>
      </c>
      <c r="J666" s="12">
        <v>4072</v>
      </c>
      <c r="K666" s="176">
        <v>3073</v>
      </c>
      <c r="L666" s="176">
        <f t="shared" si="118"/>
        <v>9.163801571709234</v>
      </c>
      <c r="M666" s="176">
        <f t="shared" si="119"/>
        <v>21.306658714566375</v>
      </c>
      <c r="N666" s="12"/>
      <c r="O666" s="176">
        <f t="shared" si="120"/>
        <v>31.959988071849562</v>
      </c>
      <c r="P666" s="344">
        <v>55</v>
      </c>
      <c r="S666" t="s">
        <v>2466</v>
      </c>
      <c r="T666" s="6">
        <v>46090</v>
      </c>
      <c r="V666" s="10"/>
    </row>
    <row r="667" spans="1:22" customFormat="1" ht="15.5" x14ac:dyDescent="0.35">
      <c r="A667" s="3"/>
      <c r="B667" s="233"/>
      <c r="C667" s="597"/>
      <c r="D667" s="92"/>
      <c r="E667" s="745"/>
      <c r="F667" s="245" t="s">
        <v>2603</v>
      </c>
      <c r="G667" s="245"/>
      <c r="H667" s="245">
        <v>85</v>
      </c>
      <c r="I667" s="173">
        <f t="shared" si="117"/>
        <v>12.142857142857142</v>
      </c>
      <c r="J667">
        <v>4072</v>
      </c>
      <c r="K667" s="173">
        <v>3073</v>
      </c>
      <c r="L667" s="173">
        <f t="shared" si="118"/>
        <v>9.163801571709234</v>
      </c>
      <c r="M667" s="173">
        <f t="shared" si="119"/>
        <v>21.306658714566375</v>
      </c>
      <c r="O667" s="173">
        <f t="shared" si="120"/>
        <v>31.959988071849562</v>
      </c>
      <c r="P667" s="344">
        <v>55</v>
      </c>
      <c r="V667" s="10"/>
    </row>
    <row r="668" spans="1:22" customFormat="1" ht="15.5" x14ac:dyDescent="0.35">
      <c r="A668" s="3"/>
      <c r="B668" s="233"/>
      <c r="C668" s="597"/>
      <c r="D668" s="92"/>
      <c r="E668" s="745"/>
      <c r="F668" s="245" t="s">
        <v>2599</v>
      </c>
      <c r="G668" s="245"/>
      <c r="H668" s="245">
        <v>85</v>
      </c>
      <c r="I668" s="173">
        <f t="shared" si="117"/>
        <v>12.142857142857142</v>
      </c>
      <c r="J668">
        <v>4072</v>
      </c>
      <c r="K668" s="173">
        <v>3073</v>
      </c>
      <c r="L668" s="173">
        <f t="shared" si="118"/>
        <v>9.163801571709234</v>
      </c>
      <c r="M668" s="173">
        <f t="shared" si="119"/>
        <v>21.306658714566375</v>
      </c>
      <c r="O668" s="173">
        <f t="shared" si="120"/>
        <v>31.959988071849562</v>
      </c>
      <c r="P668" s="344">
        <v>55</v>
      </c>
      <c r="V668" s="10"/>
    </row>
    <row r="669" spans="1:22" customFormat="1" ht="15.5" hidden="1" x14ac:dyDescent="0.35">
      <c r="A669" s="594"/>
      <c r="B669" s="597"/>
      <c r="C669" s="597"/>
      <c r="D669" s="92"/>
      <c r="E669" s="745"/>
      <c r="F669" s="371" t="s">
        <v>2026</v>
      </c>
      <c r="G669" s="371"/>
      <c r="H669" s="371">
        <v>85</v>
      </c>
      <c r="I669" s="176">
        <f t="shared" si="117"/>
        <v>12.142857142857142</v>
      </c>
      <c r="J669" s="12">
        <v>4072</v>
      </c>
      <c r="K669" s="176">
        <v>3073</v>
      </c>
      <c r="L669" s="176">
        <f t="shared" si="118"/>
        <v>9.163801571709234</v>
      </c>
      <c r="M669" s="176">
        <f t="shared" si="119"/>
        <v>21.306658714566375</v>
      </c>
      <c r="N669" s="12"/>
      <c r="O669" s="176">
        <f t="shared" si="120"/>
        <v>31.959988071849562</v>
      </c>
      <c r="P669" s="344">
        <v>55</v>
      </c>
      <c r="S669" t="s">
        <v>12</v>
      </c>
      <c r="T669" s="6">
        <v>46073</v>
      </c>
      <c r="V669" s="10"/>
    </row>
    <row r="670" spans="1:22" customFormat="1" ht="15.5" x14ac:dyDescent="0.35">
      <c r="A670" s="3"/>
      <c r="B670" s="233"/>
      <c r="C670" s="597"/>
      <c r="D670" s="92"/>
      <c r="E670" s="745"/>
      <c r="F670" s="245" t="s">
        <v>2025</v>
      </c>
      <c r="G670" s="245"/>
      <c r="H670" s="245">
        <v>85</v>
      </c>
      <c r="I670" s="173">
        <f t="shared" si="117"/>
        <v>12.142857142857142</v>
      </c>
      <c r="J670">
        <v>4072</v>
      </c>
      <c r="K670" s="173">
        <v>3073</v>
      </c>
      <c r="L670" s="173">
        <f t="shared" si="118"/>
        <v>9.163801571709234</v>
      </c>
      <c r="M670" s="173">
        <f t="shared" si="119"/>
        <v>21.306658714566375</v>
      </c>
      <c r="O670" s="173">
        <f t="shared" si="120"/>
        <v>31.959988071849562</v>
      </c>
      <c r="P670" s="344">
        <v>55</v>
      </c>
      <c r="V670" s="10"/>
    </row>
    <row r="671" spans="1:22" customFormat="1" ht="15.5" x14ac:dyDescent="0.35">
      <c r="A671" s="3"/>
      <c r="B671" s="233"/>
      <c r="C671" s="597"/>
      <c r="D671" s="92"/>
      <c r="E671" s="745"/>
      <c r="F671" s="245" t="s">
        <v>2025</v>
      </c>
      <c r="G671" s="245"/>
      <c r="H671" s="245">
        <v>85</v>
      </c>
      <c r="I671" s="173">
        <f t="shared" si="117"/>
        <v>12.142857142857142</v>
      </c>
      <c r="J671">
        <v>4072</v>
      </c>
      <c r="K671" s="173">
        <v>3073</v>
      </c>
      <c r="L671" s="173">
        <f t="shared" si="118"/>
        <v>9.163801571709234</v>
      </c>
      <c r="M671" s="173">
        <f t="shared" si="119"/>
        <v>21.306658714566375</v>
      </c>
      <c r="O671" s="173">
        <f t="shared" si="120"/>
        <v>31.959988071849562</v>
      </c>
      <c r="P671" s="344">
        <v>55</v>
      </c>
      <c r="V671" s="10"/>
    </row>
    <row r="672" spans="1:22" customFormat="1" ht="15.5" hidden="1" x14ac:dyDescent="0.35">
      <c r="A672" s="3"/>
      <c r="B672" s="233"/>
      <c r="C672" s="233"/>
      <c r="E672" s="366"/>
      <c r="F672" s="371" t="s">
        <v>2052</v>
      </c>
      <c r="G672" s="371"/>
      <c r="H672" s="371">
        <v>85</v>
      </c>
      <c r="I672" s="176">
        <f t="shared" si="117"/>
        <v>12.142857142857142</v>
      </c>
      <c r="J672" s="12">
        <v>4072</v>
      </c>
      <c r="K672" s="176">
        <v>3073</v>
      </c>
      <c r="L672" s="176">
        <f t="shared" si="118"/>
        <v>9.163801571709234</v>
      </c>
      <c r="M672" s="176">
        <f t="shared" si="119"/>
        <v>21.306658714566375</v>
      </c>
      <c r="N672" s="12"/>
      <c r="O672" s="176">
        <f t="shared" si="120"/>
        <v>31.959988071849562</v>
      </c>
      <c r="P672" s="344">
        <v>55</v>
      </c>
      <c r="S672" t="s">
        <v>2303</v>
      </c>
      <c r="T672" s="6">
        <v>46046</v>
      </c>
      <c r="V672" s="10"/>
    </row>
    <row r="673" spans="1:22" customFormat="1" ht="15.5" hidden="1" x14ac:dyDescent="0.35">
      <c r="A673" s="594"/>
      <c r="B673" s="597"/>
      <c r="C673" s="597"/>
      <c r="D673" s="92"/>
      <c r="E673" s="745"/>
      <c r="F673" s="371" t="s">
        <v>2618</v>
      </c>
      <c r="G673" s="371"/>
      <c r="H673" s="371">
        <v>85</v>
      </c>
      <c r="I673" s="176">
        <f t="shared" si="117"/>
        <v>12.142857142857142</v>
      </c>
      <c r="J673" s="12">
        <v>4072</v>
      </c>
      <c r="K673" s="176">
        <v>3073</v>
      </c>
      <c r="L673" s="176">
        <f t="shared" si="118"/>
        <v>9.163801571709234</v>
      </c>
      <c r="M673" s="176">
        <f t="shared" si="119"/>
        <v>21.306658714566375</v>
      </c>
      <c r="N673" s="12"/>
      <c r="O673" s="176">
        <f t="shared" si="120"/>
        <v>31.959988071849562</v>
      </c>
      <c r="P673" s="344">
        <v>55</v>
      </c>
      <c r="S673" t="s">
        <v>12</v>
      </c>
      <c r="T673" s="6">
        <v>46079</v>
      </c>
      <c r="V673" s="10"/>
    </row>
    <row r="674" spans="1:22" customFormat="1" ht="15.5" hidden="1" x14ac:dyDescent="0.35">
      <c r="A674" s="3"/>
      <c r="B674" s="233"/>
      <c r="C674" s="597"/>
      <c r="D674" s="92"/>
      <c r="E674" s="745"/>
      <c r="F674" s="371" t="s">
        <v>2618</v>
      </c>
      <c r="G674" s="371"/>
      <c r="H674" s="371">
        <v>85</v>
      </c>
      <c r="I674" s="176">
        <f t="shared" si="117"/>
        <v>12.142857142857142</v>
      </c>
      <c r="J674" s="12">
        <v>4072</v>
      </c>
      <c r="K674" s="176">
        <v>3073</v>
      </c>
      <c r="L674" s="176">
        <f t="shared" si="118"/>
        <v>9.163801571709234</v>
      </c>
      <c r="M674" s="176">
        <f t="shared" si="119"/>
        <v>21.306658714566375</v>
      </c>
      <c r="N674" s="12"/>
      <c r="O674" s="176">
        <f t="shared" si="120"/>
        <v>31.959988071849562</v>
      </c>
      <c r="P674" s="344">
        <v>55</v>
      </c>
      <c r="S674" t="s">
        <v>749</v>
      </c>
      <c r="T674" s="6">
        <v>46139</v>
      </c>
      <c r="V674" s="10"/>
    </row>
    <row r="675" spans="1:22" customFormat="1" ht="15.5" hidden="1" x14ac:dyDescent="0.35">
      <c r="A675" s="3"/>
      <c r="B675" s="233"/>
      <c r="C675" s="597"/>
      <c r="D675" s="92"/>
      <c r="E675" s="745"/>
      <c r="F675" s="371" t="s">
        <v>2620</v>
      </c>
      <c r="G675" s="371"/>
      <c r="H675" s="371">
        <v>85</v>
      </c>
      <c r="I675" s="176">
        <f t="shared" si="117"/>
        <v>12.142857142857142</v>
      </c>
      <c r="J675" s="12">
        <v>4072</v>
      </c>
      <c r="K675" s="176">
        <v>3073</v>
      </c>
      <c r="L675" s="176">
        <f t="shared" si="118"/>
        <v>9.163801571709234</v>
      </c>
      <c r="M675" s="176">
        <f t="shared" si="119"/>
        <v>21.306658714566375</v>
      </c>
      <c r="N675" s="12"/>
      <c r="O675" s="176">
        <f t="shared" si="120"/>
        <v>31.959988071849562</v>
      </c>
      <c r="P675" s="344">
        <v>55</v>
      </c>
      <c r="S675" t="s">
        <v>12</v>
      </c>
      <c r="T675" s="6">
        <v>46088</v>
      </c>
      <c r="V675" s="10"/>
    </row>
    <row r="676" spans="1:22" s="343" customFormat="1" ht="15.5" hidden="1" x14ac:dyDescent="0.35">
      <c r="A676" s="792"/>
      <c r="B676" s="436"/>
      <c r="C676" s="436"/>
      <c r="E676" s="437"/>
      <c r="F676" s="372" t="s">
        <v>2023</v>
      </c>
      <c r="G676" s="372"/>
      <c r="H676" s="372">
        <v>85</v>
      </c>
      <c r="I676" s="373">
        <f t="shared" si="117"/>
        <v>12.142857142857142</v>
      </c>
      <c r="J676" s="343">
        <v>4072</v>
      </c>
      <c r="K676" s="373">
        <v>3073</v>
      </c>
      <c r="L676" s="373">
        <f t="shared" si="118"/>
        <v>9.163801571709234</v>
      </c>
      <c r="M676" s="373">
        <f t="shared" si="119"/>
        <v>21.306658714566375</v>
      </c>
      <c r="O676" s="373">
        <f t="shared" si="120"/>
        <v>31.959988071849562</v>
      </c>
      <c r="P676" s="344">
        <v>55</v>
      </c>
      <c r="S676" s="343" t="s">
        <v>987</v>
      </c>
      <c r="V676" s="487"/>
    </row>
    <row r="677" spans="1:22" s="13" customFormat="1" ht="15.5" x14ac:dyDescent="0.35">
      <c r="A677" s="369"/>
      <c r="B677" s="368"/>
      <c r="C677" s="368"/>
      <c r="E677" s="399"/>
      <c r="F677" s="435" t="s">
        <v>2024</v>
      </c>
      <c r="G677" s="435"/>
      <c r="H677" s="435">
        <v>85</v>
      </c>
      <c r="I677" s="344">
        <f t="shared" si="117"/>
        <v>12.142857142857142</v>
      </c>
      <c r="J677" s="13">
        <v>4072</v>
      </c>
      <c r="K677" s="344">
        <v>3073</v>
      </c>
      <c r="L677" s="344">
        <f t="shared" si="118"/>
        <v>9.163801571709234</v>
      </c>
      <c r="M677" s="344">
        <f t="shared" si="119"/>
        <v>21.306658714566375</v>
      </c>
      <c r="O677" s="344">
        <f t="shared" si="120"/>
        <v>31.959988071849562</v>
      </c>
      <c r="P677" s="344">
        <v>55</v>
      </c>
      <c r="V677" s="109"/>
    </row>
    <row r="678" spans="1:22" s="13" customFormat="1" ht="15.5" hidden="1" x14ac:dyDescent="0.35">
      <c r="A678" s="369"/>
      <c r="B678" s="368"/>
      <c r="C678" s="368"/>
      <c r="E678" s="399"/>
      <c r="F678" s="435" t="s">
        <v>1995</v>
      </c>
      <c r="G678" s="435"/>
      <c r="H678" s="435">
        <v>85</v>
      </c>
      <c r="I678" s="344">
        <f t="shared" si="117"/>
        <v>12.142857142857142</v>
      </c>
      <c r="J678" s="13">
        <v>4072</v>
      </c>
      <c r="K678" s="344">
        <v>3073</v>
      </c>
      <c r="L678" s="344">
        <f t="shared" si="118"/>
        <v>9.163801571709234</v>
      </c>
      <c r="M678" s="344">
        <f t="shared" si="119"/>
        <v>21.306658714566375</v>
      </c>
      <c r="O678" s="344">
        <f t="shared" si="120"/>
        <v>31.959988071849562</v>
      </c>
      <c r="P678" s="344">
        <v>55</v>
      </c>
      <c r="S678" s="13" t="s">
        <v>12</v>
      </c>
      <c r="T678" s="828">
        <v>46043</v>
      </c>
      <c r="V678" s="109"/>
    </row>
    <row r="679" spans="1:22" s="13" customFormat="1" ht="15.5" x14ac:dyDescent="0.35">
      <c r="A679" s="369"/>
      <c r="B679" s="368"/>
      <c r="C679" s="368"/>
      <c r="E679" s="399"/>
      <c r="F679" s="435" t="s">
        <v>1996</v>
      </c>
      <c r="G679" s="435"/>
      <c r="H679" s="435">
        <v>85</v>
      </c>
      <c r="I679" s="344">
        <f t="shared" si="117"/>
        <v>12.142857142857142</v>
      </c>
      <c r="J679" s="13">
        <v>4072</v>
      </c>
      <c r="K679" s="344">
        <v>3073</v>
      </c>
      <c r="L679" s="344">
        <f t="shared" si="118"/>
        <v>9.163801571709234</v>
      </c>
      <c r="M679" s="344">
        <f t="shared" si="119"/>
        <v>21.306658714566375</v>
      </c>
      <c r="O679" s="344">
        <f t="shared" si="120"/>
        <v>31.959988071849562</v>
      </c>
      <c r="P679" s="344">
        <v>55</v>
      </c>
      <c r="V679" s="109"/>
    </row>
    <row r="680" spans="1:22" s="13" customFormat="1" ht="15.5" x14ac:dyDescent="0.35">
      <c r="A680" s="369"/>
      <c r="B680" s="368"/>
      <c r="C680" s="368"/>
      <c r="E680" s="399"/>
      <c r="F680" s="435" t="s">
        <v>2053</v>
      </c>
      <c r="G680" s="435"/>
      <c r="H680" s="435">
        <v>85</v>
      </c>
      <c r="I680" s="344">
        <f t="shared" si="117"/>
        <v>12.142857142857142</v>
      </c>
      <c r="J680" s="13">
        <v>4072</v>
      </c>
      <c r="K680" s="344">
        <v>3073</v>
      </c>
      <c r="L680" s="344">
        <f t="shared" si="118"/>
        <v>9.163801571709234</v>
      </c>
      <c r="M680" s="344">
        <f t="shared" si="119"/>
        <v>21.306658714566375</v>
      </c>
      <c r="O680" s="344">
        <f t="shared" si="120"/>
        <v>31.959988071849562</v>
      </c>
      <c r="P680" s="344">
        <v>55</v>
      </c>
      <c r="V680" s="109"/>
    </row>
    <row r="681" spans="1:22" customFormat="1" ht="15.5" x14ac:dyDescent="0.35">
      <c r="A681" s="3"/>
      <c r="B681" s="233"/>
      <c r="C681" s="233"/>
      <c r="E681" s="366"/>
      <c r="F681" s="435" t="s">
        <v>1984</v>
      </c>
      <c r="G681" s="435"/>
      <c r="H681" s="435">
        <v>85</v>
      </c>
      <c r="I681" s="344">
        <f t="shared" si="117"/>
        <v>12.142857142857142</v>
      </c>
      <c r="J681" s="13">
        <v>4072</v>
      </c>
      <c r="K681" s="344">
        <v>3073</v>
      </c>
      <c r="L681" s="344">
        <f t="shared" si="118"/>
        <v>9.163801571709234</v>
      </c>
      <c r="M681" s="344">
        <f t="shared" si="119"/>
        <v>21.306658714566375</v>
      </c>
      <c r="N681" s="13"/>
      <c r="O681" s="344">
        <f t="shared" si="120"/>
        <v>31.959988071849562</v>
      </c>
      <c r="P681" s="344">
        <v>55</v>
      </c>
      <c r="S681" t="s">
        <v>2670</v>
      </c>
      <c r="V681" s="10"/>
    </row>
    <row r="682" spans="1:22" customFormat="1" ht="15.5" hidden="1" x14ac:dyDescent="0.35">
      <c r="A682" s="3"/>
      <c r="B682" s="233"/>
      <c r="C682" s="233"/>
      <c r="E682" s="366"/>
      <c r="F682" s="371" t="s">
        <v>2539</v>
      </c>
      <c r="G682" s="371"/>
      <c r="H682" s="371"/>
      <c r="I682" s="176"/>
      <c r="J682" s="12"/>
      <c r="K682" s="176"/>
      <c r="L682" s="176"/>
      <c r="M682" s="176"/>
      <c r="N682" s="12"/>
      <c r="O682" s="176">
        <v>65</v>
      </c>
      <c r="P682" s="344"/>
      <c r="S682" t="s">
        <v>2540</v>
      </c>
      <c r="T682" s="6">
        <v>46067</v>
      </c>
      <c r="V682" s="10"/>
    </row>
    <row r="683" spans="1:22" customFormat="1" ht="15.5" x14ac:dyDescent="0.35">
      <c r="A683" s="3"/>
      <c r="B683" s="233"/>
      <c r="C683" s="233"/>
      <c r="E683" s="366"/>
      <c r="F683" s="245"/>
      <c r="G683" s="245"/>
      <c r="H683" s="245"/>
      <c r="I683" s="173"/>
      <c r="K683" s="173"/>
      <c r="L683" s="173"/>
      <c r="M683" s="173"/>
      <c r="O683" s="173"/>
      <c r="P683" s="344"/>
      <c r="T683" s="6"/>
      <c r="V683" s="10"/>
    </row>
    <row r="684" spans="1:22" customFormat="1" ht="18.5" x14ac:dyDescent="0.45">
      <c r="A684" s="3"/>
      <c r="B684" s="233"/>
      <c r="C684" s="5" t="s">
        <v>2074</v>
      </c>
      <c r="E684" s="366"/>
      <c r="F684" s="245"/>
      <c r="G684" s="245"/>
      <c r="H684" s="173"/>
      <c r="J684" s="173"/>
      <c r="K684" s="173"/>
      <c r="L684" s="173"/>
      <c r="N684" s="173"/>
      <c r="O684" s="173"/>
      <c r="P684" s="325"/>
    </row>
    <row r="685" spans="1:22" customFormat="1" ht="15.5" x14ac:dyDescent="0.35">
      <c r="A685" s="3"/>
      <c r="B685" s="597" t="s">
        <v>2061</v>
      </c>
      <c r="C685" s="597" t="s">
        <v>1432</v>
      </c>
      <c r="D685" s="92"/>
      <c r="E685" s="745">
        <v>2</v>
      </c>
      <c r="F685" s="245" t="s">
        <v>2063</v>
      </c>
      <c r="G685" s="245"/>
      <c r="H685" s="173">
        <v>25</v>
      </c>
      <c r="I685">
        <f>340*1.05</f>
        <v>357</v>
      </c>
      <c r="J685" s="173">
        <v>100</v>
      </c>
      <c r="K685" s="173">
        <f>+H685/I685*J685</f>
        <v>7.0028011204481793</v>
      </c>
      <c r="L685" s="173">
        <f>+H685+K685</f>
        <v>32.002801120448183</v>
      </c>
      <c r="N685" s="173">
        <f>+L685*1.5</f>
        <v>48.004201680672274</v>
      </c>
      <c r="O685" s="173">
        <v>110</v>
      </c>
      <c r="P685" s="140"/>
    </row>
    <row r="686" spans="1:22" customFormat="1" ht="15.5" x14ac:dyDescent="0.35">
      <c r="A686" s="3"/>
      <c r="B686" s="597" t="s">
        <v>2061</v>
      </c>
      <c r="C686" s="597" t="s">
        <v>1432</v>
      </c>
      <c r="D686" s="92"/>
      <c r="E686" s="745">
        <v>3</v>
      </c>
      <c r="F686" s="245" t="s">
        <v>2063</v>
      </c>
      <c r="G686" s="245"/>
      <c r="H686" s="173">
        <v>25</v>
      </c>
      <c r="I686">
        <f>340*1.05</f>
        <v>357</v>
      </c>
      <c r="J686" s="173">
        <v>100</v>
      </c>
      <c r="K686" s="173">
        <f>+H686/I686*J686</f>
        <v>7.0028011204481793</v>
      </c>
      <c r="L686" s="173">
        <f>+H686+K686</f>
        <v>32.002801120448183</v>
      </c>
      <c r="N686" s="173">
        <f>+L686*1.5</f>
        <v>48.004201680672274</v>
      </c>
      <c r="O686" s="173">
        <v>110</v>
      </c>
      <c r="P686" s="140"/>
    </row>
    <row r="687" spans="1:22" customFormat="1" ht="15.5" x14ac:dyDescent="0.35">
      <c r="A687" s="3"/>
      <c r="B687" s="597" t="s">
        <v>2061</v>
      </c>
      <c r="C687" s="597" t="s">
        <v>1432</v>
      </c>
      <c r="D687" s="92"/>
      <c r="E687" s="745">
        <v>4</v>
      </c>
      <c r="F687" s="371" t="s">
        <v>2063</v>
      </c>
      <c r="G687" s="371"/>
      <c r="H687" s="176">
        <v>25</v>
      </c>
      <c r="I687" s="12">
        <f>340*1.05</f>
        <v>357</v>
      </c>
      <c r="J687" s="176">
        <v>100</v>
      </c>
      <c r="K687" s="176">
        <f>+H687/I687*J687</f>
        <v>7.0028011204481793</v>
      </c>
      <c r="L687" s="176">
        <f>+H687+K687</f>
        <v>32.002801120448183</v>
      </c>
      <c r="M687" s="12"/>
      <c r="N687" s="176">
        <f>+L687*1.5</f>
        <v>48.004201680672274</v>
      </c>
      <c r="O687" s="176">
        <v>110</v>
      </c>
      <c r="P687" s="140"/>
      <c r="S687" t="s">
        <v>12</v>
      </c>
      <c r="T687" s="6">
        <v>46130</v>
      </c>
    </row>
    <row r="688" spans="1:22" customFormat="1" ht="15.5" x14ac:dyDescent="0.35">
      <c r="A688" s="3"/>
      <c r="B688" s="597" t="s">
        <v>2061</v>
      </c>
      <c r="C688" s="597" t="s">
        <v>1432</v>
      </c>
      <c r="D688" s="92"/>
      <c r="E688" s="745">
        <v>3</v>
      </c>
      <c r="F688" s="371" t="s">
        <v>2064</v>
      </c>
      <c r="G688" s="371"/>
      <c r="H688" s="176">
        <v>30</v>
      </c>
      <c r="I688" s="12">
        <f>340*1.05</f>
        <v>357</v>
      </c>
      <c r="J688" s="176">
        <v>100</v>
      </c>
      <c r="K688" s="176">
        <f>+H688/I688*J688</f>
        <v>8.4033613445378155</v>
      </c>
      <c r="L688" s="176">
        <f>+H688+K688</f>
        <v>38.403361344537814</v>
      </c>
      <c r="M688" s="12"/>
      <c r="N688" s="176">
        <f>+L688*1.5</f>
        <v>57.605042016806721</v>
      </c>
      <c r="O688" s="176">
        <v>110</v>
      </c>
      <c r="P688" s="140"/>
      <c r="S688" t="s">
        <v>3008</v>
      </c>
      <c r="T688" s="6">
        <v>46112</v>
      </c>
    </row>
    <row r="689" spans="1:20" customFormat="1" ht="15.5" x14ac:dyDescent="0.35">
      <c r="A689" s="3"/>
      <c r="B689" s="3"/>
      <c r="C689" s="233"/>
      <c r="D689" s="233"/>
      <c r="F689" s="366"/>
      <c r="G689" s="10"/>
      <c r="H689" s="189"/>
      <c r="I689" s="10"/>
      <c r="J689" s="10"/>
      <c r="K689" s="189"/>
      <c r="L689" s="189"/>
      <c r="M689" s="10"/>
      <c r="N689" s="140"/>
      <c r="O689" s="189"/>
      <c r="P689" s="325"/>
    </row>
    <row r="690" spans="1:20" customFormat="1" ht="15.5" x14ac:dyDescent="0.35">
      <c r="A690" s="3"/>
      <c r="B690" s="3"/>
      <c r="C690" s="256" t="s">
        <v>2095</v>
      </c>
      <c r="D690" s="233"/>
      <c r="F690" s="10"/>
      <c r="G690" s="245"/>
      <c r="H690" s="173"/>
      <c r="J690" s="173"/>
      <c r="K690" s="173"/>
      <c r="L690" s="173"/>
      <c r="N690" s="173"/>
      <c r="O690" s="173"/>
      <c r="P690" s="325"/>
    </row>
    <row r="691" spans="1:20" customFormat="1" ht="15.5" x14ac:dyDescent="0.35">
      <c r="A691" s="594"/>
      <c r="B691" s="594" t="s">
        <v>561</v>
      </c>
      <c r="C691" s="597" t="s">
        <v>2096</v>
      </c>
      <c r="D691" s="597"/>
      <c r="E691" s="92"/>
      <c r="F691" s="371" t="s">
        <v>2093</v>
      </c>
      <c r="G691" s="371">
        <v>85</v>
      </c>
      <c r="H691" s="176">
        <f t="shared" ref="H691:H699" si="121">+G691/6.9</f>
        <v>12.318840579710145</v>
      </c>
      <c r="I691" s="12"/>
      <c r="J691" s="176"/>
      <c r="K691" s="176"/>
      <c r="L691" s="176"/>
      <c r="M691" s="12"/>
      <c r="N691" s="176"/>
      <c r="O691" s="176">
        <v>55</v>
      </c>
      <c r="P691" s="140"/>
      <c r="S691" t="s">
        <v>12</v>
      </c>
      <c r="T691" t="s">
        <v>3137</v>
      </c>
    </row>
    <row r="692" spans="1:20" customFormat="1" ht="15.5" x14ac:dyDescent="0.35">
      <c r="A692" s="594"/>
      <c r="B692" s="594"/>
      <c r="C692" s="597" t="s">
        <v>2096</v>
      </c>
      <c r="D692" s="597"/>
      <c r="E692" s="92"/>
      <c r="F692" s="371" t="s">
        <v>2093</v>
      </c>
      <c r="G692" s="371">
        <v>85</v>
      </c>
      <c r="H692" s="176">
        <f t="shared" si="121"/>
        <v>12.318840579710145</v>
      </c>
      <c r="I692" s="12"/>
      <c r="J692" s="176"/>
      <c r="K692" s="176"/>
      <c r="L692" s="176"/>
      <c r="M692" s="12"/>
      <c r="N692" s="176"/>
      <c r="O692" s="176">
        <v>55</v>
      </c>
      <c r="P692" s="140"/>
      <c r="S692" t="s">
        <v>3173</v>
      </c>
      <c r="T692" s="6">
        <v>46141</v>
      </c>
    </row>
    <row r="693" spans="1:20" customFormat="1" ht="15.5" x14ac:dyDescent="0.35">
      <c r="A693" s="594"/>
      <c r="B693" s="594"/>
      <c r="C693" s="597" t="s">
        <v>2096</v>
      </c>
      <c r="D693" s="597"/>
      <c r="E693" s="92"/>
      <c r="F693" s="245" t="s">
        <v>2093</v>
      </c>
      <c r="G693" s="245">
        <v>85</v>
      </c>
      <c r="H693" s="173">
        <f t="shared" si="121"/>
        <v>12.318840579710145</v>
      </c>
      <c r="J693" s="173"/>
      <c r="K693" s="173"/>
      <c r="L693" s="173"/>
      <c r="N693" s="173"/>
      <c r="O693" s="173">
        <v>55</v>
      </c>
      <c r="P693" s="140"/>
    </row>
    <row r="694" spans="1:20" customFormat="1" ht="15.5" x14ac:dyDescent="0.35">
      <c r="A694" s="594"/>
      <c r="B694" s="594"/>
      <c r="C694" s="597" t="s">
        <v>2096</v>
      </c>
      <c r="D694" s="597"/>
      <c r="E694" s="92"/>
      <c r="F694" s="245" t="s">
        <v>2093</v>
      </c>
      <c r="G694" s="245">
        <v>85</v>
      </c>
      <c r="H694" s="173">
        <f t="shared" si="121"/>
        <v>12.318840579710145</v>
      </c>
      <c r="J694" s="173"/>
      <c r="K694" s="173"/>
      <c r="L694" s="173"/>
      <c r="N694" s="173"/>
      <c r="O694" s="173">
        <v>55</v>
      </c>
      <c r="P694" s="140"/>
    </row>
    <row r="695" spans="1:20" customFormat="1" ht="15.5" x14ac:dyDescent="0.35">
      <c r="A695" s="594"/>
      <c r="B695" s="594"/>
      <c r="C695" s="597" t="s">
        <v>2096</v>
      </c>
      <c r="D695" s="597"/>
      <c r="E695" s="92"/>
      <c r="F695" s="245" t="s">
        <v>2093</v>
      </c>
      <c r="G695" s="245">
        <v>85</v>
      </c>
      <c r="H695" s="173">
        <f t="shared" si="121"/>
        <v>12.318840579710145</v>
      </c>
      <c r="J695" s="173"/>
      <c r="K695" s="173"/>
      <c r="L695" s="173"/>
      <c r="N695" s="173"/>
      <c r="O695" s="173">
        <v>55</v>
      </c>
      <c r="P695" s="140"/>
    </row>
    <row r="696" spans="1:20" customFormat="1" ht="15.5" x14ac:dyDescent="0.35">
      <c r="A696" s="594"/>
      <c r="B696" s="594"/>
      <c r="C696" s="597" t="s">
        <v>2096</v>
      </c>
      <c r="D696" s="597"/>
      <c r="E696" s="92"/>
      <c r="F696" s="245" t="s">
        <v>2093</v>
      </c>
      <c r="G696" s="245">
        <v>85</v>
      </c>
      <c r="H696" s="173">
        <f t="shared" si="121"/>
        <v>12.318840579710145</v>
      </c>
      <c r="J696" s="173"/>
      <c r="K696" s="173"/>
      <c r="L696" s="173"/>
      <c r="N696" s="173"/>
      <c r="O696" s="173">
        <v>55</v>
      </c>
      <c r="P696" s="140"/>
    </row>
    <row r="697" spans="1:20" customFormat="1" ht="15.5" hidden="1" x14ac:dyDescent="0.35">
      <c r="A697" s="3"/>
      <c r="B697" s="3"/>
      <c r="C697" s="233" t="s">
        <v>2097</v>
      </c>
      <c r="D697" s="233"/>
      <c r="F697" s="371" t="s">
        <v>2094</v>
      </c>
      <c r="G697" s="371">
        <v>130</v>
      </c>
      <c r="H697" s="176">
        <f t="shared" si="121"/>
        <v>18.840579710144926</v>
      </c>
      <c r="I697" s="12"/>
      <c r="J697" s="176"/>
      <c r="K697" s="176"/>
      <c r="L697" s="176"/>
      <c r="M697" s="12"/>
      <c r="N697" s="176"/>
      <c r="O697" s="176">
        <v>90</v>
      </c>
      <c r="P697" s="325"/>
      <c r="S697" t="s">
        <v>2123</v>
      </c>
      <c r="T697" s="6">
        <v>46024</v>
      </c>
    </row>
    <row r="698" spans="1:20" customFormat="1" ht="15.5" hidden="1" x14ac:dyDescent="0.35">
      <c r="A698" s="3"/>
      <c r="B698" s="3"/>
      <c r="C698" s="233" t="s">
        <v>2097</v>
      </c>
      <c r="D698" s="233"/>
      <c r="F698" s="371" t="s">
        <v>2094</v>
      </c>
      <c r="G698" s="371">
        <v>130</v>
      </c>
      <c r="H698" s="176">
        <f t="shared" si="121"/>
        <v>18.840579710144926</v>
      </c>
      <c r="I698" s="12"/>
      <c r="J698" s="176"/>
      <c r="K698" s="176"/>
      <c r="L698" s="176"/>
      <c r="M698" s="12"/>
      <c r="N698" s="176"/>
      <c r="O698" s="176">
        <v>90</v>
      </c>
      <c r="P698" s="325"/>
      <c r="S698" t="s">
        <v>2422</v>
      </c>
      <c r="T698" s="6">
        <v>46057</v>
      </c>
    </row>
    <row r="699" spans="1:20" customFormat="1" ht="14.5" hidden="1" x14ac:dyDescent="0.35">
      <c r="A699" s="3"/>
      <c r="B699" s="233"/>
      <c r="C699" s="597" t="s">
        <v>2097</v>
      </c>
      <c r="D699" s="92"/>
      <c r="E699" s="745"/>
      <c r="F699" s="371" t="s">
        <v>2094</v>
      </c>
      <c r="G699" s="371">
        <v>130</v>
      </c>
      <c r="H699" s="176">
        <f t="shared" si="121"/>
        <v>18.840579710144926</v>
      </c>
      <c r="I699" s="12"/>
      <c r="J699" s="176"/>
      <c r="K699" s="176"/>
      <c r="L699" s="176"/>
      <c r="M699" s="12"/>
      <c r="N699" s="176"/>
      <c r="O699" s="176">
        <v>90</v>
      </c>
      <c r="P699" s="173"/>
      <c r="S699" t="s">
        <v>3008</v>
      </c>
      <c r="T699" s="6">
        <v>46112</v>
      </c>
    </row>
    <row r="700" spans="1:20" customFormat="1" ht="14.5" x14ac:dyDescent="0.35">
      <c r="A700" s="3"/>
      <c r="B700" s="233"/>
      <c r="C700" s="232" t="s">
        <v>2342</v>
      </c>
      <c r="E700" s="366"/>
      <c r="F700" s="245"/>
      <c r="G700" s="245"/>
      <c r="H700" s="173"/>
      <c r="J700" s="173"/>
      <c r="K700" s="173"/>
      <c r="L700" s="173"/>
      <c r="N700" s="173"/>
      <c r="O700" s="173"/>
      <c r="P700" s="344"/>
    </row>
    <row r="701" spans="1:20" customFormat="1" ht="15.5" hidden="1" x14ac:dyDescent="0.35">
      <c r="A701" s="3"/>
      <c r="B701" s="233" t="s">
        <v>2061</v>
      </c>
      <c r="C701" s="233" t="s">
        <v>2061</v>
      </c>
      <c r="E701" s="366">
        <v>1</v>
      </c>
      <c r="F701" s="371" t="s">
        <v>2235</v>
      </c>
      <c r="G701" s="371"/>
      <c r="H701" s="176">
        <v>30</v>
      </c>
      <c r="I701" s="12">
        <v>4609</v>
      </c>
      <c r="J701" s="176">
        <v>3601</v>
      </c>
      <c r="K701" s="176">
        <f t="shared" ref="K701:K740" si="122">+H701/I701*J701</f>
        <v>23.438923844651768</v>
      </c>
      <c r="L701" s="176">
        <f t="shared" ref="L701:L740" si="123">+H701+K701</f>
        <v>53.438923844651768</v>
      </c>
      <c r="M701" s="12"/>
      <c r="N701" s="176">
        <f t="shared" ref="N701:N740" si="124">+L701*1.5</f>
        <v>80.158385766977659</v>
      </c>
      <c r="O701" s="176">
        <v>125</v>
      </c>
      <c r="P701" s="325"/>
      <c r="S701" t="s">
        <v>12</v>
      </c>
      <c r="T701" s="6">
        <v>46059</v>
      </c>
    </row>
    <row r="702" spans="1:20" customFormat="1" ht="15.5" hidden="1" x14ac:dyDescent="0.35">
      <c r="A702" s="3"/>
      <c r="B702" s="233" t="s">
        <v>2061</v>
      </c>
      <c r="C702" s="233" t="s">
        <v>2061</v>
      </c>
      <c r="E702" s="366">
        <v>2</v>
      </c>
      <c r="F702" s="371" t="s">
        <v>2235</v>
      </c>
      <c r="G702" s="371"/>
      <c r="H702" s="176">
        <v>30</v>
      </c>
      <c r="I702" s="12">
        <v>4609</v>
      </c>
      <c r="J702" s="176">
        <v>3601</v>
      </c>
      <c r="K702" s="176">
        <f t="shared" si="122"/>
        <v>23.438923844651768</v>
      </c>
      <c r="L702" s="176">
        <f t="shared" si="123"/>
        <v>53.438923844651768</v>
      </c>
      <c r="M702" s="12"/>
      <c r="N702" s="176">
        <f t="shared" si="124"/>
        <v>80.158385766977659</v>
      </c>
      <c r="O702" s="176">
        <v>125</v>
      </c>
      <c r="P702" s="325"/>
      <c r="S702" t="s">
        <v>12</v>
      </c>
      <c r="T702" s="6">
        <v>46058</v>
      </c>
    </row>
    <row r="703" spans="1:20" customFormat="1" ht="15.5" hidden="1" x14ac:dyDescent="0.35">
      <c r="A703" s="3"/>
      <c r="B703" s="233" t="s">
        <v>2061</v>
      </c>
      <c r="C703" s="233" t="s">
        <v>2061</v>
      </c>
      <c r="E703" s="366">
        <v>3</v>
      </c>
      <c r="F703" s="371" t="s">
        <v>2235</v>
      </c>
      <c r="G703" s="371"/>
      <c r="H703" s="176">
        <v>30</v>
      </c>
      <c r="I703" s="12">
        <v>4609</v>
      </c>
      <c r="J703" s="176">
        <v>3601</v>
      </c>
      <c r="K703" s="176">
        <f t="shared" si="122"/>
        <v>23.438923844651768</v>
      </c>
      <c r="L703" s="176">
        <f t="shared" si="123"/>
        <v>53.438923844651768</v>
      </c>
      <c r="M703" s="12"/>
      <c r="N703" s="176">
        <f t="shared" si="124"/>
        <v>80.158385766977659</v>
      </c>
      <c r="O703" s="176">
        <v>125</v>
      </c>
      <c r="P703" s="325"/>
      <c r="S703" t="s">
        <v>2516</v>
      </c>
      <c r="T703" s="6">
        <v>46064</v>
      </c>
    </row>
    <row r="704" spans="1:20" customFormat="1" ht="15.5" hidden="1" x14ac:dyDescent="0.35">
      <c r="A704" s="3"/>
      <c r="B704" s="233" t="s">
        <v>2061</v>
      </c>
      <c r="C704" s="233" t="s">
        <v>2061</v>
      </c>
      <c r="E704" s="366">
        <v>4</v>
      </c>
      <c r="F704" s="371" t="s">
        <v>2235</v>
      </c>
      <c r="G704" s="371"/>
      <c r="H704" s="176">
        <v>30</v>
      </c>
      <c r="I704" s="12">
        <v>4609</v>
      </c>
      <c r="J704" s="176">
        <v>3601</v>
      </c>
      <c r="K704" s="176">
        <f t="shared" si="122"/>
        <v>23.438923844651768</v>
      </c>
      <c r="L704" s="176">
        <f t="shared" si="123"/>
        <v>53.438923844651768</v>
      </c>
      <c r="M704" s="12"/>
      <c r="N704" s="176">
        <f t="shared" si="124"/>
        <v>80.158385766977659</v>
      </c>
      <c r="O704" s="176">
        <v>125</v>
      </c>
      <c r="P704" s="325"/>
      <c r="S704" t="s">
        <v>2380</v>
      </c>
      <c r="T704" s="6">
        <v>46050</v>
      </c>
    </row>
    <row r="705" spans="1:20" customFormat="1" ht="15.5" x14ac:dyDescent="0.35">
      <c r="A705" s="594"/>
      <c r="B705" s="597" t="s">
        <v>2210</v>
      </c>
      <c r="C705" s="597" t="s">
        <v>2210</v>
      </c>
      <c r="D705" s="92"/>
      <c r="E705" s="745">
        <v>44</v>
      </c>
      <c r="F705" s="245" t="s">
        <v>2211</v>
      </c>
      <c r="G705" s="245"/>
      <c r="H705" s="173">
        <v>35</v>
      </c>
      <c r="I705">
        <v>4609</v>
      </c>
      <c r="J705" s="173">
        <v>3601</v>
      </c>
      <c r="K705" s="173">
        <f t="shared" si="122"/>
        <v>27.345411152093728</v>
      </c>
      <c r="L705" s="173">
        <f t="shared" si="123"/>
        <v>62.345411152093732</v>
      </c>
      <c r="N705" s="173">
        <f t="shared" si="124"/>
        <v>93.518116728140598</v>
      </c>
      <c r="O705" s="173">
        <v>150</v>
      </c>
      <c r="P705" s="140"/>
    </row>
    <row r="706" spans="1:20" customFormat="1" ht="15.5" hidden="1" x14ac:dyDescent="0.35">
      <c r="A706" s="594"/>
      <c r="B706" s="597" t="s">
        <v>2210</v>
      </c>
      <c r="C706" s="597" t="s">
        <v>2210</v>
      </c>
      <c r="D706" s="92"/>
      <c r="E706" s="745">
        <v>46</v>
      </c>
      <c r="F706" s="371" t="s">
        <v>2211</v>
      </c>
      <c r="G706" s="371"/>
      <c r="H706" s="176">
        <v>35</v>
      </c>
      <c r="I706" s="12">
        <v>4609</v>
      </c>
      <c r="J706" s="176">
        <v>3601</v>
      </c>
      <c r="K706" s="176">
        <f t="shared" si="122"/>
        <v>27.345411152093728</v>
      </c>
      <c r="L706" s="176">
        <f t="shared" si="123"/>
        <v>62.345411152093732</v>
      </c>
      <c r="M706" s="12"/>
      <c r="N706" s="176">
        <f t="shared" si="124"/>
        <v>93.518116728140598</v>
      </c>
      <c r="O706" s="176">
        <v>150</v>
      </c>
      <c r="P706" s="325"/>
      <c r="S706" t="s">
        <v>1009</v>
      </c>
      <c r="T706" s="6">
        <v>46091</v>
      </c>
    </row>
    <row r="707" spans="1:20" customFormat="1" ht="15.5" hidden="1" x14ac:dyDescent="0.35">
      <c r="A707" s="594"/>
      <c r="B707" s="597" t="s">
        <v>2210</v>
      </c>
      <c r="C707" s="233" t="s">
        <v>2210</v>
      </c>
      <c r="E707" s="366">
        <v>48</v>
      </c>
      <c r="F707" s="371" t="s">
        <v>2211</v>
      </c>
      <c r="G707" s="371"/>
      <c r="H707" s="176">
        <v>35</v>
      </c>
      <c r="I707" s="12">
        <v>4609</v>
      </c>
      <c r="J707" s="176">
        <v>3601</v>
      </c>
      <c r="K707" s="176">
        <f t="shared" si="122"/>
        <v>27.345411152093728</v>
      </c>
      <c r="L707" s="176">
        <f t="shared" si="123"/>
        <v>62.345411152093732</v>
      </c>
      <c r="M707" s="12"/>
      <c r="N707" s="176">
        <f t="shared" si="124"/>
        <v>93.518116728140598</v>
      </c>
      <c r="O707" s="176">
        <v>150</v>
      </c>
      <c r="P707" s="325"/>
      <c r="S707" t="s">
        <v>2493</v>
      </c>
      <c r="T707" s="6">
        <v>46059</v>
      </c>
    </row>
    <row r="708" spans="1:20" customFormat="1" ht="15.5" x14ac:dyDescent="0.35">
      <c r="A708" s="594"/>
      <c r="B708" s="597" t="s">
        <v>2210</v>
      </c>
      <c r="C708" s="597" t="s">
        <v>2210</v>
      </c>
      <c r="D708" s="92"/>
      <c r="E708" s="745">
        <v>50</v>
      </c>
      <c r="F708" s="245" t="s">
        <v>2211</v>
      </c>
      <c r="G708" s="245"/>
      <c r="H708" s="173">
        <v>35</v>
      </c>
      <c r="I708">
        <v>4609</v>
      </c>
      <c r="J708" s="173">
        <v>3601</v>
      </c>
      <c r="K708" s="173">
        <f t="shared" si="122"/>
        <v>27.345411152093728</v>
      </c>
      <c r="L708" s="173">
        <f t="shared" si="123"/>
        <v>62.345411152093732</v>
      </c>
      <c r="N708" s="173">
        <f t="shared" si="124"/>
        <v>93.518116728140598</v>
      </c>
      <c r="O708" s="173">
        <v>150</v>
      </c>
      <c r="P708" s="140"/>
    </row>
    <row r="709" spans="1:20" customFormat="1" ht="15.5" x14ac:dyDescent="0.35">
      <c r="A709" s="594"/>
      <c r="B709" s="597" t="s">
        <v>2317</v>
      </c>
      <c r="C709" s="597"/>
      <c r="D709" s="92"/>
      <c r="E709" s="745">
        <v>44</v>
      </c>
      <c r="F709" s="245" t="s">
        <v>2212</v>
      </c>
      <c r="G709" s="245"/>
      <c r="H709" s="173">
        <v>35</v>
      </c>
      <c r="I709">
        <v>4609</v>
      </c>
      <c r="J709" s="173">
        <v>3601</v>
      </c>
      <c r="K709" s="173">
        <f t="shared" si="122"/>
        <v>27.345411152093728</v>
      </c>
      <c r="L709" s="173">
        <f t="shared" si="123"/>
        <v>62.345411152093732</v>
      </c>
      <c r="N709" s="173">
        <f t="shared" si="124"/>
        <v>93.518116728140598</v>
      </c>
      <c r="O709" s="173">
        <v>125</v>
      </c>
      <c r="P709" s="140"/>
    </row>
    <row r="710" spans="1:20" customFormat="1" ht="15.5" x14ac:dyDescent="0.35">
      <c r="A710" s="594"/>
      <c r="B710" s="597" t="s">
        <v>2317</v>
      </c>
      <c r="C710" s="597"/>
      <c r="D710" s="92"/>
      <c r="E710" s="745">
        <v>46</v>
      </c>
      <c r="F710" s="245" t="s">
        <v>2212</v>
      </c>
      <c r="G710" s="245"/>
      <c r="H710" s="173">
        <v>35</v>
      </c>
      <c r="I710">
        <v>4609</v>
      </c>
      <c r="J710" s="173">
        <v>3601</v>
      </c>
      <c r="K710" s="173">
        <f t="shared" si="122"/>
        <v>27.345411152093728</v>
      </c>
      <c r="L710" s="173">
        <f t="shared" si="123"/>
        <v>62.345411152093732</v>
      </c>
      <c r="N710" s="173">
        <f t="shared" si="124"/>
        <v>93.518116728140598</v>
      </c>
      <c r="O710" s="173">
        <v>125</v>
      </c>
      <c r="P710" s="140"/>
    </row>
    <row r="711" spans="1:20" customFormat="1" ht="15.5" x14ac:dyDescent="0.35">
      <c r="A711" s="594"/>
      <c r="B711" s="597" t="s">
        <v>2317</v>
      </c>
      <c r="C711" s="597"/>
      <c r="D711" s="92"/>
      <c r="E711" s="745">
        <v>48</v>
      </c>
      <c r="F711" s="245" t="s">
        <v>2212</v>
      </c>
      <c r="G711" s="245"/>
      <c r="H711" s="173">
        <v>35</v>
      </c>
      <c r="I711">
        <v>4609</v>
      </c>
      <c r="J711" s="173">
        <v>3601</v>
      </c>
      <c r="K711" s="173">
        <f t="shared" si="122"/>
        <v>27.345411152093728</v>
      </c>
      <c r="L711" s="173">
        <f t="shared" si="123"/>
        <v>62.345411152093732</v>
      </c>
      <c r="N711" s="173">
        <f t="shared" si="124"/>
        <v>93.518116728140598</v>
      </c>
      <c r="O711" s="173">
        <v>125</v>
      </c>
      <c r="P711" s="140"/>
    </row>
    <row r="712" spans="1:20" customFormat="1" ht="15.5" x14ac:dyDescent="0.35">
      <c r="A712" s="594"/>
      <c r="B712" s="597" t="s">
        <v>2317</v>
      </c>
      <c r="C712" s="597"/>
      <c r="D712" s="92"/>
      <c r="E712" s="745">
        <v>50</v>
      </c>
      <c r="F712" s="371" t="s">
        <v>2212</v>
      </c>
      <c r="G712" s="371"/>
      <c r="H712" s="176">
        <v>35</v>
      </c>
      <c r="I712" s="12">
        <v>4609</v>
      </c>
      <c r="J712" s="176">
        <v>3601</v>
      </c>
      <c r="K712" s="176">
        <f t="shared" si="122"/>
        <v>27.345411152093728</v>
      </c>
      <c r="L712" s="176">
        <f t="shared" si="123"/>
        <v>62.345411152093732</v>
      </c>
      <c r="M712" s="12"/>
      <c r="N712" s="176">
        <f t="shared" si="124"/>
        <v>93.518116728140598</v>
      </c>
      <c r="O712" s="176">
        <v>125</v>
      </c>
      <c r="P712" s="140"/>
      <c r="S712" t="s">
        <v>1075</v>
      </c>
      <c r="T712" s="6">
        <v>46136</v>
      </c>
    </row>
    <row r="713" spans="1:20" customFormat="1" ht="15.5" x14ac:dyDescent="0.35">
      <c r="A713" s="594"/>
      <c r="B713" s="597" t="s">
        <v>1236</v>
      </c>
      <c r="C713" s="597"/>
      <c r="D713" s="92"/>
      <c r="E713" s="745">
        <v>52</v>
      </c>
      <c r="F713" s="371" t="s">
        <v>2315</v>
      </c>
      <c r="G713" s="371"/>
      <c r="H713" s="176">
        <v>55</v>
      </c>
      <c r="I713" s="12">
        <v>4609</v>
      </c>
      <c r="J713" s="176">
        <v>3601</v>
      </c>
      <c r="K713" s="176">
        <f t="shared" si="122"/>
        <v>42.971360381861572</v>
      </c>
      <c r="L713" s="176">
        <f t="shared" si="123"/>
        <v>97.971360381861572</v>
      </c>
      <c r="M713" s="12"/>
      <c r="N713" s="176">
        <f t="shared" si="124"/>
        <v>146.95704057279235</v>
      </c>
      <c r="O713" s="176">
        <v>150</v>
      </c>
      <c r="P713" s="140"/>
      <c r="S713" t="s">
        <v>2846</v>
      </c>
      <c r="T713" s="6">
        <v>46101</v>
      </c>
    </row>
    <row r="714" spans="1:20" customFormat="1" ht="15.5" x14ac:dyDescent="0.35">
      <c r="A714" s="594"/>
      <c r="B714" s="597" t="s">
        <v>1236</v>
      </c>
      <c r="C714" s="597"/>
      <c r="D714" s="92"/>
      <c r="E714" s="745">
        <v>54</v>
      </c>
      <c r="F714" s="245" t="s">
        <v>2315</v>
      </c>
      <c r="G714" s="245"/>
      <c r="H714" s="173">
        <v>55</v>
      </c>
      <c r="I714">
        <v>4609</v>
      </c>
      <c r="J714" s="173">
        <v>3601</v>
      </c>
      <c r="K714" s="173">
        <f t="shared" si="122"/>
        <v>42.971360381861572</v>
      </c>
      <c r="L714" s="173">
        <f t="shared" si="123"/>
        <v>97.971360381861572</v>
      </c>
      <c r="N714" s="173">
        <f t="shared" si="124"/>
        <v>146.95704057279235</v>
      </c>
      <c r="O714" s="173">
        <v>150</v>
      </c>
      <c r="P714" s="140"/>
    </row>
    <row r="715" spans="1:20" customFormat="1" ht="15.5" x14ac:dyDescent="0.35">
      <c r="A715" s="594"/>
      <c r="B715" s="597" t="s">
        <v>1236</v>
      </c>
      <c r="C715" s="597"/>
      <c r="D715" s="92"/>
      <c r="E715" s="745">
        <v>56</v>
      </c>
      <c r="F715" s="245" t="s">
        <v>2315</v>
      </c>
      <c r="G715" s="245"/>
      <c r="H715" s="173">
        <v>55</v>
      </c>
      <c r="I715">
        <v>4609</v>
      </c>
      <c r="J715" s="173">
        <v>3601</v>
      </c>
      <c r="K715" s="173">
        <f t="shared" si="122"/>
        <v>42.971360381861572</v>
      </c>
      <c r="L715" s="173">
        <f t="shared" si="123"/>
        <v>97.971360381861572</v>
      </c>
      <c r="N715" s="173">
        <f t="shared" si="124"/>
        <v>146.95704057279235</v>
      </c>
      <c r="O715" s="173">
        <v>150</v>
      </c>
      <c r="P715" s="140"/>
    </row>
    <row r="716" spans="1:20" customFormat="1" ht="15.5" x14ac:dyDescent="0.35">
      <c r="A716" s="594"/>
      <c r="B716" s="597" t="s">
        <v>1236</v>
      </c>
      <c r="C716" s="597"/>
      <c r="D716" s="92"/>
      <c r="E716" s="745">
        <v>58</v>
      </c>
      <c r="F716" s="245" t="s">
        <v>2315</v>
      </c>
      <c r="G716" s="245"/>
      <c r="H716" s="173">
        <v>55</v>
      </c>
      <c r="I716">
        <v>4609</v>
      </c>
      <c r="J716" s="173">
        <v>3601</v>
      </c>
      <c r="K716" s="173">
        <f t="shared" si="122"/>
        <v>42.971360381861572</v>
      </c>
      <c r="L716" s="173">
        <f t="shared" si="123"/>
        <v>97.971360381861572</v>
      </c>
      <c r="N716" s="173">
        <f t="shared" si="124"/>
        <v>146.95704057279235</v>
      </c>
      <c r="O716" s="173">
        <v>150</v>
      </c>
      <c r="P716" s="140"/>
    </row>
    <row r="717" spans="1:20" customFormat="1" ht="15.5" x14ac:dyDescent="0.35">
      <c r="A717" s="594"/>
      <c r="B717" s="597" t="s">
        <v>1236</v>
      </c>
      <c r="C717" s="597"/>
      <c r="D717" s="92"/>
      <c r="E717" s="745">
        <v>52</v>
      </c>
      <c r="F717" s="371" t="s">
        <v>2213</v>
      </c>
      <c r="G717" s="371"/>
      <c r="H717" s="176">
        <v>55</v>
      </c>
      <c r="I717" s="12">
        <v>4609</v>
      </c>
      <c r="J717" s="176">
        <v>3601</v>
      </c>
      <c r="K717" s="176">
        <f t="shared" si="122"/>
        <v>42.971360381861572</v>
      </c>
      <c r="L717" s="176">
        <f t="shared" si="123"/>
        <v>97.971360381861572</v>
      </c>
      <c r="M717" s="12"/>
      <c r="N717" s="176">
        <f t="shared" si="124"/>
        <v>146.95704057279235</v>
      </c>
      <c r="O717" s="176">
        <v>150</v>
      </c>
      <c r="P717" s="325"/>
      <c r="S717" t="s">
        <v>12</v>
      </c>
      <c r="T717" s="6">
        <v>46100</v>
      </c>
    </row>
    <row r="718" spans="1:20" customFormat="1" ht="15.5" x14ac:dyDescent="0.35">
      <c r="A718" s="92"/>
      <c r="B718" s="597" t="s">
        <v>1236</v>
      </c>
      <c r="C718" s="597"/>
      <c r="D718" s="92"/>
      <c r="E718" s="745">
        <v>54</v>
      </c>
      <c r="F718" s="245" t="s">
        <v>2213</v>
      </c>
      <c r="G718" s="245"/>
      <c r="H718" s="173">
        <v>55</v>
      </c>
      <c r="I718">
        <v>4609</v>
      </c>
      <c r="J718" s="173">
        <v>3601</v>
      </c>
      <c r="K718" s="173">
        <f t="shared" si="122"/>
        <v>42.971360381861572</v>
      </c>
      <c r="L718" s="173">
        <f t="shared" si="123"/>
        <v>97.971360381861572</v>
      </c>
      <c r="N718" s="173">
        <f t="shared" si="124"/>
        <v>146.95704057279235</v>
      </c>
      <c r="O718" s="173">
        <v>150</v>
      </c>
      <c r="P718" s="140"/>
    </row>
    <row r="719" spans="1:20" customFormat="1" ht="15.5" x14ac:dyDescent="0.35">
      <c r="A719" s="594"/>
      <c r="B719" s="597" t="s">
        <v>1236</v>
      </c>
      <c r="C719" s="597"/>
      <c r="D719" s="92"/>
      <c r="E719" s="745">
        <v>56</v>
      </c>
      <c r="F719" s="371" t="s">
        <v>2213</v>
      </c>
      <c r="G719" s="371"/>
      <c r="H719" s="176">
        <v>55</v>
      </c>
      <c r="I719" s="12">
        <v>4609</v>
      </c>
      <c r="J719" s="176">
        <v>3601</v>
      </c>
      <c r="K719" s="176">
        <f t="shared" si="122"/>
        <v>42.971360381861572</v>
      </c>
      <c r="L719" s="176">
        <f t="shared" si="123"/>
        <v>97.971360381861572</v>
      </c>
      <c r="M719" s="12"/>
      <c r="N719" s="176">
        <f t="shared" si="124"/>
        <v>146.95704057279235</v>
      </c>
      <c r="O719" s="176">
        <v>150</v>
      </c>
      <c r="P719" s="325"/>
      <c r="S719" t="s">
        <v>2816</v>
      </c>
      <c r="T719" s="6">
        <v>46098</v>
      </c>
    </row>
    <row r="720" spans="1:20" customFormat="1" ht="15.5" x14ac:dyDescent="0.35">
      <c r="A720" s="594"/>
      <c r="B720" s="597" t="s">
        <v>1236</v>
      </c>
      <c r="C720" s="597"/>
      <c r="D720" s="92"/>
      <c r="E720" s="745">
        <v>58</v>
      </c>
      <c r="F720" s="371" t="s">
        <v>2213</v>
      </c>
      <c r="G720" s="371"/>
      <c r="H720" s="176">
        <v>55</v>
      </c>
      <c r="I720" s="12">
        <v>4609</v>
      </c>
      <c r="J720" s="176">
        <v>3601</v>
      </c>
      <c r="K720" s="176">
        <f t="shared" si="122"/>
        <v>42.971360381861572</v>
      </c>
      <c r="L720" s="176">
        <f t="shared" si="123"/>
        <v>97.971360381861572</v>
      </c>
      <c r="M720" s="12"/>
      <c r="N720" s="176">
        <f t="shared" si="124"/>
        <v>146.95704057279235</v>
      </c>
      <c r="O720" s="176">
        <v>150</v>
      </c>
      <c r="P720" s="325"/>
      <c r="S720" t="s">
        <v>12</v>
      </c>
      <c r="T720" s="6">
        <v>46053</v>
      </c>
    </row>
    <row r="721" spans="1:20" customFormat="1" ht="15.5" x14ac:dyDescent="0.35">
      <c r="A721" s="594"/>
      <c r="B721" s="597" t="s">
        <v>1232</v>
      </c>
      <c r="C721" s="597"/>
      <c r="D721" s="92"/>
      <c r="E721" s="745">
        <v>44</v>
      </c>
      <c r="F721" s="245" t="s">
        <v>2593</v>
      </c>
      <c r="G721" s="245"/>
      <c r="H721" s="173">
        <v>40</v>
      </c>
      <c r="I721">
        <v>4609</v>
      </c>
      <c r="J721" s="173">
        <v>3601</v>
      </c>
      <c r="K721" s="173">
        <f t="shared" si="122"/>
        <v>31.251898459535692</v>
      </c>
      <c r="L721" s="173">
        <f t="shared" si="123"/>
        <v>71.251898459535695</v>
      </c>
      <c r="N721" s="173">
        <f t="shared" si="124"/>
        <v>106.87784768930354</v>
      </c>
      <c r="O721" s="173">
        <v>125</v>
      </c>
      <c r="P721" s="325"/>
    </row>
    <row r="722" spans="1:20" customFormat="1" ht="15.5" x14ac:dyDescent="0.35">
      <c r="A722" s="594"/>
      <c r="B722" s="597" t="s">
        <v>1232</v>
      </c>
      <c r="C722" s="597"/>
      <c r="D722" s="92"/>
      <c r="E722" s="745">
        <v>46</v>
      </c>
      <c r="F722" s="371" t="s">
        <v>2593</v>
      </c>
      <c r="G722" s="371"/>
      <c r="H722" s="176">
        <v>40</v>
      </c>
      <c r="I722" s="12">
        <v>4609</v>
      </c>
      <c r="J722" s="176">
        <v>3601</v>
      </c>
      <c r="K722" s="176">
        <f t="shared" si="122"/>
        <v>31.251898459535692</v>
      </c>
      <c r="L722" s="176">
        <f t="shared" si="123"/>
        <v>71.251898459535695</v>
      </c>
      <c r="M722" s="12"/>
      <c r="N722" s="176">
        <f t="shared" si="124"/>
        <v>106.87784768930354</v>
      </c>
      <c r="O722" s="176">
        <v>125</v>
      </c>
      <c r="P722" s="325"/>
      <c r="S722" t="s">
        <v>12</v>
      </c>
      <c r="T722" s="6">
        <v>46112</v>
      </c>
    </row>
    <row r="723" spans="1:20" customFormat="1" ht="15.5" x14ac:dyDescent="0.35">
      <c r="A723" s="594"/>
      <c r="B723" s="597" t="s">
        <v>1232</v>
      </c>
      <c r="C723" s="597"/>
      <c r="D723" s="92"/>
      <c r="E723" s="745">
        <v>48</v>
      </c>
      <c r="F723" s="245" t="s">
        <v>2593</v>
      </c>
      <c r="G723" s="245"/>
      <c r="H723" s="173">
        <v>40</v>
      </c>
      <c r="I723">
        <v>4609</v>
      </c>
      <c r="J723" s="173">
        <v>3601</v>
      </c>
      <c r="K723" s="173">
        <f t="shared" si="122"/>
        <v>31.251898459535692</v>
      </c>
      <c r="L723" s="173">
        <f t="shared" si="123"/>
        <v>71.251898459535695</v>
      </c>
      <c r="N723" s="173">
        <f t="shared" si="124"/>
        <v>106.87784768930354</v>
      </c>
      <c r="O723" s="173">
        <v>125</v>
      </c>
      <c r="P723" s="325"/>
    </row>
    <row r="724" spans="1:20" customFormat="1" ht="15.5" x14ac:dyDescent="0.35">
      <c r="A724" s="594"/>
      <c r="B724" s="597" t="s">
        <v>1232</v>
      </c>
      <c r="C724" s="597"/>
      <c r="D724" s="92"/>
      <c r="E724" s="745">
        <v>50</v>
      </c>
      <c r="F724" s="371" t="s">
        <v>2593</v>
      </c>
      <c r="G724" s="371"/>
      <c r="H724" s="176">
        <v>40</v>
      </c>
      <c r="I724" s="12">
        <v>4609</v>
      </c>
      <c r="J724" s="176">
        <v>3601</v>
      </c>
      <c r="K724" s="176">
        <f t="shared" si="122"/>
        <v>31.251898459535692</v>
      </c>
      <c r="L724" s="176">
        <f t="shared" si="123"/>
        <v>71.251898459535695</v>
      </c>
      <c r="M724" s="12"/>
      <c r="N724" s="176">
        <f t="shared" si="124"/>
        <v>106.87784768930354</v>
      </c>
      <c r="O724" s="176">
        <v>125</v>
      </c>
      <c r="P724" s="325"/>
      <c r="S724" t="s">
        <v>12</v>
      </c>
      <c r="T724" s="6">
        <v>46108</v>
      </c>
    </row>
    <row r="725" spans="1:20" customFormat="1" ht="15.5" x14ac:dyDescent="0.35">
      <c r="A725" s="594"/>
      <c r="B725" s="597" t="s">
        <v>1104</v>
      </c>
      <c r="C725" s="597"/>
      <c r="D725" s="92"/>
      <c r="E725" s="745">
        <v>42</v>
      </c>
      <c r="F725" s="245" t="s">
        <v>2215</v>
      </c>
      <c r="G725" s="245"/>
      <c r="H725" s="173">
        <v>26</v>
      </c>
      <c r="I725">
        <v>4609</v>
      </c>
      <c r="J725" s="173">
        <v>3601</v>
      </c>
      <c r="K725" s="173">
        <f t="shared" si="122"/>
        <v>20.313733998698197</v>
      </c>
      <c r="L725" s="173">
        <f t="shared" si="123"/>
        <v>46.313733998698197</v>
      </c>
      <c r="N725" s="173">
        <f t="shared" si="124"/>
        <v>69.470600998047303</v>
      </c>
      <c r="O725" s="173">
        <v>90</v>
      </c>
      <c r="P725" s="325"/>
    </row>
    <row r="726" spans="1:20" customFormat="1" ht="15.5" x14ac:dyDescent="0.35">
      <c r="A726" s="594"/>
      <c r="B726" s="597" t="s">
        <v>1104</v>
      </c>
      <c r="C726" s="597"/>
      <c r="D726" s="92"/>
      <c r="E726" s="745">
        <v>44</v>
      </c>
      <c r="F726" s="245" t="s">
        <v>2215</v>
      </c>
      <c r="G726" s="245"/>
      <c r="H726" s="173">
        <v>26</v>
      </c>
      <c r="I726">
        <v>4609</v>
      </c>
      <c r="J726" s="173">
        <v>3601</v>
      </c>
      <c r="K726" s="173">
        <f t="shared" si="122"/>
        <v>20.313733998698197</v>
      </c>
      <c r="L726" s="173">
        <f t="shared" si="123"/>
        <v>46.313733998698197</v>
      </c>
      <c r="N726" s="173">
        <f t="shared" si="124"/>
        <v>69.470600998047303</v>
      </c>
      <c r="O726" s="173">
        <v>90</v>
      </c>
      <c r="P726" s="325"/>
    </row>
    <row r="727" spans="1:20" customFormat="1" ht="15.5" x14ac:dyDescent="0.35">
      <c r="A727" s="594"/>
      <c r="B727" s="597" t="s">
        <v>1104</v>
      </c>
      <c r="C727" s="597"/>
      <c r="D727" s="92"/>
      <c r="E727" s="745">
        <v>46</v>
      </c>
      <c r="F727" s="371" t="s">
        <v>2215</v>
      </c>
      <c r="G727" s="371"/>
      <c r="H727" s="176">
        <v>26</v>
      </c>
      <c r="I727" s="12">
        <v>4609</v>
      </c>
      <c r="J727" s="176">
        <v>3601</v>
      </c>
      <c r="K727" s="176">
        <f t="shared" si="122"/>
        <v>20.313733998698197</v>
      </c>
      <c r="L727" s="176">
        <f t="shared" si="123"/>
        <v>46.313733998698197</v>
      </c>
      <c r="M727" s="12"/>
      <c r="N727" s="176">
        <f t="shared" si="124"/>
        <v>69.470600998047303</v>
      </c>
      <c r="O727" s="176">
        <v>90</v>
      </c>
      <c r="P727" s="325"/>
      <c r="S727" t="s">
        <v>1464</v>
      </c>
      <c r="T727" s="6">
        <v>46097</v>
      </c>
    </row>
    <row r="728" spans="1:20" customFormat="1" ht="15.5" x14ac:dyDescent="0.35">
      <c r="A728" s="594"/>
      <c r="B728" s="597" t="s">
        <v>1104</v>
      </c>
      <c r="C728" s="597"/>
      <c r="D728" s="92"/>
      <c r="E728" s="745">
        <v>48</v>
      </c>
      <c r="F728" s="371" t="s">
        <v>2215</v>
      </c>
      <c r="G728" s="371"/>
      <c r="H728" s="176">
        <v>26</v>
      </c>
      <c r="I728" s="12">
        <v>4609</v>
      </c>
      <c r="J728" s="176">
        <v>3601</v>
      </c>
      <c r="K728" s="176">
        <f t="shared" si="122"/>
        <v>20.313733998698197</v>
      </c>
      <c r="L728" s="176">
        <f t="shared" si="123"/>
        <v>46.313733998698197</v>
      </c>
      <c r="M728" s="12"/>
      <c r="N728" s="176">
        <f t="shared" si="124"/>
        <v>69.470600998047303</v>
      </c>
      <c r="O728" s="176">
        <v>90</v>
      </c>
      <c r="P728" s="325"/>
      <c r="S728" t="s">
        <v>2810</v>
      </c>
      <c r="T728" s="6">
        <v>46098</v>
      </c>
    </row>
    <row r="729" spans="1:20" customFormat="1" ht="15.5" x14ac:dyDescent="0.35">
      <c r="A729" s="594"/>
      <c r="B729" s="597" t="s">
        <v>2318</v>
      </c>
      <c r="C729" s="597"/>
      <c r="D729" s="92"/>
      <c r="E729" s="745">
        <v>44</v>
      </c>
      <c r="F729" s="371" t="s">
        <v>2216</v>
      </c>
      <c r="G729" s="371"/>
      <c r="H729" s="176">
        <v>42</v>
      </c>
      <c r="I729" s="12">
        <v>4609</v>
      </c>
      <c r="J729" s="176">
        <v>3601</v>
      </c>
      <c r="K729" s="176">
        <f t="shared" si="122"/>
        <v>32.814493382512474</v>
      </c>
      <c r="L729" s="176">
        <f t="shared" si="123"/>
        <v>74.814493382512467</v>
      </c>
      <c r="M729" s="12"/>
      <c r="N729" s="176">
        <f t="shared" si="124"/>
        <v>112.2217400737687</v>
      </c>
      <c r="O729" s="176">
        <v>125</v>
      </c>
      <c r="P729" s="325"/>
      <c r="S729" t="s">
        <v>12</v>
      </c>
      <c r="T729" s="6">
        <v>46088</v>
      </c>
    </row>
    <row r="730" spans="1:20" customFormat="1" ht="15.5" x14ac:dyDescent="0.35">
      <c r="A730" s="594"/>
      <c r="B730" s="597" t="s">
        <v>2318</v>
      </c>
      <c r="C730" s="597"/>
      <c r="D730" s="92"/>
      <c r="E730" s="745">
        <v>46</v>
      </c>
      <c r="F730" s="371" t="s">
        <v>2216</v>
      </c>
      <c r="G730" s="371"/>
      <c r="H730" s="176">
        <v>42</v>
      </c>
      <c r="I730" s="12">
        <v>4609</v>
      </c>
      <c r="J730" s="176">
        <v>3601</v>
      </c>
      <c r="K730" s="176">
        <f t="shared" si="122"/>
        <v>32.814493382512474</v>
      </c>
      <c r="L730" s="176">
        <f t="shared" si="123"/>
        <v>74.814493382512467</v>
      </c>
      <c r="M730" s="12"/>
      <c r="N730" s="176">
        <f t="shared" si="124"/>
        <v>112.2217400737687</v>
      </c>
      <c r="O730" s="176">
        <v>125</v>
      </c>
      <c r="P730" s="325"/>
      <c r="S730" t="s">
        <v>12</v>
      </c>
      <c r="T730" s="6">
        <v>46136</v>
      </c>
    </row>
    <row r="731" spans="1:20" customFormat="1" ht="15.5" x14ac:dyDescent="0.35">
      <c r="A731" s="594"/>
      <c r="B731" s="597" t="s">
        <v>2318</v>
      </c>
      <c r="C731" s="597"/>
      <c r="D731" s="92"/>
      <c r="E731" s="745">
        <v>48</v>
      </c>
      <c r="F731" s="245" t="s">
        <v>2216</v>
      </c>
      <c r="G731" s="245"/>
      <c r="H731" s="173">
        <v>42</v>
      </c>
      <c r="I731">
        <v>4609</v>
      </c>
      <c r="J731" s="173">
        <v>3601</v>
      </c>
      <c r="K731" s="173">
        <f t="shared" si="122"/>
        <v>32.814493382512474</v>
      </c>
      <c r="L731" s="173">
        <f t="shared" si="123"/>
        <v>74.814493382512467</v>
      </c>
      <c r="N731" s="173">
        <f t="shared" si="124"/>
        <v>112.2217400737687</v>
      </c>
      <c r="O731" s="173">
        <v>125</v>
      </c>
      <c r="P731" s="325"/>
    </row>
    <row r="732" spans="1:20" customFormat="1" ht="15.5" x14ac:dyDescent="0.35">
      <c r="A732" s="594"/>
      <c r="B732" s="597" t="s">
        <v>2318</v>
      </c>
      <c r="C732" s="597"/>
      <c r="D732" s="92"/>
      <c r="E732" s="745">
        <v>50</v>
      </c>
      <c r="F732" s="245" t="s">
        <v>2216</v>
      </c>
      <c r="G732" s="245"/>
      <c r="H732" s="173">
        <v>42</v>
      </c>
      <c r="I732">
        <v>4609</v>
      </c>
      <c r="J732" s="173">
        <v>3601</v>
      </c>
      <c r="K732" s="173">
        <f t="shared" si="122"/>
        <v>32.814493382512474</v>
      </c>
      <c r="L732" s="173">
        <f t="shared" si="123"/>
        <v>74.814493382512467</v>
      </c>
      <c r="N732" s="173">
        <f t="shared" si="124"/>
        <v>112.2217400737687</v>
      </c>
      <c r="O732" s="173">
        <v>125</v>
      </c>
      <c r="P732" s="325"/>
    </row>
    <row r="733" spans="1:20" customFormat="1" ht="15.5" x14ac:dyDescent="0.35">
      <c r="A733" s="3"/>
      <c r="B733" s="233" t="s">
        <v>616</v>
      </c>
      <c r="C733" s="233"/>
      <c r="E733" s="366">
        <v>46</v>
      </c>
      <c r="F733" s="371" t="s">
        <v>2217</v>
      </c>
      <c r="G733" s="371"/>
      <c r="H733" s="176">
        <v>20</v>
      </c>
      <c r="I733" s="12">
        <v>4609</v>
      </c>
      <c r="J733" s="176">
        <v>3601</v>
      </c>
      <c r="K733" s="176">
        <f t="shared" si="122"/>
        <v>15.625949229767846</v>
      </c>
      <c r="L733" s="176">
        <f t="shared" si="123"/>
        <v>35.625949229767848</v>
      </c>
      <c r="M733" s="12"/>
      <c r="N733" s="176">
        <f t="shared" si="124"/>
        <v>53.438923844651768</v>
      </c>
      <c r="O733" s="176">
        <v>80</v>
      </c>
      <c r="P733" s="325"/>
      <c r="S733" t="s">
        <v>1820</v>
      </c>
      <c r="T733" t="s">
        <v>2347</v>
      </c>
    </row>
    <row r="734" spans="1:20" customFormat="1" ht="15.5" x14ac:dyDescent="0.35">
      <c r="A734" s="594"/>
      <c r="B734" s="597" t="s">
        <v>616</v>
      </c>
      <c r="C734" s="597"/>
      <c r="D734" s="92"/>
      <c r="E734" s="745">
        <v>48</v>
      </c>
      <c r="F734" s="245" t="s">
        <v>2217</v>
      </c>
      <c r="G734" s="245"/>
      <c r="H734" s="173">
        <v>20</v>
      </c>
      <c r="I734">
        <v>4609</v>
      </c>
      <c r="J734" s="173">
        <v>3601</v>
      </c>
      <c r="K734" s="173">
        <f t="shared" si="122"/>
        <v>15.625949229767846</v>
      </c>
      <c r="L734" s="173">
        <f t="shared" si="123"/>
        <v>35.625949229767848</v>
      </c>
      <c r="N734" s="173">
        <f t="shared" si="124"/>
        <v>53.438923844651768</v>
      </c>
      <c r="O734" s="173">
        <v>80</v>
      </c>
      <c r="P734" s="325"/>
    </row>
    <row r="735" spans="1:20" customFormat="1" ht="15.5" x14ac:dyDescent="0.35">
      <c r="A735" s="594"/>
      <c r="B735" s="597" t="s">
        <v>616</v>
      </c>
      <c r="C735" s="597"/>
      <c r="D735" s="92"/>
      <c r="E735" s="745">
        <v>50</v>
      </c>
      <c r="F735" s="245" t="s">
        <v>2217</v>
      </c>
      <c r="G735" s="245"/>
      <c r="H735" s="173">
        <v>20</v>
      </c>
      <c r="I735">
        <v>4609</v>
      </c>
      <c r="J735" s="173">
        <v>3601</v>
      </c>
      <c r="K735" s="173">
        <f t="shared" si="122"/>
        <v>15.625949229767846</v>
      </c>
      <c r="L735" s="173">
        <f t="shared" si="123"/>
        <v>35.625949229767848</v>
      </c>
      <c r="N735" s="173">
        <f t="shared" si="124"/>
        <v>53.438923844651768</v>
      </c>
      <c r="O735" s="173">
        <v>80</v>
      </c>
      <c r="P735" s="325"/>
    </row>
    <row r="736" spans="1:20" customFormat="1" ht="15.5" x14ac:dyDescent="0.35">
      <c r="A736" s="594"/>
      <c r="B736" s="597" t="s">
        <v>616</v>
      </c>
      <c r="C736" s="597"/>
      <c r="D736" s="92"/>
      <c r="E736" s="745">
        <v>52</v>
      </c>
      <c r="F736" s="371" t="s">
        <v>2217</v>
      </c>
      <c r="G736" s="371"/>
      <c r="H736" s="176">
        <v>20</v>
      </c>
      <c r="I736" s="12">
        <v>4609</v>
      </c>
      <c r="J736" s="176">
        <v>3601</v>
      </c>
      <c r="K736" s="176">
        <f t="shared" si="122"/>
        <v>15.625949229767846</v>
      </c>
      <c r="L736" s="176">
        <f t="shared" si="123"/>
        <v>35.625949229767848</v>
      </c>
      <c r="M736" s="12"/>
      <c r="N736" s="176">
        <f t="shared" si="124"/>
        <v>53.438923844651768</v>
      </c>
      <c r="O736" s="176">
        <v>80</v>
      </c>
      <c r="P736" s="325"/>
      <c r="S736" t="s">
        <v>1076</v>
      </c>
      <c r="T736" s="6">
        <v>46101</v>
      </c>
    </row>
    <row r="737" spans="1:21" customFormat="1" ht="15.5" x14ac:dyDescent="0.35">
      <c r="A737" s="594"/>
      <c r="B737" s="597" t="s">
        <v>616</v>
      </c>
      <c r="C737" s="597"/>
      <c r="D737" s="92"/>
      <c r="E737" s="745">
        <v>54</v>
      </c>
      <c r="F737" s="371" t="s">
        <v>2217</v>
      </c>
      <c r="G737" s="371"/>
      <c r="H737" s="176">
        <v>20</v>
      </c>
      <c r="I737" s="12">
        <v>4609</v>
      </c>
      <c r="J737" s="176">
        <v>3601</v>
      </c>
      <c r="K737" s="176">
        <f t="shared" si="122"/>
        <v>15.625949229767846</v>
      </c>
      <c r="L737" s="176">
        <f t="shared" si="123"/>
        <v>35.625949229767848</v>
      </c>
      <c r="M737" s="12"/>
      <c r="N737" s="176">
        <f t="shared" si="124"/>
        <v>53.438923844651768</v>
      </c>
      <c r="O737" s="176">
        <v>80</v>
      </c>
      <c r="P737" s="325"/>
      <c r="S737" t="s">
        <v>12</v>
      </c>
      <c r="T737" s="6">
        <v>46088</v>
      </c>
    </row>
    <row r="738" spans="1:21" customFormat="1" ht="15.5" x14ac:dyDescent="0.35">
      <c r="A738" s="594"/>
      <c r="B738" s="597" t="s">
        <v>1028</v>
      </c>
      <c r="C738" s="597"/>
      <c r="D738" s="92"/>
      <c r="E738" s="745">
        <v>42</v>
      </c>
      <c r="F738" s="371" t="s">
        <v>2218</v>
      </c>
      <c r="G738" s="371"/>
      <c r="H738" s="176">
        <v>18</v>
      </c>
      <c r="I738" s="12">
        <v>4609</v>
      </c>
      <c r="J738" s="176">
        <v>3601</v>
      </c>
      <c r="K738" s="176">
        <f t="shared" si="122"/>
        <v>14.06335430679106</v>
      </c>
      <c r="L738" s="176">
        <f t="shared" si="123"/>
        <v>32.063354306791062</v>
      </c>
      <c r="M738" s="12"/>
      <c r="N738" s="176">
        <f t="shared" si="124"/>
        <v>48.09503146018659</v>
      </c>
      <c r="O738" s="176">
        <v>75</v>
      </c>
      <c r="P738" s="325"/>
      <c r="S738" t="s">
        <v>998</v>
      </c>
      <c r="T738" s="6">
        <v>46080</v>
      </c>
    </row>
    <row r="739" spans="1:21" customFormat="1" ht="15.5" x14ac:dyDescent="0.35">
      <c r="A739" s="3"/>
      <c r="B739" s="233" t="s">
        <v>1028</v>
      </c>
      <c r="C739" s="233"/>
      <c r="E739" s="366">
        <v>44</v>
      </c>
      <c r="F739" s="371" t="s">
        <v>2218</v>
      </c>
      <c r="G739" s="371"/>
      <c r="H739" s="176">
        <v>18</v>
      </c>
      <c r="I739" s="12">
        <v>4609</v>
      </c>
      <c r="J739" s="176">
        <v>3601</v>
      </c>
      <c r="K739" s="176">
        <f t="shared" si="122"/>
        <v>14.06335430679106</v>
      </c>
      <c r="L739" s="176">
        <f t="shared" si="123"/>
        <v>32.063354306791062</v>
      </c>
      <c r="M739" s="12"/>
      <c r="N739" s="176">
        <f t="shared" si="124"/>
        <v>48.09503146018659</v>
      </c>
      <c r="O739" s="176">
        <v>75</v>
      </c>
      <c r="P739" s="325"/>
      <c r="S739" t="s">
        <v>2573</v>
      </c>
      <c r="T739" s="6">
        <v>46072</v>
      </c>
    </row>
    <row r="740" spans="1:21" customFormat="1" ht="15.5" x14ac:dyDescent="0.35">
      <c r="A740" s="3"/>
      <c r="B740" s="233" t="s">
        <v>1028</v>
      </c>
      <c r="C740" s="233"/>
      <c r="E740" s="366">
        <v>46</v>
      </c>
      <c r="F740" s="371" t="s">
        <v>2218</v>
      </c>
      <c r="G740" s="371"/>
      <c r="H740" s="176">
        <v>18</v>
      </c>
      <c r="I740" s="12">
        <v>4609</v>
      </c>
      <c r="J740" s="176">
        <v>3601</v>
      </c>
      <c r="K740" s="176">
        <f t="shared" si="122"/>
        <v>14.06335430679106</v>
      </c>
      <c r="L740" s="176">
        <f t="shared" si="123"/>
        <v>32.063354306791062</v>
      </c>
      <c r="M740" s="12"/>
      <c r="N740" s="176">
        <f t="shared" si="124"/>
        <v>48.09503146018659</v>
      </c>
      <c r="O740" s="176">
        <v>75</v>
      </c>
      <c r="P740" s="325"/>
      <c r="S740" t="s">
        <v>2500</v>
      </c>
      <c r="T740" s="6">
        <v>46064</v>
      </c>
    </row>
    <row r="741" spans="1:21" ht="15" customHeight="1" outlineLevel="1" x14ac:dyDescent="0.35">
      <c r="C741" s="11" t="s">
        <v>2587</v>
      </c>
      <c r="D741" s="57"/>
      <c r="E741" s="10"/>
      <c r="H741" s="141"/>
      <c r="I741" s="141"/>
      <c r="J741" s="141"/>
      <c r="K741" s="141"/>
      <c r="L741" s="141"/>
      <c r="M741" s="141"/>
      <c r="N741" s="141"/>
      <c r="O741" s="141"/>
      <c r="P741" s="474"/>
      <c r="U741" s="138"/>
    </row>
    <row r="742" spans="1:21" customFormat="1" ht="15.5" x14ac:dyDescent="0.35">
      <c r="A742" s="3"/>
      <c r="B742" s="597" t="s">
        <v>2588</v>
      </c>
      <c r="C742" s="597" t="s">
        <v>1432</v>
      </c>
      <c r="D742" s="92"/>
      <c r="E742" s="745">
        <v>1</v>
      </c>
      <c r="F742" s="371" t="s">
        <v>2589</v>
      </c>
      <c r="G742" s="371"/>
      <c r="H742" s="176">
        <v>40</v>
      </c>
      <c r="I742" s="12"/>
      <c r="J742" s="176"/>
      <c r="K742" s="176"/>
      <c r="L742" s="176"/>
      <c r="M742" s="12"/>
      <c r="N742" s="176"/>
      <c r="O742" s="176">
        <v>150</v>
      </c>
      <c r="P742" s="325"/>
      <c r="S742" t="s">
        <v>12</v>
      </c>
      <c r="T742" s="6">
        <v>46104</v>
      </c>
    </row>
    <row r="743" spans="1:21" customFormat="1" ht="15.5" x14ac:dyDescent="0.35">
      <c r="A743" s="3"/>
      <c r="B743" s="597" t="s">
        <v>2588</v>
      </c>
      <c r="C743" s="597" t="s">
        <v>1432</v>
      </c>
      <c r="D743" s="92"/>
      <c r="E743" s="745">
        <v>2</v>
      </c>
      <c r="F743" s="371" t="s">
        <v>2589</v>
      </c>
      <c r="G743" s="371"/>
      <c r="H743" s="176">
        <v>40</v>
      </c>
      <c r="I743" s="12"/>
      <c r="J743" s="176"/>
      <c r="K743" s="176"/>
      <c r="L743" s="176"/>
      <c r="M743" s="12"/>
      <c r="N743" s="176"/>
      <c r="O743" s="176">
        <v>150</v>
      </c>
      <c r="P743" s="325"/>
      <c r="S743" t="s">
        <v>12</v>
      </c>
      <c r="T743" s="6">
        <v>46101</v>
      </c>
    </row>
    <row r="744" spans="1:21" customFormat="1" ht="15.5" x14ac:dyDescent="0.35">
      <c r="A744" s="3"/>
      <c r="B744" s="597" t="s">
        <v>2588</v>
      </c>
      <c r="C744" s="597" t="s">
        <v>1432</v>
      </c>
      <c r="D744" s="92"/>
      <c r="E744" s="745">
        <v>3</v>
      </c>
      <c r="F744" s="371" t="s">
        <v>2589</v>
      </c>
      <c r="G744" s="371"/>
      <c r="H744" s="176">
        <v>40</v>
      </c>
      <c r="I744" s="12"/>
      <c r="J744" s="176"/>
      <c r="K744" s="176"/>
      <c r="L744" s="176"/>
      <c r="M744" s="12"/>
      <c r="N744" s="176"/>
      <c r="O744" s="176">
        <v>150</v>
      </c>
      <c r="P744" s="325"/>
      <c r="S744" t="s">
        <v>12</v>
      </c>
      <c r="T744" s="6">
        <v>46101</v>
      </c>
    </row>
    <row r="745" spans="1:21" customFormat="1" ht="15.5" x14ac:dyDescent="0.35">
      <c r="A745" s="3"/>
      <c r="B745" s="233" t="s">
        <v>2588</v>
      </c>
      <c r="C745" s="597" t="s">
        <v>1432</v>
      </c>
      <c r="D745" s="92"/>
      <c r="E745" s="745">
        <v>4</v>
      </c>
      <c r="F745" s="371" t="s">
        <v>2589</v>
      </c>
      <c r="G745" s="371"/>
      <c r="H745" s="176">
        <v>40</v>
      </c>
      <c r="I745" s="12"/>
      <c r="J745" s="176"/>
      <c r="K745" s="176"/>
      <c r="L745" s="176"/>
      <c r="M745" s="12"/>
      <c r="N745" s="176"/>
      <c r="O745" s="176">
        <v>150</v>
      </c>
      <c r="P745" s="325"/>
      <c r="S745" t="s">
        <v>12</v>
      </c>
      <c r="T745" s="6">
        <v>46091</v>
      </c>
    </row>
    <row r="746" spans="1:21" customFormat="1" ht="15.5" x14ac:dyDescent="0.35">
      <c r="A746" s="3"/>
      <c r="B746" s="365">
        <v>45717</v>
      </c>
      <c r="C746" s="233"/>
      <c r="E746" s="366"/>
      <c r="F746" s="245"/>
      <c r="G746" s="245"/>
      <c r="H746" s="173"/>
      <c r="J746" s="173"/>
      <c r="K746" s="173"/>
      <c r="L746" s="173"/>
      <c r="N746" s="173"/>
      <c r="O746" s="173"/>
      <c r="P746" s="325"/>
    </row>
    <row r="747" spans="1:21" customFormat="1" ht="15.5" x14ac:dyDescent="0.35">
      <c r="A747" s="3"/>
      <c r="B747" s="233" t="s">
        <v>231</v>
      </c>
      <c r="C747" s="233" t="s">
        <v>260</v>
      </c>
      <c r="E747" s="366">
        <v>50</v>
      </c>
      <c r="F747" s="245" t="s">
        <v>2698</v>
      </c>
      <c r="G747" s="245"/>
      <c r="H747" s="173">
        <v>47</v>
      </c>
      <c r="I747">
        <v>1167</v>
      </c>
      <c r="J747" s="173">
        <f>+(112+237+12)*1.045</f>
        <v>377.24499999999995</v>
      </c>
      <c r="K747" s="173">
        <f t="shared" ref="K747:K758" si="125">+H747/I747*J747</f>
        <v>15.193243359040272</v>
      </c>
      <c r="L747" s="173">
        <f t="shared" ref="L747:L758" si="126">+H747+K747</f>
        <v>62.193243359040274</v>
      </c>
      <c r="N747" s="173">
        <v>100</v>
      </c>
      <c r="O747" s="173">
        <v>125</v>
      </c>
      <c r="P747" s="325"/>
    </row>
    <row r="748" spans="1:21" customFormat="1" ht="15.5" x14ac:dyDescent="0.35">
      <c r="A748" s="3"/>
      <c r="B748" s="233" t="s">
        <v>231</v>
      </c>
      <c r="C748" s="233" t="s">
        <v>260</v>
      </c>
      <c r="E748" s="366">
        <v>52</v>
      </c>
      <c r="F748" s="245" t="s">
        <v>2698</v>
      </c>
      <c r="G748" s="245"/>
      <c r="H748" s="173">
        <v>47</v>
      </c>
      <c r="I748">
        <v>1167</v>
      </c>
      <c r="J748" s="173">
        <f t="shared" ref="J748:J758" si="127">+(112+237+12)*1.045</f>
        <v>377.24499999999995</v>
      </c>
      <c r="K748" s="173">
        <f t="shared" si="125"/>
        <v>15.193243359040272</v>
      </c>
      <c r="L748" s="173">
        <f t="shared" si="126"/>
        <v>62.193243359040274</v>
      </c>
      <c r="N748" s="173">
        <v>100</v>
      </c>
      <c r="O748" s="173">
        <v>125</v>
      </c>
      <c r="P748" s="325"/>
    </row>
    <row r="749" spans="1:21" customFormat="1" ht="15.5" x14ac:dyDescent="0.35">
      <c r="A749" s="3"/>
      <c r="B749" s="233" t="s">
        <v>231</v>
      </c>
      <c r="C749" s="233" t="s">
        <v>260</v>
      </c>
      <c r="E749" s="366">
        <v>54</v>
      </c>
      <c r="F749" s="245" t="s">
        <v>2698</v>
      </c>
      <c r="G749" s="245"/>
      <c r="H749" s="173">
        <v>47</v>
      </c>
      <c r="I749">
        <v>1167</v>
      </c>
      <c r="J749" s="173">
        <f t="shared" si="127"/>
        <v>377.24499999999995</v>
      </c>
      <c r="K749" s="173">
        <f t="shared" si="125"/>
        <v>15.193243359040272</v>
      </c>
      <c r="L749" s="173">
        <f t="shared" si="126"/>
        <v>62.193243359040274</v>
      </c>
      <c r="N749" s="173">
        <v>100</v>
      </c>
      <c r="O749" s="173">
        <v>125</v>
      </c>
      <c r="P749" s="325"/>
    </row>
    <row r="750" spans="1:21" customFormat="1" ht="15.5" x14ac:dyDescent="0.35">
      <c r="A750" s="3"/>
      <c r="B750" s="233" t="s">
        <v>231</v>
      </c>
      <c r="C750" s="233" t="s">
        <v>260</v>
      </c>
      <c r="E750" s="366">
        <v>56</v>
      </c>
      <c r="F750" s="245" t="s">
        <v>2698</v>
      </c>
      <c r="G750" s="245"/>
      <c r="H750" s="173">
        <v>47</v>
      </c>
      <c r="I750">
        <v>1167</v>
      </c>
      <c r="J750" s="173">
        <f t="shared" si="127"/>
        <v>377.24499999999995</v>
      </c>
      <c r="K750" s="173">
        <f t="shared" si="125"/>
        <v>15.193243359040272</v>
      </c>
      <c r="L750" s="173">
        <f t="shared" si="126"/>
        <v>62.193243359040274</v>
      </c>
      <c r="N750" s="173">
        <v>100</v>
      </c>
      <c r="O750" s="173">
        <v>125</v>
      </c>
      <c r="P750" s="325"/>
    </row>
    <row r="751" spans="1:21" customFormat="1" ht="15.5" x14ac:dyDescent="0.35">
      <c r="A751" s="3"/>
      <c r="B751" s="233" t="s">
        <v>231</v>
      </c>
      <c r="C751" s="233" t="s">
        <v>194</v>
      </c>
      <c r="E751" s="366">
        <v>42</v>
      </c>
      <c r="F751" s="245" t="s">
        <v>2699</v>
      </c>
      <c r="G751" s="245"/>
      <c r="H751" s="173">
        <v>56</v>
      </c>
      <c r="I751">
        <v>1167</v>
      </c>
      <c r="J751" s="173">
        <f t="shared" si="127"/>
        <v>377.24499999999995</v>
      </c>
      <c r="K751" s="173">
        <f t="shared" si="125"/>
        <v>18.102587832047984</v>
      </c>
      <c r="L751" s="173">
        <f t="shared" si="126"/>
        <v>74.102587832047988</v>
      </c>
      <c r="N751" s="173">
        <v>110</v>
      </c>
      <c r="O751" s="173">
        <v>125</v>
      </c>
      <c r="P751" s="325"/>
    </row>
    <row r="752" spans="1:21" customFormat="1" ht="15.5" x14ac:dyDescent="0.35">
      <c r="A752" s="3"/>
      <c r="B752" s="233" t="s">
        <v>231</v>
      </c>
      <c r="C752" s="233" t="s">
        <v>194</v>
      </c>
      <c r="E752" s="366">
        <v>44</v>
      </c>
      <c r="F752" s="245" t="s">
        <v>2699</v>
      </c>
      <c r="G752" s="245"/>
      <c r="H752" s="173">
        <v>56</v>
      </c>
      <c r="I752">
        <v>1167</v>
      </c>
      <c r="J752" s="173">
        <f t="shared" si="127"/>
        <v>377.24499999999995</v>
      </c>
      <c r="K752" s="173">
        <f t="shared" si="125"/>
        <v>18.102587832047984</v>
      </c>
      <c r="L752" s="173">
        <f t="shared" si="126"/>
        <v>74.102587832047988</v>
      </c>
      <c r="N752" s="173">
        <v>110</v>
      </c>
      <c r="O752" s="173">
        <v>125</v>
      </c>
      <c r="P752" s="325"/>
    </row>
    <row r="753" spans="1:20" customFormat="1" ht="15.5" x14ac:dyDescent="0.35">
      <c r="A753" s="3"/>
      <c r="B753" s="233" t="s">
        <v>231</v>
      </c>
      <c r="C753" s="233" t="s">
        <v>194</v>
      </c>
      <c r="E753" s="366">
        <v>46</v>
      </c>
      <c r="F753" s="245" t="s">
        <v>2699</v>
      </c>
      <c r="G753" s="245"/>
      <c r="H753" s="173">
        <v>56</v>
      </c>
      <c r="I753">
        <v>1167</v>
      </c>
      <c r="J753" s="173">
        <f t="shared" si="127"/>
        <v>377.24499999999995</v>
      </c>
      <c r="K753" s="173">
        <f t="shared" si="125"/>
        <v>18.102587832047984</v>
      </c>
      <c r="L753" s="173">
        <f t="shared" si="126"/>
        <v>74.102587832047988</v>
      </c>
      <c r="N753" s="173">
        <v>110</v>
      </c>
      <c r="O753" s="173">
        <v>125</v>
      </c>
      <c r="P753" s="325"/>
    </row>
    <row r="754" spans="1:20" customFormat="1" ht="15.5" x14ac:dyDescent="0.35">
      <c r="A754" s="3"/>
      <c r="B754" s="233" t="s">
        <v>231</v>
      </c>
      <c r="C754" s="233" t="s">
        <v>194</v>
      </c>
      <c r="E754" s="366">
        <v>48</v>
      </c>
      <c r="F754" s="245" t="s">
        <v>2699</v>
      </c>
      <c r="G754" s="245"/>
      <c r="H754" s="173">
        <v>56</v>
      </c>
      <c r="I754">
        <v>1167</v>
      </c>
      <c r="J754" s="173">
        <f t="shared" si="127"/>
        <v>377.24499999999995</v>
      </c>
      <c r="K754" s="173">
        <f t="shared" si="125"/>
        <v>18.102587832047984</v>
      </c>
      <c r="L754" s="173">
        <f t="shared" si="126"/>
        <v>74.102587832047988</v>
      </c>
      <c r="N754" s="173">
        <v>110</v>
      </c>
      <c r="O754" s="173">
        <v>125</v>
      </c>
      <c r="P754" s="325"/>
    </row>
    <row r="755" spans="1:20" customFormat="1" ht="15.5" hidden="1" x14ac:dyDescent="0.35">
      <c r="A755" s="3"/>
      <c r="B755" s="596" t="s">
        <v>2700</v>
      </c>
      <c r="C755" s="596" t="s">
        <v>2701</v>
      </c>
      <c r="D755" s="12"/>
      <c r="E755" s="786">
        <v>42</v>
      </c>
      <c r="F755" s="371" t="s">
        <v>2704</v>
      </c>
      <c r="G755" s="371"/>
      <c r="H755" s="176">
        <v>35</v>
      </c>
      <c r="I755" s="12">
        <v>1167</v>
      </c>
      <c r="J755" s="176">
        <f t="shared" si="127"/>
        <v>377.24499999999995</v>
      </c>
      <c r="K755" s="176">
        <f t="shared" si="125"/>
        <v>11.314117395029989</v>
      </c>
      <c r="L755" s="176">
        <f t="shared" si="126"/>
        <v>46.314117395029989</v>
      </c>
      <c r="M755" s="12"/>
      <c r="N755" s="176">
        <v>80</v>
      </c>
      <c r="O755" s="176">
        <v>110</v>
      </c>
      <c r="P755" s="325"/>
      <c r="S755" t="s">
        <v>2752</v>
      </c>
      <c r="T755" s="6">
        <v>46087</v>
      </c>
    </row>
    <row r="756" spans="1:20" customFormat="1" ht="15.5" hidden="1" x14ac:dyDescent="0.35">
      <c r="A756" s="3"/>
      <c r="B756" s="596" t="s">
        <v>2700</v>
      </c>
      <c r="C756" s="596" t="s">
        <v>2701</v>
      </c>
      <c r="D756" s="12"/>
      <c r="E756" s="786">
        <v>44</v>
      </c>
      <c r="F756" s="371" t="s">
        <v>2704</v>
      </c>
      <c r="G756" s="371"/>
      <c r="H756" s="176">
        <v>35</v>
      </c>
      <c r="I756" s="12">
        <v>1167</v>
      </c>
      <c r="J756" s="176">
        <f t="shared" si="127"/>
        <v>377.24499999999995</v>
      </c>
      <c r="K756" s="176">
        <f t="shared" si="125"/>
        <v>11.314117395029989</v>
      </c>
      <c r="L756" s="176">
        <f t="shared" si="126"/>
        <v>46.314117395029989</v>
      </c>
      <c r="M756" s="12"/>
      <c r="N756" s="176">
        <v>80</v>
      </c>
      <c r="O756" s="176">
        <v>110</v>
      </c>
      <c r="P756" s="325"/>
      <c r="S756" t="s">
        <v>2753</v>
      </c>
      <c r="T756" s="6">
        <v>46088</v>
      </c>
    </row>
    <row r="757" spans="1:20" customFormat="1" ht="15.5" hidden="1" x14ac:dyDescent="0.35">
      <c r="A757" s="3"/>
      <c r="B757" s="596" t="s">
        <v>2700</v>
      </c>
      <c r="C757" s="596" t="s">
        <v>2701</v>
      </c>
      <c r="D757" s="12"/>
      <c r="E757" s="786">
        <v>46</v>
      </c>
      <c r="F757" s="371" t="s">
        <v>2704</v>
      </c>
      <c r="G757" s="371"/>
      <c r="H757" s="176">
        <v>35</v>
      </c>
      <c r="I757" s="12">
        <v>1167</v>
      </c>
      <c r="J757" s="176">
        <f t="shared" si="127"/>
        <v>377.24499999999995</v>
      </c>
      <c r="K757" s="176">
        <f t="shared" si="125"/>
        <v>11.314117395029989</v>
      </c>
      <c r="L757" s="176">
        <f t="shared" si="126"/>
        <v>46.314117395029989</v>
      </c>
      <c r="M757" s="12"/>
      <c r="N757" s="176">
        <v>80</v>
      </c>
      <c r="O757" s="176">
        <v>110</v>
      </c>
      <c r="P757" s="325"/>
      <c r="S757" t="s">
        <v>1075</v>
      </c>
      <c r="T757" s="6">
        <v>46088</v>
      </c>
    </row>
    <row r="758" spans="1:20" customFormat="1" ht="15.5" hidden="1" x14ac:dyDescent="0.35">
      <c r="A758" s="3"/>
      <c r="B758" s="596" t="s">
        <v>2700</v>
      </c>
      <c r="C758" s="596" t="s">
        <v>2701</v>
      </c>
      <c r="D758" s="12"/>
      <c r="E758" s="786">
        <v>48</v>
      </c>
      <c r="F758" s="371" t="s">
        <v>2704</v>
      </c>
      <c r="G758" s="371"/>
      <c r="H758" s="176">
        <v>35</v>
      </c>
      <c r="I758" s="12">
        <v>1167</v>
      </c>
      <c r="J758" s="176">
        <f t="shared" si="127"/>
        <v>377.24499999999995</v>
      </c>
      <c r="K758" s="176">
        <f t="shared" si="125"/>
        <v>11.314117395029989</v>
      </c>
      <c r="L758" s="176">
        <f t="shared" si="126"/>
        <v>46.314117395029989</v>
      </c>
      <c r="M758" s="12"/>
      <c r="N758" s="176">
        <v>80</v>
      </c>
      <c r="O758" s="176">
        <v>110</v>
      </c>
      <c r="P758" s="325"/>
      <c r="S758" t="s">
        <v>12</v>
      </c>
      <c r="T758" s="6">
        <v>46088</v>
      </c>
    </row>
    <row r="759" spans="1:20" customFormat="1" ht="14.5" x14ac:dyDescent="0.35">
      <c r="A759" s="3"/>
      <c r="B759" s="233"/>
      <c r="C759" s="232" t="s">
        <v>2769</v>
      </c>
      <c r="E759" s="366"/>
      <c r="F759" s="245"/>
      <c r="G759" s="245"/>
      <c r="H759" s="173"/>
      <c r="J759" s="173"/>
      <c r="K759" s="173"/>
      <c r="L759" s="173"/>
      <c r="N759" s="173"/>
      <c r="O759" s="173"/>
      <c r="P759" s="344"/>
    </row>
    <row r="760" spans="1:20" customFormat="1" ht="14.5" x14ac:dyDescent="0.35">
      <c r="A760" s="3"/>
      <c r="B760" s="233" t="s">
        <v>2770</v>
      </c>
      <c r="C760" s="233" t="s">
        <v>2771</v>
      </c>
      <c r="E760" s="366">
        <v>42</v>
      </c>
      <c r="F760" s="245" t="s">
        <v>2772</v>
      </c>
      <c r="G760" s="245"/>
      <c r="H760" s="173">
        <v>18</v>
      </c>
      <c r="I760">
        <v>110</v>
      </c>
      <c r="J760" s="173">
        <v>50</v>
      </c>
      <c r="K760" s="173">
        <f t="shared" ref="K760:K769" si="128">+H760/I760*J760</f>
        <v>8.1818181818181817</v>
      </c>
      <c r="L760" s="173">
        <f t="shared" ref="L760:L769" si="129">+H760+K760</f>
        <v>26.18181818181818</v>
      </c>
      <c r="N760" s="173">
        <f t="shared" ref="N760:N765" si="130">+L760*1.5</f>
        <v>39.272727272727266</v>
      </c>
      <c r="O760" s="173">
        <v>75</v>
      </c>
      <c r="P760" s="344">
        <v>75</v>
      </c>
    </row>
    <row r="761" spans="1:20" customFormat="1" ht="14.5" x14ac:dyDescent="0.35">
      <c r="A761" s="3"/>
      <c r="B761" s="233" t="s">
        <v>2770</v>
      </c>
      <c r="C761" s="233" t="s">
        <v>2771</v>
      </c>
      <c r="E761" s="366">
        <v>44</v>
      </c>
      <c r="F761" s="245" t="s">
        <v>2772</v>
      </c>
      <c r="G761" s="245"/>
      <c r="H761" s="173">
        <v>18</v>
      </c>
      <c r="I761">
        <v>110</v>
      </c>
      <c r="J761" s="173">
        <v>50</v>
      </c>
      <c r="K761" s="173">
        <f t="shared" si="128"/>
        <v>8.1818181818181817</v>
      </c>
      <c r="L761" s="173">
        <f t="shared" si="129"/>
        <v>26.18181818181818</v>
      </c>
      <c r="N761" s="173">
        <f t="shared" si="130"/>
        <v>39.272727272727266</v>
      </c>
      <c r="O761" s="173">
        <v>75</v>
      </c>
      <c r="P761" s="344">
        <v>75</v>
      </c>
    </row>
    <row r="762" spans="1:20" customFormat="1" ht="14.5" x14ac:dyDescent="0.35">
      <c r="A762" s="3"/>
      <c r="B762" s="233" t="s">
        <v>2770</v>
      </c>
      <c r="C762" s="233" t="s">
        <v>2771</v>
      </c>
      <c r="E762" s="366">
        <v>46</v>
      </c>
      <c r="F762" s="371" t="s">
        <v>2772</v>
      </c>
      <c r="G762" s="371"/>
      <c r="H762" s="176">
        <v>18</v>
      </c>
      <c r="I762" s="12">
        <v>110</v>
      </c>
      <c r="J762" s="176">
        <v>50</v>
      </c>
      <c r="K762" s="176">
        <f t="shared" si="128"/>
        <v>8.1818181818181817</v>
      </c>
      <c r="L762" s="176">
        <f t="shared" si="129"/>
        <v>26.18181818181818</v>
      </c>
      <c r="M762" s="12"/>
      <c r="N762" s="176">
        <f t="shared" si="130"/>
        <v>39.272727272727266</v>
      </c>
      <c r="O762" s="176">
        <v>75</v>
      </c>
      <c r="P762" s="344">
        <v>75</v>
      </c>
      <c r="S762" t="s">
        <v>1086</v>
      </c>
      <c r="T762" s="6">
        <v>46095</v>
      </c>
    </row>
    <row r="763" spans="1:20" customFormat="1" ht="14.5" x14ac:dyDescent="0.35">
      <c r="A763" s="3"/>
      <c r="B763" s="233" t="s">
        <v>2770</v>
      </c>
      <c r="C763" s="233" t="s">
        <v>2771</v>
      </c>
      <c r="E763" s="366">
        <v>42</v>
      </c>
      <c r="F763" s="245" t="s">
        <v>2773</v>
      </c>
      <c r="G763" s="245"/>
      <c r="H763" s="173">
        <v>18</v>
      </c>
      <c r="I763">
        <v>110</v>
      </c>
      <c r="J763" s="173">
        <v>50</v>
      </c>
      <c r="K763" s="173">
        <f t="shared" si="128"/>
        <v>8.1818181818181817</v>
      </c>
      <c r="L763" s="173">
        <f t="shared" si="129"/>
        <v>26.18181818181818</v>
      </c>
      <c r="N763" s="173">
        <f t="shared" si="130"/>
        <v>39.272727272727266</v>
      </c>
      <c r="O763" s="173">
        <v>75</v>
      </c>
      <c r="P763" s="344">
        <v>75</v>
      </c>
    </row>
    <row r="764" spans="1:20" customFormat="1" ht="14.5" x14ac:dyDescent="0.35">
      <c r="A764" s="3"/>
      <c r="B764" s="233" t="s">
        <v>2770</v>
      </c>
      <c r="C764" s="233" t="s">
        <v>2771</v>
      </c>
      <c r="E764" s="366">
        <v>44</v>
      </c>
      <c r="F764" s="245" t="s">
        <v>2773</v>
      </c>
      <c r="G764" s="245"/>
      <c r="H764" s="173">
        <v>18</v>
      </c>
      <c r="I764">
        <v>110</v>
      </c>
      <c r="J764" s="173">
        <v>50</v>
      </c>
      <c r="K764" s="173">
        <f t="shared" si="128"/>
        <v>8.1818181818181817</v>
      </c>
      <c r="L764" s="173">
        <f t="shared" si="129"/>
        <v>26.18181818181818</v>
      </c>
      <c r="N764" s="173">
        <f t="shared" si="130"/>
        <v>39.272727272727266</v>
      </c>
      <c r="O764" s="173">
        <v>75</v>
      </c>
      <c r="P764" s="344">
        <v>75</v>
      </c>
    </row>
    <row r="765" spans="1:20" customFormat="1" ht="14.5" x14ac:dyDescent="0.35">
      <c r="A765" s="3"/>
      <c r="B765" s="233" t="s">
        <v>2770</v>
      </c>
      <c r="C765" s="233" t="s">
        <v>2771</v>
      </c>
      <c r="E765" s="366">
        <v>46</v>
      </c>
      <c r="F765" s="245" t="s">
        <v>2773</v>
      </c>
      <c r="G765" s="245"/>
      <c r="H765" s="173">
        <v>18</v>
      </c>
      <c r="I765">
        <v>110</v>
      </c>
      <c r="J765" s="173">
        <v>50</v>
      </c>
      <c r="K765" s="173">
        <f t="shared" si="128"/>
        <v>8.1818181818181817</v>
      </c>
      <c r="L765" s="173">
        <f t="shared" si="129"/>
        <v>26.18181818181818</v>
      </c>
      <c r="N765" s="173">
        <f t="shared" si="130"/>
        <v>39.272727272727266</v>
      </c>
      <c r="O765" s="173">
        <v>75</v>
      </c>
      <c r="P765" s="344">
        <v>75</v>
      </c>
    </row>
    <row r="766" spans="1:20" customFormat="1" ht="15.5" x14ac:dyDescent="0.35">
      <c r="A766" s="3"/>
      <c r="B766" s="233" t="s">
        <v>2700</v>
      </c>
      <c r="C766" s="233" t="s">
        <v>2865</v>
      </c>
      <c r="E766" s="366">
        <v>44</v>
      </c>
      <c r="F766" s="371" t="s">
        <v>2704</v>
      </c>
      <c r="G766" s="371"/>
      <c r="H766" s="176">
        <v>35</v>
      </c>
      <c r="I766" s="12">
        <v>252</v>
      </c>
      <c r="J766" s="176">
        <v>126</v>
      </c>
      <c r="K766" s="176">
        <f t="shared" si="128"/>
        <v>17.5</v>
      </c>
      <c r="L766" s="176">
        <f t="shared" si="129"/>
        <v>52.5</v>
      </c>
      <c r="M766" s="12"/>
      <c r="N766" s="176">
        <f>+L766*1.55</f>
        <v>81.375</v>
      </c>
      <c r="O766" s="176">
        <v>110</v>
      </c>
      <c r="P766" s="140"/>
      <c r="S766" t="s">
        <v>3013</v>
      </c>
      <c r="T766" s="6">
        <v>46116</v>
      </c>
    </row>
    <row r="767" spans="1:20" customFormat="1" ht="15.5" x14ac:dyDescent="0.35">
      <c r="A767" s="3"/>
      <c r="B767" s="233" t="s">
        <v>2700</v>
      </c>
      <c r="C767" s="233" t="s">
        <v>2865</v>
      </c>
      <c r="E767" s="366">
        <v>46</v>
      </c>
      <c r="F767" s="372" t="s">
        <v>2704</v>
      </c>
      <c r="G767" s="372"/>
      <c r="H767" s="373">
        <v>35</v>
      </c>
      <c r="I767" s="343">
        <v>252</v>
      </c>
      <c r="J767" s="373">
        <v>126</v>
      </c>
      <c r="K767" s="373">
        <f t="shared" si="128"/>
        <v>17.5</v>
      </c>
      <c r="L767" s="373">
        <f t="shared" si="129"/>
        <v>52.5</v>
      </c>
      <c r="M767" s="343"/>
      <c r="N767" s="373">
        <f>+L767*1.55</f>
        <v>81.375</v>
      </c>
      <c r="O767" s="373">
        <v>110</v>
      </c>
      <c r="P767" s="140"/>
      <c r="S767" t="s">
        <v>987</v>
      </c>
      <c r="T767" s="6">
        <v>46118</v>
      </c>
    </row>
    <row r="768" spans="1:20" customFormat="1" ht="15.5" x14ac:dyDescent="0.35">
      <c r="A768" s="3"/>
      <c r="B768" s="233" t="s">
        <v>2700</v>
      </c>
      <c r="C768" s="233" t="s">
        <v>2865</v>
      </c>
      <c r="E768" s="366">
        <v>48</v>
      </c>
      <c r="F768" s="371" t="s">
        <v>2704</v>
      </c>
      <c r="G768" s="371"/>
      <c r="H768" s="176">
        <v>35</v>
      </c>
      <c r="I768" s="12">
        <v>252</v>
      </c>
      <c r="J768" s="176">
        <v>126</v>
      </c>
      <c r="K768" s="176">
        <f t="shared" si="128"/>
        <v>17.5</v>
      </c>
      <c r="L768" s="176">
        <f t="shared" si="129"/>
        <v>52.5</v>
      </c>
      <c r="M768" s="12"/>
      <c r="N768" s="176">
        <f>+L768*1.55</f>
        <v>81.375</v>
      </c>
      <c r="O768" s="176">
        <v>110</v>
      </c>
      <c r="P768" s="140"/>
      <c r="S768" t="s">
        <v>1090</v>
      </c>
      <c r="T768" s="6" t="s">
        <v>107</v>
      </c>
    </row>
    <row r="769" spans="1:20" customFormat="1" ht="15.5" x14ac:dyDescent="0.35">
      <c r="A769" s="3"/>
      <c r="B769" s="233" t="s">
        <v>2700</v>
      </c>
      <c r="C769" s="233" t="s">
        <v>2865</v>
      </c>
      <c r="E769" s="366">
        <v>50</v>
      </c>
      <c r="F769" s="371" t="s">
        <v>2704</v>
      </c>
      <c r="G769" s="371"/>
      <c r="H769" s="176">
        <v>35</v>
      </c>
      <c r="I769" s="12">
        <v>252</v>
      </c>
      <c r="J769" s="176">
        <v>126</v>
      </c>
      <c r="K769" s="176">
        <f t="shared" si="128"/>
        <v>17.5</v>
      </c>
      <c r="L769" s="176">
        <f t="shared" si="129"/>
        <v>52.5</v>
      </c>
      <c r="M769" s="12"/>
      <c r="N769" s="176">
        <f>+L769*1.55</f>
        <v>81.375</v>
      </c>
      <c r="O769" s="176">
        <v>110</v>
      </c>
      <c r="P769" s="140"/>
      <c r="S769" t="s">
        <v>3008</v>
      </c>
      <c r="T769" s="6">
        <v>46112</v>
      </c>
    </row>
    <row r="770" spans="1:20" customFormat="1" ht="15.5" x14ac:dyDescent="0.35">
      <c r="A770" s="3"/>
      <c r="B770" s="3"/>
      <c r="C770" s="233" t="s">
        <v>1842</v>
      </c>
      <c r="D770" s="233"/>
      <c r="E770" s="366">
        <v>42</v>
      </c>
      <c r="F770" s="371" t="s">
        <v>3052</v>
      </c>
      <c r="G770" s="371"/>
      <c r="H770" s="370">
        <v>50</v>
      </c>
      <c r="I770" s="409">
        <v>300</v>
      </c>
      <c r="J770" s="370">
        <v>160</v>
      </c>
      <c r="K770" s="410">
        <f t="shared" ref="K770:K773" si="131">+H770/I770*J770</f>
        <v>26.666666666666664</v>
      </c>
      <c r="L770" s="176">
        <f t="shared" ref="L770:L773" si="132">+H770+K770</f>
        <v>76.666666666666657</v>
      </c>
      <c r="M770" s="409"/>
      <c r="N770" s="59">
        <f t="shared" ref="N770:N773" si="133">+L770*1.5</f>
        <v>114.99999999999999</v>
      </c>
      <c r="O770" s="370">
        <v>130</v>
      </c>
      <c r="P770" s="325"/>
      <c r="S770" t="s">
        <v>1522</v>
      </c>
      <c r="T770" s="6">
        <v>46125</v>
      </c>
    </row>
    <row r="771" spans="1:20" customFormat="1" ht="15.5" x14ac:dyDescent="0.35">
      <c r="A771" s="3"/>
      <c r="B771" s="3"/>
      <c r="C771" s="233" t="s">
        <v>1842</v>
      </c>
      <c r="D771" s="233"/>
      <c r="E771" s="366">
        <v>44</v>
      </c>
      <c r="F771" s="245" t="s">
        <v>3052</v>
      </c>
      <c r="G771" s="245"/>
      <c r="H771" s="146">
        <v>50</v>
      </c>
      <c r="I771" s="3">
        <v>300</v>
      </c>
      <c r="J771" s="146">
        <v>160</v>
      </c>
      <c r="K771" s="402">
        <f t="shared" si="131"/>
        <v>26.666666666666664</v>
      </c>
      <c r="L771" s="173">
        <f t="shared" si="132"/>
        <v>76.666666666666657</v>
      </c>
      <c r="M771" s="3"/>
      <c r="N771" s="2">
        <f t="shared" si="133"/>
        <v>114.99999999999999</v>
      </c>
      <c r="O771" s="146">
        <v>130</v>
      </c>
      <c r="P771" s="325"/>
    </row>
    <row r="772" spans="1:20" customFormat="1" ht="15.5" x14ac:dyDescent="0.35">
      <c r="A772" s="3"/>
      <c r="B772" s="3"/>
      <c r="C772" s="233" t="s">
        <v>1842</v>
      </c>
      <c r="D772" s="233"/>
      <c r="E772" s="366">
        <v>46</v>
      </c>
      <c r="F772" s="245" t="s">
        <v>3052</v>
      </c>
      <c r="G772" s="245"/>
      <c r="H772" s="146">
        <v>50</v>
      </c>
      <c r="I772" s="3">
        <v>300</v>
      </c>
      <c r="J772" s="146">
        <v>160</v>
      </c>
      <c r="K772" s="402">
        <f t="shared" si="131"/>
        <v>26.666666666666664</v>
      </c>
      <c r="L772" s="173">
        <f t="shared" si="132"/>
        <v>76.666666666666657</v>
      </c>
      <c r="M772" s="3"/>
      <c r="N772" s="2">
        <f t="shared" si="133"/>
        <v>114.99999999999999</v>
      </c>
      <c r="O772" s="146">
        <v>130</v>
      </c>
      <c r="P772" s="325"/>
    </row>
    <row r="773" spans="1:20" customFormat="1" ht="15.5" x14ac:dyDescent="0.35">
      <c r="A773" s="3"/>
      <c r="B773" s="3"/>
      <c r="C773" s="233" t="s">
        <v>1842</v>
      </c>
      <c r="D773" s="233"/>
      <c r="E773" s="366">
        <v>48</v>
      </c>
      <c r="F773" s="245" t="s">
        <v>3052</v>
      </c>
      <c r="G773" s="245"/>
      <c r="H773" s="146">
        <v>50</v>
      </c>
      <c r="I773" s="3">
        <v>300</v>
      </c>
      <c r="J773" s="146">
        <v>160</v>
      </c>
      <c r="K773" s="402">
        <f t="shared" si="131"/>
        <v>26.666666666666664</v>
      </c>
      <c r="L773" s="173">
        <f t="shared" si="132"/>
        <v>76.666666666666657</v>
      </c>
      <c r="M773" s="3"/>
      <c r="N773" s="2">
        <f t="shared" si="133"/>
        <v>114.99999999999999</v>
      </c>
      <c r="O773" s="146">
        <v>130</v>
      </c>
      <c r="P773" s="325"/>
    </row>
    <row r="774" spans="1:20" customFormat="1" ht="15.5" x14ac:dyDescent="0.35">
      <c r="A774" s="3"/>
      <c r="B774" s="233"/>
      <c r="C774" s="233"/>
      <c r="E774" s="366"/>
      <c r="F774" s="245"/>
      <c r="G774" s="245"/>
      <c r="H774" s="173"/>
      <c r="J774" s="173"/>
      <c r="K774" s="173"/>
      <c r="L774" s="173"/>
      <c r="N774" s="173"/>
      <c r="O774" s="173"/>
      <c r="P774" s="140"/>
      <c r="T774" s="6"/>
    </row>
    <row r="775" spans="1:20" customFormat="1" ht="14.5" x14ac:dyDescent="0.35">
      <c r="A775" s="3"/>
      <c r="B775" s="233"/>
      <c r="C775" s="232" t="s">
        <v>3049</v>
      </c>
      <c r="E775" s="366"/>
      <c r="F775" s="245"/>
      <c r="G775" s="245"/>
      <c r="H775" s="173"/>
      <c r="J775" s="173"/>
      <c r="K775" s="173"/>
      <c r="L775" s="173"/>
      <c r="N775" s="173"/>
      <c r="O775" s="173"/>
      <c r="P775" s="344"/>
    </row>
    <row r="776" spans="1:20" customFormat="1" ht="15.5" x14ac:dyDescent="0.35">
      <c r="A776" s="3"/>
      <c r="B776" s="3"/>
      <c r="C776" s="233" t="s">
        <v>1855</v>
      </c>
      <c r="D776" s="233"/>
      <c r="E776" s="366">
        <v>44</v>
      </c>
      <c r="F776" s="245" t="s">
        <v>3048</v>
      </c>
      <c r="G776" s="245"/>
      <c r="H776" s="173">
        <v>26</v>
      </c>
      <c r="I776" s="173">
        <v>388</v>
      </c>
      <c r="J776" s="173">
        <f>12*15+25</f>
        <v>205</v>
      </c>
      <c r="K776" s="402">
        <f>+H776/I776*J776</f>
        <v>13.737113402061855</v>
      </c>
      <c r="L776" s="173">
        <f>+H776+K776</f>
        <v>39.737113402061851</v>
      </c>
      <c r="M776" s="173"/>
      <c r="N776" s="2">
        <f>+L776*1.5</f>
        <v>59.605670103092777</v>
      </c>
      <c r="O776" s="173">
        <v>90</v>
      </c>
      <c r="P776" s="325"/>
    </row>
    <row r="777" spans="1:20" customFormat="1" ht="15.5" x14ac:dyDescent="0.35">
      <c r="A777" s="3"/>
      <c r="B777" s="3"/>
      <c r="C777" s="233" t="s">
        <v>1855</v>
      </c>
      <c r="D777" s="233"/>
      <c r="E777" s="366">
        <v>46</v>
      </c>
      <c r="F777" s="245" t="s">
        <v>3048</v>
      </c>
      <c r="G777" s="245"/>
      <c r="H777" s="173">
        <v>26</v>
      </c>
      <c r="I777" s="173">
        <v>388</v>
      </c>
      <c r="J777" s="173">
        <f>12*15+25</f>
        <v>205</v>
      </c>
      <c r="K777" s="402">
        <f>+H777/I777*J777</f>
        <v>13.737113402061855</v>
      </c>
      <c r="L777" s="173">
        <f>+H777+K777</f>
        <v>39.737113402061851</v>
      </c>
      <c r="M777" s="173"/>
      <c r="N777" s="2">
        <f>+L777*1.5</f>
        <v>59.605670103092777</v>
      </c>
      <c r="O777" s="173">
        <v>90</v>
      </c>
      <c r="P777" s="325"/>
    </row>
    <row r="778" spans="1:20" customFormat="1" ht="15.5" x14ac:dyDescent="0.35">
      <c r="A778" s="3"/>
      <c r="B778" s="3"/>
      <c r="C778" s="233" t="s">
        <v>1855</v>
      </c>
      <c r="D778" s="233"/>
      <c r="E778" s="366">
        <v>48</v>
      </c>
      <c r="F778" s="245" t="s">
        <v>3048</v>
      </c>
      <c r="G778" s="245"/>
      <c r="H778" s="173">
        <v>26</v>
      </c>
      <c r="I778" s="173">
        <v>388</v>
      </c>
      <c r="J778" s="173">
        <f>12*15+25</f>
        <v>205</v>
      </c>
      <c r="K778" s="402">
        <f>+H778/I778*J778</f>
        <v>13.737113402061855</v>
      </c>
      <c r="L778" s="173">
        <f>+H778+K778</f>
        <v>39.737113402061851</v>
      </c>
      <c r="M778" s="173"/>
      <c r="N778" s="2">
        <f>+L778*1.5</f>
        <v>59.605670103092777</v>
      </c>
      <c r="O778" s="173">
        <v>90</v>
      </c>
      <c r="P778" s="325"/>
    </row>
    <row r="779" spans="1:20" customFormat="1" ht="15.5" x14ac:dyDescent="0.35">
      <c r="A779" s="3"/>
      <c r="B779" s="3"/>
      <c r="C779" s="233" t="s">
        <v>1855</v>
      </c>
      <c r="D779" s="233"/>
      <c r="E779" s="366">
        <v>50</v>
      </c>
      <c r="F779" s="245" t="s">
        <v>3048</v>
      </c>
      <c r="G779" s="245"/>
      <c r="H779" s="173">
        <v>26</v>
      </c>
      <c r="I779" s="173">
        <v>388</v>
      </c>
      <c r="J779" s="173">
        <f>12*15+25</f>
        <v>205</v>
      </c>
      <c r="K779" s="402">
        <f>+H779/I779*J779</f>
        <v>13.737113402061855</v>
      </c>
      <c r="L779" s="173">
        <f>+H779+K779</f>
        <v>39.737113402061851</v>
      </c>
      <c r="M779" s="173"/>
      <c r="N779" s="2">
        <f>+L779*1.5</f>
        <v>59.605670103092777</v>
      </c>
      <c r="O779" s="173">
        <v>90</v>
      </c>
      <c r="P779" s="325"/>
    </row>
    <row r="780" spans="1:20" customFormat="1" ht="15.5" x14ac:dyDescent="0.35">
      <c r="A780" s="3"/>
      <c r="B780" s="3"/>
      <c r="C780" s="233" t="s">
        <v>3044</v>
      </c>
      <c r="D780" s="233"/>
      <c r="E780" s="366">
        <v>42</v>
      </c>
      <c r="F780" s="245" t="s">
        <v>3045</v>
      </c>
      <c r="G780" s="245"/>
      <c r="H780" s="173">
        <v>20</v>
      </c>
      <c r="I780">
        <v>160</v>
      </c>
      <c r="J780" s="173">
        <f t="shared" ref="J780:J787" si="134">6*15+25</f>
        <v>115</v>
      </c>
      <c r="K780" s="402">
        <f t="shared" ref="K780:K787" si="135">+H780/I780*J780</f>
        <v>14.375</v>
      </c>
      <c r="L780" s="173">
        <f t="shared" ref="L780:L787" si="136">+H780+K780</f>
        <v>34.375</v>
      </c>
      <c r="M780" s="173"/>
      <c r="N780" s="2">
        <f t="shared" ref="N780:N787" si="137">+L780*1.5</f>
        <v>51.5625</v>
      </c>
      <c r="O780" s="173">
        <v>80</v>
      </c>
      <c r="P780" s="325"/>
    </row>
    <row r="781" spans="1:20" customFormat="1" ht="15.5" x14ac:dyDescent="0.35">
      <c r="A781" s="3"/>
      <c r="B781" s="3"/>
      <c r="C781" s="233" t="s">
        <v>3044</v>
      </c>
      <c r="D781" s="233"/>
      <c r="E781" s="366">
        <v>44</v>
      </c>
      <c r="F781" s="245" t="s">
        <v>3045</v>
      </c>
      <c r="G781" s="245"/>
      <c r="H781" s="173">
        <v>20</v>
      </c>
      <c r="I781">
        <v>160</v>
      </c>
      <c r="J781" s="173">
        <f t="shared" si="134"/>
        <v>115</v>
      </c>
      <c r="K781" s="402">
        <f t="shared" si="135"/>
        <v>14.375</v>
      </c>
      <c r="L781" s="173">
        <f t="shared" si="136"/>
        <v>34.375</v>
      </c>
      <c r="M781" s="173"/>
      <c r="N781" s="2">
        <f t="shared" si="137"/>
        <v>51.5625</v>
      </c>
      <c r="O781" s="173">
        <v>80</v>
      </c>
      <c r="P781" s="325"/>
    </row>
    <row r="782" spans="1:20" customFormat="1" ht="15.5" x14ac:dyDescent="0.35">
      <c r="A782" s="3"/>
      <c r="B782" s="3"/>
      <c r="C782" s="233" t="s">
        <v>3044</v>
      </c>
      <c r="D782" s="233"/>
      <c r="E782" s="366">
        <v>46</v>
      </c>
      <c r="F782" s="245" t="s">
        <v>3045</v>
      </c>
      <c r="G782" s="245"/>
      <c r="H782" s="173">
        <v>20</v>
      </c>
      <c r="I782">
        <v>160</v>
      </c>
      <c r="J782" s="173">
        <f t="shared" si="134"/>
        <v>115</v>
      </c>
      <c r="K782" s="402">
        <f t="shared" si="135"/>
        <v>14.375</v>
      </c>
      <c r="L782" s="173">
        <f t="shared" si="136"/>
        <v>34.375</v>
      </c>
      <c r="M782" s="173"/>
      <c r="N782" s="2">
        <f t="shared" si="137"/>
        <v>51.5625</v>
      </c>
      <c r="O782" s="173">
        <v>80</v>
      </c>
      <c r="P782" s="325"/>
    </row>
    <row r="783" spans="1:20" customFormat="1" ht="15.5" x14ac:dyDescent="0.35">
      <c r="A783" s="3"/>
      <c r="B783" s="3"/>
      <c r="C783" s="233" t="s">
        <v>3044</v>
      </c>
      <c r="D783" s="233"/>
      <c r="E783" s="366">
        <v>48</v>
      </c>
      <c r="F783" s="245" t="s">
        <v>3045</v>
      </c>
      <c r="G783" s="245"/>
      <c r="H783" s="173">
        <v>20</v>
      </c>
      <c r="I783">
        <v>160</v>
      </c>
      <c r="J783" s="173">
        <f t="shared" si="134"/>
        <v>115</v>
      </c>
      <c r="K783" s="402">
        <f t="shared" si="135"/>
        <v>14.375</v>
      </c>
      <c r="L783" s="173">
        <f t="shared" si="136"/>
        <v>34.375</v>
      </c>
      <c r="M783" s="173"/>
      <c r="N783" s="2">
        <f t="shared" si="137"/>
        <v>51.5625</v>
      </c>
      <c r="O783" s="173">
        <v>80</v>
      </c>
      <c r="P783" s="325"/>
    </row>
    <row r="784" spans="1:20" customFormat="1" ht="15.5" x14ac:dyDescent="0.35">
      <c r="A784" s="3"/>
      <c r="B784" s="3"/>
      <c r="C784" s="233" t="s">
        <v>3044</v>
      </c>
      <c r="D784" s="233"/>
      <c r="E784" s="366">
        <v>36</v>
      </c>
      <c r="F784" s="245" t="s">
        <v>3046</v>
      </c>
      <c r="G784" s="245"/>
      <c r="H784" s="173">
        <v>20</v>
      </c>
      <c r="I784">
        <v>160</v>
      </c>
      <c r="J784" s="173">
        <f t="shared" si="134"/>
        <v>115</v>
      </c>
      <c r="K784" s="402">
        <f t="shared" si="135"/>
        <v>14.375</v>
      </c>
      <c r="L784" s="173">
        <f t="shared" si="136"/>
        <v>34.375</v>
      </c>
      <c r="M784" s="173"/>
      <c r="N784" s="2">
        <f t="shared" si="137"/>
        <v>51.5625</v>
      </c>
      <c r="O784" s="173">
        <v>80</v>
      </c>
      <c r="P784" s="325"/>
    </row>
    <row r="785" spans="1:23" customFormat="1" ht="15.5" x14ac:dyDescent="0.35">
      <c r="A785" s="3"/>
      <c r="B785" s="3"/>
      <c r="C785" s="233" t="s">
        <v>3044</v>
      </c>
      <c r="D785" s="233"/>
      <c r="E785" s="366">
        <v>38</v>
      </c>
      <c r="F785" s="245" t="s">
        <v>3046</v>
      </c>
      <c r="G785" s="245"/>
      <c r="H785" s="173">
        <v>20</v>
      </c>
      <c r="I785">
        <v>160</v>
      </c>
      <c r="J785" s="173">
        <f t="shared" si="134"/>
        <v>115</v>
      </c>
      <c r="K785" s="402">
        <f t="shared" si="135"/>
        <v>14.375</v>
      </c>
      <c r="L785" s="173">
        <f t="shared" si="136"/>
        <v>34.375</v>
      </c>
      <c r="M785" s="173"/>
      <c r="N785" s="2">
        <f t="shared" si="137"/>
        <v>51.5625</v>
      </c>
      <c r="O785" s="173">
        <v>80</v>
      </c>
      <c r="P785" s="325"/>
    </row>
    <row r="786" spans="1:23" customFormat="1" ht="15.5" x14ac:dyDescent="0.35">
      <c r="A786" s="3"/>
      <c r="B786" s="3"/>
      <c r="C786" s="233" t="s">
        <v>3044</v>
      </c>
      <c r="D786" s="233"/>
      <c r="E786" s="366">
        <v>40</v>
      </c>
      <c r="F786" s="245" t="s">
        <v>3046</v>
      </c>
      <c r="G786" s="245"/>
      <c r="H786" s="173">
        <v>20</v>
      </c>
      <c r="I786">
        <v>160</v>
      </c>
      <c r="J786" s="173">
        <f t="shared" si="134"/>
        <v>115</v>
      </c>
      <c r="K786" s="402">
        <f t="shared" si="135"/>
        <v>14.375</v>
      </c>
      <c r="L786" s="173">
        <f t="shared" si="136"/>
        <v>34.375</v>
      </c>
      <c r="M786" s="173"/>
      <c r="N786" s="2">
        <f t="shared" si="137"/>
        <v>51.5625</v>
      </c>
      <c r="O786" s="173">
        <v>80</v>
      </c>
      <c r="P786" s="325"/>
    </row>
    <row r="787" spans="1:23" customFormat="1" ht="15.5" x14ac:dyDescent="0.35">
      <c r="A787" s="3"/>
      <c r="B787" s="3"/>
      <c r="C787" s="233" t="s">
        <v>3044</v>
      </c>
      <c r="D787" s="233"/>
      <c r="E787" s="366">
        <v>42</v>
      </c>
      <c r="F787" s="245" t="s">
        <v>3046</v>
      </c>
      <c r="G787" s="245"/>
      <c r="H787" s="173">
        <v>20</v>
      </c>
      <c r="I787">
        <v>160</v>
      </c>
      <c r="J787" s="173">
        <f t="shared" si="134"/>
        <v>115</v>
      </c>
      <c r="K787" s="402">
        <f t="shared" si="135"/>
        <v>14.375</v>
      </c>
      <c r="L787" s="173">
        <f t="shared" si="136"/>
        <v>34.375</v>
      </c>
      <c r="M787" s="173"/>
      <c r="N787" s="2">
        <f t="shared" si="137"/>
        <v>51.5625</v>
      </c>
      <c r="O787" s="173">
        <v>80</v>
      </c>
      <c r="P787" s="325"/>
    </row>
    <row r="788" spans="1:23" customFormat="1" ht="14.5" x14ac:dyDescent="0.35">
      <c r="A788" s="3"/>
      <c r="B788" s="233"/>
      <c r="C788" s="233"/>
      <c r="E788" s="366"/>
      <c r="F788" s="245"/>
      <c r="G788" s="245"/>
      <c r="H788" s="173"/>
      <c r="J788" s="173"/>
      <c r="K788" s="173"/>
      <c r="L788" s="173"/>
      <c r="N788" s="173"/>
      <c r="O788" s="173"/>
      <c r="P788" s="344"/>
    </row>
    <row r="789" spans="1:23" customFormat="1" ht="14.5" x14ac:dyDescent="0.35">
      <c r="A789" s="3"/>
      <c r="B789" s="233"/>
      <c r="C789" s="233"/>
      <c r="E789" s="366"/>
      <c r="F789" s="245"/>
      <c r="G789" s="245"/>
      <c r="H789" s="173"/>
      <c r="J789" s="173"/>
      <c r="K789" s="173"/>
      <c r="L789" s="173"/>
      <c r="N789" s="173"/>
      <c r="O789" s="173"/>
      <c r="P789" s="344"/>
    </row>
    <row r="790" spans="1:23" customFormat="1" ht="14.5" x14ac:dyDescent="0.35">
      <c r="A790" s="3"/>
      <c r="B790" s="233"/>
      <c r="C790" s="233"/>
      <c r="E790" s="366"/>
      <c r="F790" s="245"/>
      <c r="G790" s="245"/>
      <c r="H790" s="173"/>
      <c r="J790" s="173"/>
      <c r="K790" s="173"/>
      <c r="L790" s="173"/>
      <c r="N790" s="173"/>
      <c r="O790" s="173"/>
      <c r="P790" s="344"/>
    </row>
    <row r="791" spans="1:23" ht="23.25" customHeight="1" outlineLevel="1" x14ac:dyDescent="0.5">
      <c r="C791" s="5"/>
      <c r="E791" s="473"/>
      <c r="F791" s="502" t="s">
        <v>11</v>
      </c>
      <c r="G791" s="502"/>
      <c r="H791" s="136"/>
      <c r="I791" s="136"/>
      <c r="J791" s="136"/>
      <c r="K791" s="136"/>
      <c r="L791" s="136"/>
      <c r="M791" s="136"/>
      <c r="N791" s="136"/>
      <c r="O791" s="136"/>
      <c r="P791" s="474"/>
      <c r="Q791" s="11"/>
      <c r="R791" s="11"/>
      <c r="S791" s="11"/>
      <c r="T791" s="475"/>
      <c r="U791" s="425"/>
      <c r="V791" s="136"/>
      <c r="W791" s="11"/>
    </row>
    <row r="792" spans="1:23" ht="15" customHeight="1" outlineLevel="1" x14ac:dyDescent="0.35">
      <c r="C792" s="11" t="s">
        <v>234</v>
      </c>
      <c r="D792" s="503"/>
      <c r="E792" s="503"/>
      <c r="M792" s="452"/>
      <c r="N792" s="189"/>
      <c r="O792" s="10"/>
      <c r="P792" s="109"/>
      <c r="U792" s="138"/>
      <c r="V792" s="189"/>
    </row>
    <row r="793" spans="1:23" ht="15" customHeight="1" outlineLevel="1" x14ac:dyDescent="0.35">
      <c r="B793" s="10" t="s">
        <v>228</v>
      </c>
      <c r="C793" s="10" t="s">
        <v>228</v>
      </c>
      <c r="D793" s="10">
        <v>1</v>
      </c>
      <c r="E793" s="10">
        <v>48</v>
      </c>
      <c r="F793" s="10" t="s">
        <v>630</v>
      </c>
      <c r="H793" s="140">
        <v>13</v>
      </c>
      <c r="I793" s="10">
        <v>4794</v>
      </c>
      <c r="J793" s="10">
        <v>7630</v>
      </c>
      <c r="K793" s="140">
        <f>+H793/I793*J793</f>
        <v>20.690446391322485</v>
      </c>
      <c r="L793" s="140">
        <f>+H793+K793</f>
        <v>33.690446391322482</v>
      </c>
      <c r="M793" s="452">
        <v>0.3</v>
      </c>
      <c r="N793" s="140">
        <f>+L793*M793+L793</f>
        <v>43.797580308719226</v>
      </c>
      <c r="O793" s="140">
        <v>65</v>
      </c>
      <c r="P793" s="325">
        <v>40</v>
      </c>
      <c r="Q793" s="451"/>
      <c r="R793" s="451"/>
      <c r="S793" s="10" t="s">
        <v>955</v>
      </c>
      <c r="T793" s="404">
        <v>45386</v>
      </c>
      <c r="U793" s="138">
        <f>+P793*35000</f>
        <v>1400000</v>
      </c>
      <c r="V793" s="189"/>
    </row>
    <row r="794" spans="1:23" ht="15" customHeight="1" outlineLevel="1" x14ac:dyDescent="0.35">
      <c r="B794" s="10" t="s">
        <v>228</v>
      </c>
      <c r="C794" s="10" t="s">
        <v>228</v>
      </c>
      <c r="D794" s="10">
        <v>2</v>
      </c>
      <c r="E794" s="10">
        <v>46</v>
      </c>
      <c r="F794" s="10" t="s">
        <v>630</v>
      </c>
      <c r="H794" s="189">
        <v>13</v>
      </c>
      <c r="I794" s="10">
        <v>4794</v>
      </c>
      <c r="J794" s="10">
        <v>7630</v>
      </c>
      <c r="K794" s="189">
        <f>+H794/I794*J794</f>
        <v>20.690446391322485</v>
      </c>
      <c r="L794" s="189">
        <f>+H794+K794</f>
        <v>33.690446391322482</v>
      </c>
      <c r="M794" s="452">
        <v>0.3</v>
      </c>
      <c r="N794" s="189">
        <f>+L794*M794+L794</f>
        <v>43.797580308719226</v>
      </c>
      <c r="O794" s="189">
        <v>65</v>
      </c>
      <c r="Q794" s="451"/>
      <c r="R794" s="451"/>
      <c r="U794" s="138"/>
      <c r="V794" s="189"/>
    </row>
    <row r="795" spans="1:23" ht="15" customHeight="1" outlineLevel="1" x14ac:dyDescent="0.35">
      <c r="C795" s="11" t="s">
        <v>244</v>
      </c>
      <c r="D795" s="503"/>
      <c r="E795" s="503"/>
      <c r="M795" s="452"/>
      <c r="N795" s="189"/>
      <c r="U795" s="138"/>
      <c r="V795" s="189"/>
    </row>
    <row r="796" spans="1:23" ht="15" customHeight="1" outlineLevel="1" x14ac:dyDescent="0.35">
      <c r="C796" s="10" t="s">
        <v>258</v>
      </c>
      <c r="D796" s="10">
        <v>4</v>
      </c>
      <c r="E796" s="10">
        <v>38</v>
      </c>
      <c r="F796" s="397" t="s">
        <v>254</v>
      </c>
      <c r="G796" s="397"/>
      <c r="H796" s="734">
        <v>8</v>
      </c>
      <c r="I796" s="397">
        <v>8277</v>
      </c>
      <c r="J796" s="397">
        <v>15182</v>
      </c>
      <c r="K796" s="450">
        <f>+H796/I796*J796</f>
        <v>14.67391566992872</v>
      </c>
      <c r="L796" s="450">
        <f>+H796+K796</f>
        <v>22.673915669928718</v>
      </c>
      <c r="M796" s="584">
        <v>0.3</v>
      </c>
      <c r="N796" s="450">
        <f t="shared" ref="N796:N814" si="138">+L796*M796+L796</f>
        <v>29.476090370907333</v>
      </c>
      <c r="O796" s="450">
        <v>40</v>
      </c>
      <c r="S796" s="445" t="s">
        <v>2892</v>
      </c>
      <c r="T796" s="404">
        <v>46107</v>
      </c>
      <c r="U796" s="138"/>
    </row>
    <row r="797" spans="1:23" ht="15" customHeight="1" outlineLevel="1" x14ac:dyDescent="0.35">
      <c r="C797" s="10" t="s">
        <v>258</v>
      </c>
      <c r="D797" s="10">
        <v>5</v>
      </c>
      <c r="E797" s="10">
        <v>38</v>
      </c>
      <c r="F797" s="10" t="s">
        <v>255</v>
      </c>
      <c r="H797" s="141">
        <v>9</v>
      </c>
      <c r="I797" s="10">
        <v>8277</v>
      </c>
      <c r="J797" s="10">
        <v>15182</v>
      </c>
      <c r="K797" s="140">
        <f>+H797/I797*J797</f>
        <v>16.508155128669806</v>
      </c>
      <c r="L797" s="140">
        <f>+H797+K797</f>
        <v>25.508155128669806</v>
      </c>
      <c r="M797" s="453">
        <v>0.3</v>
      </c>
      <c r="N797" s="140">
        <f t="shared" si="138"/>
        <v>33.160601667270747</v>
      </c>
      <c r="O797" s="140">
        <v>55</v>
      </c>
      <c r="Q797" s="451"/>
      <c r="R797" s="451"/>
      <c r="U797" s="138"/>
    </row>
    <row r="798" spans="1:23" ht="15" customHeight="1" outlineLevel="1" x14ac:dyDescent="0.35">
      <c r="C798" s="10" t="s">
        <v>258</v>
      </c>
      <c r="D798" s="10">
        <v>6</v>
      </c>
      <c r="E798" s="10">
        <v>40</v>
      </c>
      <c r="F798" s="10" t="s">
        <v>255</v>
      </c>
      <c r="H798" s="141">
        <v>9</v>
      </c>
      <c r="I798" s="10">
        <v>8277</v>
      </c>
      <c r="J798" s="10">
        <v>15182</v>
      </c>
      <c r="K798" s="140">
        <f>+H798/I798*J798</f>
        <v>16.508155128669806</v>
      </c>
      <c r="L798" s="140">
        <f>+H798+K798</f>
        <v>25.508155128669806</v>
      </c>
      <c r="M798" s="453">
        <v>0.3</v>
      </c>
      <c r="N798" s="140">
        <f t="shared" si="138"/>
        <v>33.160601667270747</v>
      </c>
      <c r="O798" s="140">
        <v>55</v>
      </c>
      <c r="Q798" s="451"/>
      <c r="R798" s="451"/>
      <c r="U798" s="138"/>
    </row>
    <row r="799" spans="1:23" ht="15" customHeight="1" outlineLevel="1" x14ac:dyDescent="0.35">
      <c r="C799" s="10" t="s">
        <v>258</v>
      </c>
      <c r="D799" s="10">
        <v>7</v>
      </c>
      <c r="E799" s="10">
        <v>42</v>
      </c>
      <c r="F799" s="10" t="s">
        <v>255</v>
      </c>
      <c r="H799" s="141">
        <v>9</v>
      </c>
      <c r="I799" s="10">
        <v>8277</v>
      </c>
      <c r="J799" s="10">
        <v>15182</v>
      </c>
      <c r="K799" s="140">
        <f>+H799/I799*J799</f>
        <v>16.508155128669806</v>
      </c>
      <c r="L799" s="140">
        <f>+H799+K799</f>
        <v>25.508155128669806</v>
      </c>
      <c r="M799" s="453">
        <v>0.3</v>
      </c>
      <c r="N799" s="140">
        <f t="shared" si="138"/>
        <v>33.160601667270747</v>
      </c>
      <c r="O799" s="140">
        <v>55</v>
      </c>
      <c r="Q799" s="451"/>
      <c r="R799" s="451"/>
      <c r="U799" s="138"/>
    </row>
    <row r="800" spans="1:23" ht="15" customHeight="1" outlineLevel="1" x14ac:dyDescent="0.35">
      <c r="D800" s="10"/>
      <c r="E800" s="10"/>
      <c r="F800" s="11" t="s">
        <v>270</v>
      </c>
      <c r="G800" s="11"/>
      <c r="H800" s="136"/>
      <c r="M800" s="455"/>
      <c r="N800" s="140">
        <f t="shared" si="138"/>
        <v>0</v>
      </c>
      <c r="U800" s="138"/>
    </row>
    <row r="801" spans="2:23" ht="15.5" outlineLevel="1" x14ac:dyDescent="0.35">
      <c r="B801" s="11" t="s">
        <v>189</v>
      </c>
      <c r="C801" s="10" t="s">
        <v>18</v>
      </c>
      <c r="D801" s="10">
        <v>9</v>
      </c>
      <c r="E801" s="10">
        <v>46</v>
      </c>
      <c r="F801" s="10" t="s">
        <v>276</v>
      </c>
      <c r="H801" s="140">
        <v>10</v>
      </c>
      <c r="I801" s="10">
        <v>5877</v>
      </c>
      <c r="J801" s="10">
        <v>11925</v>
      </c>
      <c r="K801" s="140">
        <f>+H801/I801*J801</f>
        <v>20.290964777947934</v>
      </c>
      <c r="L801" s="140">
        <f>+H801+K801</f>
        <v>30.290964777947934</v>
      </c>
      <c r="M801" s="453">
        <v>0.3</v>
      </c>
      <c r="N801" s="140">
        <f t="shared" si="138"/>
        <v>39.378254211332312</v>
      </c>
      <c r="O801" s="140">
        <v>55</v>
      </c>
      <c r="U801" s="138"/>
    </row>
    <row r="802" spans="2:23" ht="15.5" outlineLevel="1" x14ac:dyDescent="0.35">
      <c r="C802" s="10" t="s">
        <v>185</v>
      </c>
      <c r="D802" s="10">
        <v>10</v>
      </c>
      <c r="E802" s="10" t="s">
        <v>408</v>
      </c>
      <c r="F802" s="10" t="s">
        <v>295</v>
      </c>
      <c r="H802" s="189">
        <v>22</v>
      </c>
      <c r="I802" s="10">
        <v>5000</v>
      </c>
      <c r="J802" s="10">
        <v>8919</v>
      </c>
      <c r="K802" s="189">
        <f>+H802/I802*J802</f>
        <v>39.243600000000001</v>
      </c>
      <c r="L802" s="189">
        <f>+H802+K802</f>
        <v>61.243600000000001</v>
      </c>
      <c r="M802" s="455">
        <v>0.3</v>
      </c>
      <c r="N802" s="140">
        <f t="shared" si="138"/>
        <v>79.616680000000002</v>
      </c>
      <c r="O802" s="189">
        <v>65</v>
      </c>
      <c r="Q802" s="451"/>
      <c r="R802" s="451"/>
      <c r="U802" s="138"/>
    </row>
    <row r="803" spans="2:23" ht="15.5" outlineLevel="1" x14ac:dyDescent="0.35">
      <c r="C803" s="10" t="s">
        <v>185</v>
      </c>
      <c r="D803" s="10">
        <v>11</v>
      </c>
      <c r="E803" s="10" t="s">
        <v>407</v>
      </c>
      <c r="F803" s="10" t="s">
        <v>295</v>
      </c>
      <c r="H803" s="140">
        <v>22</v>
      </c>
      <c r="I803" s="10">
        <v>5000</v>
      </c>
      <c r="J803" s="10">
        <v>8919</v>
      </c>
      <c r="K803" s="140">
        <f>+H803/I803*J803</f>
        <v>39.243600000000001</v>
      </c>
      <c r="L803" s="140">
        <f>+H803+K803</f>
        <v>61.243600000000001</v>
      </c>
      <c r="M803" s="453">
        <v>0.3</v>
      </c>
      <c r="N803" s="140">
        <f t="shared" si="138"/>
        <v>79.616680000000002</v>
      </c>
      <c r="O803" s="140">
        <v>65</v>
      </c>
      <c r="Q803" s="451"/>
      <c r="R803" s="451"/>
      <c r="U803" s="138"/>
    </row>
    <row r="804" spans="2:23" ht="15.5" outlineLevel="1" x14ac:dyDescent="0.35">
      <c r="C804" s="11" t="s">
        <v>319</v>
      </c>
      <c r="D804" s="10"/>
      <c r="E804" s="10"/>
      <c r="M804" s="455"/>
      <c r="N804" s="140">
        <f t="shared" si="138"/>
        <v>0</v>
      </c>
      <c r="U804" s="138"/>
    </row>
    <row r="805" spans="2:23" ht="15.5" outlineLevel="1" x14ac:dyDescent="0.35">
      <c r="C805" s="10" t="s">
        <v>311</v>
      </c>
      <c r="D805" s="10">
        <v>13</v>
      </c>
      <c r="E805" s="10">
        <v>48</v>
      </c>
      <c r="F805" s="10" t="s">
        <v>314</v>
      </c>
      <c r="H805" s="140">
        <v>7.7333333333333334</v>
      </c>
      <c r="I805" s="56">
        <v>5690</v>
      </c>
      <c r="J805" s="140">
        <v>9443</v>
      </c>
      <c r="K805" s="140">
        <f>+H805/I805*J805</f>
        <v>12.834071470415935</v>
      </c>
      <c r="L805" s="140">
        <f>+H805+K805</f>
        <v>20.56740480374927</v>
      </c>
      <c r="M805" s="452">
        <v>0.3</v>
      </c>
      <c r="N805" s="140">
        <f t="shared" si="138"/>
        <v>26.73762624487405</v>
      </c>
      <c r="O805" s="140">
        <v>35</v>
      </c>
      <c r="U805" s="138"/>
    </row>
    <row r="806" spans="2:23" ht="15.5" outlineLevel="1" x14ac:dyDescent="0.35">
      <c r="D806" s="10"/>
      <c r="E806" s="10"/>
      <c r="F806" s="11" t="s">
        <v>459</v>
      </c>
      <c r="G806" s="11"/>
      <c r="H806" s="140"/>
      <c r="I806" s="56"/>
      <c r="J806" s="140"/>
      <c r="K806" s="140"/>
      <c r="L806" s="140"/>
      <c r="M806" s="452"/>
      <c r="N806" s="140">
        <f t="shared" si="138"/>
        <v>0</v>
      </c>
      <c r="O806" s="458"/>
      <c r="P806" s="504"/>
      <c r="S806" s="324"/>
      <c r="U806" s="138"/>
    </row>
    <row r="807" spans="2:23" ht="15.5" outlineLevel="1" x14ac:dyDescent="0.35">
      <c r="C807" s="10" t="s">
        <v>456</v>
      </c>
      <c r="D807" s="10">
        <v>14</v>
      </c>
      <c r="E807" s="10">
        <v>50</v>
      </c>
      <c r="F807" s="10" t="s">
        <v>458</v>
      </c>
      <c r="H807" s="140">
        <v>12</v>
      </c>
      <c r="I807" s="56">
        <v>787</v>
      </c>
      <c r="J807" s="140">
        <f>787+388+40+47</f>
        <v>1262</v>
      </c>
      <c r="K807" s="140">
        <f>+H807/I807*J807</f>
        <v>19.242693773824652</v>
      </c>
      <c r="L807" s="140">
        <f>+H807+K807</f>
        <v>31.242693773824652</v>
      </c>
      <c r="M807" s="453">
        <v>0.3</v>
      </c>
      <c r="N807" s="140">
        <f t="shared" si="138"/>
        <v>40.615501905972046</v>
      </c>
      <c r="O807" s="140">
        <v>50</v>
      </c>
      <c r="Q807" s="451"/>
      <c r="R807" s="451"/>
      <c r="S807" s="10" t="s">
        <v>971</v>
      </c>
      <c r="U807" s="138"/>
    </row>
    <row r="808" spans="2:23" ht="15.5" outlineLevel="1" x14ac:dyDescent="0.35">
      <c r="D808" s="10"/>
      <c r="E808" s="10"/>
      <c r="F808" s="11" t="s">
        <v>490</v>
      </c>
      <c r="G808" s="11"/>
      <c r="H808" s="140"/>
      <c r="I808" s="56"/>
      <c r="J808" s="140"/>
      <c r="K808" s="140"/>
      <c r="L808" s="140"/>
      <c r="M808" s="453"/>
      <c r="N808" s="140">
        <f t="shared" si="138"/>
        <v>0</v>
      </c>
      <c r="O808" s="140"/>
      <c r="S808" s="324"/>
      <c r="U808" s="138"/>
    </row>
    <row r="809" spans="2:23" ht="15.5" outlineLevel="1" x14ac:dyDescent="0.35">
      <c r="C809" s="10" t="s">
        <v>251</v>
      </c>
      <c r="D809" s="10">
        <v>18</v>
      </c>
      <c r="E809" s="10">
        <v>40</v>
      </c>
      <c r="F809" s="10" t="s">
        <v>488</v>
      </c>
      <c r="H809" s="140">
        <v>15</v>
      </c>
      <c r="I809" s="56">
        <v>9148</v>
      </c>
      <c r="J809" s="140">
        <v>15477</v>
      </c>
      <c r="K809" s="140">
        <f t="shared" ref="K809:K814" si="139">+H809/I809*J809</f>
        <v>25.377678181023175</v>
      </c>
      <c r="L809" s="140">
        <f t="shared" ref="L809:L814" si="140">+H809+K809</f>
        <v>40.377678181023171</v>
      </c>
      <c r="M809" s="453">
        <v>0.3</v>
      </c>
      <c r="N809" s="140">
        <f t="shared" si="138"/>
        <v>52.490981635330122</v>
      </c>
      <c r="O809" s="140">
        <v>65</v>
      </c>
      <c r="S809" s="324"/>
      <c r="U809" s="138"/>
    </row>
    <row r="810" spans="2:23" s="57" customFormat="1" ht="15.5" outlineLevel="1" x14ac:dyDescent="0.35">
      <c r="B810" s="11"/>
      <c r="C810" s="10" t="s">
        <v>99</v>
      </c>
      <c r="D810" s="10">
        <v>21</v>
      </c>
      <c r="E810" s="10">
        <v>46</v>
      </c>
      <c r="F810" s="10" t="s">
        <v>483</v>
      </c>
      <c r="G810" s="10"/>
      <c r="H810" s="140">
        <v>18</v>
      </c>
      <c r="I810" s="56">
        <v>9148</v>
      </c>
      <c r="J810" s="140">
        <v>15477</v>
      </c>
      <c r="K810" s="140">
        <f t="shared" si="139"/>
        <v>30.453213817227809</v>
      </c>
      <c r="L810" s="140">
        <f t="shared" si="140"/>
        <v>48.453213817227805</v>
      </c>
      <c r="M810" s="453">
        <v>0.3</v>
      </c>
      <c r="N810" s="140">
        <f t="shared" si="138"/>
        <v>62.989177962396148</v>
      </c>
      <c r="O810" s="140">
        <v>65</v>
      </c>
      <c r="P810" s="325"/>
      <c r="Q810" s="10"/>
      <c r="R810" s="10"/>
      <c r="S810" s="324" t="s">
        <v>12</v>
      </c>
      <c r="T810" s="404">
        <v>45782</v>
      </c>
      <c r="U810" s="138"/>
      <c r="V810" s="10"/>
      <c r="W810" s="10"/>
    </row>
    <row r="811" spans="2:23" ht="15.5" outlineLevel="1" x14ac:dyDescent="0.35">
      <c r="C811" s="10" t="s">
        <v>99</v>
      </c>
      <c r="D811" s="10">
        <v>22</v>
      </c>
      <c r="E811" s="10">
        <v>48</v>
      </c>
      <c r="F811" s="10" t="s">
        <v>482</v>
      </c>
      <c r="H811" s="140">
        <v>20</v>
      </c>
      <c r="I811" s="56">
        <v>9148</v>
      </c>
      <c r="J811" s="140">
        <v>15477</v>
      </c>
      <c r="K811" s="140">
        <f t="shared" si="139"/>
        <v>33.83690424136423</v>
      </c>
      <c r="L811" s="140">
        <f t="shared" si="140"/>
        <v>53.83690424136423</v>
      </c>
      <c r="M811" s="453">
        <v>0.3</v>
      </c>
      <c r="N811" s="140">
        <f t="shared" si="138"/>
        <v>69.987975513773506</v>
      </c>
      <c r="O811" s="140">
        <v>65</v>
      </c>
      <c r="S811" s="324"/>
      <c r="U811" s="138"/>
    </row>
    <row r="812" spans="2:23" ht="15.5" outlineLevel="1" x14ac:dyDescent="0.35">
      <c r="B812" s="57" t="s">
        <v>470</v>
      </c>
      <c r="C812" s="57" t="s">
        <v>18</v>
      </c>
      <c r="D812" s="10">
        <v>23</v>
      </c>
      <c r="E812" s="57">
        <v>44</v>
      </c>
      <c r="F812" s="57" t="s">
        <v>471</v>
      </c>
      <c r="G812" s="57"/>
      <c r="H812" s="147">
        <v>10</v>
      </c>
      <c r="I812" s="65">
        <v>9148</v>
      </c>
      <c r="J812" s="147">
        <v>15477</v>
      </c>
      <c r="K812" s="147">
        <f t="shared" si="139"/>
        <v>16.918452120682115</v>
      </c>
      <c r="L812" s="147">
        <f t="shared" si="140"/>
        <v>26.918452120682115</v>
      </c>
      <c r="M812" s="478">
        <v>0.3</v>
      </c>
      <c r="N812" s="140">
        <f t="shared" si="138"/>
        <v>34.993987756886753</v>
      </c>
      <c r="O812" s="147">
        <v>55</v>
      </c>
      <c r="P812" s="490"/>
      <c r="Q812" s="66"/>
      <c r="R812" s="66"/>
      <c r="S812" s="86"/>
      <c r="T812" s="480"/>
      <c r="U812" s="337"/>
      <c r="V812" s="57"/>
      <c r="W812" s="57"/>
    </row>
    <row r="813" spans="2:23" ht="15.5" outlineLevel="1" x14ac:dyDescent="0.35">
      <c r="B813" s="57" t="s">
        <v>470</v>
      </c>
      <c r="C813" s="57" t="s">
        <v>18</v>
      </c>
      <c r="D813" s="10">
        <v>24</v>
      </c>
      <c r="E813" s="57">
        <v>46</v>
      </c>
      <c r="F813" s="57" t="s">
        <v>471</v>
      </c>
      <c r="G813" s="57"/>
      <c r="H813" s="147">
        <v>10</v>
      </c>
      <c r="I813" s="65">
        <v>9148</v>
      </c>
      <c r="J813" s="147">
        <v>15477</v>
      </c>
      <c r="K813" s="147">
        <f t="shared" si="139"/>
        <v>16.918452120682115</v>
      </c>
      <c r="L813" s="147">
        <f t="shared" si="140"/>
        <v>26.918452120682115</v>
      </c>
      <c r="M813" s="478">
        <v>0.3</v>
      </c>
      <c r="N813" s="140">
        <f t="shared" si="138"/>
        <v>34.993987756886753</v>
      </c>
      <c r="O813" s="147">
        <v>55</v>
      </c>
      <c r="P813" s="490"/>
      <c r="Q813" s="66"/>
      <c r="R813" s="66"/>
      <c r="S813" s="86"/>
      <c r="T813" s="480"/>
      <c r="U813" s="337"/>
      <c r="V813" s="57"/>
      <c r="W813" s="57"/>
    </row>
    <row r="814" spans="2:23" ht="15.5" outlineLevel="1" x14ac:dyDescent="0.35">
      <c r="B814" s="57" t="s">
        <v>470</v>
      </c>
      <c r="C814" s="57" t="s">
        <v>18</v>
      </c>
      <c r="D814" s="10">
        <v>25</v>
      </c>
      <c r="E814" s="57">
        <v>48</v>
      </c>
      <c r="F814" s="57" t="s">
        <v>471</v>
      </c>
      <c r="G814" s="57"/>
      <c r="H814" s="147">
        <v>10</v>
      </c>
      <c r="I814" s="65">
        <v>9148</v>
      </c>
      <c r="J814" s="147">
        <v>15477</v>
      </c>
      <c r="K814" s="147">
        <f t="shared" si="139"/>
        <v>16.918452120682115</v>
      </c>
      <c r="L814" s="147">
        <f t="shared" si="140"/>
        <v>26.918452120682115</v>
      </c>
      <c r="M814" s="478">
        <v>0.3</v>
      </c>
      <c r="N814" s="140">
        <f t="shared" si="138"/>
        <v>34.993987756886753</v>
      </c>
      <c r="O814" s="147">
        <v>55</v>
      </c>
      <c r="P814" s="490"/>
      <c r="Q814" s="66"/>
      <c r="R814" s="66"/>
      <c r="S814" s="86"/>
      <c r="T814" s="480"/>
      <c r="U814" s="337"/>
      <c r="V814" s="57"/>
      <c r="W814" s="57"/>
    </row>
    <row r="815" spans="2:23" ht="15.5" x14ac:dyDescent="0.35">
      <c r="D815" s="10"/>
      <c r="E815" s="10"/>
      <c r="F815" s="339" t="s">
        <v>683</v>
      </c>
      <c r="G815" s="339"/>
      <c r="H815" s="140"/>
      <c r="I815" s="56"/>
      <c r="J815" s="140"/>
      <c r="K815" s="140"/>
      <c r="L815" s="140"/>
      <c r="M815" s="453"/>
      <c r="O815" s="140"/>
      <c r="U815" s="138"/>
    </row>
    <row r="816" spans="2:23" ht="15.5" x14ac:dyDescent="0.35">
      <c r="B816" s="11" t="s">
        <v>572</v>
      </c>
      <c r="C816" s="10" t="s">
        <v>456</v>
      </c>
      <c r="D816" s="10">
        <v>28</v>
      </c>
      <c r="E816" s="10">
        <v>52</v>
      </c>
      <c r="F816" s="10" t="s">
        <v>650</v>
      </c>
      <c r="H816" s="140">
        <v>13</v>
      </c>
      <c r="I816" s="56">
        <v>6911</v>
      </c>
      <c r="J816" s="140">
        <v>4716</v>
      </c>
      <c r="K816" s="140">
        <f>+H816/I816*J816</f>
        <v>8.8710750976703814</v>
      </c>
      <c r="L816" s="140">
        <f>+H816+K816</f>
        <v>21.871075097670381</v>
      </c>
      <c r="M816" s="453">
        <v>0.3</v>
      </c>
      <c r="N816" s="140">
        <f>+L816*M816+L816</f>
        <v>28.432397626971497</v>
      </c>
      <c r="O816" s="140">
        <v>45</v>
      </c>
      <c r="Q816" s="451"/>
      <c r="R816" s="451"/>
      <c r="U816" s="138"/>
    </row>
    <row r="817" spans="1:23" s="57" customFormat="1" ht="15.5" x14ac:dyDescent="0.35">
      <c r="B817" s="11" t="s">
        <v>662</v>
      </c>
      <c r="C817" s="10" t="s">
        <v>673</v>
      </c>
      <c r="D817" s="10">
        <v>31</v>
      </c>
      <c r="E817" s="10">
        <v>38</v>
      </c>
      <c r="F817" s="10" t="s">
        <v>674</v>
      </c>
      <c r="G817" s="10"/>
      <c r="H817" s="140">
        <v>9</v>
      </c>
      <c r="I817" s="56">
        <v>6911</v>
      </c>
      <c r="J817" s="140">
        <v>4716</v>
      </c>
      <c r="K817" s="140">
        <f>+H817/I817*J817</f>
        <v>6.1415135291564171</v>
      </c>
      <c r="L817" s="140">
        <f>+H817+K817</f>
        <v>15.141513529156416</v>
      </c>
      <c r="M817" s="453">
        <v>0.3</v>
      </c>
      <c r="N817" s="140">
        <f>+L817*M817+L817</f>
        <v>19.683967587903339</v>
      </c>
      <c r="O817" s="140">
        <v>45</v>
      </c>
      <c r="P817" s="325"/>
      <c r="Q817" s="451"/>
      <c r="R817" s="451"/>
      <c r="S817" s="10"/>
      <c r="T817" s="404"/>
      <c r="U817" s="138"/>
      <c r="V817" s="10"/>
      <c r="W817" s="10"/>
    </row>
    <row r="818" spans="1:23" ht="15" customHeight="1" outlineLevel="1" x14ac:dyDescent="0.35">
      <c r="B818" s="57"/>
      <c r="C818" s="241"/>
      <c r="D818" s="244"/>
      <c r="E818" s="244"/>
      <c r="F818" s="330" t="s">
        <v>840</v>
      </c>
      <c r="G818" s="330"/>
      <c r="H818" s="459"/>
      <c r="I818" s="460"/>
      <c r="J818" s="459"/>
      <c r="K818" s="459"/>
      <c r="L818" s="459"/>
      <c r="M818" s="461"/>
      <c r="N818" s="459"/>
      <c r="O818" s="462"/>
      <c r="P818" s="463"/>
      <c r="Q818" s="57"/>
      <c r="R818" s="57"/>
      <c r="S818" s="57"/>
      <c r="T818" s="464"/>
      <c r="U818" s="337"/>
      <c r="V818" s="244"/>
      <c r="W818" s="244"/>
    </row>
    <row r="819" spans="1:23" customFormat="1" ht="15.5" x14ac:dyDescent="0.35">
      <c r="B819" s="233"/>
      <c r="C819" s="233" t="s">
        <v>585</v>
      </c>
      <c r="D819" s="57">
        <v>39</v>
      </c>
      <c r="E819" s="173">
        <v>46</v>
      </c>
      <c r="F819" s="244" t="s">
        <v>800</v>
      </c>
      <c r="G819" s="244"/>
      <c r="H819" s="4">
        <v>10</v>
      </c>
      <c r="I819" s="4">
        <v>9682</v>
      </c>
      <c r="J819" s="173">
        <v>7766</v>
      </c>
      <c r="K819" s="145">
        <f>+H819/I819*J819</f>
        <v>8.0210700268539554</v>
      </c>
      <c r="L819" s="145">
        <f>+H819+K819</f>
        <v>18.021070026853955</v>
      </c>
      <c r="M819" s="468">
        <v>0.4</v>
      </c>
      <c r="N819" s="145">
        <f>+L819*1.4</f>
        <v>25.229498037595537</v>
      </c>
      <c r="O819" s="146">
        <v>45</v>
      </c>
      <c r="P819" s="466"/>
      <c r="Q819" s="451"/>
      <c r="R819" s="451"/>
      <c r="T819" s="467"/>
      <c r="U819" s="420"/>
    </row>
    <row r="820" spans="1:23" customFormat="1" ht="15.5" x14ac:dyDescent="0.35">
      <c r="B820" s="233"/>
      <c r="C820" s="233" t="s">
        <v>585</v>
      </c>
      <c r="D820" s="57">
        <v>40</v>
      </c>
      <c r="E820" s="173">
        <v>44</v>
      </c>
      <c r="F820" s="244" t="s">
        <v>800</v>
      </c>
      <c r="G820" s="244"/>
      <c r="H820" s="4">
        <v>10</v>
      </c>
      <c r="I820" s="4">
        <v>9682</v>
      </c>
      <c r="J820" s="173">
        <v>7766</v>
      </c>
      <c r="K820" s="145">
        <f>+H820/I820*J820</f>
        <v>8.0210700268539554</v>
      </c>
      <c r="L820" s="145">
        <f>+H820+K820</f>
        <v>18.021070026853955</v>
      </c>
      <c r="M820" s="468">
        <v>0.4</v>
      </c>
      <c r="N820" s="145">
        <f>+L820*1.4</f>
        <v>25.229498037595537</v>
      </c>
      <c r="O820" s="146">
        <v>45</v>
      </c>
      <c r="P820" s="466"/>
      <c r="Q820" s="451"/>
      <c r="R820" s="451"/>
      <c r="S820" s="10"/>
      <c r="T820" s="467"/>
      <c r="U820" s="420"/>
    </row>
    <row r="821" spans="1:23" customFormat="1" ht="14.5" x14ac:dyDescent="0.35">
      <c r="B821" s="233"/>
      <c r="C821" s="3" t="s">
        <v>1692</v>
      </c>
      <c r="E821" s="366"/>
      <c r="F821" s="245"/>
      <c r="G821" s="245"/>
      <c r="H821" s="146"/>
      <c r="J821" s="173"/>
      <c r="K821" s="173"/>
      <c r="L821" s="402"/>
      <c r="M821" s="174"/>
      <c r="N821" s="173"/>
      <c r="O821" s="173"/>
      <c r="P821" s="344"/>
      <c r="Q821" s="92"/>
      <c r="R821" s="92"/>
      <c r="U821" s="420"/>
    </row>
    <row r="822" spans="1:23" customFormat="1" ht="14.5" x14ac:dyDescent="0.35">
      <c r="A822" s="3"/>
      <c r="B822" s="3"/>
      <c r="C822" s="233" t="s">
        <v>1631</v>
      </c>
      <c r="E822" s="366">
        <v>42</v>
      </c>
      <c r="F822" s="245" t="s">
        <v>1583</v>
      </c>
      <c r="G822" s="245"/>
      <c r="H822" s="173">
        <v>14</v>
      </c>
      <c r="I822">
        <v>6149</v>
      </c>
      <c r="J822" s="173">
        <f t="shared" ref="J822:J838" si="141">5832-600</f>
        <v>5232</v>
      </c>
      <c r="K822" s="402">
        <f t="shared" ref="K822:K838" si="142">+H822/I822*J822</f>
        <v>11.912180842413401</v>
      </c>
      <c r="L822" s="173">
        <f t="shared" ref="L822:L838" si="143">+H822+K822</f>
        <v>25.912180842413399</v>
      </c>
      <c r="M822" s="174"/>
      <c r="N822" s="173">
        <f t="shared" ref="N822:N838" si="144">+L822*1.4</f>
        <v>36.277053179378754</v>
      </c>
      <c r="O822" s="173">
        <v>55</v>
      </c>
      <c r="P822" s="13"/>
    </row>
    <row r="823" spans="1:23" customFormat="1" ht="14.5" x14ac:dyDescent="0.35">
      <c r="A823" s="3"/>
      <c r="B823" s="3"/>
      <c r="C823" s="233" t="s">
        <v>1631</v>
      </c>
      <c r="E823" s="366">
        <v>44</v>
      </c>
      <c r="F823" s="371" t="s">
        <v>1583</v>
      </c>
      <c r="G823" s="371"/>
      <c r="H823" s="176">
        <v>14</v>
      </c>
      <c r="I823" s="12">
        <v>6149</v>
      </c>
      <c r="J823" s="176">
        <f t="shared" si="141"/>
        <v>5232</v>
      </c>
      <c r="K823" s="410">
        <f t="shared" si="142"/>
        <v>11.912180842413401</v>
      </c>
      <c r="L823" s="176">
        <f t="shared" si="143"/>
        <v>25.912180842413399</v>
      </c>
      <c r="M823" s="411"/>
      <c r="N823" s="176">
        <f t="shared" si="144"/>
        <v>36.277053179378754</v>
      </c>
      <c r="O823" s="176">
        <v>55</v>
      </c>
      <c r="P823" s="13"/>
      <c r="S823" t="s">
        <v>12</v>
      </c>
      <c r="T823" s="6">
        <v>46053</v>
      </c>
    </row>
    <row r="824" spans="1:23" customFormat="1" ht="14.5" x14ac:dyDescent="0.35">
      <c r="A824" s="3"/>
      <c r="B824" s="3"/>
      <c r="C824" s="233" t="s">
        <v>1631</v>
      </c>
      <c r="E824" s="366">
        <v>50</v>
      </c>
      <c r="F824" s="245" t="s">
        <v>1583</v>
      </c>
      <c r="G824" s="245"/>
      <c r="H824" s="173">
        <v>14</v>
      </c>
      <c r="I824">
        <v>6149</v>
      </c>
      <c r="J824" s="173">
        <f t="shared" si="141"/>
        <v>5232</v>
      </c>
      <c r="K824" s="402">
        <f t="shared" si="142"/>
        <v>11.912180842413401</v>
      </c>
      <c r="L824" s="173">
        <f t="shared" si="143"/>
        <v>25.912180842413399</v>
      </c>
      <c r="M824" s="174"/>
      <c r="N824" s="173">
        <f t="shared" si="144"/>
        <v>36.277053179378754</v>
      </c>
      <c r="O824" s="173">
        <v>55</v>
      </c>
      <c r="P824" s="13"/>
    </row>
    <row r="825" spans="1:23" customFormat="1" ht="14.5" x14ac:dyDescent="0.35">
      <c r="A825" s="3"/>
      <c r="B825" s="3"/>
      <c r="C825" s="233" t="s">
        <v>1631</v>
      </c>
      <c r="E825" s="366">
        <v>42</v>
      </c>
      <c r="F825" s="245" t="s">
        <v>1628</v>
      </c>
      <c r="G825" s="245"/>
      <c r="H825" s="173">
        <v>13</v>
      </c>
      <c r="I825">
        <v>6149</v>
      </c>
      <c r="J825" s="173">
        <f t="shared" si="141"/>
        <v>5232</v>
      </c>
      <c r="K825" s="402">
        <f t="shared" si="142"/>
        <v>11.061310782241016</v>
      </c>
      <c r="L825" s="173">
        <f t="shared" si="143"/>
        <v>24.061310782241016</v>
      </c>
      <c r="M825" s="174"/>
      <c r="N825" s="173">
        <f t="shared" si="144"/>
        <v>33.685835095137421</v>
      </c>
      <c r="O825" s="173">
        <v>55</v>
      </c>
      <c r="P825" s="13"/>
    </row>
    <row r="826" spans="1:23" customFormat="1" ht="14.5" x14ac:dyDescent="0.35">
      <c r="A826" s="3"/>
      <c r="B826" s="3"/>
      <c r="C826" s="233" t="s">
        <v>1631</v>
      </c>
      <c r="E826" s="366">
        <v>44</v>
      </c>
      <c r="F826" s="245" t="s">
        <v>1628</v>
      </c>
      <c r="G826" s="245"/>
      <c r="H826" s="173">
        <v>13</v>
      </c>
      <c r="I826">
        <v>6149</v>
      </c>
      <c r="J826" s="173">
        <f t="shared" si="141"/>
        <v>5232</v>
      </c>
      <c r="K826" s="402">
        <f t="shared" si="142"/>
        <v>11.061310782241016</v>
      </c>
      <c r="L826" s="173">
        <f t="shared" si="143"/>
        <v>24.061310782241016</v>
      </c>
      <c r="M826" s="174"/>
      <c r="N826" s="173">
        <f t="shared" si="144"/>
        <v>33.685835095137421</v>
      </c>
      <c r="O826" s="173">
        <v>55</v>
      </c>
      <c r="P826" s="13"/>
      <c r="Q826" s="4"/>
      <c r="R826" s="4"/>
    </row>
    <row r="827" spans="1:23" customFormat="1" ht="14.5" x14ac:dyDescent="0.35">
      <c r="A827" s="3"/>
      <c r="B827" s="3"/>
      <c r="C827" s="233" t="s">
        <v>1631</v>
      </c>
      <c r="E827" s="366">
        <v>46</v>
      </c>
      <c r="F827" s="245" t="s">
        <v>1628</v>
      </c>
      <c r="G827" s="245"/>
      <c r="H827" s="173">
        <v>13</v>
      </c>
      <c r="I827">
        <v>6149</v>
      </c>
      <c r="J827" s="173">
        <f t="shared" si="141"/>
        <v>5232</v>
      </c>
      <c r="K827" s="402">
        <f t="shared" si="142"/>
        <v>11.061310782241016</v>
      </c>
      <c r="L827" s="173">
        <f t="shared" si="143"/>
        <v>24.061310782241016</v>
      </c>
      <c r="M827" s="174"/>
      <c r="N827" s="173">
        <f t="shared" si="144"/>
        <v>33.685835095137421</v>
      </c>
      <c r="O827" s="173">
        <v>55</v>
      </c>
      <c r="P827" s="13"/>
    </row>
    <row r="828" spans="1:23" customFormat="1" ht="14.5" x14ac:dyDescent="0.35">
      <c r="A828" s="3"/>
      <c r="B828" s="3"/>
      <c r="C828" s="233" t="s">
        <v>1631</v>
      </c>
      <c r="E828" s="366">
        <v>48</v>
      </c>
      <c r="F828" s="371" t="s">
        <v>1628</v>
      </c>
      <c r="G828" s="371"/>
      <c r="H828" s="176">
        <v>13</v>
      </c>
      <c r="I828" s="12">
        <v>6149</v>
      </c>
      <c r="J828" s="176">
        <f t="shared" si="141"/>
        <v>5232</v>
      </c>
      <c r="K828" s="410">
        <f t="shared" si="142"/>
        <v>11.061310782241016</v>
      </c>
      <c r="L828" s="176">
        <f t="shared" si="143"/>
        <v>24.061310782241016</v>
      </c>
      <c r="M828" s="411"/>
      <c r="N828" s="176">
        <f t="shared" si="144"/>
        <v>33.685835095137421</v>
      </c>
      <c r="O828" s="176">
        <v>55</v>
      </c>
      <c r="P828" s="13"/>
      <c r="S828" t="s">
        <v>12</v>
      </c>
      <c r="T828" s="6">
        <v>46136</v>
      </c>
    </row>
    <row r="829" spans="1:23" customFormat="1" ht="14.5" x14ac:dyDescent="0.35">
      <c r="A829" s="3"/>
      <c r="B829" s="3"/>
      <c r="C829" s="233" t="s">
        <v>1631</v>
      </c>
      <c r="E829" s="366">
        <v>50</v>
      </c>
      <c r="F829" s="245" t="s">
        <v>1628</v>
      </c>
      <c r="G829" s="245"/>
      <c r="H829" s="173">
        <v>12</v>
      </c>
      <c r="I829">
        <v>6149</v>
      </c>
      <c r="J829" s="173">
        <f t="shared" si="141"/>
        <v>5232</v>
      </c>
      <c r="K829" s="402">
        <f t="shared" si="142"/>
        <v>10.210440722068629</v>
      </c>
      <c r="L829" s="173">
        <f t="shared" si="143"/>
        <v>22.210440722068629</v>
      </c>
      <c r="M829" s="174"/>
      <c r="N829" s="173">
        <f t="shared" si="144"/>
        <v>31.09461701089608</v>
      </c>
      <c r="O829" s="173">
        <v>55</v>
      </c>
      <c r="P829" s="13"/>
    </row>
    <row r="830" spans="1:23" customFormat="1" ht="14.5" x14ac:dyDescent="0.35">
      <c r="A830" s="3"/>
      <c r="B830" s="3"/>
      <c r="C830" s="233" t="s">
        <v>1631</v>
      </c>
      <c r="E830" s="366">
        <v>54</v>
      </c>
      <c r="F830" s="371" t="s">
        <v>1629</v>
      </c>
      <c r="G830" s="371"/>
      <c r="H830" s="176">
        <v>12</v>
      </c>
      <c r="I830" s="12">
        <v>6149</v>
      </c>
      <c r="J830" s="176">
        <f t="shared" si="141"/>
        <v>5232</v>
      </c>
      <c r="K830" s="410">
        <f t="shared" si="142"/>
        <v>10.210440722068629</v>
      </c>
      <c r="L830" s="176">
        <f t="shared" si="143"/>
        <v>22.210440722068629</v>
      </c>
      <c r="M830" s="411"/>
      <c r="N830" s="176">
        <f t="shared" si="144"/>
        <v>31.09461701089608</v>
      </c>
      <c r="O830" s="176">
        <v>55</v>
      </c>
      <c r="P830" s="13"/>
      <c r="S830" t="s">
        <v>12</v>
      </c>
      <c r="T830" s="6">
        <v>46136</v>
      </c>
    </row>
    <row r="831" spans="1:23" customFormat="1" ht="14.5" x14ac:dyDescent="0.35">
      <c r="A831" s="3"/>
      <c r="B831" s="3"/>
      <c r="C831" s="233" t="s">
        <v>1631</v>
      </c>
      <c r="E831" s="366">
        <v>56</v>
      </c>
      <c r="F831" s="245" t="s">
        <v>1629</v>
      </c>
      <c r="G831" s="245"/>
      <c r="H831" s="173">
        <v>12</v>
      </c>
      <c r="I831">
        <v>6149</v>
      </c>
      <c r="J831" s="173">
        <f t="shared" si="141"/>
        <v>5232</v>
      </c>
      <c r="K831" s="402">
        <f t="shared" si="142"/>
        <v>10.210440722068629</v>
      </c>
      <c r="L831" s="173">
        <f t="shared" si="143"/>
        <v>22.210440722068629</v>
      </c>
      <c r="M831" s="174"/>
      <c r="N831" s="173">
        <f t="shared" si="144"/>
        <v>31.09461701089608</v>
      </c>
      <c r="O831" s="173">
        <v>55</v>
      </c>
      <c r="P831" s="13"/>
    </row>
    <row r="832" spans="1:23" customFormat="1" ht="14.5" x14ac:dyDescent="0.35">
      <c r="A832" s="3"/>
      <c r="B832" s="3"/>
      <c r="C832" s="233" t="s">
        <v>1631</v>
      </c>
      <c r="E832" s="366">
        <v>46</v>
      </c>
      <c r="F832" s="245" t="s">
        <v>1630</v>
      </c>
      <c r="G832" s="245"/>
      <c r="H832" s="173">
        <v>11</v>
      </c>
      <c r="I832">
        <v>6149</v>
      </c>
      <c r="J832" s="173">
        <f t="shared" si="141"/>
        <v>5232</v>
      </c>
      <c r="K832" s="402">
        <f t="shared" si="142"/>
        <v>9.3595706618962442</v>
      </c>
      <c r="L832" s="173">
        <f t="shared" si="143"/>
        <v>20.359570661896242</v>
      </c>
      <c r="M832" s="174"/>
      <c r="N832" s="173">
        <f t="shared" si="144"/>
        <v>28.503398926654736</v>
      </c>
      <c r="O832" s="173">
        <v>45</v>
      </c>
      <c r="P832" s="13"/>
    </row>
    <row r="833" spans="1:20" customFormat="1" ht="14.5" x14ac:dyDescent="0.35">
      <c r="A833" s="3"/>
      <c r="B833" s="3"/>
      <c r="C833" s="233" t="s">
        <v>1631</v>
      </c>
      <c r="E833" s="366">
        <v>48</v>
      </c>
      <c r="F833" s="245" t="s">
        <v>1630</v>
      </c>
      <c r="G833" s="245"/>
      <c r="H833" s="173">
        <v>11</v>
      </c>
      <c r="I833">
        <v>6149</v>
      </c>
      <c r="J833" s="173">
        <f t="shared" si="141"/>
        <v>5232</v>
      </c>
      <c r="K833" s="402">
        <f t="shared" si="142"/>
        <v>9.3595706618962442</v>
      </c>
      <c r="L833" s="173">
        <f t="shared" si="143"/>
        <v>20.359570661896242</v>
      </c>
      <c r="M833" s="174"/>
      <c r="N833" s="173">
        <f t="shared" si="144"/>
        <v>28.503398926654736</v>
      </c>
      <c r="O833" s="173">
        <v>45</v>
      </c>
      <c r="P833" s="13"/>
    </row>
    <row r="834" spans="1:20" customFormat="1" ht="14.5" x14ac:dyDescent="0.35">
      <c r="A834" s="3"/>
      <c r="B834" s="3"/>
      <c r="C834" s="233" t="s">
        <v>1631</v>
      </c>
      <c r="E834" s="366">
        <v>50</v>
      </c>
      <c r="F834" s="245" t="s">
        <v>1630</v>
      </c>
      <c r="G834" s="245"/>
      <c r="H834" s="173">
        <v>11</v>
      </c>
      <c r="I834">
        <v>6149</v>
      </c>
      <c r="J834" s="173">
        <f t="shared" si="141"/>
        <v>5232</v>
      </c>
      <c r="K834" s="402">
        <f t="shared" si="142"/>
        <v>9.3595706618962442</v>
      </c>
      <c r="L834" s="173">
        <f t="shared" si="143"/>
        <v>20.359570661896242</v>
      </c>
      <c r="M834" s="174"/>
      <c r="N834" s="173">
        <f t="shared" si="144"/>
        <v>28.503398926654736</v>
      </c>
      <c r="O834" s="173">
        <v>45</v>
      </c>
      <c r="P834" s="13"/>
    </row>
    <row r="835" spans="1:20" customFormat="1" ht="14.5" x14ac:dyDescent="0.35">
      <c r="A835" s="3"/>
      <c r="B835" s="3"/>
      <c r="C835" s="233" t="s">
        <v>1631</v>
      </c>
      <c r="E835" s="366">
        <v>52</v>
      </c>
      <c r="F835" s="245" t="s">
        <v>1630</v>
      </c>
      <c r="G835" s="245"/>
      <c r="H835" s="173">
        <v>11</v>
      </c>
      <c r="I835">
        <v>6149</v>
      </c>
      <c r="J835" s="173">
        <f t="shared" si="141"/>
        <v>5232</v>
      </c>
      <c r="K835" s="402">
        <f t="shared" si="142"/>
        <v>9.3595706618962442</v>
      </c>
      <c r="L835" s="173">
        <f t="shared" si="143"/>
        <v>20.359570661896242</v>
      </c>
      <c r="M835" s="174"/>
      <c r="N835" s="173">
        <f t="shared" si="144"/>
        <v>28.503398926654736</v>
      </c>
      <c r="O835" s="173">
        <v>45</v>
      </c>
      <c r="P835" s="13"/>
    </row>
    <row r="836" spans="1:20" customFormat="1" ht="14.5" x14ac:dyDescent="0.35">
      <c r="A836" s="3"/>
      <c r="B836" s="3"/>
      <c r="C836" s="233" t="s">
        <v>1631</v>
      </c>
      <c r="E836" s="366">
        <v>58</v>
      </c>
      <c r="F836" s="245" t="s">
        <v>1630</v>
      </c>
      <c r="G836" s="245"/>
      <c r="H836" s="173">
        <v>10</v>
      </c>
      <c r="I836">
        <v>6149</v>
      </c>
      <c r="J836" s="173">
        <f t="shared" si="141"/>
        <v>5232</v>
      </c>
      <c r="K836" s="402">
        <f t="shared" si="142"/>
        <v>8.5087006017238576</v>
      </c>
      <c r="L836" s="173">
        <f t="shared" si="143"/>
        <v>18.508700601723859</v>
      </c>
      <c r="M836" s="174"/>
      <c r="N836" s="173">
        <f t="shared" si="144"/>
        <v>25.912180842413402</v>
      </c>
      <c r="O836" s="173">
        <v>45</v>
      </c>
      <c r="P836" s="13"/>
      <c r="T836" s="129"/>
    </row>
    <row r="837" spans="1:20" customFormat="1" ht="14.5" x14ac:dyDescent="0.35">
      <c r="A837" s="3"/>
      <c r="B837" s="3"/>
      <c r="C837" s="233" t="s">
        <v>1602</v>
      </c>
      <c r="E837" s="366">
        <v>50</v>
      </c>
      <c r="F837" s="371" t="s">
        <v>1603</v>
      </c>
      <c r="G837" s="371"/>
      <c r="H837" s="176">
        <v>15</v>
      </c>
      <c r="I837" s="12">
        <v>6149</v>
      </c>
      <c r="J837" s="176">
        <f t="shared" si="141"/>
        <v>5232</v>
      </c>
      <c r="K837" s="410">
        <f t="shared" si="142"/>
        <v>12.763050902585787</v>
      </c>
      <c r="L837" s="176">
        <f t="shared" si="143"/>
        <v>27.763050902585789</v>
      </c>
      <c r="M837" s="411"/>
      <c r="N837" s="176">
        <f t="shared" si="144"/>
        <v>38.868271263620102</v>
      </c>
      <c r="O837" s="176">
        <v>55</v>
      </c>
      <c r="P837" s="13"/>
      <c r="S837" t="s">
        <v>2266</v>
      </c>
      <c r="T837" s="6">
        <v>46038</v>
      </c>
    </row>
    <row r="838" spans="1:20" customFormat="1" ht="14.5" x14ac:dyDescent="0.35">
      <c r="A838" s="3"/>
      <c r="B838" s="3"/>
      <c r="C838" s="233"/>
      <c r="E838" s="366">
        <v>56</v>
      </c>
      <c r="F838" s="245" t="s">
        <v>1603</v>
      </c>
      <c r="G838" s="245"/>
      <c r="H838" s="173">
        <v>15</v>
      </c>
      <c r="I838">
        <v>6149</v>
      </c>
      <c r="J838" s="173">
        <f t="shared" si="141"/>
        <v>5232</v>
      </c>
      <c r="K838" s="402">
        <f t="shared" si="142"/>
        <v>12.763050902585787</v>
      </c>
      <c r="L838" s="173">
        <f t="shared" si="143"/>
        <v>27.763050902585789</v>
      </c>
      <c r="M838" s="174"/>
      <c r="N838" s="173">
        <f t="shared" si="144"/>
        <v>38.868271263620102</v>
      </c>
      <c r="O838" s="173">
        <v>55</v>
      </c>
      <c r="P838" s="13"/>
    </row>
    <row r="839" spans="1:20" customFormat="1" ht="18.5" x14ac:dyDescent="0.45">
      <c r="A839" s="3"/>
      <c r="B839" s="3"/>
      <c r="C839" s="666">
        <v>45901</v>
      </c>
      <c r="E839" s="366"/>
      <c r="F839" s="245"/>
      <c r="G839" s="245"/>
      <c r="H839" s="173"/>
      <c r="J839" s="173"/>
      <c r="K839" s="402"/>
      <c r="L839" s="173"/>
      <c r="M839" s="174"/>
      <c r="N839" s="173"/>
      <c r="O839" s="173"/>
      <c r="P839" s="13"/>
    </row>
    <row r="840" spans="1:20" customFormat="1" ht="14.5" x14ac:dyDescent="0.35">
      <c r="A840" s="3"/>
      <c r="B840" s="232" t="s">
        <v>761</v>
      </c>
      <c r="C840" s="232" t="s">
        <v>761</v>
      </c>
      <c r="E840" s="366">
        <v>44</v>
      </c>
      <c r="F840" s="245" t="s">
        <v>1826</v>
      </c>
      <c r="G840" s="245"/>
      <c r="H840" s="173">
        <v>19</v>
      </c>
      <c r="I840">
        <v>5225</v>
      </c>
      <c r="J840" s="173">
        <v>3700</v>
      </c>
      <c r="K840" s="402">
        <f t="shared" ref="K840:K869" si="145">+H840/I840*J840</f>
        <v>13.454545454545455</v>
      </c>
      <c r="L840" s="173">
        <f t="shared" ref="L840:L869" si="146">+H840+K840</f>
        <v>32.454545454545453</v>
      </c>
      <c r="N840" s="173">
        <f t="shared" ref="N840:N869" si="147">+L840*1.5</f>
        <v>48.68181818181818</v>
      </c>
      <c r="O840" s="173">
        <v>55</v>
      </c>
      <c r="P840" s="344">
        <v>55</v>
      </c>
    </row>
    <row r="841" spans="1:20" customFormat="1" ht="14.5" x14ac:dyDescent="0.35">
      <c r="A841" s="3"/>
      <c r="B841" s="232" t="s">
        <v>761</v>
      </c>
      <c r="C841" s="232" t="s">
        <v>761</v>
      </c>
      <c r="E841" s="366">
        <v>46</v>
      </c>
      <c r="F841" s="245" t="s">
        <v>1826</v>
      </c>
      <c r="G841" s="245"/>
      <c r="H841" s="173">
        <v>19</v>
      </c>
      <c r="I841">
        <v>5225</v>
      </c>
      <c r="J841" s="173">
        <v>3700</v>
      </c>
      <c r="K841" s="402">
        <f t="shared" si="145"/>
        <v>13.454545454545455</v>
      </c>
      <c r="L841" s="173">
        <f t="shared" si="146"/>
        <v>32.454545454545453</v>
      </c>
      <c r="N841" s="173">
        <f t="shared" si="147"/>
        <v>48.68181818181818</v>
      </c>
      <c r="O841" s="173">
        <v>55</v>
      </c>
      <c r="P841" s="344">
        <v>55</v>
      </c>
    </row>
    <row r="842" spans="1:20" customFormat="1" ht="14.5" x14ac:dyDescent="0.35">
      <c r="A842" s="3"/>
      <c r="B842" s="232" t="s">
        <v>761</v>
      </c>
      <c r="C842" s="232" t="s">
        <v>761</v>
      </c>
      <c r="E842" s="366">
        <v>48</v>
      </c>
      <c r="F842" s="245" t="s">
        <v>1826</v>
      </c>
      <c r="G842" s="245"/>
      <c r="H842" s="173">
        <v>19</v>
      </c>
      <c r="I842">
        <v>5225</v>
      </c>
      <c r="J842" s="173">
        <v>3700</v>
      </c>
      <c r="K842" s="402">
        <f t="shared" si="145"/>
        <v>13.454545454545455</v>
      </c>
      <c r="L842" s="173">
        <f t="shared" si="146"/>
        <v>32.454545454545453</v>
      </c>
      <c r="N842" s="173">
        <f t="shared" si="147"/>
        <v>48.68181818181818</v>
      </c>
      <c r="O842" s="173">
        <v>55</v>
      </c>
      <c r="P842" s="344">
        <v>55</v>
      </c>
    </row>
    <row r="843" spans="1:20" customFormat="1" ht="14.5" x14ac:dyDescent="0.35">
      <c r="A843" s="3"/>
      <c r="B843" s="232" t="s">
        <v>761</v>
      </c>
      <c r="C843" s="232" t="s">
        <v>761</v>
      </c>
      <c r="E843" s="366">
        <v>50</v>
      </c>
      <c r="F843" s="245" t="s">
        <v>1826</v>
      </c>
      <c r="G843" s="245"/>
      <c r="H843" s="173">
        <v>19</v>
      </c>
      <c r="I843">
        <v>5225</v>
      </c>
      <c r="J843" s="173">
        <v>3700</v>
      </c>
      <c r="K843" s="402">
        <f t="shared" si="145"/>
        <v>13.454545454545455</v>
      </c>
      <c r="L843" s="173">
        <f t="shared" si="146"/>
        <v>32.454545454545453</v>
      </c>
      <c r="N843" s="173">
        <f t="shared" si="147"/>
        <v>48.68181818181818</v>
      </c>
      <c r="O843" s="173">
        <v>55</v>
      </c>
      <c r="P843" s="344">
        <v>55</v>
      </c>
    </row>
    <row r="844" spans="1:20" customFormat="1" ht="14.5" x14ac:dyDescent="0.35">
      <c r="A844" s="3"/>
      <c r="B844" s="232" t="s">
        <v>1154</v>
      </c>
      <c r="C844" s="232" t="s">
        <v>1154</v>
      </c>
      <c r="E844" s="366">
        <v>46</v>
      </c>
      <c r="F844" s="245" t="s">
        <v>1833</v>
      </c>
      <c r="G844" s="245"/>
      <c r="H844" s="173">
        <v>15</v>
      </c>
      <c r="I844">
        <v>5225</v>
      </c>
      <c r="J844" s="173">
        <v>3700</v>
      </c>
      <c r="K844" s="402">
        <f t="shared" si="145"/>
        <v>10.62200956937799</v>
      </c>
      <c r="L844" s="173">
        <f t="shared" si="146"/>
        <v>25.62200956937799</v>
      </c>
      <c r="N844" s="173">
        <f t="shared" si="147"/>
        <v>38.433014354066984</v>
      </c>
      <c r="O844" s="173">
        <v>65</v>
      </c>
      <c r="P844" s="344">
        <v>65</v>
      </c>
    </row>
    <row r="845" spans="1:20" customFormat="1" ht="14.5" x14ac:dyDescent="0.35">
      <c r="A845" s="3"/>
      <c r="B845" s="232" t="s">
        <v>1154</v>
      </c>
      <c r="C845" s="232" t="s">
        <v>1154</v>
      </c>
      <c r="E845" s="366">
        <v>48</v>
      </c>
      <c r="F845" s="245" t="s">
        <v>1833</v>
      </c>
      <c r="G845" s="245"/>
      <c r="H845" s="173">
        <v>15</v>
      </c>
      <c r="I845">
        <v>5225</v>
      </c>
      <c r="J845" s="173">
        <v>3700</v>
      </c>
      <c r="K845" s="402">
        <f t="shared" si="145"/>
        <v>10.62200956937799</v>
      </c>
      <c r="L845" s="173">
        <f t="shared" si="146"/>
        <v>25.62200956937799</v>
      </c>
      <c r="N845" s="173">
        <f t="shared" si="147"/>
        <v>38.433014354066984</v>
      </c>
      <c r="O845" s="173">
        <v>65</v>
      </c>
      <c r="P845" s="344">
        <v>65</v>
      </c>
    </row>
    <row r="846" spans="1:20" customFormat="1" ht="14.5" x14ac:dyDescent="0.35">
      <c r="A846" s="3"/>
      <c r="B846" s="232" t="s">
        <v>1154</v>
      </c>
      <c r="C846" s="232" t="s">
        <v>1154</v>
      </c>
      <c r="E846" s="366">
        <v>50</v>
      </c>
      <c r="F846" s="245" t="s">
        <v>1833</v>
      </c>
      <c r="G846" s="245"/>
      <c r="H846" s="173">
        <v>15</v>
      </c>
      <c r="I846">
        <v>5225</v>
      </c>
      <c r="J846" s="173">
        <v>3700</v>
      </c>
      <c r="K846" s="402">
        <f t="shared" si="145"/>
        <v>10.62200956937799</v>
      </c>
      <c r="L846" s="173">
        <f t="shared" si="146"/>
        <v>25.62200956937799</v>
      </c>
      <c r="N846" s="173">
        <f t="shared" si="147"/>
        <v>38.433014354066984</v>
      </c>
      <c r="O846" s="173">
        <v>65</v>
      </c>
      <c r="P846" s="344">
        <v>65</v>
      </c>
    </row>
    <row r="847" spans="1:20" customFormat="1" ht="14.5" x14ac:dyDescent="0.35">
      <c r="A847" s="3"/>
      <c r="B847" s="232" t="s">
        <v>1154</v>
      </c>
      <c r="C847" s="232" t="s">
        <v>1154</v>
      </c>
      <c r="E847" s="366">
        <v>52</v>
      </c>
      <c r="F847" s="245" t="s">
        <v>1833</v>
      </c>
      <c r="G847" s="245"/>
      <c r="H847" s="173">
        <v>15</v>
      </c>
      <c r="I847">
        <v>5225</v>
      </c>
      <c r="J847" s="173">
        <v>3700</v>
      </c>
      <c r="K847" s="402">
        <f t="shared" si="145"/>
        <v>10.62200956937799</v>
      </c>
      <c r="L847" s="173">
        <f t="shared" si="146"/>
        <v>25.62200956937799</v>
      </c>
      <c r="N847" s="173">
        <f t="shared" si="147"/>
        <v>38.433014354066984</v>
      </c>
      <c r="O847" s="173">
        <v>65</v>
      </c>
      <c r="P847" s="344">
        <v>65</v>
      </c>
    </row>
    <row r="848" spans="1:20" customFormat="1" ht="14.5" x14ac:dyDescent="0.35">
      <c r="A848" s="3"/>
      <c r="B848" s="232" t="s">
        <v>1154</v>
      </c>
      <c r="C848" s="232" t="s">
        <v>1154</v>
      </c>
      <c r="E848" s="366">
        <v>54</v>
      </c>
      <c r="F848" s="245" t="s">
        <v>1833</v>
      </c>
      <c r="G848" s="245"/>
      <c r="H848" s="173">
        <v>15</v>
      </c>
      <c r="I848">
        <v>5225</v>
      </c>
      <c r="J848" s="173">
        <v>3700</v>
      </c>
      <c r="K848" s="402">
        <f t="shared" si="145"/>
        <v>10.62200956937799</v>
      </c>
      <c r="L848" s="173">
        <f t="shared" si="146"/>
        <v>25.62200956937799</v>
      </c>
      <c r="N848" s="173">
        <f t="shared" si="147"/>
        <v>38.433014354066984</v>
      </c>
      <c r="O848" s="173">
        <v>65</v>
      </c>
      <c r="P848" s="344">
        <v>65</v>
      </c>
    </row>
    <row r="849" spans="1:20" customFormat="1" ht="14.5" x14ac:dyDescent="0.35">
      <c r="A849" s="3"/>
      <c r="B849" s="232" t="s">
        <v>1154</v>
      </c>
      <c r="C849" s="232" t="s">
        <v>1154</v>
      </c>
      <c r="E849" s="366">
        <v>56</v>
      </c>
      <c r="F849" s="245" t="s">
        <v>1833</v>
      </c>
      <c r="G849" s="245"/>
      <c r="H849" s="173">
        <v>15</v>
      </c>
      <c r="I849">
        <v>5225</v>
      </c>
      <c r="J849" s="173">
        <v>3700</v>
      </c>
      <c r="K849" s="402">
        <f t="shared" si="145"/>
        <v>10.62200956937799</v>
      </c>
      <c r="L849" s="173">
        <f t="shared" si="146"/>
        <v>25.62200956937799</v>
      </c>
      <c r="N849" s="173">
        <f t="shared" si="147"/>
        <v>38.433014354066984</v>
      </c>
      <c r="O849" s="173">
        <v>65</v>
      </c>
      <c r="P849" s="344">
        <v>65</v>
      </c>
    </row>
    <row r="850" spans="1:20" customFormat="1" ht="14.5" x14ac:dyDescent="0.35">
      <c r="A850" s="3"/>
      <c r="B850" s="232" t="s">
        <v>1154</v>
      </c>
      <c r="C850" s="232" t="s">
        <v>1154</v>
      </c>
      <c r="E850">
        <v>45</v>
      </c>
      <c r="F850" s="245" t="s">
        <v>1832</v>
      </c>
      <c r="G850" s="245"/>
      <c r="H850" s="173">
        <v>15</v>
      </c>
      <c r="I850">
        <v>5225</v>
      </c>
      <c r="J850" s="173">
        <v>3700</v>
      </c>
      <c r="K850" s="402">
        <f t="shared" si="145"/>
        <v>10.62200956937799</v>
      </c>
      <c r="L850" s="173">
        <f t="shared" si="146"/>
        <v>25.62200956937799</v>
      </c>
      <c r="N850" s="173">
        <f t="shared" si="147"/>
        <v>38.433014354066984</v>
      </c>
      <c r="O850" s="173">
        <v>65</v>
      </c>
      <c r="P850" s="344">
        <v>65</v>
      </c>
    </row>
    <row r="851" spans="1:20" customFormat="1" ht="14.5" x14ac:dyDescent="0.35">
      <c r="A851" s="3"/>
      <c r="B851" s="232" t="s">
        <v>1154</v>
      </c>
      <c r="C851" s="232" t="s">
        <v>1154</v>
      </c>
      <c r="E851" s="366">
        <v>48</v>
      </c>
      <c r="F851" s="245" t="s">
        <v>1832</v>
      </c>
      <c r="G851" s="245"/>
      <c r="H851" s="173">
        <v>15</v>
      </c>
      <c r="I851">
        <v>5225</v>
      </c>
      <c r="J851" s="173">
        <v>3700</v>
      </c>
      <c r="K851" s="402">
        <f t="shared" si="145"/>
        <v>10.62200956937799</v>
      </c>
      <c r="L851" s="173">
        <f t="shared" si="146"/>
        <v>25.62200956937799</v>
      </c>
      <c r="N851" s="173">
        <f t="shared" si="147"/>
        <v>38.433014354066984</v>
      </c>
      <c r="O851" s="173">
        <v>65</v>
      </c>
      <c r="P851" s="344">
        <v>65</v>
      </c>
    </row>
    <row r="852" spans="1:20" customFormat="1" ht="14.5" x14ac:dyDescent="0.35">
      <c r="A852" s="3"/>
      <c r="B852" s="232" t="s">
        <v>1154</v>
      </c>
      <c r="C852" s="232" t="s">
        <v>1154</v>
      </c>
      <c r="E852" s="366">
        <v>50</v>
      </c>
      <c r="F852" s="245" t="s">
        <v>1832</v>
      </c>
      <c r="G852" s="245"/>
      <c r="H852" s="173">
        <v>15</v>
      </c>
      <c r="I852">
        <v>5225</v>
      </c>
      <c r="J852" s="173">
        <v>3700</v>
      </c>
      <c r="K852" s="402">
        <f t="shared" si="145"/>
        <v>10.62200956937799</v>
      </c>
      <c r="L852" s="173">
        <f t="shared" si="146"/>
        <v>25.62200956937799</v>
      </c>
      <c r="N852" s="173">
        <f t="shared" si="147"/>
        <v>38.433014354066984</v>
      </c>
      <c r="O852" s="173">
        <v>65</v>
      </c>
      <c r="P852" s="344">
        <v>65</v>
      </c>
    </row>
    <row r="853" spans="1:20" customFormat="1" ht="14.5" x14ac:dyDescent="0.35">
      <c r="A853" s="3"/>
      <c r="B853" s="232" t="s">
        <v>1154</v>
      </c>
      <c r="C853" s="232" t="s">
        <v>1154</v>
      </c>
      <c r="E853" s="366">
        <v>52</v>
      </c>
      <c r="F853" s="245" t="s">
        <v>1832</v>
      </c>
      <c r="G853" s="245"/>
      <c r="H853" s="173">
        <v>15</v>
      </c>
      <c r="I853">
        <v>5225</v>
      </c>
      <c r="J853" s="173">
        <v>3700</v>
      </c>
      <c r="K853" s="402">
        <f t="shared" si="145"/>
        <v>10.62200956937799</v>
      </c>
      <c r="L853" s="173">
        <f t="shared" si="146"/>
        <v>25.62200956937799</v>
      </c>
      <c r="N853" s="173">
        <f t="shared" si="147"/>
        <v>38.433014354066984</v>
      </c>
      <c r="O853" s="173">
        <v>65</v>
      </c>
      <c r="P853" s="344">
        <v>65</v>
      </c>
    </row>
    <row r="854" spans="1:20" customFormat="1" ht="14.5" x14ac:dyDescent="0.35">
      <c r="A854" s="3"/>
      <c r="B854" s="232" t="s">
        <v>1154</v>
      </c>
      <c r="C854" s="232" t="s">
        <v>1154</v>
      </c>
      <c r="E854" s="366">
        <v>54</v>
      </c>
      <c r="F854" s="245" t="s">
        <v>1832</v>
      </c>
      <c r="G854" s="245"/>
      <c r="H854" s="173">
        <v>15</v>
      </c>
      <c r="I854">
        <v>5225</v>
      </c>
      <c r="J854" s="173">
        <v>3700</v>
      </c>
      <c r="K854" s="402">
        <f t="shared" si="145"/>
        <v>10.62200956937799</v>
      </c>
      <c r="L854" s="173">
        <f t="shared" si="146"/>
        <v>25.62200956937799</v>
      </c>
      <c r="N854" s="173">
        <f t="shared" si="147"/>
        <v>38.433014354066984</v>
      </c>
      <c r="O854" s="173">
        <v>65</v>
      </c>
      <c r="P854" s="344">
        <v>65</v>
      </c>
    </row>
    <row r="855" spans="1:20" customFormat="1" ht="14.5" x14ac:dyDescent="0.35">
      <c r="A855" s="3"/>
      <c r="B855" s="232" t="s">
        <v>1154</v>
      </c>
      <c r="C855" s="232" t="s">
        <v>1154</v>
      </c>
      <c r="E855">
        <v>46</v>
      </c>
      <c r="F855" s="245" t="s">
        <v>1834</v>
      </c>
      <c r="G855" s="245"/>
      <c r="H855" s="173">
        <v>15</v>
      </c>
      <c r="I855">
        <v>5225</v>
      </c>
      <c r="J855" s="173">
        <v>3700</v>
      </c>
      <c r="K855" s="402">
        <f t="shared" si="145"/>
        <v>10.62200956937799</v>
      </c>
      <c r="L855" s="173">
        <f t="shared" si="146"/>
        <v>25.62200956937799</v>
      </c>
      <c r="N855" s="173">
        <f t="shared" si="147"/>
        <v>38.433014354066984</v>
      </c>
      <c r="O855" s="173">
        <v>65</v>
      </c>
      <c r="P855" s="344">
        <v>65</v>
      </c>
    </row>
    <row r="856" spans="1:20" customFormat="1" ht="14.5" x14ac:dyDescent="0.35">
      <c r="A856" s="3"/>
      <c r="B856" s="232" t="s">
        <v>1154</v>
      </c>
      <c r="C856" s="232" t="s">
        <v>1154</v>
      </c>
      <c r="E856" s="366">
        <v>48</v>
      </c>
      <c r="F856" s="245" t="s">
        <v>1834</v>
      </c>
      <c r="G856" s="245"/>
      <c r="H856" s="173">
        <v>15</v>
      </c>
      <c r="I856">
        <v>5225</v>
      </c>
      <c r="J856" s="173">
        <v>3700</v>
      </c>
      <c r="K856" s="402">
        <f t="shared" si="145"/>
        <v>10.62200956937799</v>
      </c>
      <c r="L856" s="173">
        <f t="shared" si="146"/>
        <v>25.62200956937799</v>
      </c>
      <c r="N856" s="173">
        <f t="shared" si="147"/>
        <v>38.433014354066984</v>
      </c>
      <c r="O856" s="173">
        <v>65</v>
      </c>
      <c r="P856" s="344">
        <v>65</v>
      </c>
    </row>
    <row r="857" spans="1:20" customFormat="1" ht="14.5" x14ac:dyDescent="0.35">
      <c r="A857" s="3"/>
      <c r="B857" s="232" t="s">
        <v>1154</v>
      </c>
      <c r="C857" s="232" t="s">
        <v>1154</v>
      </c>
      <c r="E857" s="366">
        <v>50</v>
      </c>
      <c r="F857" s="245" t="s">
        <v>1834</v>
      </c>
      <c r="G857" s="245"/>
      <c r="H857" s="173">
        <v>15</v>
      </c>
      <c r="I857">
        <v>5225</v>
      </c>
      <c r="J857" s="173">
        <v>3700</v>
      </c>
      <c r="K857" s="402">
        <f t="shared" si="145"/>
        <v>10.62200956937799</v>
      </c>
      <c r="L857" s="173">
        <f t="shared" si="146"/>
        <v>25.62200956937799</v>
      </c>
      <c r="N857" s="173">
        <f t="shared" si="147"/>
        <v>38.433014354066984</v>
      </c>
      <c r="O857" s="173">
        <v>65</v>
      </c>
      <c r="P857" s="344">
        <v>65</v>
      </c>
    </row>
    <row r="858" spans="1:20" customFormat="1" ht="14.5" x14ac:dyDescent="0.35">
      <c r="A858" s="3"/>
      <c r="B858" s="232" t="s">
        <v>1154</v>
      </c>
      <c r="C858" s="232" t="s">
        <v>1154</v>
      </c>
      <c r="E858" s="366">
        <v>52</v>
      </c>
      <c r="F858" s="245" t="s">
        <v>1834</v>
      </c>
      <c r="G858" s="245"/>
      <c r="H858" s="173">
        <v>15</v>
      </c>
      <c r="I858">
        <v>5225</v>
      </c>
      <c r="J858" s="173">
        <v>3700</v>
      </c>
      <c r="K858" s="402">
        <f t="shared" si="145"/>
        <v>10.62200956937799</v>
      </c>
      <c r="L858" s="173">
        <f t="shared" si="146"/>
        <v>25.62200956937799</v>
      </c>
      <c r="N858" s="173">
        <f t="shared" si="147"/>
        <v>38.433014354066984</v>
      </c>
      <c r="O858" s="173">
        <v>65</v>
      </c>
      <c r="P858" s="344">
        <v>65</v>
      </c>
    </row>
    <row r="859" spans="1:20" customFormat="1" ht="14.5" x14ac:dyDescent="0.35">
      <c r="A859" s="3"/>
      <c r="B859" s="232" t="s">
        <v>1154</v>
      </c>
      <c r="C859" s="232" t="s">
        <v>1154</v>
      </c>
      <c r="E859" s="366">
        <v>44</v>
      </c>
      <c r="F859" s="245" t="s">
        <v>1835</v>
      </c>
      <c r="G859" s="245"/>
      <c r="H859" s="173">
        <v>15</v>
      </c>
      <c r="I859">
        <v>5225</v>
      </c>
      <c r="J859" s="173">
        <v>3700</v>
      </c>
      <c r="K859" s="402">
        <f t="shared" si="145"/>
        <v>10.62200956937799</v>
      </c>
      <c r="L859" s="173">
        <f t="shared" si="146"/>
        <v>25.62200956937799</v>
      </c>
      <c r="N859" s="173">
        <f t="shared" si="147"/>
        <v>38.433014354066984</v>
      </c>
      <c r="O859" s="173">
        <v>65</v>
      </c>
      <c r="P859" s="344">
        <v>65</v>
      </c>
    </row>
    <row r="860" spans="1:20" customFormat="1" ht="14.5" x14ac:dyDescent="0.35">
      <c r="A860" s="3"/>
      <c r="B860" s="232" t="s">
        <v>1154</v>
      </c>
      <c r="C860" s="232" t="s">
        <v>1154</v>
      </c>
      <c r="E860" s="366">
        <v>48</v>
      </c>
      <c r="F860" s="245" t="s">
        <v>1835</v>
      </c>
      <c r="G860" s="245"/>
      <c r="H860" s="173">
        <v>15</v>
      </c>
      <c r="I860">
        <v>5225</v>
      </c>
      <c r="J860" s="173">
        <v>3700</v>
      </c>
      <c r="K860" s="402">
        <f t="shared" si="145"/>
        <v>10.62200956937799</v>
      </c>
      <c r="L860" s="173">
        <f t="shared" si="146"/>
        <v>25.62200956937799</v>
      </c>
      <c r="N860" s="173">
        <f t="shared" si="147"/>
        <v>38.433014354066984</v>
      </c>
      <c r="O860" s="173">
        <v>65</v>
      </c>
      <c r="P860" s="344">
        <v>65</v>
      </c>
    </row>
    <row r="861" spans="1:20" customFormat="1" ht="14.5" x14ac:dyDescent="0.35">
      <c r="A861" s="3"/>
      <c r="B861" s="232" t="s">
        <v>1154</v>
      </c>
      <c r="C861" s="232" t="s">
        <v>1154</v>
      </c>
      <c r="E861" s="366">
        <v>50</v>
      </c>
      <c r="F861" s="371" t="s">
        <v>1835</v>
      </c>
      <c r="G861" s="371"/>
      <c r="H861" s="176">
        <v>15</v>
      </c>
      <c r="I861" s="12">
        <v>5225</v>
      </c>
      <c r="J861" s="176">
        <v>3700</v>
      </c>
      <c r="K861" s="410">
        <f t="shared" si="145"/>
        <v>10.62200956937799</v>
      </c>
      <c r="L861" s="176">
        <f t="shared" si="146"/>
        <v>25.62200956937799</v>
      </c>
      <c r="M861" s="12"/>
      <c r="N861" s="176">
        <f t="shared" si="147"/>
        <v>38.433014354066984</v>
      </c>
      <c r="O861" s="176">
        <v>65</v>
      </c>
      <c r="P861" s="344">
        <v>65</v>
      </c>
      <c r="S861" t="s">
        <v>12</v>
      </c>
      <c r="T861" s="6">
        <v>46064</v>
      </c>
    </row>
    <row r="862" spans="1:20" customFormat="1" ht="14.5" x14ac:dyDescent="0.35">
      <c r="A862" s="3"/>
      <c r="B862" s="232" t="s">
        <v>1154</v>
      </c>
      <c r="C862" s="232" t="s">
        <v>1154</v>
      </c>
      <c r="E862" s="366">
        <v>46</v>
      </c>
      <c r="F862" s="245" t="s">
        <v>1837</v>
      </c>
      <c r="G862" s="245"/>
      <c r="H862" s="173">
        <v>15</v>
      </c>
      <c r="I862">
        <v>5225</v>
      </c>
      <c r="J862" s="173">
        <v>3700</v>
      </c>
      <c r="K862" s="402">
        <f t="shared" si="145"/>
        <v>10.62200956937799</v>
      </c>
      <c r="L862" s="173">
        <f t="shared" si="146"/>
        <v>25.62200956937799</v>
      </c>
      <c r="N862" s="173">
        <f t="shared" si="147"/>
        <v>38.433014354066984</v>
      </c>
      <c r="O862" s="173">
        <v>65</v>
      </c>
      <c r="P862" s="344">
        <v>65</v>
      </c>
    </row>
    <row r="863" spans="1:20" customFormat="1" ht="14.5" x14ac:dyDescent="0.35">
      <c r="A863" s="3"/>
      <c r="B863" s="232" t="s">
        <v>1154</v>
      </c>
      <c r="C863" s="232" t="s">
        <v>1154</v>
      </c>
      <c r="E863" s="366">
        <v>48</v>
      </c>
      <c r="F863" s="245" t="s">
        <v>1837</v>
      </c>
      <c r="G863" s="245"/>
      <c r="H863" s="173">
        <v>15</v>
      </c>
      <c r="I863">
        <v>5225</v>
      </c>
      <c r="J863" s="173">
        <v>3700</v>
      </c>
      <c r="K863" s="402">
        <f t="shared" si="145"/>
        <v>10.62200956937799</v>
      </c>
      <c r="L863" s="173">
        <f t="shared" si="146"/>
        <v>25.62200956937799</v>
      </c>
      <c r="N863" s="173">
        <f t="shared" si="147"/>
        <v>38.433014354066984</v>
      </c>
      <c r="O863" s="173">
        <v>65</v>
      </c>
      <c r="P863" s="344">
        <v>65</v>
      </c>
    </row>
    <row r="864" spans="1:20" customFormat="1" ht="14.5" x14ac:dyDescent="0.35">
      <c r="A864" s="3"/>
      <c r="B864" s="232" t="s">
        <v>1154</v>
      </c>
      <c r="C864" s="232" t="s">
        <v>1154</v>
      </c>
      <c r="E864" s="366">
        <v>50</v>
      </c>
      <c r="F864" s="245" t="s">
        <v>1837</v>
      </c>
      <c r="G864" s="245"/>
      <c r="H864" s="173">
        <v>15</v>
      </c>
      <c r="I864">
        <v>5225</v>
      </c>
      <c r="J864" s="173">
        <v>3700</v>
      </c>
      <c r="K864" s="402">
        <f t="shared" si="145"/>
        <v>10.62200956937799</v>
      </c>
      <c r="L864" s="173">
        <f t="shared" si="146"/>
        <v>25.62200956937799</v>
      </c>
      <c r="N864" s="173">
        <f t="shared" si="147"/>
        <v>38.433014354066984</v>
      </c>
      <c r="O864" s="173">
        <v>65</v>
      </c>
      <c r="P864" s="344">
        <v>65</v>
      </c>
    </row>
    <row r="865" spans="1:20" customFormat="1" ht="14.5" x14ac:dyDescent="0.35">
      <c r="A865" s="3"/>
      <c r="B865" s="232" t="s">
        <v>1154</v>
      </c>
      <c r="C865" s="232" t="s">
        <v>1154</v>
      </c>
      <c r="E865" s="366">
        <v>52</v>
      </c>
      <c r="F865" s="245" t="s">
        <v>1837</v>
      </c>
      <c r="G865" s="245"/>
      <c r="H865" s="173">
        <v>15</v>
      </c>
      <c r="I865">
        <v>5225</v>
      </c>
      <c r="J865" s="173">
        <v>3700</v>
      </c>
      <c r="K865" s="402">
        <f t="shared" si="145"/>
        <v>10.62200956937799</v>
      </c>
      <c r="L865" s="173">
        <f t="shared" si="146"/>
        <v>25.62200956937799</v>
      </c>
      <c r="N865" s="173">
        <f t="shared" si="147"/>
        <v>38.433014354066984</v>
      </c>
      <c r="O865" s="173">
        <v>65</v>
      </c>
      <c r="P865" s="344">
        <v>65</v>
      </c>
    </row>
    <row r="866" spans="1:20" customFormat="1" ht="14.5" x14ac:dyDescent="0.35">
      <c r="A866" s="3"/>
      <c r="B866" s="232"/>
      <c r="C866" s="232"/>
      <c r="E866" s="366">
        <v>56</v>
      </c>
      <c r="F866" s="245" t="s">
        <v>1837</v>
      </c>
      <c r="G866" s="245"/>
      <c r="H866" s="173">
        <v>15</v>
      </c>
      <c r="I866">
        <v>5225</v>
      </c>
      <c r="J866" s="173">
        <v>3700</v>
      </c>
      <c r="K866" s="402">
        <f t="shared" si="145"/>
        <v>10.62200956937799</v>
      </c>
      <c r="L866" s="173">
        <f t="shared" si="146"/>
        <v>25.62200956937799</v>
      </c>
      <c r="N866" s="173">
        <f t="shared" si="147"/>
        <v>38.433014354066984</v>
      </c>
      <c r="O866" s="173">
        <v>65</v>
      </c>
      <c r="P866" s="344">
        <v>65</v>
      </c>
    </row>
    <row r="867" spans="1:20" customFormat="1" ht="14.5" x14ac:dyDescent="0.35">
      <c r="A867" s="3"/>
      <c r="B867" s="232" t="s">
        <v>1154</v>
      </c>
      <c r="C867" s="232" t="s">
        <v>1154</v>
      </c>
      <c r="E867" s="366">
        <v>46</v>
      </c>
      <c r="F867" s="245" t="s">
        <v>1882</v>
      </c>
      <c r="G867" s="245"/>
      <c r="H867" s="173">
        <v>15</v>
      </c>
      <c r="I867">
        <v>5225</v>
      </c>
      <c r="J867" s="173">
        <v>3700</v>
      </c>
      <c r="K867" s="402">
        <f t="shared" si="145"/>
        <v>10.62200956937799</v>
      </c>
      <c r="L867" s="173">
        <f t="shared" si="146"/>
        <v>25.62200956937799</v>
      </c>
      <c r="N867" s="173">
        <f t="shared" si="147"/>
        <v>38.433014354066984</v>
      </c>
      <c r="O867" s="173">
        <v>65</v>
      </c>
      <c r="P867" s="344">
        <v>65</v>
      </c>
    </row>
    <row r="868" spans="1:20" customFormat="1" ht="14.5" x14ac:dyDescent="0.35">
      <c r="A868" s="3"/>
      <c r="B868" s="232" t="s">
        <v>1154</v>
      </c>
      <c r="C868" s="232" t="s">
        <v>1154</v>
      </c>
      <c r="E868" s="366">
        <v>48</v>
      </c>
      <c r="F868" s="245" t="s">
        <v>1882</v>
      </c>
      <c r="G868" s="245"/>
      <c r="H868" s="173">
        <v>15</v>
      </c>
      <c r="I868">
        <v>5225</v>
      </c>
      <c r="J868" s="173">
        <v>3700</v>
      </c>
      <c r="K868" s="402">
        <f t="shared" si="145"/>
        <v>10.62200956937799</v>
      </c>
      <c r="L868" s="173">
        <f t="shared" si="146"/>
        <v>25.62200956937799</v>
      </c>
      <c r="N868" s="173">
        <f t="shared" si="147"/>
        <v>38.433014354066984</v>
      </c>
      <c r="O868" s="173">
        <v>65</v>
      </c>
      <c r="P868" s="344">
        <v>65</v>
      </c>
    </row>
    <row r="869" spans="1:20" customFormat="1" ht="14.5" x14ac:dyDescent="0.35">
      <c r="A869" s="3"/>
      <c r="B869" s="232" t="s">
        <v>1154</v>
      </c>
      <c r="C869" s="232" t="s">
        <v>1154</v>
      </c>
      <c r="E869" s="366">
        <v>50</v>
      </c>
      <c r="F869" s="245" t="s">
        <v>1882</v>
      </c>
      <c r="G869" s="245"/>
      <c r="H869" s="173">
        <v>15</v>
      </c>
      <c r="I869">
        <v>5225</v>
      </c>
      <c r="J869" s="173">
        <v>3700</v>
      </c>
      <c r="K869" s="402">
        <f t="shared" si="145"/>
        <v>10.62200956937799</v>
      </c>
      <c r="L869" s="173">
        <f t="shared" si="146"/>
        <v>25.62200956937799</v>
      </c>
      <c r="N869" s="173">
        <f t="shared" si="147"/>
        <v>38.433014354066984</v>
      </c>
      <c r="O869" s="173">
        <v>65</v>
      </c>
      <c r="P869" s="344">
        <v>65</v>
      </c>
    </row>
    <row r="870" spans="1:20" customFormat="1" ht="15.5" x14ac:dyDescent="0.35">
      <c r="A870" s="3"/>
      <c r="B870" s="3"/>
      <c r="C870" s="11" t="s">
        <v>2343</v>
      </c>
      <c r="D870" s="454"/>
      <c r="E870" s="454"/>
      <c r="F870" s="10"/>
      <c r="G870" s="10"/>
      <c r="H870" s="189"/>
      <c r="I870" s="10"/>
      <c r="J870" s="10"/>
      <c r="K870" s="189"/>
      <c r="L870" s="189"/>
      <c r="M870" s="10"/>
      <c r="N870" s="140"/>
      <c r="O870" s="189"/>
      <c r="P870" s="325"/>
    </row>
    <row r="871" spans="1:20" customFormat="1" ht="15.5" x14ac:dyDescent="0.35">
      <c r="A871" s="3"/>
      <c r="B871" s="233" t="s">
        <v>1154</v>
      </c>
      <c r="C871" s="233"/>
      <c r="E871" s="366">
        <v>44</v>
      </c>
      <c r="F871" s="245" t="s">
        <v>2219</v>
      </c>
      <c r="G871" s="245"/>
      <c r="H871" s="173">
        <v>15</v>
      </c>
      <c r="I871">
        <v>4609</v>
      </c>
      <c r="J871" s="173">
        <v>3601</v>
      </c>
      <c r="K871" s="173">
        <f t="shared" ref="K871:K887" si="148">+H871/I871*J871</f>
        <v>11.719461922325884</v>
      </c>
      <c r="L871" s="173">
        <f t="shared" ref="L871:L887" si="149">+H871+K871</f>
        <v>26.719461922325884</v>
      </c>
      <c r="N871" s="173">
        <f t="shared" ref="N871:N887" si="150">+L871*1.5</f>
        <v>40.07919288348883</v>
      </c>
      <c r="O871" s="173">
        <v>65</v>
      </c>
      <c r="P871" s="325"/>
    </row>
    <row r="872" spans="1:20" customFormat="1" ht="15.5" hidden="1" x14ac:dyDescent="0.35">
      <c r="A872" s="3"/>
      <c r="B872" s="233" t="s">
        <v>1154</v>
      </c>
      <c r="C872" s="233"/>
      <c r="E872" s="366">
        <v>46</v>
      </c>
      <c r="F872" s="371" t="s">
        <v>2219</v>
      </c>
      <c r="G872" s="371"/>
      <c r="H872" s="176">
        <v>15</v>
      </c>
      <c r="I872" s="12">
        <v>4609</v>
      </c>
      <c r="J872" s="176">
        <v>3601</v>
      </c>
      <c r="K872" s="176">
        <f t="shared" si="148"/>
        <v>11.719461922325884</v>
      </c>
      <c r="L872" s="176">
        <f t="shared" si="149"/>
        <v>26.719461922325884</v>
      </c>
      <c r="M872" s="12"/>
      <c r="N872" s="176">
        <f t="shared" si="150"/>
        <v>40.07919288348883</v>
      </c>
      <c r="O872" s="176">
        <v>65</v>
      </c>
      <c r="P872" s="325"/>
      <c r="S872" t="s">
        <v>2493</v>
      </c>
      <c r="T872" s="6">
        <v>46059</v>
      </c>
    </row>
    <row r="873" spans="1:20" customFormat="1" ht="15.5" hidden="1" x14ac:dyDescent="0.35">
      <c r="A873" s="3"/>
      <c r="B873" s="233" t="s">
        <v>1154</v>
      </c>
      <c r="C873" s="233"/>
      <c r="E873" s="366">
        <v>48</v>
      </c>
      <c r="F873" s="371" t="s">
        <v>2219</v>
      </c>
      <c r="G873" s="371"/>
      <c r="H873" s="176">
        <v>15</v>
      </c>
      <c r="I873" s="12">
        <v>4609</v>
      </c>
      <c r="J873" s="176">
        <v>3601</v>
      </c>
      <c r="K873" s="176">
        <f t="shared" si="148"/>
        <v>11.719461922325884</v>
      </c>
      <c r="L873" s="176">
        <f t="shared" si="149"/>
        <v>26.719461922325884</v>
      </c>
      <c r="M873" s="12"/>
      <c r="N873" s="176">
        <f t="shared" si="150"/>
        <v>40.07919288348883</v>
      </c>
      <c r="O873" s="176">
        <v>65</v>
      </c>
      <c r="P873" s="325"/>
      <c r="S873" t="s">
        <v>3018</v>
      </c>
      <c r="T873" s="6">
        <v>46119</v>
      </c>
    </row>
    <row r="874" spans="1:20" customFormat="1" ht="15.5" hidden="1" x14ac:dyDescent="0.35">
      <c r="A874" s="3"/>
      <c r="B874" s="233" t="s">
        <v>1154</v>
      </c>
      <c r="C874" s="233"/>
      <c r="E874" s="366">
        <v>50</v>
      </c>
      <c r="F874" s="371" t="s">
        <v>2219</v>
      </c>
      <c r="G874" s="371"/>
      <c r="H874" s="176">
        <v>15</v>
      </c>
      <c r="I874" s="12">
        <v>4609</v>
      </c>
      <c r="J874" s="176">
        <v>3601</v>
      </c>
      <c r="K874" s="176">
        <f t="shared" si="148"/>
        <v>11.719461922325884</v>
      </c>
      <c r="L874" s="176">
        <f t="shared" si="149"/>
        <v>26.719461922325884</v>
      </c>
      <c r="M874" s="12"/>
      <c r="N874" s="176">
        <f t="shared" si="150"/>
        <v>40.07919288348883</v>
      </c>
      <c r="O874" s="176">
        <v>65</v>
      </c>
      <c r="P874" s="325"/>
      <c r="S874" t="s">
        <v>12</v>
      </c>
      <c r="T874" s="6">
        <v>46077</v>
      </c>
    </row>
    <row r="875" spans="1:20" customFormat="1" ht="15.5" hidden="1" x14ac:dyDescent="0.35">
      <c r="A875" s="3"/>
      <c r="B875" s="233" t="s">
        <v>1154</v>
      </c>
      <c r="C875" s="233"/>
      <c r="E875" s="366">
        <v>52</v>
      </c>
      <c r="F875" s="371" t="s">
        <v>2219</v>
      </c>
      <c r="G875" s="371"/>
      <c r="H875" s="176">
        <v>15</v>
      </c>
      <c r="I875" s="12">
        <v>4609</v>
      </c>
      <c r="J875" s="176">
        <v>3601</v>
      </c>
      <c r="K875" s="176">
        <f t="shared" si="148"/>
        <v>11.719461922325884</v>
      </c>
      <c r="L875" s="176">
        <f t="shared" si="149"/>
        <v>26.719461922325884</v>
      </c>
      <c r="M875" s="12"/>
      <c r="N875" s="176">
        <f t="shared" si="150"/>
        <v>40.07919288348883</v>
      </c>
      <c r="O875" s="176">
        <v>65</v>
      </c>
      <c r="P875" s="325"/>
      <c r="S875" t="s">
        <v>2635</v>
      </c>
      <c r="T875" s="6">
        <v>46069</v>
      </c>
    </row>
    <row r="876" spans="1:20" customFormat="1" ht="15.5" x14ac:dyDescent="0.35">
      <c r="A876" s="3"/>
      <c r="B876" s="233" t="s">
        <v>1154</v>
      </c>
      <c r="C876" s="233"/>
      <c r="E876" s="366">
        <v>54</v>
      </c>
      <c r="F876" s="245" t="s">
        <v>2220</v>
      </c>
      <c r="G876" s="245"/>
      <c r="H876" s="173">
        <v>14</v>
      </c>
      <c r="I876">
        <v>4609</v>
      </c>
      <c r="J876" s="173">
        <v>3601</v>
      </c>
      <c r="K876" s="173">
        <f t="shared" si="148"/>
        <v>10.938164460837491</v>
      </c>
      <c r="L876" s="173">
        <f t="shared" si="149"/>
        <v>24.938164460837491</v>
      </c>
      <c r="N876" s="173">
        <f t="shared" si="150"/>
        <v>37.407246691256233</v>
      </c>
      <c r="O876" s="173">
        <v>65</v>
      </c>
      <c r="P876" s="325"/>
    </row>
    <row r="877" spans="1:20" customFormat="1" ht="15.5" x14ac:dyDescent="0.35">
      <c r="A877" s="3"/>
      <c r="B877" s="233" t="s">
        <v>1154</v>
      </c>
      <c r="C877" s="233"/>
      <c r="E877" s="366">
        <v>58</v>
      </c>
      <c r="F877" s="371" t="s">
        <v>2220</v>
      </c>
      <c r="G877" s="371"/>
      <c r="H877" s="176">
        <v>14</v>
      </c>
      <c r="I877" s="12">
        <v>4609</v>
      </c>
      <c r="J877" s="176">
        <v>3601</v>
      </c>
      <c r="K877" s="176">
        <f t="shared" si="148"/>
        <v>10.938164460837491</v>
      </c>
      <c r="L877" s="176">
        <f t="shared" si="149"/>
        <v>24.938164460837491</v>
      </c>
      <c r="M877" s="12"/>
      <c r="N877" s="176">
        <f t="shared" si="150"/>
        <v>37.407246691256233</v>
      </c>
      <c r="O877" s="176">
        <v>65</v>
      </c>
      <c r="P877" s="325"/>
      <c r="S877" t="s">
        <v>12</v>
      </c>
      <c r="T877" s="6">
        <v>46091</v>
      </c>
    </row>
    <row r="878" spans="1:20" customFormat="1" ht="15.5" x14ac:dyDescent="0.35">
      <c r="A878" s="3"/>
      <c r="B878" s="233" t="s">
        <v>1154</v>
      </c>
      <c r="C878" s="233"/>
      <c r="E878" s="366">
        <v>58</v>
      </c>
      <c r="F878" s="245" t="s">
        <v>2220</v>
      </c>
      <c r="G878" s="245"/>
      <c r="H878" s="173">
        <v>14</v>
      </c>
      <c r="I878">
        <v>4609</v>
      </c>
      <c r="J878" s="173">
        <v>3601</v>
      </c>
      <c r="K878" s="173">
        <f t="shared" si="148"/>
        <v>10.938164460837491</v>
      </c>
      <c r="L878" s="173">
        <f t="shared" si="149"/>
        <v>24.938164460837491</v>
      </c>
      <c r="N878" s="173">
        <f t="shared" si="150"/>
        <v>37.407246691256233</v>
      </c>
      <c r="O878" s="173">
        <v>65</v>
      </c>
      <c r="P878" s="325"/>
    </row>
    <row r="879" spans="1:20" customFormat="1" ht="15.5" x14ac:dyDescent="0.35">
      <c r="A879" s="3"/>
      <c r="B879" s="233" t="s">
        <v>1154</v>
      </c>
      <c r="C879" s="233"/>
      <c r="E879" s="366">
        <v>60</v>
      </c>
      <c r="F879" s="245" t="s">
        <v>2220</v>
      </c>
      <c r="G879" s="245"/>
      <c r="H879" s="173">
        <v>14</v>
      </c>
      <c r="I879">
        <v>4609</v>
      </c>
      <c r="J879" s="173">
        <v>3601</v>
      </c>
      <c r="K879" s="173">
        <f t="shared" si="148"/>
        <v>10.938164460837491</v>
      </c>
      <c r="L879" s="173">
        <f t="shared" si="149"/>
        <v>24.938164460837491</v>
      </c>
      <c r="N879" s="173">
        <f t="shared" si="150"/>
        <v>37.407246691256233</v>
      </c>
      <c r="O879" s="173">
        <v>65</v>
      </c>
      <c r="P879" s="325"/>
    </row>
    <row r="880" spans="1:20" customFormat="1" ht="15.5" x14ac:dyDescent="0.35">
      <c r="A880" s="3"/>
      <c r="B880" s="233" t="s">
        <v>1154</v>
      </c>
      <c r="C880" s="233"/>
      <c r="E880" s="366">
        <v>44</v>
      </c>
      <c r="F880" s="245" t="s">
        <v>2316</v>
      </c>
      <c r="G880" s="245"/>
      <c r="H880" s="173">
        <v>14</v>
      </c>
      <c r="I880">
        <v>4609</v>
      </c>
      <c r="J880" s="173">
        <v>3601</v>
      </c>
      <c r="K880" s="173">
        <f t="shared" si="148"/>
        <v>10.938164460837491</v>
      </c>
      <c r="L880" s="173">
        <f t="shared" si="149"/>
        <v>24.938164460837491</v>
      </c>
      <c r="N880" s="173">
        <f t="shared" si="150"/>
        <v>37.407246691256233</v>
      </c>
      <c r="O880" s="173">
        <v>65</v>
      </c>
      <c r="P880" s="325"/>
    </row>
    <row r="881" spans="1:23" customFormat="1" ht="15.5" x14ac:dyDescent="0.35">
      <c r="A881" s="3"/>
      <c r="B881" s="233" t="s">
        <v>1154</v>
      </c>
      <c r="C881" s="233"/>
      <c r="E881" s="366">
        <v>44</v>
      </c>
      <c r="F881" s="245" t="s">
        <v>2316</v>
      </c>
      <c r="G881" s="245"/>
      <c r="H881" s="173">
        <v>14</v>
      </c>
      <c r="I881">
        <v>4609</v>
      </c>
      <c r="J881" s="173">
        <v>3601</v>
      </c>
      <c r="K881" s="173">
        <f t="shared" si="148"/>
        <v>10.938164460837491</v>
      </c>
      <c r="L881" s="173">
        <f t="shared" si="149"/>
        <v>24.938164460837491</v>
      </c>
      <c r="N881" s="173">
        <f t="shared" si="150"/>
        <v>37.407246691256233</v>
      </c>
      <c r="O881" s="173">
        <v>65</v>
      </c>
      <c r="P881" s="325"/>
    </row>
    <row r="882" spans="1:23" customFormat="1" ht="15.5" hidden="1" x14ac:dyDescent="0.35">
      <c r="A882" s="3"/>
      <c r="B882" s="233" t="s">
        <v>1154</v>
      </c>
      <c r="C882" s="233"/>
      <c r="E882" s="366">
        <v>46</v>
      </c>
      <c r="F882" s="371" t="s">
        <v>2316</v>
      </c>
      <c r="G882" s="371"/>
      <c r="H882" s="176">
        <v>14</v>
      </c>
      <c r="I882" s="12">
        <v>4609</v>
      </c>
      <c r="J882" s="176">
        <v>3601</v>
      </c>
      <c r="K882" s="176">
        <f t="shared" si="148"/>
        <v>10.938164460837491</v>
      </c>
      <c r="L882" s="176">
        <f t="shared" si="149"/>
        <v>24.938164460837491</v>
      </c>
      <c r="M882" s="12"/>
      <c r="N882" s="176">
        <f t="shared" si="150"/>
        <v>37.407246691256233</v>
      </c>
      <c r="O882" s="176">
        <v>65</v>
      </c>
      <c r="P882" s="325"/>
      <c r="S882" t="s">
        <v>2500</v>
      </c>
      <c r="T882" s="6">
        <v>46064</v>
      </c>
    </row>
    <row r="883" spans="1:23" customFormat="1" ht="15.5" hidden="1" x14ac:dyDescent="0.35">
      <c r="A883" s="3"/>
      <c r="B883" s="233" t="s">
        <v>1154</v>
      </c>
      <c r="C883" s="233"/>
      <c r="E883" s="366">
        <v>52</v>
      </c>
      <c r="F883" s="371" t="s">
        <v>2316</v>
      </c>
      <c r="G883" s="371"/>
      <c r="H883" s="176">
        <v>14</v>
      </c>
      <c r="I883" s="12">
        <v>4609</v>
      </c>
      <c r="J883" s="176">
        <v>3601</v>
      </c>
      <c r="K883" s="176">
        <f t="shared" si="148"/>
        <v>10.938164460837491</v>
      </c>
      <c r="L883" s="176">
        <f t="shared" si="149"/>
        <v>24.938164460837491</v>
      </c>
      <c r="M883" s="12"/>
      <c r="N883" s="176">
        <f t="shared" si="150"/>
        <v>37.407246691256233</v>
      </c>
      <c r="O883" s="176">
        <v>65</v>
      </c>
      <c r="P883" s="325"/>
      <c r="S883" t="s">
        <v>2887</v>
      </c>
      <c r="T883" s="6">
        <v>46106</v>
      </c>
    </row>
    <row r="884" spans="1:23" customFormat="1" ht="15.5" hidden="1" x14ac:dyDescent="0.35">
      <c r="A884" s="3"/>
      <c r="B884" s="233" t="s">
        <v>1154</v>
      </c>
      <c r="C884" s="233"/>
      <c r="E884" s="366">
        <v>46</v>
      </c>
      <c r="F884" s="371" t="s">
        <v>2221</v>
      </c>
      <c r="G884" s="371"/>
      <c r="H884" s="176">
        <v>14</v>
      </c>
      <c r="I884" s="12">
        <v>4609</v>
      </c>
      <c r="J884" s="176">
        <v>3601</v>
      </c>
      <c r="K884" s="176">
        <f t="shared" si="148"/>
        <v>10.938164460837491</v>
      </c>
      <c r="L884" s="176">
        <f t="shared" si="149"/>
        <v>24.938164460837491</v>
      </c>
      <c r="M884" s="12"/>
      <c r="N884" s="176">
        <f t="shared" si="150"/>
        <v>37.407246691256233</v>
      </c>
      <c r="O884" s="176">
        <v>65</v>
      </c>
      <c r="P884" s="325"/>
      <c r="S884" t="s">
        <v>2848</v>
      </c>
      <c r="T884" t="s">
        <v>2849</v>
      </c>
    </row>
    <row r="885" spans="1:23" customFormat="1" ht="15.5" x14ac:dyDescent="0.35">
      <c r="A885" s="3"/>
      <c r="B885" s="233" t="s">
        <v>1154</v>
      </c>
      <c r="C885" s="233"/>
      <c r="E885" s="366">
        <v>48</v>
      </c>
      <c r="F885" s="245" t="s">
        <v>2221</v>
      </c>
      <c r="G885" s="245"/>
      <c r="H885" s="173">
        <v>14</v>
      </c>
      <c r="I885">
        <v>4609</v>
      </c>
      <c r="J885" s="173">
        <v>3601</v>
      </c>
      <c r="K885" s="173">
        <f t="shared" si="148"/>
        <v>10.938164460837491</v>
      </c>
      <c r="L885" s="173">
        <f t="shared" si="149"/>
        <v>24.938164460837491</v>
      </c>
      <c r="N885" s="173">
        <f t="shared" si="150"/>
        <v>37.407246691256233</v>
      </c>
      <c r="O885" s="173">
        <v>65</v>
      </c>
      <c r="P885" s="325"/>
    </row>
    <row r="886" spans="1:23" customFormat="1" ht="15.5" x14ac:dyDescent="0.35">
      <c r="A886" s="3"/>
      <c r="B886" s="233" t="s">
        <v>1154</v>
      </c>
      <c r="C886" s="233"/>
      <c r="E886" s="366">
        <v>48</v>
      </c>
      <c r="F886" s="245" t="s">
        <v>2339</v>
      </c>
      <c r="G886" s="245"/>
      <c r="H886" s="173">
        <v>14</v>
      </c>
      <c r="I886">
        <v>4609</v>
      </c>
      <c r="J886" s="173">
        <v>3601</v>
      </c>
      <c r="K886" s="173">
        <f t="shared" si="148"/>
        <v>10.938164460837491</v>
      </c>
      <c r="L886" s="173">
        <f t="shared" si="149"/>
        <v>24.938164460837491</v>
      </c>
      <c r="N886" s="173">
        <f t="shared" si="150"/>
        <v>37.407246691256233</v>
      </c>
      <c r="O886" s="173">
        <v>65</v>
      </c>
      <c r="P886" s="325"/>
    </row>
    <row r="887" spans="1:23" customFormat="1" ht="15.5" x14ac:dyDescent="0.35">
      <c r="A887" s="3"/>
      <c r="B887" s="233" t="s">
        <v>1154</v>
      </c>
      <c r="C887" s="233"/>
      <c r="E887" s="366">
        <v>50</v>
      </c>
      <c r="F887" s="371" t="s">
        <v>2221</v>
      </c>
      <c r="G887" s="371"/>
      <c r="H887" s="176">
        <v>14</v>
      </c>
      <c r="I887" s="12">
        <v>4609</v>
      </c>
      <c r="J887" s="176">
        <v>3601</v>
      </c>
      <c r="K887" s="176">
        <f t="shared" si="148"/>
        <v>10.938164460837491</v>
      </c>
      <c r="L887" s="176">
        <f t="shared" si="149"/>
        <v>24.938164460837491</v>
      </c>
      <c r="M887" s="12"/>
      <c r="N887" s="176">
        <f t="shared" si="150"/>
        <v>37.407246691256233</v>
      </c>
      <c r="O887" s="176">
        <v>65</v>
      </c>
      <c r="P887" s="325"/>
      <c r="S887" t="s">
        <v>12</v>
      </c>
      <c r="T887" s="6">
        <v>46114</v>
      </c>
    </row>
    <row r="888" spans="1:23" ht="15" customHeight="1" outlineLevel="1" x14ac:dyDescent="0.35">
      <c r="B888" s="233" t="s">
        <v>1154</v>
      </c>
      <c r="C888" s="233"/>
      <c r="D888"/>
      <c r="E888" s="366">
        <v>52</v>
      </c>
      <c r="F888" s="245" t="s">
        <v>2221</v>
      </c>
      <c r="G888" s="245"/>
      <c r="H888" s="173"/>
      <c r="I888"/>
      <c r="J888" s="173"/>
      <c r="K888" s="173"/>
      <c r="L888" s="173"/>
      <c r="M888"/>
      <c r="N888" s="173"/>
      <c r="O888" s="173"/>
      <c r="P888" s="463"/>
      <c r="Q888" s="57"/>
      <c r="R888" s="57"/>
      <c r="S888" s="57"/>
      <c r="T888" s="464"/>
      <c r="U888" s="337"/>
      <c r="V888" s="244"/>
      <c r="W888" s="244"/>
    </row>
    <row r="889" spans="1:23" ht="15" customHeight="1" outlineLevel="1" x14ac:dyDescent="0.35">
      <c r="C889" s="11" t="s">
        <v>141</v>
      </c>
      <c r="E889" s="473"/>
      <c r="F889" s="11"/>
      <c r="G889" s="11"/>
      <c r="H889" s="136">
        <f>SUM(H792:H817)</f>
        <v>239.73333333333335</v>
      </c>
      <c r="I889" s="136"/>
      <c r="J889" s="136"/>
      <c r="K889" s="136"/>
      <c r="L889" s="136"/>
      <c r="M889" s="136"/>
      <c r="N889" s="136">
        <f>SUM(N792:N817)</f>
        <v>821.08426194937147</v>
      </c>
      <c r="O889" s="136">
        <f>SUM(O792:O817)</f>
        <v>1055</v>
      </c>
      <c r="P889" s="474"/>
      <c r="Q889" s="141"/>
      <c r="R889" s="141"/>
      <c r="S889" s="11"/>
      <c r="T889" s="475"/>
      <c r="U889" s="421"/>
      <c r="V889" s="11"/>
      <c r="W889" s="11"/>
    </row>
    <row r="890" spans="1:23" ht="15" customHeight="1" outlineLevel="1" x14ac:dyDescent="0.35">
      <c r="C890" s="11">
        <v>2021</v>
      </c>
      <c r="D890" s="454">
        <v>205</v>
      </c>
      <c r="E890" s="473">
        <v>-114</v>
      </c>
      <c r="F890" s="11" t="s">
        <v>544</v>
      </c>
      <c r="G890" s="11"/>
      <c r="H890" s="136"/>
      <c r="I890" s="11"/>
      <c r="J890" s="11"/>
      <c r="K890" s="136"/>
      <c r="L890" s="136"/>
      <c r="M890" s="485"/>
      <c r="N890" s="140">
        <f>+L890*M890+L890</f>
        <v>0</v>
      </c>
      <c r="O890" s="136"/>
      <c r="P890" s="474"/>
      <c r="Q890" s="11"/>
      <c r="R890" s="11"/>
      <c r="S890" s="11"/>
      <c r="T890" s="475"/>
      <c r="U890" s="421"/>
      <c r="V890" s="11"/>
      <c r="W890" s="11"/>
    </row>
    <row r="891" spans="1:23" ht="15" customHeight="1" outlineLevel="1" x14ac:dyDescent="0.35">
      <c r="C891" s="11">
        <v>2022</v>
      </c>
      <c r="D891" s="454">
        <v>169</v>
      </c>
      <c r="E891" s="473">
        <v>-100</v>
      </c>
      <c r="F891" s="136" t="s">
        <v>732</v>
      </c>
      <c r="G891" s="136"/>
      <c r="H891" s="10"/>
      <c r="I891" s="11"/>
      <c r="J891" s="11"/>
      <c r="K891" s="136"/>
      <c r="L891" s="136"/>
      <c r="M891" s="485"/>
      <c r="O891" s="136"/>
      <c r="P891" s="474"/>
      <c r="Q891" s="11"/>
      <c r="R891" s="11"/>
      <c r="S891" s="11"/>
      <c r="T891" s="475"/>
      <c r="U891" s="421"/>
      <c r="V891" s="11"/>
      <c r="W891" s="11"/>
    </row>
    <row r="892" spans="1:23" ht="15" customHeight="1" outlineLevel="1" x14ac:dyDescent="0.35">
      <c r="C892" s="11">
        <v>2023</v>
      </c>
      <c r="D892" s="454">
        <v>149</v>
      </c>
      <c r="E892" s="473">
        <v>-68</v>
      </c>
      <c r="F892" s="11" t="s">
        <v>978</v>
      </c>
      <c r="G892" s="11"/>
      <c r="H892" s="136"/>
      <c r="I892" s="11"/>
      <c r="J892" s="11"/>
      <c r="K892" s="136"/>
      <c r="L892" s="136"/>
      <c r="M892" s="485"/>
      <c r="O892" s="136"/>
      <c r="P892" s="474"/>
      <c r="Q892" s="11"/>
      <c r="R892" s="11"/>
      <c r="S892" s="11"/>
      <c r="T892" s="475"/>
      <c r="U892" s="421"/>
      <c r="V892" s="11"/>
      <c r="W892" s="11"/>
    </row>
    <row r="893" spans="1:23" ht="15" customHeight="1" outlineLevel="1" x14ac:dyDescent="0.35">
      <c r="C893" s="11"/>
      <c r="E893" s="473"/>
      <c r="F893" s="11"/>
      <c r="G893" s="11"/>
      <c r="H893" s="136"/>
      <c r="I893" s="11"/>
      <c r="J893" s="11"/>
      <c r="K893" s="136"/>
      <c r="L893" s="136"/>
      <c r="M893" s="485"/>
      <c r="O893" s="136"/>
      <c r="P893" s="474"/>
      <c r="Q893" s="11"/>
      <c r="R893" s="11"/>
      <c r="S893" s="11"/>
      <c r="T893" s="475"/>
      <c r="U893" s="421"/>
      <c r="V893" s="11"/>
      <c r="W893" s="11"/>
    </row>
    <row r="894" spans="1:23" ht="20.25" customHeight="1" outlineLevel="1" x14ac:dyDescent="0.5">
      <c r="B894" s="33"/>
      <c r="D894" s="503"/>
      <c r="E894" s="503"/>
      <c r="F894" s="280" t="s">
        <v>172</v>
      </c>
      <c r="G894" s="280"/>
      <c r="H894" s="186"/>
      <c r="I894" s="240"/>
      <c r="J894" s="52"/>
      <c r="K894" s="240"/>
      <c r="L894" s="240"/>
      <c r="M894" s="506"/>
      <c r="N894" s="140">
        <f t="shared" ref="N894:N907" si="151">+L894*M894+L894</f>
        <v>0</v>
      </c>
      <c r="O894" s="169"/>
      <c r="P894" s="447"/>
      <c r="Q894" s="63"/>
      <c r="R894" s="63"/>
      <c r="S894" s="507"/>
      <c r="T894" s="508"/>
      <c r="U894" s="426"/>
      <c r="V894" s="33"/>
      <c r="W894" s="33"/>
    </row>
    <row r="895" spans="1:23" ht="15" customHeight="1" outlineLevel="1" x14ac:dyDescent="0.35">
      <c r="B895" s="10"/>
      <c r="D895" s="10">
        <v>1</v>
      </c>
      <c r="E895" s="10"/>
      <c r="F895" s="509" t="s">
        <v>543</v>
      </c>
      <c r="G895" s="509"/>
      <c r="H895" s="487">
        <v>9</v>
      </c>
      <c r="I895" s="487">
        <v>2951</v>
      </c>
      <c r="J895" s="487">
        <v>8770</v>
      </c>
      <c r="K895" s="487">
        <f>+H895/I895*J895</f>
        <v>26.74686546933243</v>
      </c>
      <c r="L895" s="488">
        <f>+H895+K895</f>
        <v>35.746865469332434</v>
      </c>
      <c r="M895" s="487">
        <v>0.3</v>
      </c>
      <c r="N895" s="488">
        <f t="shared" si="151"/>
        <v>46.470925110132164</v>
      </c>
      <c r="O895" s="487">
        <v>35</v>
      </c>
      <c r="P895" s="109"/>
      <c r="Q895" s="52"/>
      <c r="R895" s="52"/>
      <c r="S895" s="510" t="s">
        <v>1007</v>
      </c>
      <c r="T895" s="480">
        <v>45336</v>
      </c>
      <c r="U895" s="427"/>
      <c r="V895" s="57"/>
      <c r="W895" s="57"/>
    </row>
    <row r="896" spans="1:23" ht="15.5" outlineLevel="1" x14ac:dyDescent="0.35">
      <c r="C896" s="10" t="s">
        <v>17</v>
      </c>
      <c r="D896" s="10">
        <v>2</v>
      </c>
      <c r="E896" s="10">
        <v>48</v>
      </c>
      <c r="F896" s="10" t="s">
        <v>174</v>
      </c>
      <c r="H896" s="11">
        <v>15</v>
      </c>
      <c r="I896" s="10">
        <v>7554</v>
      </c>
      <c r="J896" s="10">
        <v>14418</v>
      </c>
      <c r="K896" s="189">
        <f>+H896/I896*J896</f>
        <v>28.629864972200156</v>
      </c>
      <c r="L896" s="189">
        <f>+H896+K896</f>
        <v>43.629864972200153</v>
      </c>
      <c r="M896" s="452">
        <v>0.3</v>
      </c>
      <c r="N896" s="140">
        <f t="shared" si="151"/>
        <v>56.718824463860201</v>
      </c>
      <c r="O896" s="10">
        <v>65</v>
      </c>
      <c r="P896" s="109"/>
      <c r="Q896" s="451"/>
      <c r="R896" s="451"/>
    </row>
    <row r="897" spans="2:21" ht="15.5" outlineLevel="1" x14ac:dyDescent="0.35">
      <c r="C897" s="10" t="s">
        <v>173</v>
      </c>
      <c r="D897" s="10">
        <v>3</v>
      </c>
      <c r="E897" s="10">
        <v>54</v>
      </c>
      <c r="F897" s="10" t="s">
        <v>241</v>
      </c>
      <c r="H897" s="140">
        <v>15</v>
      </c>
      <c r="I897" s="10">
        <v>3717</v>
      </c>
      <c r="J897" s="10">
        <v>9633</v>
      </c>
      <c r="K897" s="140"/>
      <c r="L897" s="140"/>
      <c r="M897" s="453">
        <v>0.3</v>
      </c>
      <c r="N897" s="140">
        <f t="shared" si="151"/>
        <v>0</v>
      </c>
      <c r="O897" s="10">
        <v>65</v>
      </c>
      <c r="P897" s="109"/>
      <c r="Q897" s="451"/>
      <c r="R897" s="451"/>
    </row>
    <row r="898" spans="2:21" ht="15.5" outlineLevel="1" x14ac:dyDescent="0.35">
      <c r="C898" s="10" t="s">
        <v>173</v>
      </c>
      <c r="D898" s="10">
        <v>4</v>
      </c>
      <c r="E898" s="10">
        <v>48</v>
      </c>
      <c r="F898" s="10" t="s">
        <v>241</v>
      </c>
      <c r="H898" s="189">
        <v>15</v>
      </c>
      <c r="I898" s="10">
        <v>3717</v>
      </c>
      <c r="J898" s="10">
        <v>9633</v>
      </c>
      <c r="M898" s="455">
        <v>1.3</v>
      </c>
      <c r="N898" s="140">
        <f t="shared" si="151"/>
        <v>0</v>
      </c>
      <c r="O898" s="10">
        <v>66</v>
      </c>
      <c r="P898" s="109"/>
    </row>
    <row r="899" spans="2:21" ht="15.5" outlineLevel="1" x14ac:dyDescent="0.35">
      <c r="C899" s="11" t="s">
        <v>262</v>
      </c>
      <c r="D899" s="503"/>
      <c r="E899" s="503"/>
      <c r="M899" s="455"/>
      <c r="N899" s="140">
        <f t="shared" si="151"/>
        <v>0</v>
      </c>
      <c r="O899" s="11"/>
      <c r="P899" s="278"/>
    </row>
    <row r="900" spans="2:21" ht="15.5" outlineLevel="1" x14ac:dyDescent="0.35">
      <c r="C900" s="10" t="s">
        <v>258</v>
      </c>
      <c r="D900" s="503">
        <v>5</v>
      </c>
      <c r="E900" s="503">
        <v>40</v>
      </c>
      <c r="F900" s="10" t="s">
        <v>837</v>
      </c>
      <c r="H900" s="189">
        <v>12</v>
      </c>
      <c r="I900" s="10">
        <v>8277</v>
      </c>
      <c r="J900" s="10">
        <v>15182</v>
      </c>
      <c r="K900" s="189">
        <f>+H900/I900*J900</f>
        <v>22.010873504893077</v>
      </c>
      <c r="L900" s="189">
        <f>+H900+K900</f>
        <v>34.010873504893077</v>
      </c>
      <c r="M900" s="455">
        <v>0.3</v>
      </c>
      <c r="N900" s="140">
        <f t="shared" si="151"/>
        <v>44.214135556361001</v>
      </c>
      <c r="O900" s="189">
        <v>65</v>
      </c>
      <c r="Q900" s="451"/>
      <c r="R900" s="451"/>
      <c r="U900" s="138"/>
    </row>
    <row r="901" spans="2:21" ht="15" customHeight="1" outlineLevel="1" x14ac:dyDescent="0.35">
      <c r="C901" s="10" t="s">
        <v>258</v>
      </c>
      <c r="D901" s="503">
        <v>6</v>
      </c>
      <c r="E901" s="503">
        <v>48</v>
      </c>
      <c r="F901" s="10" t="s">
        <v>837</v>
      </c>
      <c r="H901" s="189">
        <v>12</v>
      </c>
      <c r="I901" s="10">
        <v>8277</v>
      </c>
      <c r="J901" s="10">
        <v>15182</v>
      </c>
      <c r="K901" s="189">
        <f>+H901/I901*J901</f>
        <v>22.010873504893077</v>
      </c>
      <c r="L901" s="189">
        <f>+H901+K901</f>
        <v>34.010873504893077</v>
      </c>
      <c r="M901" s="455">
        <v>0.3</v>
      </c>
      <c r="N901" s="140">
        <f t="shared" si="151"/>
        <v>44.214135556361001</v>
      </c>
      <c r="O901" s="189">
        <v>65</v>
      </c>
      <c r="Q901" s="451"/>
      <c r="R901" s="451"/>
      <c r="U901" s="138"/>
    </row>
    <row r="902" spans="2:21" ht="15.5" outlineLevel="1" x14ac:dyDescent="0.35">
      <c r="C902" s="10" t="s">
        <v>258</v>
      </c>
      <c r="D902" s="503">
        <v>7</v>
      </c>
      <c r="E902" s="503">
        <v>44</v>
      </c>
      <c r="F902" s="10" t="s">
        <v>614</v>
      </c>
      <c r="H902" s="140">
        <v>12</v>
      </c>
      <c r="I902" s="10">
        <v>8277</v>
      </c>
      <c r="J902" s="10">
        <v>15182</v>
      </c>
      <c r="K902" s="140">
        <f>+H902/I902*J902</f>
        <v>22.010873504893077</v>
      </c>
      <c r="L902" s="140">
        <f>+H902+K902</f>
        <v>34.010873504893077</v>
      </c>
      <c r="M902" s="453">
        <v>0.3</v>
      </c>
      <c r="N902" s="140">
        <f t="shared" si="151"/>
        <v>44.214135556361001</v>
      </c>
      <c r="O902" s="140">
        <v>65</v>
      </c>
      <c r="Q902" s="451"/>
      <c r="R902" s="451"/>
      <c r="U902" s="138"/>
    </row>
    <row r="903" spans="2:21" ht="15.5" outlineLevel="1" x14ac:dyDescent="0.35">
      <c r="D903" s="503"/>
      <c r="E903" s="503"/>
      <c r="F903" s="11" t="s">
        <v>283</v>
      </c>
      <c r="G903" s="11"/>
      <c r="M903" s="455"/>
      <c r="N903" s="140">
        <f t="shared" si="151"/>
        <v>0</v>
      </c>
      <c r="U903" s="138"/>
    </row>
    <row r="904" spans="2:21" ht="15.5" outlineLevel="1" x14ac:dyDescent="0.35">
      <c r="C904" s="10" t="s">
        <v>457</v>
      </c>
      <c r="D904" s="503">
        <v>8</v>
      </c>
      <c r="E904" s="10">
        <v>50</v>
      </c>
      <c r="F904" s="10" t="s">
        <v>454</v>
      </c>
      <c r="H904" s="140">
        <v>13</v>
      </c>
      <c r="I904" s="56">
        <v>787</v>
      </c>
      <c r="J904" s="140">
        <f>787+388+40+47</f>
        <v>1262</v>
      </c>
      <c r="K904" s="140">
        <f>+H904/I904*J904</f>
        <v>20.846251588310036</v>
      </c>
      <c r="L904" s="140">
        <f>+H904+K904</f>
        <v>33.846251588310039</v>
      </c>
      <c r="M904" s="453">
        <v>0.3</v>
      </c>
      <c r="N904" s="140">
        <f t="shared" si="151"/>
        <v>44.000127064803053</v>
      </c>
      <c r="O904" s="140">
        <v>55</v>
      </c>
      <c r="Q904" s="451"/>
      <c r="R904" s="451"/>
      <c r="U904" s="138"/>
    </row>
    <row r="905" spans="2:21" s="109" customFormat="1" ht="15.5" outlineLevel="1" x14ac:dyDescent="0.35">
      <c r="B905" s="278"/>
      <c r="C905" s="109" t="s">
        <v>457</v>
      </c>
      <c r="D905" s="511"/>
      <c r="E905" s="109">
        <v>52</v>
      </c>
      <c r="F905" s="109" t="s">
        <v>454</v>
      </c>
      <c r="H905" s="325">
        <v>13</v>
      </c>
      <c r="I905" s="494">
        <v>787</v>
      </c>
      <c r="J905" s="325">
        <f>787+388+40+47</f>
        <v>1262</v>
      </c>
      <c r="K905" s="325">
        <f>+H905/I905*J905</f>
        <v>20.846251588310036</v>
      </c>
      <c r="L905" s="325">
        <f>+H905+K905</f>
        <v>33.846251588310039</v>
      </c>
      <c r="M905" s="495">
        <v>0.3</v>
      </c>
      <c r="N905" s="325">
        <f t="shared" si="151"/>
        <v>44.000127064803053</v>
      </c>
      <c r="O905" s="325">
        <v>55</v>
      </c>
      <c r="P905" s="325"/>
      <c r="Q905" s="10"/>
      <c r="R905" s="10"/>
      <c r="S905" s="505"/>
      <c r="T905" s="489"/>
      <c r="U905" s="423"/>
    </row>
    <row r="906" spans="2:21" s="109" customFormat="1" ht="15.5" outlineLevel="1" x14ac:dyDescent="0.35">
      <c r="C906" s="109" t="s">
        <v>542</v>
      </c>
      <c r="D906" s="511"/>
      <c r="E906" s="511">
        <v>62</v>
      </c>
      <c r="F906" s="109" t="s">
        <v>454</v>
      </c>
      <c r="H906" s="325">
        <v>13</v>
      </c>
      <c r="I906" s="494">
        <v>787</v>
      </c>
      <c r="J906" s="325">
        <f>787+388+40+47</f>
        <v>1262</v>
      </c>
      <c r="K906" s="325">
        <f>+H906/I906*J906</f>
        <v>20.846251588310036</v>
      </c>
      <c r="L906" s="325">
        <f>+H906+K906</f>
        <v>33.846251588310039</v>
      </c>
      <c r="M906" s="495">
        <v>0.3</v>
      </c>
      <c r="N906" s="325">
        <f t="shared" si="151"/>
        <v>44.000127064803053</v>
      </c>
      <c r="O906" s="325">
        <v>60</v>
      </c>
      <c r="P906" s="325"/>
      <c r="Q906" s="451"/>
      <c r="R906" s="451"/>
      <c r="T906" s="489"/>
      <c r="U906" s="423"/>
    </row>
    <row r="907" spans="2:21" ht="15.5" outlineLevel="1" x14ac:dyDescent="0.35">
      <c r="B907" s="10"/>
      <c r="C907" s="10" t="s">
        <v>542</v>
      </c>
      <c r="D907" s="503">
        <v>9</v>
      </c>
      <c r="E907" s="503">
        <v>64</v>
      </c>
      <c r="F907" s="10" t="s">
        <v>454</v>
      </c>
      <c r="H907" s="140">
        <v>13</v>
      </c>
      <c r="I907" s="56">
        <v>787</v>
      </c>
      <c r="J907" s="140">
        <f>787+388+40+47</f>
        <v>1262</v>
      </c>
      <c r="K907" s="140">
        <f>+H907/I907*J907</f>
        <v>20.846251588310036</v>
      </c>
      <c r="L907" s="140">
        <f>+H907+K907</f>
        <v>33.846251588310039</v>
      </c>
      <c r="M907" s="453">
        <v>0.3</v>
      </c>
      <c r="N907" s="140">
        <f t="shared" si="151"/>
        <v>44.000127064803053</v>
      </c>
      <c r="O907" s="140">
        <v>60</v>
      </c>
      <c r="Q907" s="451"/>
      <c r="R907" s="451"/>
      <c r="U907" s="138"/>
    </row>
    <row r="908" spans="2:21" ht="15.5" outlineLevel="1" x14ac:dyDescent="0.35">
      <c r="C908" s="10" t="s">
        <v>542</v>
      </c>
      <c r="D908" s="10">
        <v>10</v>
      </c>
      <c r="E908" s="10">
        <v>66</v>
      </c>
      <c r="F908" s="10" t="s">
        <v>454</v>
      </c>
      <c r="H908" s="140">
        <v>13</v>
      </c>
      <c r="I908" s="56"/>
      <c r="J908" s="140"/>
      <c r="K908" s="140"/>
      <c r="L908" s="140"/>
      <c r="M908" s="453"/>
      <c r="N908" s="140">
        <v>44</v>
      </c>
      <c r="O908" s="140"/>
      <c r="Q908" s="451"/>
      <c r="R908" s="451"/>
      <c r="U908" s="138"/>
    </row>
    <row r="909" spans="2:21" ht="15.5" outlineLevel="1" x14ac:dyDescent="0.35">
      <c r="C909" s="10" t="s">
        <v>542</v>
      </c>
      <c r="D909" s="503">
        <v>11</v>
      </c>
      <c r="E909" s="10">
        <v>68</v>
      </c>
      <c r="F909" s="10" t="s">
        <v>454</v>
      </c>
      <c r="H909" s="140">
        <v>13</v>
      </c>
      <c r="I909" s="56"/>
      <c r="J909" s="140"/>
      <c r="K909" s="140"/>
      <c r="L909" s="140"/>
      <c r="M909" s="453"/>
      <c r="N909" s="140">
        <v>44</v>
      </c>
      <c r="O909" s="140"/>
      <c r="Q909" s="451"/>
      <c r="R909" s="451"/>
      <c r="U909" s="138"/>
    </row>
    <row r="910" spans="2:21" ht="15.5" outlineLevel="1" x14ac:dyDescent="0.35">
      <c r="F910" s="11" t="s">
        <v>490</v>
      </c>
      <c r="G910" s="11"/>
      <c r="H910" s="11"/>
      <c r="M910" s="452"/>
      <c r="O910" s="11"/>
      <c r="P910" s="278"/>
    </row>
    <row r="911" spans="2:21" s="109" customFormat="1" ht="15.5" outlineLevel="1" x14ac:dyDescent="0.35">
      <c r="C911" s="109" t="s">
        <v>467</v>
      </c>
      <c r="D911" s="109">
        <v>13</v>
      </c>
      <c r="E911" s="109">
        <v>48</v>
      </c>
      <c r="F911" s="109" t="s">
        <v>468</v>
      </c>
      <c r="H911" s="325">
        <v>15</v>
      </c>
      <c r="I911" s="494">
        <v>9148</v>
      </c>
      <c r="J911" s="325">
        <v>15477</v>
      </c>
      <c r="K911" s="325">
        <f>+H911/I911*J911</f>
        <v>25.377678181023175</v>
      </c>
      <c r="L911" s="325">
        <f>+H911+K911</f>
        <v>40.377678181023171</v>
      </c>
      <c r="M911" s="495">
        <v>0.3</v>
      </c>
      <c r="N911" s="325">
        <f>+L911*M911+L911</f>
        <v>52.490981635330122</v>
      </c>
      <c r="O911" s="325">
        <v>65</v>
      </c>
      <c r="P911" s="325"/>
      <c r="Q911" s="10"/>
      <c r="R911" s="10"/>
      <c r="S911" s="505" t="s">
        <v>12</v>
      </c>
      <c r="T911" s="489" t="s">
        <v>797</v>
      </c>
      <c r="U911" s="423">
        <f>+O911*950</f>
        <v>61750</v>
      </c>
    </row>
    <row r="912" spans="2:21" ht="15.5" outlineLevel="1" x14ac:dyDescent="0.35">
      <c r="C912" s="10" t="s">
        <v>467</v>
      </c>
      <c r="D912" s="10">
        <v>16</v>
      </c>
      <c r="E912" s="10">
        <v>36</v>
      </c>
      <c r="F912" s="10" t="s">
        <v>484</v>
      </c>
      <c r="H912" s="140">
        <v>15</v>
      </c>
      <c r="I912" s="56">
        <v>9148</v>
      </c>
      <c r="J912" s="140">
        <v>15477</v>
      </c>
      <c r="K912" s="140">
        <f>+H912/I912*J912</f>
        <v>25.377678181023175</v>
      </c>
      <c r="L912" s="140">
        <f>+H912+K912</f>
        <v>40.377678181023171</v>
      </c>
      <c r="M912" s="453">
        <v>0.3</v>
      </c>
      <c r="N912" s="140">
        <f>+L912*M912+L912</f>
        <v>52.490981635330122</v>
      </c>
      <c r="O912" s="140">
        <v>65</v>
      </c>
      <c r="Q912" s="451"/>
      <c r="R912" s="451"/>
      <c r="U912" s="138"/>
    </row>
    <row r="913" spans="2:23" ht="15.5" outlineLevel="1" x14ac:dyDescent="0.35">
      <c r="C913" s="10" t="s">
        <v>467</v>
      </c>
      <c r="D913" s="10">
        <v>18</v>
      </c>
      <c r="E913" s="10">
        <v>36</v>
      </c>
      <c r="F913" s="10" t="s">
        <v>481</v>
      </c>
      <c r="H913" s="140">
        <v>15</v>
      </c>
      <c r="I913" s="56">
        <v>9148</v>
      </c>
      <c r="J913" s="140">
        <v>15477</v>
      </c>
      <c r="K913" s="140">
        <f>+H913/I913*J913</f>
        <v>25.377678181023175</v>
      </c>
      <c r="L913" s="140">
        <f>+H913+K913</f>
        <v>40.377678181023171</v>
      </c>
      <c r="M913" s="453">
        <v>0.3</v>
      </c>
      <c r="N913" s="140">
        <f>+L913*M913+L913</f>
        <v>52.490981635330122</v>
      </c>
      <c r="O913" s="140">
        <v>65</v>
      </c>
      <c r="Q913" s="451"/>
      <c r="R913" s="451"/>
      <c r="U913" s="138"/>
    </row>
    <row r="914" spans="2:23" ht="15.5" outlineLevel="1" x14ac:dyDescent="0.35">
      <c r="C914" s="11" t="s">
        <v>596</v>
      </c>
      <c r="D914" s="10"/>
      <c r="E914" s="10"/>
      <c r="H914" s="140"/>
      <c r="I914" s="56"/>
      <c r="J914" s="140"/>
      <c r="K914" s="140"/>
      <c r="L914" s="140"/>
      <c r="M914" s="453"/>
      <c r="O914" s="140"/>
      <c r="U914" s="138"/>
    </row>
    <row r="915" spans="2:23" ht="15.5" outlineLevel="1" x14ac:dyDescent="0.35">
      <c r="B915" s="11" t="s">
        <v>466</v>
      </c>
      <c r="C915" s="10" t="s">
        <v>586</v>
      </c>
      <c r="D915" s="10">
        <v>22</v>
      </c>
      <c r="E915" s="10">
        <v>36</v>
      </c>
      <c r="F915" s="206" t="s">
        <v>573</v>
      </c>
      <c r="G915" s="206"/>
      <c r="H915" s="140">
        <v>15</v>
      </c>
      <c r="I915" s="56">
        <v>8183</v>
      </c>
      <c r="J915" s="140">
        <v>13183</v>
      </c>
      <c r="K915" s="140">
        <f t="shared" ref="K915:K920" si="152">+H915/I915*J915</f>
        <v>24.165342783820115</v>
      </c>
      <c r="L915" s="140">
        <f t="shared" ref="L915:L920" si="153">+H915+K915</f>
        <v>39.165342783820115</v>
      </c>
      <c r="M915" s="453">
        <v>0.3</v>
      </c>
      <c r="N915" s="140">
        <f t="shared" ref="N915:N920" si="154">+L915*M915+L915</f>
        <v>50.914945618966151</v>
      </c>
      <c r="O915" s="140">
        <v>65</v>
      </c>
      <c r="Q915" s="451"/>
      <c r="R915" s="451"/>
      <c r="U915" s="138"/>
    </row>
    <row r="916" spans="2:23" ht="15.5" outlineLevel="1" x14ac:dyDescent="0.35">
      <c r="B916" s="11" t="s">
        <v>466</v>
      </c>
      <c r="C916" s="10" t="s">
        <v>586</v>
      </c>
      <c r="D916" s="10">
        <v>24</v>
      </c>
      <c r="E916" s="10">
        <v>40</v>
      </c>
      <c r="F916" s="206" t="s">
        <v>573</v>
      </c>
      <c r="G916" s="206"/>
      <c r="H916" s="140">
        <v>15</v>
      </c>
      <c r="I916" s="56">
        <v>8183</v>
      </c>
      <c r="J916" s="140">
        <v>13183</v>
      </c>
      <c r="K916" s="140">
        <f t="shared" si="152"/>
        <v>24.165342783820115</v>
      </c>
      <c r="L916" s="140">
        <f t="shared" si="153"/>
        <v>39.165342783820115</v>
      </c>
      <c r="M916" s="453">
        <v>0.3</v>
      </c>
      <c r="N916" s="140">
        <f t="shared" si="154"/>
        <v>50.914945618966151</v>
      </c>
      <c r="O916" s="140">
        <v>65</v>
      </c>
      <c r="Q916" s="451"/>
      <c r="R916" s="451"/>
      <c r="U916" s="138"/>
    </row>
    <row r="917" spans="2:23" s="57" customFormat="1" ht="15.5" x14ac:dyDescent="0.35">
      <c r="B917" s="11" t="s">
        <v>466</v>
      </c>
      <c r="C917" s="10" t="s">
        <v>586</v>
      </c>
      <c r="D917" s="10">
        <v>25</v>
      </c>
      <c r="E917" s="10">
        <v>36</v>
      </c>
      <c r="F917" s="206" t="s">
        <v>613</v>
      </c>
      <c r="G917" s="206"/>
      <c r="H917" s="140">
        <v>15</v>
      </c>
      <c r="I917" s="56">
        <v>8183</v>
      </c>
      <c r="J917" s="140">
        <v>13183</v>
      </c>
      <c r="K917" s="140">
        <f t="shared" si="152"/>
        <v>24.165342783820115</v>
      </c>
      <c r="L917" s="140">
        <f t="shared" si="153"/>
        <v>39.165342783820115</v>
      </c>
      <c r="M917" s="453">
        <v>0.3</v>
      </c>
      <c r="N917" s="140">
        <f t="shared" si="154"/>
        <v>50.914945618966151</v>
      </c>
      <c r="O917" s="140">
        <v>65</v>
      </c>
      <c r="P917" s="325"/>
      <c r="Q917" s="10"/>
      <c r="R917" s="10"/>
      <c r="S917" s="10"/>
      <c r="T917" s="404"/>
      <c r="U917" s="138"/>
      <c r="V917" s="10"/>
      <c r="W917" s="10"/>
    </row>
    <row r="918" spans="2:23" s="57" customFormat="1" ht="15.5" x14ac:dyDescent="0.35">
      <c r="B918" s="11" t="s">
        <v>466</v>
      </c>
      <c r="C918" s="10" t="s">
        <v>586</v>
      </c>
      <c r="D918" s="10">
        <v>26</v>
      </c>
      <c r="E918" s="10">
        <v>40</v>
      </c>
      <c r="F918" s="206" t="s">
        <v>613</v>
      </c>
      <c r="G918" s="206"/>
      <c r="H918" s="140">
        <v>15</v>
      </c>
      <c r="I918" s="56">
        <v>8183</v>
      </c>
      <c r="J918" s="140">
        <v>13183</v>
      </c>
      <c r="K918" s="140">
        <f t="shared" si="152"/>
        <v>24.165342783820115</v>
      </c>
      <c r="L918" s="140">
        <f t="shared" si="153"/>
        <v>39.165342783820115</v>
      </c>
      <c r="M918" s="453">
        <v>0.3</v>
      </c>
      <c r="N918" s="140">
        <f t="shared" si="154"/>
        <v>50.914945618966151</v>
      </c>
      <c r="O918" s="140">
        <v>65</v>
      </c>
      <c r="P918" s="325"/>
      <c r="Q918" s="10"/>
      <c r="R918" s="10"/>
      <c r="S918" s="10"/>
      <c r="T918" s="404"/>
      <c r="U918" s="138"/>
      <c r="V918" s="10"/>
      <c r="W918" s="10"/>
    </row>
    <row r="919" spans="2:23" s="57" customFormat="1" ht="15.5" x14ac:dyDescent="0.35">
      <c r="B919" s="11" t="s">
        <v>466</v>
      </c>
      <c r="C919" s="10" t="s">
        <v>586</v>
      </c>
      <c r="D919" s="10">
        <v>27</v>
      </c>
      <c r="E919" s="10">
        <v>42</v>
      </c>
      <c r="F919" s="206" t="s">
        <v>613</v>
      </c>
      <c r="G919" s="206"/>
      <c r="H919" s="140">
        <v>15</v>
      </c>
      <c r="I919" s="56">
        <v>8183</v>
      </c>
      <c r="J919" s="140">
        <v>13183</v>
      </c>
      <c r="K919" s="140">
        <f t="shared" si="152"/>
        <v>24.165342783820115</v>
      </c>
      <c r="L919" s="140">
        <f t="shared" si="153"/>
        <v>39.165342783820115</v>
      </c>
      <c r="M919" s="453">
        <v>0.3</v>
      </c>
      <c r="N919" s="140">
        <f t="shared" si="154"/>
        <v>50.914945618966151</v>
      </c>
      <c r="O919" s="140">
        <v>65</v>
      </c>
      <c r="P919" s="325"/>
      <c r="Q919" s="10"/>
      <c r="R919" s="10"/>
      <c r="S919" s="10"/>
      <c r="T919" s="404"/>
      <c r="U919" s="138"/>
      <c r="V919" s="10"/>
      <c r="W919" s="10"/>
    </row>
    <row r="920" spans="2:23" s="57" customFormat="1" ht="15.5" x14ac:dyDescent="0.35">
      <c r="B920" s="11" t="s">
        <v>466</v>
      </c>
      <c r="C920" s="10" t="s">
        <v>246</v>
      </c>
      <c r="D920" s="10">
        <v>28</v>
      </c>
      <c r="E920" s="10">
        <v>46</v>
      </c>
      <c r="F920" s="206" t="s">
        <v>970</v>
      </c>
      <c r="G920" s="206"/>
      <c r="H920" s="140">
        <v>16</v>
      </c>
      <c r="I920" s="56">
        <v>8183</v>
      </c>
      <c r="J920" s="140">
        <v>13183</v>
      </c>
      <c r="K920" s="140">
        <f t="shared" si="152"/>
        <v>25.776365636074789</v>
      </c>
      <c r="L920" s="140">
        <f t="shared" si="153"/>
        <v>41.776365636074786</v>
      </c>
      <c r="M920" s="453">
        <v>0.3</v>
      </c>
      <c r="N920" s="140">
        <f t="shared" si="154"/>
        <v>54.309275326897222</v>
      </c>
      <c r="O920" s="140">
        <v>65</v>
      </c>
      <c r="P920" s="325"/>
      <c r="Q920" s="10"/>
      <c r="R920" s="10"/>
      <c r="S920" s="10"/>
      <c r="T920" s="404"/>
      <c r="U920" s="138"/>
      <c r="V920" s="10"/>
      <c r="W920" s="10"/>
    </row>
    <row r="921" spans="2:23" s="57" customFormat="1" ht="15.5" x14ac:dyDescent="0.35">
      <c r="B921" s="11"/>
      <c r="C921" s="10"/>
      <c r="D921" s="10"/>
      <c r="E921" s="10"/>
      <c r="F921" s="339" t="s">
        <v>728</v>
      </c>
      <c r="G921" s="339"/>
      <c r="H921" s="140"/>
      <c r="I921" s="56"/>
      <c r="J921" s="140"/>
      <c r="K921" s="140"/>
      <c r="L921" s="140"/>
      <c r="M921" s="453"/>
      <c r="N921" s="140"/>
      <c r="O921" s="140"/>
      <c r="P921" s="325"/>
      <c r="Q921" s="10"/>
      <c r="R921" s="10"/>
      <c r="S921" s="10"/>
      <c r="T921" s="404"/>
      <c r="U921" s="138"/>
      <c r="V921" s="10"/>
      <c r="W921" s="10"/>
    </row>
    <row r="922" spans="2:23" s="57" customFormat="1" ht="15.5" x14ac:dyDescent="0.35">
      <c r="B922" s="57" t="s">
        <v>466</v>
      </c>
      <c r="C922" s="57" t="s">
        <v>708</v>
      </c>
      <c r="D922" s="57">
        <v>30</v>
      </c>
      <c r="E922" s="57">
        <v>42</v>
      </c>
      <c r="F922" s="57" t="s">
        <v>709</v>
      </c>
      <c r="H922" s="147">
        <v>15</v>
      </c>
      <c r="I922" s="65">
        <v>4607</v>
      </c>
      <c r="J922" s="147">
        <f>7503-I922</f>
        <v>2896</v>
      </c>
      <c r="K922" s="147">
        <f>+H922/I922*J922</f>
        <v>9.4291295854135004</v>
      </c>
      <c r="L922" s="147">
        <f>+H922+K922</f>
        <v>24.429129585413499</v>
      </c>
      <c r="M922" s="478">
        <v>0.3</v>
      </c>
      <c r="N922" s="147">
        <f>+L922*M922+L922</f>
        <v>31.757868461037546</v>
      </c>
      <c r="O922" s="143">
        <v>55</v>
      </c>
      <c r="P922" s="479"/>
      <c r="T922" s="480"/>
      <c r="U922" s="337"/>
    </row>
    <row r="923" spans="2:23" s="244" customFormat="1" ht="15.5" x14ac:dyDescent="0.35">
      <c r="B923" s="33"/>
      <c r="C923" s="465" t="s">
        <v>762</v>
      </c>
      <c r="D923" s="330"/>
      <c r="E923" s="330"/>
      <c r="F923" s="330" t="s">
        <v>787</v>
      </c>
      <c r="G923" s="330"/>
      <c r="H923" s="462"/>
      <c r="I923" s="512"/>
      <c r="J923" s="462"/>
      <c r="K923" s="462"/>
      <c r="L923" s="462"/>
      <c r="M923" s="513"/>
      <c r="N923" s="462"/>
      <c r="O923" s="462"/>
      <c r="P923" s="463"/>
      <c r="Q923" s="33"/>
      <c r="R923" s="33"/>
      <c r="S923" s="33"/>
      <c r="T923" s="514"/>
      <c r="U923" s="428"/>
      <c r="V923" s="330"/>
      <c r="W923" s="330"/>
    </row>
    <row r="924" spans="2:23" s="244" customFormat="1" ht="15.5" x14ac:dyDescent="0.35">
      <c r="B924" s="57" t="s">
        <v>771</v>
      </c>
      <c r="C924" s="57" t="s">
        <v>771</v>
      </c>
      <c r="D924" s="244">
        <v>34</v>
      </c>
      <c r="E924" s="244">
        <v>50</v>
      </c>
      <c r="F924" s="244" t="s">
        <v>763</v>
      </c>
      <c r="H924" s="459">
        <v>12</v>
      </c>
      <c r="I924" s="460">
        <v>8267</v>
      </c>
      <c r="J924" s="459">
        <v>7400</v>
      </c>
      <c r="K924" s="459">
        <f t="shared" ref="K924:K933" si="155">+H924/I924*J924</f>
        <v>10.741502358775856</v>
      </c>
      <c r="L924" s="459">
        <f t="shared" ref="L924:L933" si="156">+H924+K924</f>
        <v>22.741502358775854</v>
      </c>
      <c r="M924" s="461">
        <v>0.3</v>
      </c>
      <c r="N924" s="459">
        <f t="shared" ref="N924:N933" si="157">+L924*1.3</f>
        <v>29.563953066408612</v>
      </c>
      <c r="O924" s="462">
        <v>45</v>
      </c>
      <c r="P924" s="463"/>
      <c r="Q924" s="57"/>
      <c r="R924" s="57"/>
      <c r="S924" s="57"/>
      <c r="T924" s="464"/>
      <c r="U924" s="337"/>
    </row>
    <row r="925" spans="2:23" customFormat="1" ht="15.5" x14ac:dyDescent="0.35">
      <c r="B925" s="57" t="s">
        <v>772</v>
      </c>
      <c r="C925" s="241" t="s">
        <v>779</v>
      </c>
      <c r="D925" s="244">
        <v>39</v>
      </c>
      <c r="E925" s="244">
        <v>44</v>
      </c>
      <c r="F925" s="244" t="s">
        <v>773</v>
      </c>
      <c r="G925" s="244"/>
      <c r="H925" s="459">
        <v>15</v>
      </c>
      <c r="I925" s="460">
        <v>8267</v>
      </c>
      <c r="J925" s="459">
        <v>7400</v>
      </c>
      <c r="K925" s="459">
        <f t="shared" si="155"/>
        <v>13.426877948469819</v>
      </c>
      <c r="L925" s="459">
        <f t="shared" si="156"/>
        <v>28.426877948469819</v>
      </c>
      <c r="M925" s="461">
        <v>0.3</v>
      </c>
      <c r="N925" s="459">
        <f t="shared" si="157"/>
        <v>36.954941333010765</v>
      </c>
      <c r="O925" s="462">
        <v>65</v>
      </c>
      <c r="P925" s="463"/>
      <c r="Q925" s="66"/>
      <c r="R925" s="66"/>
      <c r="S925" s="57"/>
      <c r="T925" s="464"/>
      <c r="U925" s="337"/>
      <c r="V925" s="244"/>
      <c r="W925" s="244"/>
    </row>
    <row r="926" spans="2:23" customFormat="1" ht="15.5" x14ac:dyDescent="0.35">
      <c r="B926" s="57" t="s">
        <v>772</v>
      </c>
      <c r="C926" s="241" t="s">
        <v>586</v>
      </c>
      <c r="D926" s="244">
        <v>42</v>
      </c>
      <c r="E926" s="244">
        <v>44</v>
      </c>
      <c r="F926" s="244" t="s">
        <v>774</v>
      </c>
      <c r="G926" s="244"/>
      <c r="H926" s="459">
        <v>15</v>
      </c>
      <c r="I926" s="460">
        <v>8267</v>
      </c>
      <c r="J926" s="459">
        <v>7400</v>
      </c>
      <c r="K926" s="459">
        <f t="shared" si="155"/>
        <v>13.426877948469819</v>
      </c>
      <c r="L926" s="459">
        <f t="shared" si="156"/>
        <v>28.426877948469819</v>
      </c>
      <c r="M926" s="461">
        <v>0.3</v>
      </c>
      <c r="N926" s="459">
        <f t="shared" si="157"/>
        <v>36.954941333010765</v>
      </c>
      <c r="O926" s="462">
        <v>65</v>
      </c>
      <c r="P926" s="463"/>
      <c r="Q926" s="66"/>
      <c r="R926" s="66"/>
      <c r="S926" s="57"/>
      <c r="T926" s="464"/>
      <c r="U926" s="337"/>
      <c r="V926" s="244"/>
      <c r="W926" s="244"/>
    </row>
    <row r="927" spans="2:23" customFormat="1" ht="15.5" x14ac:dyDescent="0.35">
      <c r="B927" s="57" t="s">
        <v>772</v>
      </c>
      <c r="C927" s="241" t="s">
        <v>586</v>
      </c>
      <c r="D927" s="244">
        <v>43</v>
      </c>
      <c r="E927" s="244">
        <v>46</v>
      </c>
      <c r="F927" s="244" t="s">
        <v>774</v>
      </c>
      <c r="G927" s="244"/>
      <c r="H927" s="459">
        <v>15</v>
      </c>
      <c r="I927" s="460">
        <v>8267</v>
      </c>
      <c r="J927" s="459">
        <v>7400</v>
      </c>
      <c r="K927" s="459">
        <f t="shared" si="155"/>
        <v>13.426877948469819</v>
      </c>
      <c r="L927" s="459">
        <f t="shared" si="156"/>
        <v>28.426877948469819</v>
      </c>
      <c r="M927" s="461">
        <v>0.3</v>
      </c>
      <c r="N927" s="459">
        <f t="shared" si="157"/>
        <v>36.954941333010765</v>
      </c>
      <c r="O927" s="462">
        <v>65</v>
      </c>
      <c r="P927" s="463"/>
      <c r="Q927" s="66"/>
      <c r="R927" s="66"/>
      <c r="S927" s="57"/>
      <c r="T927" s="464"/>
      <c r="U927" s="337"/>
      <c r="V927" s="244"/>
      <c r="W927" s="244"/>
    </row>
    <row r="928" spans="2:23" customFormat="1" ht="15.5" x14ac:dyDescent="0.35">
      <c r="B928" s="57" t="s">
        <v>772</v>
      </c>
      <c r="C928" s="241" t="s">
        <v>586</v>
      </c>
      <c r="D928" s="244">
        <v>44</v>
      </c>
      <c r="E928" s="244">
        <v>48</v>
      </c>
      <c r="F928" s="244" t="s">
        <v>774</v>
      </c>
      <c r="G928" s="244"/>
      <c r="H928" s="459">
        <v>15</v>
      </c>
      <c r="I928" s="460">
        <v>8267</v>
      </c>
      <c r="J928" s="459">
        <v>7400</v>
      </c>
      <c r="K928" s="459">
        <f t="shared" si="155"/>
        <v>13.426877948469819</v>
      </c>
      <c r="L928" s="459">
        <f t="shared" si="156"/>
        <v>28.426877948469819</v>
      </c>
      <c r="M928" s="461">
        <v>0.3</v>
      </c>
      <c r="N928" s="459">
        <f t="shared" si="157"/>
        <v>36.954941333010765</v>
      </c>
      <c r="O928" s="462">
        <v>65</v>
      </c>
      <c r="P928" s="463"/>
      <c r="Q928" s="66"/>
      <c r="R928" s="66"/>
      <c r="S928" s="57"/>
      <c r="T928" s="464"/>
      <c r="U928" s="337"/>
      <c r="V928" s="244"/>
      <c r="W928" s="244"/>
    </row>
    <row r="929" spans="2:23" customFormat="1" ht="15.5" x14ac:dyDescent="0.35">
      <c r="B929" s="57" t="s">
        <v>772</v>
      </c>
      <c r="C929" s="241" t="s">
        <v>586</v>
      </c>
      <c r="D929" s="244">
        <v>46</v>
      </c>
      <c r="E929" s="244">
        <v>42</v>
      </c>
      <c r="F929" s="244" t="s">
        <v>774</v>
      </c>
      <c r="G929" s="244"/>
      <c r="H929" s="459">
        <v>15</v>
      </c>
      <c r="I929" s="460">
        <v>8267</v>
      </c>
      <c r="J929" s="459">
        <v>7400</v>
      </c>
      <c r="K929" s="459">
        <f t="shared" si="155"/>
        <v>13.426877948469819</v>
      </c>
      <c r="L929" s="459">
        <f t="shared" si="156"/>
        <v>28.426877948469819</v>
      </c>
      <c r="M929" s="461">
        <v>0.3</v>
      </c>
      <c r="N929" s="459">
        <f t="shared" si="157"/>
        <v>36.954941333010765</v>
      </c>
      <c r="O929" s="462">
        <v>65</v>
      </c>
      <c r="P929" s="463"/>
      <c r="Q929" s="66"/>
      <c r="R929" s="66"/>
      <c r="S929" s="57" t="s">
        <v>12</v>
      </c>
      <c r="T929" s="464">
        <v>45017</v>
      </c>
      <c r="U929" s="337">
        <f>+O929*1000</f>
        <v>65000</v>
      </c>
      <c r="V929" s="244"/>
      <c r="W929" s="244"/>
    </row>
    <row r="930" spans="2:23" customFormat="1" ht="15.5" x14ac:dyDescent="0.35">
      <c r="B930" s="57" t="s">
        <v>772</v>
      </c>
      <c r="C930" s="241" t="s">
        <v>586</v>
      </c>
      <c r="D930" s="244">
        <v>47</v>
      </c>
      <c r="E930" s="244">
        <v>44</v>
      </c>
      <c r="F930" s="244" t="s">
        <v>774</v>
      </c>
      <c r="G930" s="244"/>
      <c r="H930" s="459">
        <v>15</v>
      </c>
      <c r="I930" s="460">
        <v>8267</v>
      </c>
      <c r="J930" s="459">
        <v>7400</v>
      </c>
      <c r="K930" s="459">
        <f t="shared" si="155"/>
        <v>13.426877948469819</v>
      </c>
      <c r="L930" s="459">
        <f t="shared" si="156"/>
        <v>28.426877948469819</v>
      </c>
      <c r="M930" s="461">
        <v>0.3</v>
      </c>
      <c r="N930" s="459">
        <f t="shared" si="157"/>
        <v>36.954941333010765</v>
      </c>
      <c r="O930" s="462">
        <v>65</v>
      </c>
      <c r="P930" s="463"/>
      <c r="Q930" s="66"/>
      <c r="R930" s="66"/>
      <c r="S930" s="57"/>
      <c r="T930" s="464"/>
      <c r="U930" s="337"/>
      <c r="V930" s="244"/>
      <c r="W930" s="244"/>
    </row>
    <row r="931" spans="2:23" customFormat="1" ht="15.5" x14ac:dyDescent="0.35">
      <c r="B931" s="57" t="s">
        <v>772</v>
      </c>
      <c r="C931" s="241" t="s">
        <v>586</v>
      </c>
      <c r="D931" s="244">
        <v>48</v>
      </c>
      <c r="E931" s="244">
        <v>46</v>
      </c>
      <c r="F931" s="244" t="s">
        <v>774</v>
      </c>
      <c r="G931" s="244"/>
      <c r="H931" s="459">
        <v>15</v>
      </c>
      <c r="I931" s="460">
        <v>8267</v>
      </c>
      <c r="J931" s="459">
        <v>7400</v>
      </c>
      <c r="K931" s="459">
        <f t="shared" si="155"/>
        <v>13.426877948469819</v>
      </c>
      <c r="L931" s="459">
        <f t="shared" si="156"/>
        <v>28.426877948469819</v>
      </c>
      <c r="M931" s="461">
        <v>0.3</v>
      </c>
      <c r="N931" s="459">
        <f t="shared" si="157"/>
        <v>36.954941333010765</v>
      </c>
      <c r="O931" s="462">
        <v>65</v>
      </c>
      <c r="P931" s="463"/>
      <c r="Q931" s="66"/>
      <c r="R931" s="66"/>
      <c r="S931" s="57"/>
      <c r="T931" s="464"/>
      <c r="U931" s="337"/>
      <c r="V931" s="244"/>
      <c r="W931" s="244"/>
    </row>
    <row r="932" spans="2:23" customFormat="1" ht="15.5" x14ac:dyDescent="0.35">
      <c r="B932" s="57" t="s">
        <v>772</v>
      </c>
      <c r="C932" s="241" t="s">
        <v>586</v>
      </c>
      <c r="D932" s="244">
        <v>49</v>
      </c>
      <c r="E932" s="244">
        <v>48</v>
      </c>
      <c r="F932" s="244" t="s">
        <v>774</v>
      </c>
      <c r="G932" s="244"/>
      <c r="H932" s="459">
        <v>15</v>
      </c>
      <c r="I932" s="460">
        <v>8267</v>
      </c>
      <c r="J932" s="459">
        <v>7400</v>
      </c>
      <c r="K932" s="459">
        <f t="shared" si="155"/>
        <v>13.426877948469819</v>
      </c>
      <c r="L932" s="459">
        <f t="shared" si="156"/>
        <v>28.426877948469819</v>
      </c>
      <c r="M932" s="461">
        <v>0.3</v>
      </c>
      <c r="N932" s="459">
        <f t="shared" si="157"/>
        <v>36.954941333010765</v>
      </c>
      <c r="O932" s="462">
        <v>65</v>
      </c>
      <c r="P932" s="463"/>
      <c r="Q932" s="66"/>
      <c r="R932" s="66"/>
      <c r="S932" s="57"/>
      <c r="T932" s="464"/>
      <c r="U932" s="337"/>
      <c r="V932" s="244"/>
      <c r="W932" s="244"/>
    </row>
    <row r="933" spans="2:23" customFormat="1" ht="15.5" x14ac:dyDescent="0.35">
      <c r="B933" s="57" t="s">
        <v>772</v>
      </c>
      <c r="C933" s="241" t="s">
        <v>586</v>
      </c>
      <c r="D933" s="244">
        <v>50</v>
      </c>
      <c r="E933" s="244">
        <v>50</v>
      </c>
      <c r="F933" s="244" t="s">
        <v>774</v>
      </c>
      <c r="G933" s="244"/>
      <c r="H933" s="459">
        <v>15</v>
      </c>
      <c r="I933" s="460">
        <v>8267</v>
      </c>
      <c r="J933" s="459">
        <v>7400</v>
      </c>
      <c r="K933" s="459">
        <f t="shared" si="155"/>
        <v>13.426877948469819</v>
      </c>
      <c r="L933" s="459">
        <f t="shared" si="156"/>
        <v>28.426877948469819</v>
      </c>
      <c r="M933" s="461">
        <v>0.3</v>
      </c>
      <c r="N933" s="459">
        <f t="shared" si="157"/>
        <v>36.954941333010765</v>
      </c>
      <c r="O933" s="462">
        <v>65</v>
      </c>
      <c r="P933" s="463"/>
      <c r="Q933" s="66"/>
      <c r="R933" s="66"/>
      <c r="S933" s="496"/>
      <c r="T933" s="464"/>
      <c r="U933" s="337"/>
      <c r="V933" s="244"/>
      <c r="W933" s="244"/>
    </row>
    <row r="934" spans="2:23" customFormat="1" ht="15.5" x14ac:dyDescent="0.35">
      <c r="B934" s="57" t="s">
        <v>772</v>
      </c>
      <c r="C934" s="465" t="s">
        <v>795</v>
      </c>
      <c r="D934" s="244"/>
      <c r="E934" s="244"/>
      <c r="F934" s="244"/>
      <c r="G934" s="244"/>
      <c r="H934" s="459"/>
      <c r="I934" s="460"/>
      <c r="J934" s="459"/>
      <c r="K934" s="459"/>
      <c r="L934" s="459"/>
      <c r="M934" s="461"/>
      <c r="N934" s="459"/>
      <c r="O934" s="462"/>
      <c r="P934" s="463"/>
      <c r="Q934" s="57"/>
      <c r="R934" s="57"/>
      <c r="S934" s="57"/>
      <c r="T934" s="464"/>
      <c r="U934" s="337"/>
      <c r="V934" s="244"/>
      <c r="W934" s="244"/>
    </row>
    <row r="935" spans="2:23" customFormat="1" ht="15.5" x14ac:dyDescent="0.35">
      <c r="B935" s="57" t="s">
        <v>772</v>
      </c>
      <c r="C935" s="233" t="s">
        <v>788</v>
      </c>
      <c r="D935" s="244">
        <v>51</v>
      </c>
      <c r="E935" s="244">
        <v>42</v>
      </c>
      <c r="F935" s="244" t="s">
        <v>789</v>
      </c>
      <c r="G935" s="244"/>
      <c r="H935" s="173">
        <v>15</v>
      </c>
      <c r="I935" s="4">
        <f t="shared" ref="I935:I942" si="158">+(700+612+375)*1.5</f>
        <v>2530.5</v>
      </c>
      <c r="J935" s="173">
        <v>631</v>
      </c>
      <c r="K935" s="459">
        <f t="shared" ref="K935:K942" si="159">+H935/I935*J935</f>
        <v>3.7403675163011263</v>
      </c>
      <c r="L935" s="459">
        <f t="shared" ref="L935:L942" si="160">+H935+K935</f>
        <v>18.740367516301127</v>
      </c>
      <c r="M935" s="461">
        <v>0.4</v>
      </c>
      <c r="N935" s="459">
        <f t="shared" ref="N935:N942" si="161">+L935*1.3</f>
        <v>24.362477771191465</v>
      </c>
      <c r="O935" s="146">
        <v>55</v>
      </c>
      <c r="P935" s="466"/>
      <c r="Q935" s="451"/>
      <c r="R935" s="451"/>
      <c r="S935" s="10"/>
      <c r="T935" s="467"/>
      <c r="U935" s="420"/>
    </row>
    <row r="936" spans="2:23" customFormat="1" ht="15.5" x14ac:dyDescent="0.35">
      <c r="B936" s="57" t="s">
        <v>772</v>
      </c>
      <c r="C936" s="233" t="s">
        <v>788</v>
      </c>
      <c r="D936" s="244">
        <v>52</v>
      </c>
      <c r="E936" s="244">
        <v>44</v>
      </c>
      <c r="F936" s="244" t="s">
        <v>789</v>
      </c>
      <c r="G936" s="244"/>
      <c r="H936" s="173">
        <v>15</v>
      </c>
      <c r="I936" s="4">
        <f t="shared" si="158"/>
        <v>2530.5</v>
      </c>
      <c r="J936" s="173">
        <v>631</v>
      </c>
      <c r="K936" s="459">
        <f t="shared" si="159"/>
        <v>3.7403675163011263</v>
      </c>
      <c r="L936" s="459">
        <f t="shared" si="160"/>
        <v>18.740367516301127</v>
      </c>
      <c r="M936" s="461">
        <v>0.4</v>
      </c>
      <c r="N936" s="459">
        <f t="shared" si="161"/>
        <v>24.362477771191465</v>
      </c>
      <c r="O936" s="146">
        <v>55</v>
      </c>
      <c r="P936" s="466"/>
      <c r="Q936" s="451"/>
      <c r="R936" s="451"/>
      <c r="S936" s="10"/>
      <c r="T936" s="467"/>
      <c r="U936" s="420"/>
    </row>
    <row r="937" spans="2:23" customFormat="1" ht="15.5" x14ac:dyDescent="0.35">
      <c r="B937" s="57" t="s">
        <v>772</v>
      </c>
      <c r="C937" s="233" t="s">
        <v>788</v>
      </c>
      <c r="D937" s="244">
        <v>56</v>
      </c>
      <c r="E937" s="244">
        <v>42</v>
      </c>
      <c r="F937" s="244" t="s">
        <v>789</v>
      </c>
      <c r="G937" s="244"/>
      <c r="H937" s="173">
        <v>15</v>
      </c>
      <c r="I937" s="4">
        <f t="shared" si="158"/>
        <v>2530.5</v>
      </c>
      <c r="J937" s="173">
        <v>631</v>
      </c>
      <c r="K937" s="459">
        <f t="shared" si="159"/>
        <v>3.7403675163011263</v>
      </c>
      <c r="L937" s="459">
        <f t="shared" si="160"/>
        <v>18.740367516301127</v>
      </c>
      <c r="M937" s="461">
        <v>0.4</v>
      </c>
      <c r="N937" s="459">
        <f t="shared" si="161"/>
        <v>24.362477771191465</v>
      </c>
      <c r="O937" s="146">
        <v>55</v>
      </c>
      <c r="P937" s="466"/>
      <c r="Q937" s="451"/>
      <c r="R937" s="451"/>
      <c r="S937" s="10"/>
      <c r="T937" s="467"/>
      <c r="U937" s="420"/>
    </row>
    <row r="938" spans="2:23" customFormat="1" ht="15.5" x14ac:dyDescent="0.35">
      <c r="B938" s="57" t="s">
        <v>772</v>
      </c>
      <c r="C938" s="233" t="s">
        <v>788</v>
      </c>
      <c r="D938" s="244">
        <v>57</v>
      </c>
      <c r="E938" s="244">
        <v>44</v>
      </c>
      <c r="F938" s="244" t="s">
        <v>789</v>
      </c>
      <c r="G938" s="244"/>
      <c r="H938" s="173">
        <v>15</v>
      </c>
      <c r="I938" s="4">
        <f t="shared" si="158"/>
        <v>2530.5</v>
      </c>
      <c r="J938" s="173">
        <v>631</v>
      </c>
      <c r="K938" s="459">
        <f t="shared" si="159"/>
        <v>3.7403675163011263</v>
      </c>
      <c r="L938" s="459">
        <f t="shared" si="160"/>
        <v>18.740367516301127</v>
      </c>
      <c r="M938" s="461">
        <v>0.4</v>
      </c>
      <c r="N938" s="459">
        <f t="shared" si="161"/>
        <v>24.362477771191465</v>
      </c>
      <c r="O938" s="146">
        <v>55</v>
      </c>
      <c r="P938" s="466"/>
      <c r="Q938" s="451"/>
      <c r="R938" s="451"/>
      <c r="S938" s="10"/>
      <c r="T938" s="467"/>
      <c r="U938" s="420"/>
    </row>
    <row r="939" spans="2:23" customFormat="1" ht="15.5" x14ac:dyDescent="0.35">
      <c r="B939" s="57" t="s">
        <v>772</v>
      </c>
      <c r="C939" s="233" t="s">
        <v>788</v>
      </c>
      <c r="D939" s="244">
        <v>60</v>
      </c>
      <c r="E939" s="244">
        <v>50</v>
      </c>
      <c r="F939" s="244" t="s">
        <v>789</v>
      </c>
      <c r="G939" s="244"/>
      <c r="H939" s="173">
        <v>15</v>
      </c>
      <c r="I939" s="4">
        <f t="shared" si="158"/>
        <v>2530.5</v>
      </c>
      <c r="J939" s="173">
        <v>631</v>
      </c>
      <c r="K939" s="459">
        <f t="shared" si="159"/>
        <v>3.7403675163011263</v>
      </c>
      <c r="L939" s="459">
        <f t="shared" si="160"/>
        <v>18.740367516301127</v>
      </c>
      <c r="M939" s="461">
        <v>0.4</v>
      </c>
      <c r="N939" s="459">
        <f t="shared" si="161"/>
        <v>24.362477771191465</v>
      </c>
      <c r="O939" s="146">
        <v>55</v>
      </c>
      <c r="P939" s="466"/>
      <c r="Q939" s="109"/>
      <c r="R939" s="109"/>
      <c r="S939" s="496" t="s">
        <v>799</v>
      </c>
      <c r="T939" s="467"/>
      <c r="U939" s="420"/>
    </row>
    <row r="940" spans="2:23" customFormat="1" ht="15.5" x14ac:dyDescent="0.35">
      <c r="B940" s="57" t="s">
        <v>772</v>
      </c>
      <c r="C940" s="233" t="s">
        <v>788</v>
      </c>
      <c r="D940" s="244">
        <v>61</v>
      </c>
      <c r="E940" s="244">
        <v>42</v>
      </c>
      <c r="F940" s="244" t="s">
        <v>790</v>
      </c>
      <c r="G940" s="244"/>
      <c r="H940" s="173">
        <v>15</v>
      </c>
      <c r="I940" s="4">
        <f t="shared" si="158"/>
        <v>2530.5</v>
      </c>
      <c r="J940" s="173">
        <v>631</v>
      </c>
      <c r="K940" s="459">
        <f t="shared" si="159"/>
        <v>3.7403675163011263</v>
      </c>
      <c r="L940" s="459">
        <f t="shared" si="160"/>
        <v>18.740367516301127</v>
      </c>
      <c r="M940" s="461">
        <v>0.4</v>
      </c>
      <c r="N940" s="459">
        <f t="shared" si="161"/>
        <v>24.362477771191465</v>
      </c>
      <c r="O940" s="146">
        <v>55</v>
      </c>
      <c r="P940" s="466"/>
      <c r="Q940" s="451"/>
      <c r="R940" s="451"/>
      <c r="S940" s="10"/>
      <c r="T940" s="467"/>
      <c r="U940" s="420"/>
    </row>
    <row r="941" spans="2:23" customFormat="1" ht="15.5" x14ac:dyDescent="0.35">
      <c r="B941" s="57" t="s">
        <v>772</v>
      </c>
      <c r="C941" s="233" t="s">
        <v>788</v>
      </c>
      <c r="D941" s="244">
        <v>62</v>
      </c>
      <c r="E941" s="244">
        <v>44</v>
      </c>
      <c r="F941" s="244" t="s">
        <v>790</v>
      </c>
      <c r="G941" s="244"/>
      <c r="H941" s="173">
        <v>15</v>
      </c>
      <c r="I941" s="4">
        <f t="shared" si="158"/>
        <v>2530.5</v>
      </c>
      <c r="J941" s="173">
        <v>631</v>
      </c>
      <c r="K941" s="459">
        <f t="shared" si="159"/>
        <v>3.7403675163011263</v>
      </c>
      <c r="L941" s="459">
        <f t="shared" si="160"/>
        <v>18.740367516301127</v>
      </c>
      <c r="M941" s="461">
        <v>0.4</v>
      </c>
      <c r="N941" s="459">
        <f t="shared" si="161"/>
        <v>24.362477771191465</v>
      </c>
      <c r="O941" s="146">
        <v>55</v>
      </c>
      <c r="P941" s="466"/>
      <c r="Q941" s="451"/>
      <c r="R941" s="451"/>
      <c r="S941" s="10"/>
      <c r="T941" s="467"/>
      <c r="U941" s="420"/>
    </row>
    <row r="942" spans="2:23" s="244" customFormat="1" ht="15.5" x14ac:dyDescent="0.35">
      <c r="B942" s="57" t="s">
        <v>772</v>
      </c>
      <c r="C942" s="233" t="s">
        <v>788</v>
      </c>
      <c r="D942" s="244">
        <v>64</v>
      </c>
      <c r="E942" s="244">
        <v>48</v>
      </c>
      <c r="F942" s="244" t="s">
        <v>790</v>
      </c>
      <c r="H942" s="173">
        <v>15</v>
      </c>
      <c r="I942" s="4">
        <f t="shared" si="158"/>
        <v>2530.5</v>
      </c>
      <c r="J942" s="173">
        <v>631</v>
      </c>
      <c r="K942" s="459">
        <f t="shared" si="159"/>
        <v>3.7403675163011263</v>
      </c>
      <c r="L942" s="459">
        <f t="shared" si="160"/>
        <v>18.740367516301127</v>
      </c>
      <c r="M942" s="461">
        <v>0.4</v>
      </c>
      <c r="N942" s="459">
        <f t="shared" si="161"/>
        <v>24.362477771191465</v>
      </c>
      <c r="O942" s="146">
        <v>55</v>
      </c>
      <c r="P942" s="466"/>
      <c r="Q942" s="451"/>
      <c r="R942" s="451"/>
      <c r="S942" s="10"/>
      <c r="T942" s="467"/>
      <c r="U942" s="420"/>
      <c r="V942"/>
      <c r="W942"/>
    </row>
    <row r="943" spans="2:23" ht="15" customHeight="1" outlineLevel="1" x14ac:dyDescent="0.35">
      <c r="B943" s="57" t="s">
        <v>772</v>
      </c>
      <c r="C943" s="233"/>
      <c r="D943" s="244">
        <v>67</v>
      </c>
      <c r="E943" s="244"/>
      <c r="F943" s="244" t="s">
        <v>796</v>
      </c>
      <c r="G943" s="244"/>
      <c r="H943" s="173"/>
      <c r="I943" s="4"/>
      <c r="J943" s="173"/>
      <c r="K943" s="459"/>
      <c r="L943" s="459"/>
      <c r="M943" s="461"/>
      <c r="N943" s="459"/>
      <c r="O943" s="146"/>
      <c r="P943" s="466"/>
      <c r="T943" s="467"/>
      <c r="U943" s="420"/>
      <c r="V943"/>
      <c r="W943"/>
    </row>
    <row r="944" spans="2:23" ht="15" customHeight="1" outlineLevel="1" x14ac:dyDescent="0.35">
      <c r="B944" s="233"/>
      <c r="C944" s="233"/>
      <c r="D944"/>
      <c r="E944" s="244"/>
      <c r="F944" s="330" t="s">
        <v>839</v>
      </c>
      <c r="G944" s="330"/>
      <c r="H944" s="173"/>
      <c r="I944" s="4"/>
      <c r="J944" s="173"/>
      <c r="K944" s="459"/>
      <c r="L944" s="459"/>
      <c r="M944" s="461"/>
      <c r="N944" s="459"/>
      <c r="O944" s="146"/>
      <c r="P944" s="466"/>
      <c r="T944" s="467"/>
      <c r="U944" s="420"/>
      <c r="V944"/>
      <c r="W944"/>
    </row>
    <row r="945" spans="1:23" customFormat="1" ht="15.5" x14ac:dyDescent="0.35">
      <c r="B945" s="233"/>
      <c r="C945" s="233" t="s">
        <v>806</v>
      </c>
      <c r="D945" s="244">
        <v>69</v>
      </c>
      <c r="E945" s="173">
        <v>52</v>
      </c>
      <c r="F945" s="244" t="s">
        <v>505</v>
      </c>
      <c r="G945" s="244"/>
      <c r="H945" s="4">
        <v>11</v>
      </c>
      <c r="I945" s="4">
        <v>9682</v>
      </c>
      <c r="J945" s="173">
        <v>7766</v>
      </c>
      <c r="K945" s="145">
        <f t="shared" ref="K945:K952" si="162">+H945/I945*J945</f>
        <v>8.8231770295393517</v>
      </c>
      <c r="L945" s="145">
        <f t="shared" ref="L945:L952" si="163">+H945+K945</f>
        <v>19.823177029539352</v>
      </c>
      <c r="M945" s="468">
        <v>0.4</v>
      </c>
      <c r="N945" s="145">
        <f t="shared" ref="N945:N952" si="164">+L945*1.4</f>
        <v>27.752447841355092</v>
      </c>
      <c r="O945" s="146">
        <v>55</v>
      </c>
      <c r="P945" s="466"/>
      <c r="Q945" s="451"/>
      <c r="R945" s="451"/>
      <c r="S945" s="10"/>
      <c r="T945" s="467"/>
      <c r="U945" s="420"/>
    </row>
    <row r="946" spans="1:23" customFormat="1" ht="15.5" x14ac:dyDescent="0.35">
      <c r="B946" s="233"/>
      <c r="C946" s="233" t="s">
        <v>806</v>
      </c>
      <c r="D946" s="244">
        <v>75</v>
      </c>
      <c r="E946" s="173">
        <v>48</v>
      </c>
      <c r="F946" s="244" t="s">
        <v>463</v>
      </c>
      <c r="G946" s="244"/>
      <c r="H946" s="4">
        <v>11</v>
      </c>
      <c r="I946" s="4">
        <v>9682</v>
      </c>
      <c r="J946" s="173">
        <v>7766</v>
      </c>
      <c r="K946" s="145">
        <f t="shared" si="162"/>
        <v>8.8231770295393517</v>
      </c>
      <c r="L946" s="145">
        <f t="shared" si="163"/>
        <v>19.823177029539352</v>
      </c>
      <c r="M946" s="468">
        <v>0.4</v>
      </c>
      <c r="N946" s="145">
        <f t="shared" si="164"/>
        <v>27.752447841355092</v>
      </c>
      <c r="O946" s="146">
        <v>55</v>
      </c>
      <c r="P946" s="466"/>
      <c r="Q946" s="451"/>
      <c r="R946" s="451"/>
      <c r="S946" s="10"/>
      <c r="T946" s="467"/>
      <c r="U946" s="420"/>
    </row>
    <row r="947" spans="1:23" customFormat="1" ht="15.5" x14ac:dyDescent="0.35">
      <c r="B947" s="233"/>
      <c r="C947" s="233" t="s">
        <v>806</v>
      </c>
      <c r="D947" s="244">
        <v>80</v>
      </c>
      <c r="E947" s="173">
        <v>48</v>
      </c>
      <c r="F947" s="244" t="s">
        <v>820</v>
      </c>
      <c r="G947" s="244"/>
      <c r="H947" s="4">
        <v>11</v>
      </c>
      <c r="I947" s="4">
        <v>9682</v>
      </c>
      <c r="J947" s="173">
        <v>7766</v>
      </c>
      <c r="K947" s="145">
        <f t="shared" si="162"/>
        <v>8.8231770295393517</v>
      </c>
      <c r="L947" s="145">
        <f t="shared" si="163"/>
        <v>19.823177029539352</v>
      </c>
      <c r="M947" s="468">
        <v>0.4</v>
      </c>
      <c r="N947" s="145">
        <f t="shared" si="164"/>
        <v>27.752447841355092</v>
      </c>
      <c r="O947" s="146">
        <v>55</v>
      </c>
      <c r="P947" s="466"/>
      <c r="Q947" s="451"/>
      <c r="R947" s="451"/>
      <c r="S947" s="10"/>
      <c r="T947" s="467"/>
      <c r="U947" s="420"/>
    </row>
    <row r="948" spans="1:23" customFormat="1" ht="15.5" x14ac:dyDescent="0.35">
      <c r="B948" s="233"/>
      <c r="C948" s="233" t="s">
        <v>806</v>
      </c>
      <c r="D948" s="244">
        <v>81</v>
      </c>
      <c r="E948" s="173">
        <v>50</v>
      </c>
      <c r="F948" s="244" t="s">
        <v>820</v>
      </c>
      <c r="G948" s="244"/>
      <c r="H948" s="4">
        <v>11</v>
      </c>
      <c r="I948" s="4">
        <v>9682</v>
      </c>
      <c r="J948" s="173">
        <v>7766</v>
      </c>
      <c r="K948" s="145">
        <f t="shared" si="162"/>
        <v>8.8231770295393517</v>
      </c>
      <c r="L948" s="145">
        <f t="shared" si="163"/>
        <v>19.823177029539352</v>
      </c>
      <c r="M948" s="468">
        <v>0.4</v>
      </c>
      <c r="N948" s="145">
        <f t="shared" si="164"/>
        <v>27.752447841355092</v>
      </c>
      <c r="O948" s="146">
        <v>55</v>
      </c>
      <c r="P948" s="466"/>
      <c r="Q948" s="451"/>
      <c r="R948" s="451"/>
      <c r="S948" s="10"/>
      <c r="T948" s="467"/>
      <c r="U948" s="420"/>
    </row>
    <row r="949" spans="1:23" customFormat="1" ht="15.5" x14ac:dyDescent="0.35">
      <c r="B949" s="233"/>
      <c r="C949" s="233" t="s">
        <v>806</v>
      </c>
      <c r="D949" s="244">
        <v>82</v>
      </c>
      <c r="E949" s="173">
        <v>38</v>
      </c>
      <c r="F949" s="244" t="s">
        <v>463</v>
      </c>
      <c r="G949" s="244"/>
      <c r="H949" s="4">
        <v>11</v>
      </c>
      <c r="I949" s="4">
        <v>9682</v>
      </c>
      <c r="J949" s="173">
        <v>7766</v>
      </c>
      <c r="K949" s="145">
        <f t="shared" si="162"/>
        <v>8.8231770295393517</v>
      </c>
      <c r="L949" s="145">
        <f t="shared" si="163"/>
        <v>19.823177029539352</v>
      </c>
      <c r="M949" s="468">
        <v>0.4</v>
      </c>
      <c r="N949" s="145">
        <f t="shared" si="164"/>
        <v>27.752447841355092</v>
      </c>
      <c r="O949" s="146">
        <v>55</v>
      </c>
      <c r="P949" s="466"/>
      <c r="Q949" s="451"/>
      <c r="R949" s="451"/>
      <c r="S949" s="10"/>
      <c r="T949" s="467"/>
      <c r="U949" s="420"/>
    </row>
    <row r="950" spans="1:23" customFormat="1" ht="15.5" x14ac:dyDescent="0.35">
      <c r="B950" s="233"/>
      <c r="C950" s="233" t="s">
        <v>806</v>
      </c>
      <c r="D950" s="244">
        <v>83</v>
      </c>
      <c r="E950" s="173">
        <v>40</v>
      </c>
      <c r="F950" s="244" t="s">
        <v>463</v>
      </c>
      <c r="G950" s="244"/>
      <c r="H950" s="4">
        <v>11</v>
      </c>
      <c r="I950" s="4">
        <v>9682</v>
      </c>
      <c r="J950" s="173">
        <v>7766</v>
      </c>
      <c r="K950" s="145">
        <f t="shared" si="162"/>
        <v>8.8231770295393517</v>
      </c>
      <c r="L950" s="145">
        <f t="shared" si="163"/>
        <v>19.823177029539352</v>
      </c>
      <c r="M950" s="468">
        <v>0.4</v>
      </c>
      <c r="N950" s="145">
        <f t="shared" si="164"/>
        <v>27.752447841355092</v>
      </c>
      <c r="O950" s="146">
        <v>55</v>
      </c>
      <c r="P950" s="466"/>
      <c r="Q950" s="451"/>
      <c r="R950" s="451"/>
      <c r="S950" s="10"/>
      <c r="T950" s="467"/>
      <c r="U950" s="420"/>
    </row>
    <row r="951" spans="1:23" customFormat="1" ht="15.5" x14ac:dyDescent="0.35">
      <c r="B951" s="233"/>
      <c r="C951" s="233" t="s">
        <v>771</v>
      </c>
      <c r="D951" s="244">
        <v>85</v>
      </c>
      <c r="E951" s="173">
        <v>44</v>
      </c>
      <c r="F951" s="244" t="s">
        <v>505</v>
      </c>
      <c r="G951" s="244"/>
      <c r="H951" s="4">
        <v>11</v>
      </c>
      <c r="I951" s="4">
        <v>9682</v>
      </c>
      <c r="J951" s="173">
        <v>7766</v>
      </c>
      <c r="K951" s="145">
        <f t="shared" si="162"/>
        <v>8.8231770295393517</v>
      </c>
      <c r="L951" s="145">
        <f t="shared" si="163"/>
        <v>19.823177029539352</v>
      </c>
      <c r="M951" s="468">
        <v>0.4</v>
      </c>
      <c r="N951" s="145">
        <f t="shared" si="164"/>
        <v>27.752447841355092</v>
      </c>
      <c r="O951" s="146">
        <v>55</v>
      </c>
      <c r="P951" s="466"/>
      <c r="Q951" s="451"/>
      <c r="R951" s="451"/>
      <c r="S951" s="10"/>
      <c r="T951" s="467"/>
      <c r="U951" s="420"/>
    </row>
    <row r="952" spans="1:23" customFormat="1" ht="15.5" x14ac:dyDescent="0.35">
      <c r="B952" s="233"/>
      <c r="C952" s="233" t="s">
        <v>806</v>
      </c>
      <c r="D952" s="244">
        <v>86</v>
      </c>
      <c r="E952" s="173">
        <v>48</v>
      </c>
      <c r="F952" s="244" t="s">
        <v>505</v>
      </c>
      <c r="G952" s="244"/>
      <c r="H952" s="4">
        <v>11</v>
      </c>
      <c r="I952" s="4">
        <v>9682</v>
      </c>
      <c r="J952" s="173">
        <v>7766</v>
      </c>
      <c r="K952" s="145">
        <f t="shared" si="162"/>
        <v>8.8231770295393517</v>
      </c>
      <c r="L952" s="145">
        <f t="shared" si="163"/>
        <v>19.823177029539352</v>
      </c>
      <c r="M952" s="468">
        <v>0.4</v>
      </c>
      <c r="N952" s="145">
        <f t="shared" si="164"/>
        <v>27.752447841355092</v>
      </c>
      <c r="O952" s="146">
        <v>55</v>
      </c>
      <c r="P952" s="466"/>
      <c r="Q952" s="451"/>
      <c r="R952" s="451"/>
      <c r="S952" s="10"/>
      <c r="T952" s="467"/>
      <c r="U952" s="420"/>
    </row>
    <row r="953" spans="1:23" ht="15" customHeight="1" outlineLevel="1" x14ac:dyDescent="0.35">
      <c r="B953" s="233"/>
      <c r="C953" s="232" t="s">
        <v>1692</v>
      </c>
      <c r="D953"/>
      <c r="E953" s="244"/>
      <c r="F953" s="330"/>
      <c r="G953" s="330"/>
      <c r="H953" s="173"/>
      <c r="I953" s="4"/>
      <c r="J953" s="173"/>
      <c r="K953" s="459"/>
      <c r="L953" s="459"/>
      <c r="M953" s="461"/>
      <c r="N953" s="459"/>
      <c r="O953" s="146"/>
      <c r="P953" s="466"/>
      <c r="T953" s="467"/>
      <c r="U953" s="420"/>
      <c r="V953"/>
      <c r="W953"/>
    </row>
    <row r="954" spans="1:23" customFormat="1" ht="14.5" x14ac:dyDescent="0.35">
      <c r="A954" s="3"/>
      <c r="B954" s="3"/>
      <c r="C954" s="233" t="s">
        <v>1657</v>
      </c>
      <c r="E954" s="366"/>
      <c r="F954" s="245" t="s">
        <v>1658</v>
      </c>
      <c r="G954" s="245"/>
      <c r="H954" s="173">
        <v>18</v>
      </c>
      <c r="I954">
        <v>6149</v>
      </c>
      <c r="J954" s="173">
        <f t="shared" ref="J954:J972" si="165">5832-600</f>
        <v>5232</v>
      </c>
      <c r="K954" s="402">
        <f t="shared" ref="K954:K972" si="166">+H954/I954*J954</f>
        <v>15.315661083102944</v>
      </c>
      <c r="L954" s="173">
        <f t="shared" ref="L954:L972" si="167">+H954+K954</f>
        <v>33.315661083102945</v>
      </c>
      <c r="M954" s="174"/>
      <c r="N954" s="173">
        <f t="shared" ref="N954:N972" si="168">+L954*1.4</f>
        <v>46.641925516344124</v>
      </c>
      <c r="O954" s="173">
        <v>65</v>
      </c>
      <c r="P954" s="13"/>
    </row>
    <row r="955" spans="1:23" customFormat="1" ht="14.5" x14ac:dyDescent="0.35">
      <c r="A955" s="3"/>
      <c r="B955" s="3"/>
      <c r="C955" s="233" t="s">
        <v>586</v>
      </c>
      <c r="E955" s="366">
        <v>48</v>
      </c>
      <c r="F955" s="245" t="s">
        <v>174</v>
      </c>
      <c r="G955" s="245"/>
      <c r="H955" s="173">
        <v>16</v>
      </c>
      <c r="I955">
        <v>6149</v>
      </c>
      <c r="J955" s="173">
        <f t="shared" si="165"/>
        <v>5232</v>
      </c>
      <c r="K955" s="402">
        <f t="shared" si="166"/>
        <v>13.613920962758174</v>
      </c>
      <c r="L955" s="173">
        <f t="shared" si="167"/>
        <v>29.613920962758172</v>
      </c>
      <c r="M955" s="174"/>
      <c r="N955" s="173">
        <f t="shared" si="168"/>
        <v>41.459489347861435</v>
      </c>
      <c r="O955" s="173">
        <v>65</v>
      </c>
      <c r="P955" s="13"/>
    </row>
    <row r="956" spans="1:23" customFormat="1" ht="14.5" x14ac:dyDescent="0.35">
      <c r="A956" s="3"/>
      <c r="B956" s="3"/>
      <c r="C956" s="233" t="s">
        <v>586</v>
      </c>
      <c r="E956" s="366">
        <v>50</v>
      </c>
      <c r="F956" s="245" t="s">
        <v>174</v>
      </c>
      <c r="G956" s="245"/>
      <c r="H956" s="173">
        <v>16</v>
      </c>
      <c r="I956">
        <v>6149</v>
      </c>
      <c r="J956" s="173">
        <f t="shared" si="165"/>
        <v>5232</v>
      </c>
      <c r="K956" s="402">
        <f t="shared" si="166"/>
        <v>13.613920962758174</v>
      </c>
      <c r="L956" s="173">
        <f t="shared" si="167"/>
        <v>29.613920962758172</v>
      </c>
      <c r="M956" s="174"/>
      <c r="N956" s="173">
        <f t="shared" si="168"/>
        <v>41.459489347861435</v>
      </c>
      <c r="O956" s="173">
        <v>65</v>
      </c>
      <c r="P956" s="13"/>
    </row>
    <row r="957" spans="1:23" customFormat="1" ht="14.5" x14ac:dyDescent="0.35">
      <c r="A957" s="3"/>
      <c r="B957" s="3"/>
      <c r="C957" s="233" t="s">
        <v>586</v>
      </c>
      <c r="E957" s="366">
        <v>52</v>
      </c>
      <c r="F957" s="245" t="s">
        <v>174</v>
      </c>
      <c r="G957" s="245"/>
      <c r="H957" s="173">
        <v>16</v>
      </c>
      <c r="I957">
        <v>6149</v>
      </c>
      <c r="J957" s="173">
        <f t="shared" si="165"/>
        <v>5232</v>
      </c>
      <c r="K957" s="402">
        <f t="shared" si="166"/>
        <v>13.613920962758174</v>
      </c>
      <c r="L957" s="173">
        <f t="shared" si="167"/>
        <v>29.613920962758172</v>
      </c>
      <c r="M957" s="174"/>
      <c r="N957" s="173">
        <f t="shared" si="168"/>
        <v>41.459489347861435</v>
      </c>
      <c r="O957" s="173">
        <v>65</v>
      </c>
      <c r="P957" s="13"/>
    </row>
    <row r="958" spans="1:23" customFormat="1" ht="14.5" x14ac:dyDescent="0.35">
      <c r="A958" s="3"/>
      <c r="B958" s="3"/>
      <c r="C958" s="233" t="s">
        <v>1601</v>
      </c>
      <c r="E958" s="366">
        <v>42</v>
      </c>
      <c r="F958" s="245" t="s">
        <v>1659</v>
      </c>
      <c r="G958" s="245"/>
      <c r="H958" s="173">
        <v>16</v>
      </c>
      <c r="I958">
        <v>6149</v>
      </c>
      <c r="J958" s="173">
        <f t="shared" si="165"/>
        <v>5232</v>
      </c>
      <c r="K958" s="402">
        <f t="shared" si="166"/>
        <v>13.613920962758174</v>
      </c>
      <c r="L958" s="173">
        <f t="shared" si="167"/>
        <v>29.613920962758172</v>
      </c>
      <c r="M958" s="174"/>
      <c r="N958" s="173">
        <f t="shared" si="168"/>
        <v>41.459489347861435</v>
      </c>
      <c r="O958" s="173">
        <v>65</v>
      </c>
      <c r="P958" s="13"/>
    </row>
    <row r="959" spans="1:23" customFormat="1" ht="14.5" x14ac:dyDescent="0.35">
      <c r="A959" s="3"/>
      <c r="B959" s="3"/>
      <c r="C959" s="233" t="s">
        <v>1601</v>
      </c>
      <c r="E959" s="366">
        <v>44</v>
      </c>
      <c r="F959" s="245" t="s">
        <v>1659</v>
      </c>
      <c r="G959" s="245"/>
      <c r="H959" s="173">
        <v>16</v>
      </c>
      <c r="I959">
        <v>6149</v>
      </c>
      <c r="J959" s="173">
        <f t="shared" si="165"/>
        <v>5232</v>
      </c>
      <c r="K959" s="402">
        <f t="shared" si="166"/>
        <v>13.613920962758174</v>
      </c>
      <c r="L959" s="173">
        <f t="shared" si="167"/>
        <v>29.613920962758172</v>
      </c>
      <c r="M959" s="174"/>
      <c r="N959" s="173">
        <f t="shared" si="168"/>
        <v>41.459489347861435</v>
      </c>
      <c r="O959" s="173">
        <v>65</v>
      </c>
      <c r="P959" s="13"/>
    </row>
    <row r="960" spans="1:23" customFormat="1" ht="14.5" x14ac:dyDescent="0.35">
      <c r="A960" s="3"/>
      <c r="B960" s="3"/>
      <c r="C960" s="233" t="s">
        <v>1601</v>
      </c>
      <c r="E960" s="366">
        <v>48</v>
      </c>
      <c r="F960" s="245" t="s">
        <v>1659</v>
      </c>
      <c r="G960" s="245"/>
      <c r="H960" s="173">
        <v>16</v>
      </c>
      <c r="I960">
        <v>6149</v>
      </c>
      <c r="J960" s="173">
        <f t="shared" si="165"/>
        <v>5232</v>
      </c>
      <c r="K960" s="402">
        <f t="shared" si="166"/>
        <v>13.613920962758174</v>
      </c>
      <c r="L960" s="173">
        <f t="shared" si="167"/>
        <v>29.613920962758172</v>
      </c>
      <c r="M960" s="174"/>
      <c r="N960" s="173">
        <f t="shared" si="168"/>
        <v>41.459489347861435</v>
      </c>
      <c r="O960" s="173">
        <v>65</v>
      </c>
      <c r="P960" s="13"/>
    </row>
    <row r="961" spans="1:20" customFormat="1" ht="14.5" x14ac:dyDescent="0.35">
      <c r="A961" s="3"/>
      <c r="B961" s="3"/>
      <c r="C961" s="233" t="s">
        <v>1601</v>
      </c>
      <c r="E961" s="366">
        <v>52</v>
      </c>
      <c r="F961" s="245" t="s">
        <v>1659</v>
      </c>
      <c r="G961" s="245"/>
      <c r="H961" s="173">
        <v>16</v>
      </c>
      <c r="I961">
        <v>6149</v>
      </c>
      <c r="J961" s="173">
        <f t="shared" si="165"/>
        <v>5232</v>
      </c>
      <c r="K961" s="402">
        <f t="shared" si="166"/>
        <v>13.613920962758174</v>
      </c>
      <c r="L961" s="173">
        <f t="shared" si="167"/>
        <v>29.613920962758172</v>
      </c>
      <c r="M961" s="174"/>
      <c r="N961" s="173">
        <f t="shared" si="168"/>
        <v>41.459489347861435</v>
      </c>
      <c r="O961" s="173">
        <v>65</v>
      </c>
      <c r="P961" s="13"/>
    </row>
    <row r="962" spans="1:20" customFormat="1" ht="14.5" x14ac:dyDescent="0.35">
      <c r="A962" s="3"/>
      <c r="B962" s="3"/>
      <c r="C962" s="596" t="s">
        <v>1607</v>
      </c>
      <c r="E962" s="366">
        <v>44</v>
      </c>
      <c r="F962" s="245" t="s">
        <v>1604</v>
      </c>
      <c r="G962" s="245"/>
      <c r="H962" s="173">
        <v>15</v>
      </c>
      <c r="I962">
        <v>6149</v>
      </c>
      <c r="J962" s="173">
        <f t="shared" si="165"/>
        <v>5232</v>
      </c>
      <c r="K962" s="402">
        <f t="shared" si="166"/>
        <v>12.763050902585787</v>
      </c>
      <c r="L962" s="173">
        <f t="shared" si="167"/>
        <v>27.763050902585789</v>
      </c>
      <c r="M962" s="174"/>
      <c r="N962" s="173">
        <f t="shared" si="168"/>
        <v>38.868271263620102</v>
      </c>
      <c r="O962" s="173">
        <v>45</v>
      </c>
      <c r="P962" s="13"/>
    </row>
    <row r="963" spans="1:20" customFormat="1" ht="14.5" x14ac:dyDescent="0.35">
      <c r="A963" s="3"/>
      <c r="B963" s="3"/>
      <c r="C963" s="233" t="s">
        <v>1746</v>
      </c>
      <c r="E963" s="366">
        <v>33</v>
      </c>
      <c r="F963" s="245" t="s">
        <v>1605</v>
      </c>
      <c r="G963" s="245"/>
      <c r="H963" s="173">
        <v>7</v>
      </c>
      <c r="I963">
        <v>6149</v>
      </c>
      <c r="J963" s="173">
        <f t="shared" si="165"/>
        <v>5232</v>
      </c>
      <c r="K963" s="402">
        <f t="shared" si="166"/>
        <v>5.9560904212067003</v>
      </c>
      <c r="L963" s="173">
        <f t="shared" si="167"/>
        <v>12.956090421206699</v>
      </c>
      <c r="M963" s="174"/>
      <c r="N963" s="173">
        <f t="shared" si="168"/>
        <v>18.138526589689377</v>
      </c>
      <c r="O963" s="173">
        <v>35</v>
      </c>
      <c r="P963" s="13"/>
    </row>
    <row r="964" spans="1:20" customFormat="1" ht="14.5" x14ac:dyDescent="0.35">
      <c r="A964" s="3"/>
      <c r="B964" s="3"/>
      <c r="C964" s="233" t="s">
        <v>1746</v>
      </c>
      <c r="E964" s="366">
        <v>34</v>
      </c>
      <c r="F964" s="245" t="s">
        <v>1605</v>
      </c>
      <c r="G964" s="245"/>
      <c r="H964" s="173">
        <v>7</v>
      </c>
      <c r="I964">
        <v>6149</v>
      </c>
      <c r="J964" s="173">
        <f t="shared" si="165"/>
        <v>5232</v>
      </c>
      <c r="K964" s="402">
        <f t="shared" si="166"/>
        <v>5.9560904212067003</v>
      </c>
      <c r="L964" s="173">
        <f t="shared" si="167"/>
        <v>12.956090421206699</v>
      </c>
      <c r="M964" s="174"/>
      <c r="N964" s="173">
        <f t="shared" si="168"/>
        <v>18.138526589689377</v>
      </c>
      <c r="O964" s="173">
        <v>35</v>
      </c>
      <c r="P964" s="13"/>
    </row>
    <row r="965" spans="1:20" customFormat="1" ht="14.5" x14ac:dyDescent="0.35">
      <c r="A965" s="3"/>
      <c r="B965" s="3"/>
      <c r="C965" s="233" t="s">
        <v>1746</v>
      </c>
      <c r="E965" s="366">
        <v>36</v>
      </c>
      <c r="F965" s="245" t="s">
        <v>1605</v>
      </c>
      <c r="G965" s="245"/>
      <c r="H965" s="173">
        <v>7</v>
      </c>
      <c r="I965">
        <v>6149</v>
      </c>
      <c r="J965" s="173">
        <f t="shared" si="165"/>
        <v>5232</v>
      </c>
      <c r="K965" s="402">
        <f t="shared" si="166"/>
        <v>5.9560904212067003</v>
      </c>
      <c r="L965" s="173">
        <f t="shared" si="167"/>
        <v>12.956090421206699</v>
      </c>
      <c r="M965" s="174"/>
      <c r="N965" s="173">
        <f t="shared" si="168"/>
        <v>18.138526589689377</v>
      </c>
      <c r="O965" s="173">
        <v>35</v>
      </c>
      <c r="P965" s="13"/>
    </row>
    <row r="966" spans="1:20" customFormat="1" ht="14.5" x14ac:dyDescent="0.35">
      <c r="A966" s="3"/>
      <c r="B966" s="3"/>
      <c r="C966" s="233" t="s">
        <v>1746</v>
      </c>
      <c r="E966" s="366">
        <v>37</v>
      </c>
      <c r="F966" s="245" t="s">
        <v>1605</v>
      </c>
      <c r="G966" s="245"/>
      <c r="H966" s="173">
        <v>7</v>
      </c>
      <c r="I966">
        <v>6149</v>
      </c>
      <c r="J966" s="173">
        <f t="shared" si="165"/>
        <v>5232</v>
      </c>
      <c r="K966" s="402">
        <f t="shared" si="166"/>
        <v>5.9560904212067003</v>
      </c>
      <c r="L966" s="173">
        <f t="shared" si="167"/>
        <v>12.956090421206699</v>
      </c>
      <c r="M966" s="174"/>
      <c r="N966" s="173">
        <f t="shared" si="168"/>
        <v>18.138526589689377</v>
      </c>
      <c r="O966" s="173">
        <v>35</v>
      </c>
      <c r="P966" s="13"/>
    </row>
    <row r="967" spans="1:20" customFormat="1" ht="14.5" x14ac:dyDescent="0.35">
      <c r="A967" s="3"/>
      <c r="B967" s="3"/>
      <c r="C967" s="233" t="s">
        <v>1746</v>
      </c>
      <c r="E967" s="366">
        <v>34</v>
      </c>
      <c r="F967" s="245" t="s">
        <v>1608</v>
      </c>
      <c r="G967" s="245"/>
      <c r="H967" s="173">
        <v>7</v>
      </c>
      <c r="I967">
        <v>6149</v>
      </c>
      <c r="J967" s="173">
        <f t="shared" si="165"/>
        <v>5232</v>
      </c>
      <c r="K967" s="402">
        <f t="shared" si="166"/>
        <v>5.9560904212067003</v>
      </c>
      <c r="L967" s="173">
        <f t="shared" si="167"/>
        <v>12.956090421206699</v>
      </c>
      <c r="M967" s="174"/>
      <c r="N967" s="173">
        <f t="shared" si="168"/>
        <v>18.138526589689377</v>
      </c>
      <c r="O967" s="173">
        <v>35</v>
      </c>
      <c r="P967" s="13"/>
    </row>
    <row r="968" spans="1:20" customFormat="1" ht="14.5" x14ac:dyDescent="0.35">
      <c r="A968" s="3"/>
      <c r="B968" s="3"/>
      <c r="C968" s="233" t="s">
        <v>1746</v>
      </c>
      <c r="E968" s="366">
        <v>35</v>
      </c>
      <c r="F968" s="245" t="s">
        <v>1608</v>
      </c>
      <c r="G968" s="245"/>
      <c r="H968" s="173">
        <v>7</v>
      </c>
      <c r="I968">
        <v>6149</v>
      </c>
      <c r="J968" s="173">
        <f t="shared" si="165"/>
        <v>5232</v>
      </c>
      <c r="K968" s="402">
        <f t="shared" si="166"/>
        <v>5.9560904212067003</v>
      </c>
      <c r="L968" s="173">
        <f t="shared" si="167"/>
        <v>12.956090421206699</v>
      </c>
      <c r="M968" s="174"/>
      <c r="N968" s="173">
        <f t="shared" si="168"/>
        <v>18.138526589689377</v>
      </c>
      <c r="O968" s="173">
        <v>35</v>
      </c>
      <c r="P968" s="13"/>
    </row>
    <row r="969" spans="1:20" customFormat="1" ht="14.5" x14ac:dyDescent="0.35">
      <c r="A969" s="3"/>
      <c r="B969" s="3"/>
      <c r="C969" s="233" t="s">
        <v>1746</v>
      </c>
      <c r="E969" s="366">
        <v>37</v>
      </c>
      <c r="F969" s="245" t="s">
        <v>1608</v>
      </c>
      <c r="G969" s="245"/>
      <c r="H969" s="173">
        <v>7</v>
      </c>
      <c r="I969">
        <v>6149</v>
      </c>
      <c r="J969" s="173">
        <f t="shared" si="165"/>
        <v>5232</v>
      </c>
      <c r="K969" s="402">
        <f t="shared" si="166"/>
        <v>5.9560904212067003</v>
      </c>
      <c r="L969" s="173">
        <f t="shared" si="167"/>
        <v>12.956090421206699</v>
      </c>
      <c r="M969" s="174"/>
      <c r="N969" s="173">
        <f t="shared" si="168"/>
        <v>18.138526589689377</v>
      </c>
      <c r="O969" s="173">
        <v>35</v>
      </c>
      <c r="P969" s="13"/>
    </row>
    <row r="970" spans="1:20" customFormat="1" ht="14.5" x14ac:dyDescent="0.35">
      <c r="A970" s="3"/>
      <c r="B970" s="3"/>
      <c r="C970" s="233" t="s">
        <v>1746</v>
      </c>
      <c r="E970" s="366">
        <v>38</v>
      </c>
      <c r="F970" s="245" t="s">
        <v>1608</v>
      </c>
      <c r="G970" s="245"/>
      <c r="H970" s="173">
        <v>7</v>
      </c>
      <c r="I970">
        <v>6149</v>
      </c>
      <c r="J970" s="173">
        <f t="shared" si="165"/>
        <v>5232</v>
      </c>
      <c r="K970" s="402">
        <f t="shared" si="166"/>
        <v>5.9560904212067003</v>
      </c>
      <c r="L970" s="173">
        <f t="shared" si="167"/>
        <v>12.956090421206699</v>
      </c>
      <c r="M970" s="174"/>
      <c r="N970" s="173">
        <f t="shared" si="168"/>
        <v>18.138526589689377</v>
      </c>
      <c r="O970" s="173">
        <v>35</v>
      </c>
      <c r="P970" s="13"/>
    </row>
    <row r="971" spans="1:20" customFormat="1" ht="14.5" x14ac:dyDescent="0.35">
      <c r="A971" s="3"/>
      <c r="B971" s="3"/>
      <c r="C971" s="233" t="s">
        <v>1746</v>
      </c>
      <c r="E971" s="366">
        <v>34</v>
      </c>
      <c r="F971" s="245" t="s">
        <v>1747</v>
      </c>
      <c r="G971" s="245"/>
      <c r="H971" s="173">
        <v>7</v>
      </c>
      <c r="I971">
        <v>6149</v>
      </c>
      <c r="J971" s="173">
        <f t="shared" si="165"/>
        <v>5232</v>
      </c>
      <c r="K971" s="402">
        <f t="shared" si="166"/>
        <v>5.9560904212067003</v>
      </c>
      <c r="L971" s="173">
        <f t="shared" si="167"/>
        <v>12.956090421206699</v>
      </c>
      <c r="M971" s="174"/>
      <c r="N971" s="173">
        <f t="shared" si="168"/>
        <v>18.138526589689377</v>
      </c>
      <c r="O971" s="173">
        <v>35</v>
      </c>
      <c r="P971" s="13"/>
    </row>
    <row r="972" spans="1:20" customFormat="1" ht="14.5" x14ac:dyDescent="0.35">
      <c r="A972" s="3"/>
      <c r="B972" s="3"/>
      <c r="C972" s="233" t="s">
        <v>1746</v>
      </c>
      <c r="E972" s="366">
        <v>38</v>
      </c>
      <c r="F972" s="245" t="s">
        <v>1747</v>
      </c>
      <c r="G972" s="245"/>
      <c r="H972" s="173">
        <v>7</v>
      </c>
      <c r="I972">
        <v>6149</v>
      </c>
      <c r="J972" s="173">
        <f t="shared" si="165"/>
        <v>5232</v>
      </c>
      <c r="K972" s="402">
        <f t="shared" si="166"/>
        <v>5.9560904212067003</v>
      </c>
      <c r="L972" s="173">
        <f t="shared" si="167"/>
        <v>12.956090421206699</v>
      </c>
      <c r="M972" s="174"/>
      <c r="N972" s="173">
        <f t="shared" si="168"/>
        <v>18.138526589689377</v>
      </c>
      <c r="O972" s="173">
        <v>35</v>
      </c>
      <c r="P972" s="13"/>
    </row>
    <row r="973" spans="1:20" customFormat="1" ht="15.5" x14ac:dyDescent="0.35">
      <c r="A973" s="3"/>
      <c r="B973" s="3"/>
      <c r="C973" s="10" t="s">
        <v>2344</v>
      </c>
      <c r="D973" s="454"/>
      <c r="E973" s="454"/>
      <c r="F973" s="10"/>
      <c r="G973" s="10"/>
      <c r="H973" s="189"/>
      <c r="I973" s="10"/>
      <c r="J973" s="10"/>
      <c r="K973" s="189"/>
      <c r="L973" s="189"/>
      <c r="M973" s="10"/>
      <c r="N973" s="140"/>
      <c r="O973" s="189"/>
      <c r="P973" s="325"/>
    </row>
    <row r="974" spans="1:20" customFormat="1" ht="15.5" x14ac:dyDescent="0.35">
      <c r="A974" s="3"/>
      <c r="B974" s="233" t="s">
        <v>2227</v>
      </c>
      <c r="C974" s="233"/>
      <c r="E974" s="366">
        <v>44</v>
      </c>
      <c r="F974" s="371" t="s">
        <v>2228</v>
      </c>
      <c r="G974" s="371"/>
      <c r="H974" s="176">
        <v>12</v>
      </c>
      <c r="I974" s="12">
        <v>4609</v>
      </c>
      <c r="J974" s="176">
        <v>3601</v>
      </c>
      <c r="K974" s="176">
        <f>+H974/I974*J974</f>
        <v>9.3755695378607076</v>
      </c>
      <c r="L974" s="176">
        <f>+H974+K974</f>
        <v>21.375569537860706</v>
      </c>
      <c r="M974" s="12"/>
      <c r="N974" s="176">
        <f>+L974*1.5</f>
        <v>32.063354306791055</v>
      </c>
      <c r="O974" s="176">
        <v>55</v>
      </c>
      <c r="P974" s="325"/>
      <c r="S974" t="s">
        <v>2756</v>
      </c>
      <c r="T974" s="6">
        <v>46085</v>
      </c>
    </row>
    <row r="975" spans="1:20" customFormat="1" ht="15.5" x14ac:dyDescent="0.35">
      <c r="A975" s="3"/>
      <c r="B975" s="233" t="s">
        <v>2227</v>
      </c>
      <c r="C975" s="233"/>
      <c r="E975" s="366">
        <v>46</v>
      </c>
      <c r="F975" s="245" t="s">
        <v>2228</v>
      </c>
      <c r="G975" s="245"/>
      <c r="H975" s="173">
        <v>12</v>
      </c>
      <c r="I975">
        <v>4609</v>
      </c>
      <c r="J975" s="173">
        <v>3601</v>
      </c>
      <c r="K975" s="173">
        <f>+H975/I975*J975</f>
        <v>9.3755695378607076</v>
      </c>
      <c r="L975" s="173">
        <f>+H975+K975</f>
        <v>21.375569537860706</v>
      </c>
      <c r="N975" s="173">
        <f>+L975*1.5</f>
        <v>32.063354306791055</v>
      </c>
      <c r="O975" s="173">
        <v>55</v>
      </c>
      <c r="P975" s="325"/>
    </row>
    <row r="976" spans="1:20" customFormat="1" ht="15.5" x14ac:dyDescent="0.35">
      <c r="A976" s="3"/>
      <c r="B976" s="233" t="s">
        <v>2227</v>
      </c>
      <c r="C976" s="233"/>
      <c r="E976" s="366">
        <v>48</v>
      </c>
      <c r="F976" s="371" t="s">
        <v>2228</v>
      </c>
      <c r="G976" s="371"/>
      <c r="H976" s="176">
        <v>12</v>
      </c>
      <c r="I976" s="12">
        <v>4609</v>
      </c>
      <c r="J976" s="176">
        <v>3601</v>
      </c>
      <c r="K976" s="176">
        <f>+H976/I976*J976</f>
        <v>9.3755695378607076</v>
      </c>
      <c r="L976" s="176">
        <f>+H976+K976</f>
        <v>21.375569537860706</v>
      </c>
      <c r="M976" s="12"/>
      <c r="N976" s="176">
        <f>+L976*1.5</f>
        <v>32.063354306791055</v>
      </c>
      <c r="O976" s="176">
        <v>55</v>
      </c>
      <c r="P976" s="325"/>
      <c r="S976" t="s">
        <v>12</v>
      </c>
      <c r="T976" s="6">
        <v>46130</v>
      </c>
    </row>
    <row r="977" spans="1:23" ht="15" customHeight="1" outlineLevel="1" x14ac:dyDescent="0.35">
      <c r="B977" s="233" t="s">
        <v>2227</v>
      </c>
      <c r="C977" s="233"/>
      <c r="D977"/>
      <c r="E977" s="366">
        <v>50</v>
      </c>
      <c r="F977" s="371" t="s">
        <v>2228</v>
      </c>
      <c r="G977" s="371"/>
      <c r="H977" s="176">
        <v>12</v>
      </c>
      <c r="I977" s="12">
        <v>4609</v>
      </c>
      <c r="J977" s="176">
        <v>3601</v>
      </c>
      <c r="K977" s="176">
        <f>+H977/I977*J977</f>
        <v>9.3755695378607076</v>
      </c>
      <c r="L977" s="176">
        <f>+H977+K977</f>
        <v>21.375569537860706</v>
      </c>
      <c r="M977" s="12"/>
      <c r="N977" s="176">
        <f>+L977*1.5</f>
        <v>32.063354306791055</v>
      </c>
      <c r="O977" s="176">
        <v>55</v>
      </c>
      <c r="P977" s="463"/>
      <c r="Q977" s="57"/>
      <c r="R977" s="57"/>
      <c r="S977" s="57" t="s">
        <v>2469</v>
      </c>
      <c r="T977" s="464">
        <v>46056</v>
      </c>
      <c r="U977" s="337"/>
      <c r="V977" s="244"/>
      <c r="W977" s="244"/>
    </row>
    <row r="978" spans="1:23" ht="15" customHeight="1" outlineLevel="1" x14ac:dyDescent="0.35">
      <c r="B978" s="233"/>
      <c r="C978" s="232" t="s">
        <v>2641</v>
      </c>
      <c r="D978"/>
      <c r="E978" s="366"/>
      <c r="F978" s="245"/>
      <c r="G978" s="245"/>
      <c r="H978" s="173"/>
      <c r="I978"/>
      <c r="J978" s="173"/>
      <c r="K978" s="173"/>
      <c r="L978" s="173"/>
      <c r="M978"/>
      <c r="N978" s="173"/>
      <c r="O978" s="173"/>
      <c r="P978" s="463"/>
      <c r="Q978" s="57"/>
      <c r="R978" s="57"/>
      <c r="S978" s="57"/>
      <c r="T978" s="464"/>
      <c r="U978" s="337"/>
      <c r="V978" s="244"/>
      <c r="W978" s="244"/>
    </row>
    <row r="979" spans="1:23" customFormat="1" ht="15.5" x14ac:dyDescent="0.35">
      <c r="A979" s="3"/>
      <c r="B979" s="233" t="s">
        <v>2624</v>
      </c>
      <c r="C979" s="233" t="s">
        <v>586</v>
      </c>
      <c r="E979" s="366">
        <v>48</v>
      </c>
      <c r="F979" s="245" t="s">
        <v>2642</v>
      </c>
      <c r="G979" s="245"/>
      <c r="H979" s="173">
        <v>18</v>
      </c>
      <c r="I979">
        <v>166</v>
      </c>
      <c r="J979" s="173">
        <v>120</v>
      </c>
      <c r="K979" s="173">
        <f t="shared" ref="K979:K990" si="169">+H979/I979*J979</f>
        <v>13.012048192771084</v>
      </c>
      <c r="L979" s="173">
        <f t="shared" ref="L979:L990" si="170">+H979+K979</f>
        <v>31.012048192771083</v>
      </c>
      <c r="N979" s="173">
        <f t="shared" ref="N979:N990" si="171">+L979*1.5</f>
        <v>46.518072289156621</v>
      </c>
      <c r="O979" s="173">
        <v>65</v>
      </c>
      <c r="P979" s="325"/>
    </row>
    <row r="980" spans="1:23" customFormat="1" ht="15.5" x14ac:dyDescent="0.35">
      <c r="A980" s="3"/>
      <c r="B980" s="233" t="s">
        <v>2624</v>
      </c>
      <c r="C980" s="233" t="s">
        <v>586</v>
      </c>
      <c r="E980" s="366">
        <v>50</v>
      </c>
      <c r="F980" s="245" t="s">
        <v>2642</v>
      </c>
      <c r="G980" s="245"/>
      <c r="H980" s="173">
        <v>18</v>
      </c>
      <c r="I980">
        <v>166</v>
      </c>
      <c r="J980" s="173">
        <v>120</v>
      </c>
      <c r="K980" s="173">
        <f t="shared" si="169"/>
        <v>13.012048192771084</v>
      </c>
      <c r="L980" s="173">
        <f t="shared" si="170"/>
        <v>31.012048192771083</v>
      </c>
      <c r="N980" s="173">
        <f t="shared" si="171"/>
        <v>46.518072289156621</v>
      </c>
      <c r="O980" s="173">
        <v>65</v>
      </c>
      <c r="P980" s="325"/>
    </row>
    <row r="981" spans="1:23" customFormat="1" ht="15.5" x14ac:dyDescent="0.35">
      <c r="A981" s="3"/>
      <c r="B981" s="233" t="s">
        <v>2624</v>
      </c>
      <c r="C981" s="233" t="s">
        <v>586</v>
      </c>
      <c r="E981" s="366">
        <v>52</v>
      </c>
      <c r="F981" s="245" t="s">
        <v>2642</v>
      </c>
      <c r="G981" s="245"/>
      <c r="H981" s="173">
        <v>18</v>
      </c>
      <c r="I981">
        <v>166</v>
      </c>
      <c r="J981" s="173">
        <v>120</v>
      </c>
      <c r="K981" s="173">
        <f t="shared" si="169"/>
        <v>13.012048192771084</v>
      </c>
      <c r="L981" s="173">
        <f t="shared" si="170"/>
        <v>31.012048192771083</v>
      </c>
      <c r="N981" s="173">
        <f t="shared" si="171"/>
        <v>46.518072289156621</v>
      </c>
      <c r="O981" s="173">
        <v>65</v>
      </c>
      <c r="P981" s="325"/>
    </row>
    <row r="982" spans="1:23" customFormat="1" ht="15.5" x14ac:dyDescent="0.35">
      <c r="A982" s="3"/>
      <c r="B982" s="233" t="s">
        <v>2624</v>
      </c>
      <c r="C982" s="233" t="s">
        <v>586</v>
      </c>
      <c r="E982" s="366">
        <v>54</v>
      </c>
      <c r="F982" s="245" t="s">
        <v>2642</v>
      </c>
      <c r="G982" s="245"/>
      <c r="H982" s="173">
        <v>18</v>
      </c>
      <c r="I982">
        <v>166</v>
      </c>
      <c r="J982" s="173">
        <v>120</v>
      </c>
      <c r="K982" s="173">
        <f t="shared" si="169"/>
        <v>13.012048192771084</v>
      </c>
      <c r="L982" s="173">
        <f t="shared" si="170"/>
        <v>31.012048192771083</v>
      </c>
      <c r="N982" s="173">
        <f t="shared" si="171"/>
        <v>46.518072289156621</v>
      </c>
      <c r="O982" s="173">
        <v>65</v>
      </c>
      <c r="P982" s="325"/>
    </row>
    <row r="983" spans="1:23" customFormat="1" ht="15.5" x14ac:dyDescent="0.35">
      <c r="A983" s="3"/>
      <c r="B983" s="233" t="s">
        <v>2624</v>
      </c>
      <c r="C983" s="233" t="s">
        <v>586</v>
      </c>
      <c r="E983" s="366">
        <v>48</v>
      </c>
      <c r="F983" s="245" t="s">
        <v>2625</v>
      </c>
      <c r="G983" s="245"/>
      <c r="H983" s="173">
        <v>18</v>
      </c>
      <c r="I983">
        <v>166</v>
      </c>
      <c r="J983" s="173">
        <v>120</v>
      </c>
      <c r="K983" s="173">
        <f t="shared" si="169"/>
        <v>13.012048192771084</v>
      </c>
      <c r="L983" s="173">
        <f t="shared" si="170"/>
        <v>31.012048192771083</v>
      </c>
      <c r="N983" s="173">
        <f t="shared" si="171"/>
        <v>46.518072289156621</v>
      </c>
      <c r="O983" s="173">
        <v>65</v>
      </c>
      <c r="P983" s="325"/>
    </row>
    <row r="984" spans="1:23" customFormat="1" ht="15.5" x14ac:dyDescent="0.35">
      <c r="A984" s="3"/>
      <c r="B984" s="233" t="s">
        <v>2624</v>
      </c>
      <c r="C984" s="233" t="s">
        <v>586</v>
      </c>
      <c r="E984" s="366">
        <v>50</v>
      </c>
      <c r="F984" s="371" t="s">
        <v>2625</v>
      </c>
      <c r="G984" s="371"/>
      <c r="H984" s="176">
        <v>18</v>
      </c>
      <c r="I984" s="12">
        <v>166</v>
      </c>
      <c r="J984" s="176">
        <v>120</v>
      </c>
      <c r="K984" s="176">
        <f t="shared" si="169"/>
        <v>13.012048192771084</v>
      </c>
      <c r="L984" s="176">
        <f t="shared" si="170"/>
        <v>31.012048192771083</v>
      </c>
      <c r="M984" s="12"/>
      <c r="N984" s="176">
        <f t="shared" si="171"/>
        <v>46.518072289156621</v>
      </c>
      <c r="O984" s="176">
        <v>65</v>
      </c>
      <c r="P984" s="325"/>
      <c r="S984" t="s">
        <v>12</v>
      </c>
      <c r="T984" s="6">
        <v>46119</v>
      </c>
    </row>
    <row r="985" spans="1:23" customFormat="1" ht="15.5" x14ac:dyDescent="0.35">
      <c r="A985" s="3"/>
      <c r="B985" s="233" t="s">
        <v>2624</v>
      </c>
      <c r="C985" s="233" t="s">
        <v>586</v>
      </c>
      <c r="E985" s="366">
        <v>52</v>
      </c>
      <c r="F985" s="245" t="s">
        <v>2625</v>
      </c>
      <c r="G985" s="245"/>
      <c r="H985" s="173">
        <v>18</v>
      </c>
      <c r="I985">
        <v>166</v>
      </c>
      <c r="J985" s="173">
        <v>120</v>
      </c>
      <c r="K985" s="173">
        <f t="shared" si="169"/>
        <v>13.012048192771084</v>
      </c>
      <c r="L985" s="173">
        <f t="shared" si="170"/>
        <v>31.012048192771083</v>
      </c>
      <c r="N985" s="173">
        <f t="shared" si="171"/>
        <v>46.518072289156621</v>
      </c>
      <c r="O985" s="173">
        <v>65</v>
      </c>
      <c r="P985" s="325"/>
    </row>
    <row r="986" spans="1:23" customFormat="1" ht="15.5" x14ac:dyDescent="0.35">
      <c r="A986" s="3"/>
      <c r="B986" s="233" t="s">
        <v>2624</v>
      </c>
      <c r="C986" s="233" t="s">
        <v>586</v>
      </c>
      <c r="E986" s="366">
        <v>54</v>
      </c>
      <c r="F986" s="371" t="s">
        <v>2625</v>
      </c>
      <c r="G986" s="371"/>
      <c r="H986" s="176">
        <v>18</v>
      </c>
      <c r="I986" s="12">
        <v>166</v>
      </c>
      <c r="J986" s="176">
        <v>120</v>
      </c>
      <c r="K986" s="176">
        <f t="shared" si="169"/>
        <v>13.012048192771084</v>
      </c>
      <c r="L986" s="176">
        <f t="shared" si="170"/>
        <v>31.012048192771083</v>
      </c>
      <c r="M986" s="12"/>
      <c r="N986" s="176">
        <f t="shared" si="171"/>
        <v>46.518072289156621</v>
      </c>
      <c r="O986" s="176">
        <v>65</v>
      </c>
      <c r="P986" s="325"/>
      <c r="S986" t="s">
        <v>1090</v>
      </c>
      <c r="T986" s="6">
        <v>46119</v>
      </c>
    </row>
    <row r="987" spans="1:23" customFormat="1" ht="15.5" x14ac:dyDescent="0.35">
      <c r="A987" s="3"/>
      <c r="B987" s="233" t="s">
        <v>2624</v>
      </c>
      <c r="C987" s="233" t="s">
        <v>586</v>
      </c>
      <c r="E987" s="366">
        <v>42</v>
      </c>
      <c r="F987" s="245" t="s">
        <v>2626</v>
      </c>
      <c r="G987" s="245"/>
      <c r="H987" s="173">
        <v>18</v>
      </c>
      <c r="I987">
        <v>166</v>
      </c>
      <c r="J987" s="173">
        <v>120</v>
      </c>
      <c r="K987" s="173">
        <f t="shared" si="169"/>
        <v>13.012048192771084</v>
      </c>
      <c r="L987" s="173">
        <f t="shared" si="170"/>
        <v>31.012048192771083</v>
      </c>
      <c r="N987" s="173">
        <f t="shared" si="171"/>
        <v>46.518072289156621</v>
      </c>
      <c r="O987" s="173">
        <v>65</v>
      </c>
      <c r="P987" s="325"/>
    </row>
    <row r="988" spans="1:23" customFormat="1" ht="15.5" x14ac:dyDescent="0.35">
      <c r="A988" s="3"/>
      <c r="B988" s="233" t="s">
        <v>2624</v>
      </c>
      <c r="C988" s="233" t="s">
        <v>586</v>
      </c>
      <c r="E988" s="366">
        <v>44</v>
      </c>
      <c r="F988" s="245" t="s">
        <v>2626</v>
      </c>
      <c r="G988" s="245"/>
      <c r="H988" s="173">
        <v>18</v>
      </c>
      <c r="I988">
        <v>166</v>
      </c>
      <c r="J988" s="173">
        <v>120</v>
      </c>
      <c r="K988" s="173">
        <f t="shared" si="169"/>
        <v>13.012048192771084</v>
      </c>
      <c r="L988" s="173">
        <f t="shared" si="170"/>
        <v>31.012048192771083</v>
      </c>
      <c r="N988" s="173">
        <f t="shared" si="171"/>
        <v>46.518072289156621</v>
      </c>
      <c r="O988" s="173">
        <v>65</v>
      </c>
      <c r="P988" s="325"/>
    </row>
    <row r="989" spans="1:23" customFormat="1" ht="15.5" x14ac:dyDescent="0.35">
      <c r="A989" s="3"/>
      <c r="B989" s="233" t="s">
        <v>2624</v>
      </c>
      <c r="C989" s="233" t="s">
        <v>586</v>
      </c>
      <c r="E989" s="366">
        <v>46</v>
      </c>
      <c r="F989" s="245" t="s">
        <v>2626</v>
      </c>
      <c r="G989" s="245"/>
      <c r="H989" s="173">
        <v>18</v>
      </c>
      <c r="I989">
        <v>166</v>
      </c>
      <c r="J989" s="173">
        <v>120</v>
      </c>
      <c r="K989" s="173">
        <f t="shared" si="169"/>
        <v>13.012048192771084</v>
      </c>
      <c r="L989" s="173">
        <f t="shared" si="170"/>
        <v>31.012048192771083</v>
      </c>
      <c r="N989" s="173">
        <f t="shared" si="171"/>
        <v>46.518072289156621</v>
      </c>
      <c r="O989" s="173">
        <v>65</v>
      </c>
      <c r="P989" s="325"/>
    </row>
    <row r="990" spans="1:23" customFormat="1" ht="15.5" x14ac:dyDescent="0.35">
      <c r="A990" s="3"/>
      <c r="B990" s="233" t="s">
        <v>2624</v>
      </c>
      <c r="C990" s="233" t="s">
        <v>586</v>
      </c>
      <c r="E990" s="366">
        <v>48</v>
      </c>
      <c r="F990" s="245" t="s">
        <v>2626</v>
      </c>
      <c r="G990" s="245"/>
      <c r="H990" s="173">
        <v>18</v>
      </c>
      <c r="I990">
        <v>166</v>
      </c>
      <c r="J990" s="173">
        <v>120</v>
      </c>
      <c r="K990" s="173">
        <f t="shared" si="169"/>
        <v>13.012048192771084</v>
      </c>
      <c r="L990" s="173">
        <f t="shared" si="170"/>
        <v>31.012048192771083</v>
      </c>
      <c r="N990" s="173">
        <f t="shared" si="171"/>
        <v>46.518072289156621</v>
      </c>
      <c r="O990" s="173">
        <v>65</v>
      </c>
      <c r="P990" s="325"/>
    </row>
    <row r="991" spans="1:23" ht="15" customHeight="1" outlineLevel="1" x14ac:dyDescent="0.35">
      <c r="C991" s="11"/>
      <c r="E991" s="473"/>
      <c r="F991" s="11" t="s">
        <v>142</v>
      </c>
      <c r="G991" s="11"/>
      <c r="H991" s="141">
        <f>SUM(H895:H922)</f>
        <v>319</v>
      </c>
      <c r="I991" s="141"/>
      <c r="J991" s="141"/>
      <c r="K991" s="141"/>
      <c r="L991" s="141"/>
      <c r="M991" s="141"/>
      <c r="N991" s="141">
        <f>SUM(N895:N922)</f>
        <v>997.94748129104369</v>
      </c>
      <c r="O991" s="141">
        <f>SUM(O895:O922)</f>
        <v>1296</v>
      </c>
      <c r="P991" s="474"/>
      <c r="Q991" s="49"/>
      <c r="R991" s="49"/>
      <c r="S991" s="49"/>
      <c r="T991" s="475"/>
      <c r="U991" s="429">
        <f>SUM(U895:U895)</f>
        <v>0</v>
      </c>
      <c r="V991" s="11"/>
      <c r="W991" s="11"/>
    </row>
    <row r="992" spans="1:23" ht="15" customHeight="1" outlineLevel="1" x14ac:dyDescent="0.35">
      <c r="C992" s="11"/>
      <c r="E992" s="473"/>
      <c r="F992" s="11"/>
      <c r="G992" s="11"/>
      <c r="H992" s="136"/>
      <c r="I992" s="11"/>
      <c r="J992" s="11"/>
      <c r="K992" s="136"/>
      <c r="L992" s="136"/>
      <c r="M992" s="485"/>
      <c r="O992" s="515"/>
      <c r="P992" s="516"/>
      <c r="Q992" s="11"/>
      <c r="R992" s="11"/>
      <c r="S992" s="11"/>
      <c r="T992" s="475"/>
      <c r="U992" s="421"/>
      <c r="V992" s="11"/>
      <c r="W992" s="11"/>
    </row>
    <row r="993" spans="1:23" customFormat="1" ht="21" x14ac:dyDescent="0.5">
      <c r="D993" s="3"/>
      <c r="E993" s="232"/>
      <c r="F993" s="502" t="s">
        <v>895</v>
      </c>
      <c r="G993" s="502"/>
      <c r="I993" s="256" t="s">
        <v>895</v>
      </c>
      <c r="J993" s="146"/>
      <c r="K993" s="4">
        <v>5278</v>
      </c>
      <c r="L993" s="173"/>
      <c r="M993" s="145"/>
      <c r="N993" s="145"/>
      <c r="O993" s="468"/>
      <c r="P993" s="501"/>
      <c r="T993" s="467"/>
      <c r="U993" s="420"/>
    </row>
    <row r="994" spans="1:23" customFormat="1" ht="18.75" customHeight="1" x14ac:dyDescent="0.5">
      <c r="C994" s="364">
        <v>45170</v>
      </c>
      <c r="D994" s="3"/>
      <c r="E994" s="232"/>
      <c r="F994" s="502"/>
      <c r="G994" s="502"/>
      <c r="I994" s="256"/>
      <c r="J994" s="146"/>
      <c r="K994" s="4"/>
      <c r="L994" s="173"/>
      <c r="M994" s="145"/>
      <c r="N994" s="145"/>
      <c r="O994" s="468"/>
      <c r="P994" s="501"/>
      <c r="T994" s="467"/>
      <c r="U994" s="420"/>
    </row>
    <row r="995" spans="1:23" customFormat="1" ht="14.5" x14ac:dyDescent="0.35">
      <c r="B995" t="s">
        <v>572</v>
      </c>
      <c r="C995" s="233" t="s">
        <v>909</v>
      </c>
      <c r="D995">
        <v>1</v>
      </c>
      <c r="E995">
        <v>52</v>
      </c>
      <c r="F995" s="245" t="s">
        <v>896</v>
      </c>
      <c r="G995" s="245"/>
      <c r="H995" s="146">
        <v>10</v>
      </c>
      <c r="I995" s="4">
        <v>5278</v>
      </c>
      <c r="J995" s="173">
        <v>7702</v>
      </c>
      <c r="K995" s="459">
        <f>+H995/I995*J995</f>
        <v>14.592648730579766</v>
      </c>
      <c r="L995" s="471">
        <f>+H995+K995</f>
        <v>24.592648730579768</v>
      </c>
      <c r="M995" s="468">
        <v>0.4</v>
      </c>
      <c r="N995" s="145">
        <f>+L995*1.4</f>
        <v>34.429708222811669</v>
      </c>
      <c r="O995">
        <v>40</v>
      </c>
      <c r="P995" s="13"/>
      <c r="Q995" s="92"/>
      <c r="R995" s="92"/>
      <c r="T995" s="467"/>
      <c r="U995" s="420"/>
    </row>
    <row r="996" spans="1:23" customFormat="1" ht="14.5" x14ac:dyDescent="0.35">
      <c r="B996" t="s">
        <v>572</v>
      </c>
      <c r="C996" s="233" t="s">
        <v>909</v>
      </c>
      <c r="D996">
        <v>3</v>
      </c>
      <c r="E996">
        <v>58</v>
      </c>
      <c r="F996" s="245" t="s">
        <v>896</v>
      </c>
      <c r="G996" s="245"/>
      <c r="H996" s="146">
        <v>10</v>
      </c>
      <c r="I996" s="4">
        <v>5278</v>
      </c>
      <c r="J996" s="173">
        <v>7702</v>
      </c>
      <c r="K996" s="459">
        <f>+H996/I996*J996</f>
        <v>14.592648730579766</v>
      </c>
      <c r="L996" s="471">
        <f>+H996+K996</f>
        <v>24.592648730579768</v>
      </c>
      <c r="M996" s="468">
        <v>0.4</v>
      </c>
      <c r="N996" s="145">
        <f>+L996*1.4</f>
        <v>34.429708222811669</v>
      </c>
      <c r="O996">
        <v>40</v>
      </c>
      <c r="P996" s="13"/>
      <c r="Q996" s="92"/>
      <c r="R996" s="92"/>
      <c r="T996" s="467"/>
      <c r="U996" s="420"/>
    </row>
    <row r="997" spans="1:23" customFormat="1" ht="14.5" x14ac:dyDescent="0.35">
      <c r="C997" s="233"/>
      <c r="F997" s="245"/>
      <c r="G997" s="245"/>
      <c r="H997" s="146"/>
      <c r="I997" s="4"/>
      <c r="J997" s="173"/>
      <c r="K997" s="459"/>
      <c r="L997" s="471"/>
      <c r="M997" s="468"/>
      <c r="N997" s="145"/>
      <c r="P997" s="13"/>
      <c r="T997" s="467"/>
      <c r="U997" s="420"/>
    </row>
    <row r="998" spans="1:23" ht="18.75" customHeight="1" outlineLevel="1" x14ac:dyDescent="0.5">
      <c r="B998" s="10"/>
      <c r="C998" s="11"/>
      <c r="E998" s="473"/>
      <c r="F998" s="502" t="s">
        <v>130</v>
      </c>
      <c r="G998" s="502"/>
      <c r="H998" s="141"/>
      <c r="I998" s="11"/>
      <c r="J998" s="11"/>
      <c r="K998" s="141"/>
      <c r="L998" s="141"/>
      <c r="M998" s="485"/>
      <c r="N998" s="140">
        <f t="shared" ref="N998:N1008" si="172">+L998*M998+L998</f>
        <v>0</v>
      </c>
      <c r="O998" s="141"/>
      <c r="P998" s="474"/>
      <c r="Q998" s="11"/>
      <c r="R998" s="11"/>
      <c r="S998" s="11"/>
      <c r="T998" s="475"/>
      <c r="U998" s="429"/>
      <c r="V998" s="11"/>
      <c r="W998" s="11"/>
    </row>
    <row r="999" spans="1:23" ht="15.5" outlineLevel="1" x14ac:dyDescent="0.35">
      <c r="C999" s="11" t="s">
        <v>283</v>
      </c>
      <c r="D999" s="10"/>
      <c r="E999" s="10"/>
      <c r="G999" s="11"/>
      <c r="H999" s="141"/>
      <c r="K999" s="140"/>
      <c r="L999" s="140"/>
      <c r="M999" s="453"/>
      <c r="N999" s="140">
        <f t="shared" si="172"/>
        <v>0</v>
      </c>
      <c r="O999" s="140"/>
      <c r="U999" s="138"/>
    </row>
    <row r="1000" spans="1:23" ht="15.5" outlineLevel="1" x14ac:dyDescent="0.35">
      <c r="A1000" s="451"/>
      <c r="B1000" s="451" t="s">
        <v>268</v>
      </c>
      <c r="C1000" s="451" t="s">
        <v>313</v>
      </c>
      <c r="D1000" s="451">
        <v>4</v>
      </c>
      <c r="E1000" s="451">
        <v>48</v>
      </c>
      <c r="F1000" s="10" t="s">
        <v>308</v>
      </c>
      <c r="H1000" s="140">
        <v>13</v>
      </c>
      <c r="I1000" s="56">
        <v>5690</v>
      </c>
      <c r="J1000" s="140">
        <v>9443</v>
      </c>
      <c r="K1000" s="140">
        <f>+H1000/I1000*J1000</f>
        <v>21.574516695957819</v>
      </c>
      <c r="L1000" s="140">
        <f>+H1000+K1000</f>
        <v>34.574516695957819</v>
      </c>
      <c r="M1000" s="452">
        <v>0.3</v>
      </c>
      <c r="N1000" s="140">
        <f t="shared" si="172"/>
        <v>44.946871704745163</v>
      </c>
      <c r="O1000" s="140">
        <v>35</v>
      </c>
      <c r="P1000" s="140"/>
      <c r="U1000" s="138"/>
    </row>
    <row r="1001" spans="1:23" ht="15.5" outlineLevel="1" x14ac:dyDescent="0.35">
      <c r="A1001" s="451"/>
      <c r="B1001" s="451" t="s">
        <v>268</v>
      </c>
      <c r="C1001" s="451" t="s">
        <v>313</v>
      </c>
      <c r="D1001" s="451">
        <v>5</v>
      </c>
      <c r="E1001" s="451">
        <v>44</v>
      </c>
      <c r="F1001" s="10" t="s">
        <v>308</v>
      </c>
      <c r="H1001" s="140">
        <v>13</v>
      </c>
      <c r="I1001" s="56">
        <v>5690</v>
      </c>
      <c r="J1001" s="140">
        <v>9443</v>
      </c>
      <c r="K1001" s="140">
        <f>+H1001/I1001*J1001</f>
        <v>21.574516695957819</v>
      </c>
      <c r="L1001" s="140">
        <f>+H1001+K1001</f>
        <v>34.574516695957819</v>
      </c>
      <c r="M1001" s="452">
        <v>0.3</v>
      </c>
      <c r="N1001" s="140">
        <f t="shared" si="172"/>
        <v>44.946871704745163</v>
      </c>
      <c r="O1001" s="140">
        <v>35</v>
      </c>
      <c r="P1001" s="140"/>
      <c r="U1001" s="138"/>
    </row>
    <row r="1002" spans="1:23" ht="15.5" outlineLevel="1" x14ac:dyDescent="0.35">
      <c r="C1002" s="11" t="s">
        <v>490</v>
      </c>
      <c r="D1002" s="10"/>
      <c r="E1002" s="10"/>
      <c r="G1002" s="11"/>
      <c r="H1002" s="140"/>
      <c r="I1002" s="56"/>
      <c r="J1002" s="140"/>
      <c r="K1002" s="140"/>
      <c r="L1002" s="140"/>
      <c r="M1002" s="453"/>
      <c r="N1002" s="140">
        <f t="shared" si="172"/>
        <v>0</v>
      </c>
      <c r="O1002" s="140"/>
      <c r="U1002" s="138"/>
    </row>
    <row r="1003" spans="1:23" ht="15.5" outlineLevel="1" x14ac:dyDescent="0.35">
      <c r="A1003" s="451"/>
      <c r="B1003" s="451" t="s">
        <v>392</v>
      </c>
      <c r="C1003" s="451" t="s">
        <v>249</v>
      </c>
      <c r="D1003" s="451">
        <v>12</v>
      </c>
      <c r="E1003" s="451">
        <v>38</v>
      </c>
      <c r="F1003" s="10" t="s">
        <v>487</v>
      </c>
      <c r="H1003" s="140">
        <v>10</v>
      </c>
      <c r="I1003" s="56">
        <v>9148</v>
      </c>
      <c r="J1003" s="140">
        <v>15477</v>
      </c>
      <c r="K1003" s="140">
        <f t="shared" ref="K1003:K1008" si="173">+H1003/I1003*J1003</f>
        <v>16.918452120682115</v>
      </c>
      <c r="L1003" s="140">
        <f t="shared" ref="L1003:L1008" si="174">+H1003+K1003</f>
        <v>26.918452120682115</v>
      </c>
      <c r="M1003" s="453">
        <v>0.3</v>
      </c>
      <c r="N1003" s="140">
        <f t="shared" si="172"/>
        <v>34.993987756886753</v>
      </c>
      <c r="O1003" s="141">
        <v>65</v>
      </c>
      <c r="P1003" s="141"/>
      <c r="U1003" s="138"/>
    </row>
    <row r="1004" spans="1:23" s="109" customFormat="1" ht="15.5" outlineLevel="1" x14ac:dyDescent="0.35">
      <c r="B1004" s="109" t="s">
        <v>275</v>
      </c>
      <c r="C1004" s="109" t="s">
        <v>275</v>
      </c>
      <c r="D1004" s="109">
        <v>13</v>
      </c>
      <c r="E1004" s="109">
        <v>48</v>
      </c>
      <c r="F1004" s="109" t="s">
        <v>538</v>
      </c>
      <c r="H1004" s="325">
        <v>15</v>
      </c>
      <c r="I1004" s="494">
        <v>9148</v>
      </c>
      <c r="J1004" s="325">
        <v>15477</v>
      </c>
      <c r="K1004" s="325">
        <f t="shared" si="173"/>
        <v>25.377678181023175</v>
      </c>
      <c r="L1004" s="325">
        <f t="shared" si="174"/>
        <v>40.377678181023171</v>
      </c>
      <c r="M1004" s="495">
        <v>0.3</v>
      </c>
      <c r="N1004" s="325">
        <f t="shared" si="172"/>
        <v>52.490981635330122</v>
      </c>
      <c r="O1004" s="474">
        <v>65</v>
      </c>
      <c r="P1004" s="474"/>
      <c r="T1004" s="489"/>
      <c r="U1004" s="423"/>
    </row>
    <row r="1005" spans="1:23" ht="15.5" outlineLevel="1" x14ac:dyDescent="0.35">
      <c r="B1005" s="10" t="s">
        <v>275</v>
      </c>
      <c r="C1005" s="10" t="s">
        <v>275</v>
      </c>
      <c r="D1005" s="10">
        <v>14</v>
      </c>
      <c r="E1005" s="10">
        <v>50</v>
      </c>
      <c r="F1005" s="397" t="s">
        <v>479</v>
      </c>
      <c r="G1005" s="397"/>
      <c r="H1005" s="450">
        <v>10</v>
      </c>
      <c r="I1005" s="456">
        <v>9148</v>
      </c>
      <c r="J1005" s="450">
        <v>15477</v>
      </c>
      <c r="K1005" s="450">
        <f t="shared" si="173"/>
        <v>16.918452120682115</v>
      </c>
      <c r="L1005" s="450">
        <f t="shared" si="174"/>
        <v>26.918452120682115</v>
      </c>
      <c r="M1005" s="584">
        <v>0.3</v>
      </c>
      <c r="N1005" s="450">
        <f t="shared" si="172"/>
        <v>34.993987756886753</v>
      </c>
      <c r="O1005" s="734">
        <v>65</v>
      </c>
      <c r="P1005" s="474"/>
      <c r="Q1005" s="451"/>
      <c r="R1005" s="451"/>
      <c r="S1005" s="10" t="s">
        <v>12</v>
      </c>
      <c r="T1005" s="404">
        <v>46032</v>
      </c>
      <c r="U1005" s="138"/>
    </row>
    <row r="1006" spans="1:23" ht="15.5" outlineLevel="1" x14ac:dyDescent="0.35">
      <c r="A1006" s="451"/>
      <c r="B1006" s="451" t="s">
        <v>275</v>
      </c>
      <c r="C1006" s="451" t="s">
        <v>275</v>
      </c>
      <c r="D1006" s="451">
        <v>15</v>
      </c>
      <c r="E1006" s="451">
        <v>52</v>
      </c>
      <c r="F1006" s="10" t="s">
        <v>479</v>
      </c>
      <c r="H1006" s="140">
        <v>10</v>
      </c>
      <c r="I1006" s="56">
        <v>9148</v>
      </c>
      <c r="J1006" s="140">
        <v>15477</v>
      </c>
      <c r="K1006" s="140">
        <f t="shared" si="173"/>
        <v>16.918452120682115</v>
      </c>
      <c r="L1006" s="140">
        <f t="shared" si="174"/>
        <v>26.918452120682115</v>
      </c>
      <c r="M1006" s="453">
        <v>0.3</v>
      </c>
      <c r="N1006" s="140">
        <f t="shared" si="172"/>
        <v>34.993987756886753</v>
      </c>
      <c r="O1006" s="141">
        <v>65</v>
      </c>
      <c r="P1006" s="141"/>
      <c r="U1006" s="138"/>
    </row>
    <row r="1007" spans="1:23" ht="15.5" outlineLevel="1" x14ac:dyDescent="0.35">
      <c r="A1007" s="451"/>
      <c r="B1007" s="451" t="s">
        <v>275</v>
      </c>
      <c r="C1007" s="451" t="s">
        <v>275</v>
      </c>
      <c r="D1007" s="451">
        <v>16</v>
      </c>
      <c r="E1007" s="451">
        <v>54</v>
      </c>
      <c r="F1007" s="10" t="s">
        <v>479</v>
      </c>
      <c r="H1007" s="140">
        <v>10</v>
      </c>
      <c r="I1007" s="56">
        <v>9148</v>
      </c>
      <c r="J1007" s="140">
        <v>15477</v>
      </c>
      <c r="K1007" s="140">
        <f t="shared" si="173"/>
        <v>16.918452120682115</v>
      </c>
      <c r="L1007" s="140">
        <f t="shared" si="174"/>
        <v>26.918452120682115</v>
      </c>
      <c r="M1007" s="453">
        <v>0.3</v>
      </c>
      <c r="N1007" s="140">
        <f t="shared" si="172"/>
        <v>34.993987756886753</v>
      </c>
      <c r="O1007" s="141">
        <v>65</v>
      </c>
      <c r="P1007" s="141"/>
      <c r="U1007" s="138"/>
    </row>
    <row r="1008" spans="1:23" ht="15.5" outlineLevel="1" x14ac:dyDescent="0.35">
      <c r="A1008" s="451"/>
      <c r="B1008" s="451"/>
      <c r="C1008" s="451" t="s">
        <v>478</v>
      </c>
      <c r="D1008" s="451">
        <v>20</v>
      </c>
      <c r="E1008" s="451"/>
      <c r="F1008" s="10" t="s">
        <v>2401</v>
      </c>
      <c r="H1008" s="140">
        <v>12</v>
      </c>
      <c r="I1008" s="56">
        <v>9148</v>
      </c>
      <c r="J1008" s="140">
        <v>15477</v>
      </c>
      <c r="K1008" s="140">
        <f t="shared" si="173"/>
        <v>20.30214254481854</v>
      </c>
      <c r="L1008" s="140">
        <f t="shared" si="174"/>
        <v>32.302142544818537</v>
      </c>
      <c r="M1008" s="453">
        <v>0.3</v>
      </c>
      <c r="N1008" s="140">
        <f t="shared" si="172"/>
        <v>41.992785308264096</v>
      </c>
      <c r="O1008" s="141">
        <v>45</v>
      </c>
      <c r="P1008" s="141"/>
      <c r="U1008" s="138"/>
    </row>
    <row r="1009" spans="1:23" ht="15.5" outlineLevel="1" x14ac:dyDescent="0.35">
      <c r="A1009" s="451"/>
      <c r="B1009" s="451"/>
      <c r="C1009" s="451" t="s">
        <v>478</v>
      </c>
      <c r="D1009" s="451">
        <v>20</v>
      </c>
      <c r="E1009" s="451"/>
      <c r="F1009" s="10" t="s">
        <v>2401</v>
      </c>
      <c r="H1009" s="140">
        <v>12</v>
      </c>
      <c r="I1009" s="56">
        <v>9148</v>
      </c>
      <c r="J1009" s="140">
        <v>15477</v>
      </c>
      <c r="K1009" s="140">
        <f>+H1009/I1009*J1009</f>
        <v>20.30214254481854</v>
      </c>
      <c r="L1009" s="140">
        <f>+H1009+K1009</f>
        <v>32.302142544818537</v>
      </c>
      <c r="M1009" s="453">
        <v>0.3</v>
      </c>
      <c r="N1009" s="140">
        <f>+L1009*M1009+L1009</f>
        <v>41.992785308264096</v>
      </c>
      <c r="O1009" s="141">
        <v>45</v>
      </c>
      <c r="P1009" s="914" t="s">
        <v>2400</v>
      </c>
      <c r="U1009" s="138"/>
    </row>
    <row r="1010" spans="1:23" s="57" customFormat="1" ht="15.5" x14ac:dyDescent="0.35">
      <c r="B1010" s="11"/>
      <c r="C1010" s="11" t="s">
        <v>730</v>
      </c>
      <c r="D1010" s="10"/>
      <c r="E1010" s="10"/>
      <c r="G1010" s="11"/>
      <c r="H1010" s="140"/>
      <c r="I1010" s="56"/>
      <c r="J1010" s="140"/>
      <c r="K1010" s="140"/>
      <c r="L1010" s="140"/>
      <c r="M1010" s="453"/>
      <c r="N1010" s="140"/>
      <c r="O1010" s="140"/>
      <c r="P1010" s="325"/>
      <c r="Q1010" s="10"/>
      <c r="R1010" s="10"/>
      <c r="S1010" s="10"/>
      <c r="T1010" s="404"/>
      <c r="U1010" s="138"/>
      <c r="V1010" s="10"/>
      <c r="W1010" s="10"/>
    </row>
    <row r="1011" spans="1:23" s="57" customFormat="1" ht="15.5" x14ac:dyDescent="0.35">
      <c r="A1011" s="66"/>
      <c r="B1011" s="66" t="s">
        <v>702</v>
      </c>
      <c r="C1011" s="66" t="s">
        <v>480</v>
      </c>
      <c r="D1011" s="66">
        <v>25</v>
      </c>
      <c r="E1011" s="66">
        <v>38</v>
      </c>
      <c r="F1011" s="57" t="s">
        <v>716</v>
      </c>
      <c r="H1011" s="147">
        <v>10</v>
      </c>
      <c r="I1011" s="65">
        <v>4607</v>
      </c>
      <c r="J1011" s="147">
        <f>7503-I1011</f>
        <v>2896</v>
      </c>
      <c r="K1011" s="147">
        <f>+H1011/I1011*J1011</f>
        <v>6.2860863902756678</v>
      </c>
      <c r="L1011" s="147">
        <f>+H1011+K1011</f>
        <v>16.286086390275667</v>
      </c>
      <c r="M1011" s="478">
        <v>0.3</v>
      </c>
      <c r="N1011" s="147">
        <f>+L1011*M1011+L1011</f>
        <v>21.171912307358369</v>
      </c>
      <c r="O1011" s="143">
        <v>45</v>
      </c>
      <c r="P1011" s="143"/>
      <c r="T1011" s="480"/>
      <c r="U1011" s="337"/>
    </row>
    <row r="1012" spans="1:23" s="57" customFormat="1" ht="15.5" x14ac:dyDescent="0.35">
      <c r="A1012" s="66"/>
      <c r="B1012" s="66"/>
      <c r="C1012" s="66" t="s">
        <v>2403</v>
      </c>
      <c r="D1012" s="66">
        <v>29</v>
      </c>
      <c r="E1012" s="66">
        <v>46</v>
      </c>
      <c r="F1012" s="867" t="s">
        <v>2404</v>
      </c>
      <c r="G1012" s="867"/>
      <c r="H1012" s="868">
        <v>11</v>
      </c>
      <c r="I1012" s="869">
        <v>4607</v>
      </c>
      <c r="J1012" s="868">
        <f>7503-I1012</f>
        <v>2896</v>
      </c>
      <c r="K1012" s="868">
        <f>+H1012/I1012*J1012</f>
        <v>6.9146950293032345</v>
      </c>
      <c r="L1012" s="868">
        <f>+H1012+K1012</f>
        <v>17.914695029303235</v>
      </c>
      <c r="M1012" s="870">
        <v>0.3</v>
      </c>
      <c r="N1012" s="868">
        <f>+L1012*M1012+L1012</f>
        <v>23.289103538094206</v>
      </c>
      <c r="O1012" s="871">
        <v>30</v>
      </c>
      <c r="P1012" s="479"/>
      <c r="S1012" s="57" t="s">
        <v>2762</v>
      </c>
      <c r="T1012" s="480">
        <v>46087</v>
      </c>
      <c r="U1012" s="337"/>
    </row>
    <row r="1013" spans="1:23" s="244" customFormat="1" ht="15.5" x14ac:dyDescent="0.35">
      <c r="B1013" s="57"/>
      <c r="C1013" s="81">
        <v>44986</v>
      </c>
      <c r="D1013" s="57"/>
      <c r="E1013" s="57"/>
      <c r="H1013" s="147"/>
      <c r="I1013" s="65"/>
      <c r="J1013" s="147"/>
      <c r="K1013" s="147"/>
      <c r="L1013" s="147"/>
      <c r="M1013" s="478"/>
      <c r="N1013" s="147"/>
      <c r="O1013" s="143"/>
      <c r="P1013" s="479"/>
      <c r="Q1013" s="57"/>
      <c r="R1013" s="57"/>
      <c r="S1013" s="57"/>
      <c r="T1013" s="480"/>
      <c r="U1013" s="337"/>
      <c r="V1013" s="57"/>
      <c r="W1013" s="57"/>
    </row>
    <row r="1014" spans="1:23" s="244" customFormat="1" ht="15.5" x14ac:dyDescent="0.35">
      <c r="A1014" s="772"/>
      <c r="B1014" s="66"/>
      <c r="C1014" s="773" t="s">
        <v>770</v>
      </c>
      <c r="D1014" s="772">
        <v>33</v>
      </c>
      <c r="E1014" s="772">
        <v>48</v>
      </c>
      <c r="F1014" s="244" t="s">
        <v>768</v>
      </c>
      <c r="H1014" s="459">
        <v>14</v>
      </c>
      <c r="I1014" s="460">
        <v>8267</v>
      </c>
      <c r="J1014" s="459">
        <v>7400</v>
      </c>
      <c r="K1014" s="459">
        <f t="shared" ref="K1014:K1021" si="175">+H1014/I1014*J1014</f>
        <v>12.531752751905165</v>
      </c>
      <c r="L1014" s="459">
        <f t="shared" ref="L1014:L1021" si="176">+H1014+K1014</f>
        <v>26.531752751905167</v>
      </c>
      <c r="M1014" s="461">
        <v>0.3</v>
      </c>
      <c r="N1014" s="459">
        <f t="shared" ref="N1014:N1019" si="177">+L1014*1.3</f>
        <v>34.49127857747672</v>
      </c>
      <c r="O1014" s="462">
        <v>55</v>
      </c>
      <c r="P1014" s="462"/>
      <c r="Q1014" s="57"/>
      <c r="R1014" s="57"/>
      <c r="S1014" s="57"/>
      <c r="T1014" s="464"/>
      <c r="U1014" s="337"/>
    </row>
    <row r="1015" spans="1:23" s="244" customFormat="1" ht="15.5" x14ac:dyDescent="0.35">
      <c r="A1015" s="772"/>
      <c r="B1015" s="66"/>
      <c r="C1015" s="773" t="s">
        <v>770</v>
      </c>
      <c r="D1015" s="772">
        <v>34</v>
      </c>
      <c r="E1015" s="772">
        <v>44</v>
      </c>
      <c r="F1015" s="244" t="s">
        <v>767</v>
      </c>
      <c r="H1015" s="459">
        <v>14</v>
      </c>
      <c r="I1015" s="460">
        <v>8267</v>
      </c>
      <c r="J1015" s="459">
        <v>7400</v>
      </c>
      <c r="K1015" s="459">
        <f t="shared" si="175"/>
        <v>12.531752751905165</v>
      </c>
      <c r="L1015" s="459">
        <f t="shared" si="176"/>
        <v>26.531752751905167</v>
      </c>
      <c r="M1015" s="461">
        <v>0.3</v>
      </c>
      <c r="N1015" s="459">
        <f t="shared" si="177"/>
        <v>34.49127857747672</v>
      </c>
      <c r="O1015" s="462">
        <v>55</v>
      </c>
      <c r="P1015" s="462"/>
      <c r="Q1015" s="57"/>
      <c r="R1015" s="57"/>
      <c r="S1015" s="57"/>
      <c r="T1015" s="464"/>
      <c r="U1015" s="337"/>
    </row>
    <row r="1016" spans="1:23" ht="15" customHeight="1" x14ac:dyDescent="0.35">
      <c r="A1016" s="451"/>
      <c r="B1016" s="66"/>
      <c r="C1016" s="773" t="s">
        <v>770</v>
      </c>
      <c r="D1016" s="772">
        <v>36</v>
      </c>
      <c r="E1016" s="772">
        <v>48</v>
      </c>
      <c r="F1016" s="244" t="s">
        <v>767</v>
      </c>
      <c r="G1016" s="244"/>
      <c r="H1016" s="459">
        <v>14</v>
      </c>
      <c r="I1016" s="460">
        <v>8267</v>
      </c>
      <c r="J1016" s="459">
        <v>7400</v>
      </c>
      <c r="K1016" s="459">
        <f t="shared" si="175"/>
        <v>12.531752751905165</v>
      </c>
      <c r="L1016" s="459">
        <f t="shared" si="176"/>
        <v>26.531752751905167</v>
      </c>
      <c r="M1016" s="461">
        <v>0.3</v>
      </c>
      <c r="N1016" s="459">
        <f t="shared" si="177"/>
        <v>34.49127857747672</v>
      </c>
      <c r="O1016" s="462">
        <v>55</v>
      </c>
      <c r="P1016" s="462"/>
      <c r="Q1016" s="57"/>
      <c r="R1016" s="57"/>
      <c r="S1016" s="57"/>
      <c r="T1016" s="464"/>
      <c r="U1016" s="337"/>
      <c r="V1016" s="244"/>
      <c r="W1016" s="244"/>
    </row>
    <row r="1017" spans="1:23" ht="15" customHeight="1" outlineLevel="1" x14ac:dyDescent="0.35">
      <c r="A1017" s="451"/>
      <c r="B1017" s="66"/>
      <c r="C1017" s="773" t="s">
        <v>957</v>
      </c>
      <c r="D1017" s="772">
        <v>38</v>
      </c>
      <c r="E1017" s="772">
        <v>38</v>
      </c>
      <c r="F1017" s="244" t="s">
        <v>769</v>
      </c>
      <c r="G1017" s="244"/>
      <c r="H1017" s="459">
        <v>20</v>
      </c>
      <c r="I1017" s="460">
        <v>8267</v>
      </c>
      <c r="J1017" s="459">
        <v>7400</v>
      </c>
      <c r="K1017" s="459">
        <f t="shared" si="175"/>
        <v>17.902503931293094</v>
      </c>
      <c r="L1017" s="459">
        <f t="shared" si="176"/>
        <v>37.902503931293097</v>
      </c>
      <c r="M1017" s="461">
        <v>0.3</v>
      </c>
      <c r="N1017" s="459">
        <f t="shared" si="177"/>
        <v>49.273255110681028</v>
      </c>
      <c r="O1017" s="462">
        <v>55</v>
      </c>
      <c r="P1017" s="462"/>
      <c r="Q1017" s="57"/>
      <c r="R1017" s="57"/>
      <c r="S1017" s="57"/>
      <c r="T1017" s="464"/>
      <c r="U1017" s="337"/>
      <c r="V1017" s="244"/>
      <c r="W1017" s="244"/>
    </row>
    <row r="1018" spans="1:23" ht="15" customHeight="1" outlineLevel="1" x14ac:dyDescent="0.35">
      <c r="A1018" s="451"/>
      <c r="B1018" s="66"/>
      <c r="C1018" s="773" t="s">
        <v>957</v>
      </c>
      <c r="D1018" s="772">
        <v>39</v>
      </c>
      <c r="E1018" s="772">
        <v>40</v>
      </c>
      <c r="F1018" s="244" t="s">
        <v>769</v>
      </c>
      <c r="G1018" s="244"/>
      <c r="H1018" s="459">
        <v>20</v>
      </c>
      <c r="I1018" s="460">
        <v>8267</v>
      </c>
      <c r="J1018" s="459">
        <v>7400</v>
      </c>
      <c r="K1018" s="459">
        <f t="shared" si="175"/>
        <v>17.902503931293094</v>
      </c>
      <c r="L1018" s="459">
        <f t="shared" si="176"/>
        <v>37.902503931293097</v>
      </c>
      <c r="M1018" s="461">
        <v>0.3</v>
      </c>
      <c r="N1018" s="459">
        <f t="shared" si="177"/>
        <v>49.273255110681028</v>
      </c>
      <c r="O1018" s="462">
        <v>55</v>
      </c>
      <c r="P1018" s="462"/>
      <c r="Q1018" s="57"/>
      <c r="R1018" s="57"/>
      <c r="S1018" s="57"/>
      <c r="T1018" s="464"/>
      <c r="U1018" s="337"/>
      <c r="V1018" s="244"/>
      <c r="W1018" s="244"/>
    </row>
    <row r="1019" spans="1:23" ht="15" customHeight="1" outlineLevel="1" x14ac:dyDescent="0.35">
      <c r="A1019" s="451"/>
      <c r="B1019" s="66"/>
      <c r="C1019" s="773" t="s">
        <v>957</v>
      </c>
      <c r="D1019" s="772">
        <v>39</v>
      </c>
      <c r="E1019" s="772">
        <v>40</v>
      </c>
      <c r="F1019" s="588" t="s">
        <v>2402</v>
      </c>
      <c r="G1019" s="588"/>
      <c r="H1019" s="585">
        <v>20</v>
      </c>
      <c r="I1019" s="589">
        <v>8267</v>
      </c>
      <c r="J1019" s="585">
        <v>7400</v>
      </c>
      <c r="K1019" s="585">
        <f>+H1019/I1019*J1019</f>
        <v>17.902503931293094</v>
      </c>
      <c r="L1019" s="585">
        <f>+H1019+K1019</f>
        <v>37.902503931293097</v>
      </c>
      <c r="M1019" s="590">
        <v>0.3</v>
      </c>
      <c r="N1019" s="585">
        <f t="shared" si="177"/>
        <v>49.273255110681028</v>
      </c>
      <c r="O1019" s="591">
        <v>55</v>
      </c>
      <c r="P1019" s="915" t="s">
        <v>2400</v>
      </c>
      <c r="Q1019" s="57"/>
      <c r="R1019" s="57"/>
      <c r="S1019" s="57" t="s">
        <v>12</v>
      </c>
      <c r="T1019" s="464">
        <v>46141</v>
      </c>
      <c r="U1019" s="337"/>
      <c r="V1019" s="244"/>
      <c r="W1019" s="244"/>
    </row>
    <row r="1020" spans="1:23" customFormat="1" ht="15.5" x14ac:dyDescent="0.35">
      <c r="A1020" s="92"/>
      <c r="B1020" s="597" t="s">
        <v>478</v>
      </c>
      <c r="C1020" s="597" t="s">
        <v>478</v>
      </c>
      <c r="D1020" s="772">
        <v>41</v>
      </c>
      <c r="E1020" s="92">
        <v>48</v>
      </c>
      <c r="F1020" s="244" t="s">
        <v>814</v>
      </c>
      <c r="G1020" s="244"/>
      <c r="H1020" s="173">
        <v>14</v>
      </c>
      <c r="I1020" s="4">
        <v>9682</v>
      </c>
      <c r="J1020" s="173">
        <v>7766</v>
      </c>
      <c r="K1020" s="145">
        <f t="shared" si="175"/>
        <v>11.229498037595539</v>
      </c>
      <c r="L1020" s="145">
        <f t="shared" si="176"/>
        <v>25.22949803759554</v>
      </c>
      <c r="M1020" s="468">
        <v>0.4</v>
      </c>
      <c r="N1020" s="145">
        <f>+L1020*1.4</f>
        <v>35.321297252633755</v>
      </c>
      <c r="O1020" s="462">
        <v>45</v>
      </c>
      <c r="P1020" s="462"/>
      <c r="T1020" s="404"/>
      <c r="U1020" s="138"/>
    </row>
    <row r="1021" spans="1:23" customFormat="1" ht="15.5" x14ac:dyDescent="0.35">
      <c r="A1021" s="92"/>
      <c r="B1021" s="597" t="s">
        <v>478</v>
      </c>
      <c r="C1021" s="597" t="s">
        <v>478</v>
      </c>
      <c r="D1021" s="772">
        <v>42</v>
      </c>
      <c r="E1021" s="92">
        <v>54</v>
      </c>
      <c r="F1021" s="244" t="s">
        <v>814</v>
      </c>
      <c r="G1021" s="244"/>
      <c r="H1021" s="173">
        <v>14</v>
      </c>
      <c r="I1021" s="4">
        <v>9682</v>
      </c>
      <c r="J1021" s="173">
        <v>7766</v>
      </c>
      <c r="K1021" s="145">
        <f t="shared" si="175"/>
        <v>11.229498037595539</v>
      </c>
      <c r="L1021" s="145">
        <f t="shared" si="176"/>
        <v>25.22949803759554</v>
      </c>
      <c r="M1021" s="468">
        <v>0.4</v>
      </c>
      <c r="N1021" s="145">
        <f>+L1021*1.4</f>
        <v>35.321297252633755</v>
      </c>
      <c r="O1021" s="462">
        <v>45</v>
      </c>
      <c r="P1021" s="462"/>
      <c r="T1021" s="404"/>
      <c r="U1021" s="138"/>
    </row>
    <row r="1022" spans="1:23" customFormat="1" ht="14.5" x14ac:dyDescent="0.35">
      <c r="B1022" s="3"/>
      <c r="C1022" s="233"/>
      <c r="F1022" s="517">
        <v>45170</v>
      </c>
      <c r="G1022" s="517"/>
      <c r="H1022" s="146"/>
      <c r="I1022" s="4"/>
      <c r="J1022" s="173"/>
      <c r="K1022" s="145"/>
      <c r="L1022" s="145"/>
      <c r="M1022" s="468"/>
      <c r="N1022" s="145"/>
      <c r="O1022" s="173"/>
      <c r="P1022" s="344"/>
      <c r="T1022" s="467"/>
      <c r="U1022" s="420"/>
    </row>
    <row r="1023" spans="1:23" customFormat="1" ht="14.5" x14ac:dyDescent="0.35">
      <c r="A1023" s="92"/>
      <c r="B1023" s="92"/>
      <c r="C1023" s="597" t="s">
        <v>923</v>
      </c>
      <c r="D1023" s="772">
        <v>45</v>
      </c>
      <c r="E1023" s="92">
        <v>52</v>
      </c>
      <c r="F1023" s="245" t="s">
        <v>882</v>
      </c>
      <c r="G1023" s="245"/>
      <c r="H1023" s="146">
        <v>10</v>
      </c>
      <c r="I1023" s="4">
        <v>5278</v>
      </c>
      <c r="J1023" s="173">
        <v>7702</v>
      </c>
      <c r="K1023" s="459">
        <f t="shared" ref="K1023:K1030" si="178">+H1023/I1023*J1023</f>
        <v>14.592648730579766</v>
      </c>
      <c r="L1023" s="471">
        <f t="shared" ref="L1023:L1030" si="179">+H1023+K1023</f>
        <v>24.592648730579768</v>
      </c>
      <c r="M1023" s="468">
        <v>0.4</v>
      </c>
      <c r="N1023" s="145">
        <f t="shared" ref="N1023:N1030" si="180">+L1023*1.4</f>
        <v>34.429708222811669</v>
      </c>
      <c r="O1023" s="173">
        <v>45</v>
      </c>
      <c r="P1023" s="173"/>
      <c r="T1023" s="467"/>
      <c r="U1023" s="420"/>
    </row>
    <row r="1024" spans="1:23" customFormat="1" ht="14.5" x14ac:dyDescent="0.35">
      <c r="A1024" s="92"/>
      <c r="B1024" s="92"/>
      <c r="C1024" s="597" t="s">
        <v>923</v>
      </c>
      <c r="D1024" s="772">
        <v>46</v>
      </c>
      <c r="E1024" s="92">
        <v>54</v>
      </c>
      <c r="F1024" s="245" t="s">
        <v>882</v>
      </c>
      <c r="G1024" s="245"/>
      <c r="H1024" s="146">
        <v>10</v>
      </c>
      <c r="I1024" s="4">
        <v>5278</v>
      </c>
      <c r="J1024" s="173">
        <v>7702</v>
      </c>
      <c r="K1024" s="459">
        <f t="shared" si="178"/>
        <v>14.592648730579766</v>
      </c>
      <c r="L1024" s="471">
        <f t="shared" si="179"/>
        <v>24.592648730579768</v>
      </c>
      <c r="M1024" s="468">
        <v>0.4</v>
      </c>
      <c r="N1024" s="145">
        <f t="shared" si="180"/>
        <v>34.429708222811669</v>
      </c>
      <c r="O1024" s="173">
        <v>45</v>
      </c>
      <c r="P1024" s="173"/>
      <c r="T1024" s="467"/>
      <c r="U1024" s="420"/>
    </row>
    <row r="1025" spans="1:23" customFormat="1" ht="14.5" x14ac:dyDescent="0.35">
      <c r="A1025" s="92"/>
      <c r="B1025" s="92"/>
      <c r="C1025" s="597" t="s">
        <v>923</v>
      </c>
      <c r="D1025" s="772">
        <v>47</v>
      </c>
      <c r="E1025" s="92">
        <v>46</v>
      </c>
      <c r="F1025" s="245" t="s">
        <v>882</v>
      </c>
      <c r="G1025" s="245"/>
      <c r="H1025" s="146">
        <v>10</v>
      </c>
      <c r="I1025" s="4">
        <v>5278</v>
      </c>
      <c r="J1025" s="173">
        <v>7702</v>
      </c>
      <c r="K1025" s="459">
        <f t="shared" si="178"/>
        <v>14.592648730579766</v>
      </c>
      <c r="L1025" s="471">
        <f t="shared" si="179"/>
        <v>24.592648730579768</v>
      </c>
      <c r="M1025" s="468">
        <v>0.4</v>
      </c>
      <c r="N1025" s="145">
        <f t="shared" si="180"/>
        <v>34.429708222811669</v>
      </c>
      <c r="O1025" s="173">
        <v>45</v>
      </c>
      <c r="P1025" s="173"/>
      <c r="T1025" s="467"/>
      <c r="U1025" s="420"/>
      <c r="W1025" s="6"/>
    </row>
    <row r="1026" spans="1:23" customFormat="1" ht="14.5" x14ac:dyDescent="0.35">
      <c r="A1026" s="92"/>
      <c r="B1026" s="92"/>
      <c r="C1026" s="597" t="s">
        <v>923</v>
      </c>
      <c r="D1026" s="772">
        <v>48</v>
      </c>
      <c r="E1026" s="92">
        <v>48</v>
      </c>
      <c r="F1026" s="245" t="s">
        <v>882</v>
      </c>
      <c r="G1026" s="245"/>
      <c r="H1026" s="146">
        <v>10</v>
      </c>
      <c r="I1026" s="4">
        <v>5278</v>
      </c>
      <c r="J1026" s="173">
        <v>7702</v>
      </c>
      <c r="K1026" s="459">
        <f t="shared" si="178"/>
        <v>14.592648730579766</v>
      </c>
      <c r="L1026" s="471">
        <f t="shared" si="179"/>
        <v>24.592648730579768</v>
      </c>
      <c r="M1026" s="468">
        <v>0.4</v>
      </c>
      <c r="N1026" s="145">
        <f t="shared" si="180"/>
        <v>34.429708222811669</v>
      </c>
      <c r="O1026" s="173">
        <v>45</v>
      </c>
      <c r="P1026" s="173"/>
      <c r="S1026" t="s">
        <v>960</v>
      </c>
      <c r="T1026" s="467"/>
      <c r="U1026" s="420"/>
    </row>
    <row r="1027" spans="1:23" customFormat="1" ht="14.5" x14ac:dyDescent="0.35">
      <c r="A1027" s="92"/>
      <c r="B1027" s="92"/>
      <c r="C1027" s="597" t="s">
        <v>923</v>
      </c>
      <c r="D1027" s="772">
        <v>49</v>
      </c>
      <c r="E1027" s="92">
        <v>52</v>
      </c>
      <c r="F1027" s="245" t="s">
        <v>882</v>
      </c>
      <c r="G1027" s="245"/>
      <c r="H1027" s="146">
        <v>10</v>
      </c>
      <c r="I1027" s="4">
        <v>5278</v>
      </c>
      <c r="J1027" s="173">
        <v>7702</v>
      </c>
      <c r="K1027" s="459">
        <f t="shared" si="178"/>
        <v>14.592648730579766</v>
      </c>
      <c r="L1027" s="471">
        <f t="shared" si="179"/>
        <v>24.592648730579768</v>
      </c>
      <c r="M1027" s="468">
        <v>0.4</v>
      </c>
      <c r="N1027" s="145">
        <f t="shared" si="180"/>
        <v>34.429708222811669</v>
      </c>
      <c r="O1027" s="173">
        <v>45</v>
      </c>
      <c r="P1027" s="173"/>
      <c r="T1027" s="467"/>
      <c r="U1027" s="420"/>
    </row>
    <row r="1028" spans="1:23" s="13" customFormat="1" ht="14.5" x14ac:dyDescent="0.35">
      <c r="C1028" s="368" t="s">
        <v>923</v>
      </c>
      <c r="D1028" s="345">
        <v>50</v>
      </c>
      <c r="E1028" s="13">
        <v>52</v>
      </c>
      <c r="F1028" s="435" t="s">
        <v>882</v>
      </c>
      <c r="G1028" s="435"/>
      <c r="H1028" s="466">
        <v>10</v>
      </c>
      <c r="I1028" s="756">
        <v>5278</v>
      </c>
      <c r="J1028" s="344">
        <v>7702</v>
      </c>
      <c r="K1028" s="497">
        <f t="shared" si="178"/>
        <v>14.592648730579766</v>
      </c>
      <c r="L1028" s="774">
        <f t="shared" si="179"/>
        <v>24.592648730579768</v>
      </c>
      <c r="M1028" s="501">
        <v>0.4</v>
      </c>
      <c r="N1028" s="469">
        <f t="shared" si="180"/>
        <v>34.429708222811669</v>
      </c>
      <c r="O1028" s="344">
        <v>45</v>
      </c>
      <c r="P1028" s="344"/>
      <c r="S1028" s="13" t="s">
        <v>958</v>
      </c>
      <c r="T1028" s="743"/>
      <c r="U1028" s="744"/>
    </row>
    <row r="1029" spans="1:23" customFormat="1" ht="14.5" x14ac:dyDescent="0.35">
      <c r="A1029" s="92"/>
      <c r="B1029" s="92" t="s">
        <v>571</v>
      </c>
      <c r="C1029" s="597" t="s">
        <v>922</v>
      </c>
      <c r="D1029" s="772">
        <v>51</v>
      </c>
      <c r="E1029" s="92">
        <v>42</v>
      </c>
      <c r="F1029" s="245" t="s">
        <v>309</v>
      </c>
      <c r="G1029" s="245"/>
      <c r="H1029" s="146">
        <v>11</v>
      </c>
      <c r="I1029" s="4">
        <v>5278</v>
      </c>
      <c r="J1029" s="173">
        <v>7702</v>
      </c>
      <c r="K1029" s="459">
        <f t="shared" si="178"/>
        <v>16.05191360363774</v>
      </c>
      <c r="L1029" s="471">
        <f t="shared" si="179"/>
        <v>27.05191360363774</v>
      </c>
      <c r="M1029" s="468">
        <v>0.4</v>
      </c>
      <c r="N1029" s="145">
        <f t="shared" si="180"/>
        <v>37.872679045092831</v>
      </c>
      <c r="O1029" s="173">
        <v>35</v>
      </c>
      <c r="P1029" s="173"/>
      <c r="T1029" s="467"/>
      <c r="U1029" s="420"/>
    </row>
    <row r="1030" spans="1:23" customFormat="1" ht="14.5" x14ac:dyDescent="0.35">
      <c r="A1030" s="92"/>
      <c r="B1030" s="92" t="s">
        <v>571</v>
      </c>
      <c r="C1030" s="597" t="s">
        <v>922</v>
      </c>
      <c r="D1030" s="772">
        <v>52</v>
      </c>
      <c r="E1030" s="92">
        <v>42</v>
      </c>
      <c r="F1030" s="245" t="s">
        <v>885</v>
      </c>
      <c r="G1030" s="245"/>
      <c r="H1030" s="146">
        <v>11</v>
      </c>
      <c r="I1030" s="4">
        <v>5278</v>
      </c>
      <c r="J1030" s="173">
        <v>7702</v>
      </c>
      <c r="K1030" s="459">
        <f t="shared" si="178"/>
        <v>16.05191360363774</v>
      </c>
      <c r="L1030" s="471">
        <f t="shared" si="179"/>
        <v>27.05191360363774</v>
      </c>
      <c r="M1030" s="468">
        <v>0.4</v>
      </c>
      <c r="N1030" s="145">
        <f t="shared" si="180"/>
        <v>37.872679045092831</v>
      </c>
      <c r="O1030" s="173">
        <v>35</v>
      </c>
      <c r="P1030" s="173"/>
      <c r="T1030" s="467"/>
      <c r="U1030" s="420"/>
    </row>
    <row r="1031" spans="1:23" customFormat="1" ht="14.5" x14ac:dyDescent="0.35">
      <c r="C1031" s="364">
        <v>45352</v>
      </c>
      <c r="P1031" s="13"/>
      <c r="U1031" s="420"/>
    </row>
    <row r="1032" spans="1:23" customFormat="1" ht="14.5" x14ac:dyDescent="0.35">
      <c r="A1032" s="92"/>
      <c r="B1032" s="92" t="s">
        <v>1035</v>
      </c>
      <c r="C1032" s="597" t="s">
        <v>1080</v>
      </c>
      <c r="D1032" s="772">
        <v>63</v>
      </c>
      <c r="E1032" s="745" t="s">
        <v>407</v>
      </c>
      <c r="F1032" s="245" t="s">
        <v>1082</v>
      </c>
      <c r="G1032" s="245"/>
      <c r="H1032" s="173">
        <v>10</v>
      </c>
      <c r="I1032">
        <v>4192</v>
      </c>
      <c r="J1032" s="173">
        <v>3417</v>
      </c>
      <c r="K1032" s="173">
        <f>+J1032/I1032*H1032</f>
        <v>8.151240458015268</v>
      </c>
      <c r="L1032" s="402">
        <f>+H1032+K1032</f>
        <v>18.151240458015266</v>
      </c>
      <c r="M1032" s="174">
        <v>1.4</v>
      </c>
      <c r="N1032" s="173">
        <f>+L1032*M1032</f>
        <v>25.411736641221371</v>
      </c>
      <c r="O1032" s="173">
        <v>35</v>
      </c>
      <c r="U1032" s="420"/>
    </row>
    <row r="1033" spans="1:23" customFormat="1" ht="14.5" x14ac:dyDescent="0.35">
      <c r="A1033" s="92"/>
      <c r="B1033" s="92" t="s">
        <v>1035</v>
      </c>
      <c r="C1033" s="597" t="s">
        <v>1080</v>
      </c>
      <c r="D1033" s="772">
        <v>64</v>
      </c>
      <c r="E1033" s="745" t="s">
        <v>409</v>
      </c>
      <c r="F1033" s="245" t="s">
        <v>1082</v>
      </c>
      <c r="G1033" s="245"/>
      <c r="H1033" s="173">
        <v>10</v>
      </c>
      <c r="I1033">
        <v>4192</v>
      </c>
      <c r="J1033" s="173">
        <v>3417</v>
      </c>
      <c r="K1033" s="173">
        <f>+J1033/I1033*H1033</f>
        <v>8.151240458015268</v>
      </c>
      <c r="L1033" s="402">
        <f>+H1033+K1033</f>
        <v>18.151240458015266</v>
      </c>
      <c r="M1033" s="174">
        <v>1.4</v>
      </c>
      <c r="N1033" s="173">
        <f>+L1033*M1033</f>
        <v>25.411736641221371</v>
      </c>
      <c r="O1033" s="173">
        <v>35</v>
      </c>
      <c r="U1033" s="420"/>
    </row>
    <row r="1034" spans="1:23" customFormat="1" ht="14.5" x14ac:dyDescent="0.35">
      <c r="A1034" s="92"/>
      <c r="B1034" s="92" t="s">
        <v>1035</v>
      </c>
      <c r="C1034" s="597" t="s">
        <v>1080</v>
      </c>
      <c r="D1034" s="772">
        <v>65</v>
      </c>
      <c r="E1034" s="745" t="s">
        <v>408</v>
      </c>
      <c r="F1034" s="245" t="s">
        <v>1083</v>
      </c>
      <c r="G1034" s="245"/>
      <c r="H1034" s="173">
        <v>10</v>
      </c>
      <c r="I1034">
        <v>4192</v>
      </c>
      <c r="J1034" s="173">
        <v>3417</v>
      </c>
      <c r="K1034" s="173">
        <f>+J1034/I1034*H1034</f>
        <v>8.151240458015268</v>
      </c>
      <c r="L1034" s="402">
        <f>+H1034+K1034</f>
        <v>18.151240458015266</v>
      </c>
      <c r="M1034" s="174">
        <v>1.4</v>
      </c>
      <c r="N1034" s="173">
        <f>+L1034*M1034</f>
        <v>25.411736641221371</v>
      </c>
      <c r="O1034" s="173">
        <v>35</v>
      </c>
      <c r="U1034" s="420"/>
    </row>
    <row r="1035" spans="1:23" customFormat="1" ht="14.5" x14ac:dyDescent="0.35">
      <c r="A1035" s="92"/>
      <c r="B1035" s="92" t="s">
        <v>1035</v>
      </c>
      <c r="C1035" s="597" t="s">
        <v>1080</v>
      </c>
      <c r="D1035" s="772">
        <v>66</v>
      </c>
      <c r="E1035" s="745" t="s">
        <v>407</v>
      </c>
      <c r="F1035" s="245" t="s">
        <v>1083</v>
      </c>
      <c r="G1035" s="245"/>
      <c r="H1035" s="173">
        <v>10</v>
      </c>
      <c r="I1035">
        <v>4192</v>
      </c>
      <c r="J1035" s="173">
        <v>3417</v>
      </c>
      <c r="K1035" s="173">
        <f>+J1035/I1035*H1035</f>
        <v>8.151240458015268</v>
      </c>
      <c r="L1035" s="402">
        <f>+H1035+K1035</f>
        <v>18.151240458015266</v>
      </c>
      <c r="M1035" s="174">
        <v>1.4</v>
      </c>
      <c r="N1035" s="173">
        <f>+L1035*M1035</f>
        <v>25.411736641221371</v>
      </c>
      <c r="O1035" s="173">
        <v>35</v>
      </c>
      <c r="U1035" s="420"/>
    </row>
    <row r="1036" spans="1:23" ht="15" customHeight="1" outlineLevel="1" x14ac:dyDescent="0.35">
      <c r="A1036" s="451"/>
      <c r="B1036" s="92" t="s">
        <v>1035</v>
      </c>
      <c r="C1036" s="597" t="s">
        <v>1080</v>
      </c>
      <c r="D1036" s="772">
        <v>67</v>
      </c>
      <c r="E1036" s="745" t="s">
        <v>409</v>
      </c>
      <c r="F1036" s="245" t="s">
        <v>1083</v>
      </c>
      <c r="G1036" s="245"/>
      <c r="H1036" s="173">
        <v>10</v>
      </c>
      <c r="I1036">
        <v>4192</v>
      </c>
      <c r="J1036" s="173">
        <v>3417</v>
      </c>
      <c r="K1036" s="173">
        <f>+J1036/I1036*H1036</f>
        <v>8.151240458015268</v>
      </c>
      <c r="L1036" s="402">
        <f>+H1036+K1036</f>
        <v>18.151240458015266</v>
      </c>
      <c r="M1036" s="174">
        <v>1.4</v>
      </c>
      <c r="N1036" s="173">
        <f>+L1036*M1036</f>
        <v>25.411736641221371</v>
      </c>
      <c r="O1036" s="173">
        <v>35</v>
      </c>
      <c r="P1036"/>
      <c r="Q1036"/>
      <c r="R1036"/>
      <c r="S1036"/>
      <c r="T1036"/>
      <c r="U1036" s="420"/>
      <c r="V1036" s="244"/>
      <c r="W1036" s="244"/>
    </row>
    <row r="1037" spans="1:23" ht="15" customHeight="1" outlineLevel="1" x14ac:dyDescent="0.35">
      <c r="B1037" s="3"/>
      <c r="C1037" s="232" t="s">
        <v>1244</v>
      </c>
      <c r="D1037" s="244"/>
      <c r="E1037" s="366"/>
      <c r="F1037" s="245"/>
      <c r="G1037" s="245"/>
      <c r="H1037" s="173"/>
      <c r="I1037"/>
      <c r="J1037" s="173"/>
      <c r="K1037" s="173"/>
      <c r="L1037" s="402"/>
      <c r="M1037" s="174"/>
      <c r="N1037" s="173"/>
      <c r="O1037" s="173"/>
      <c r="P1037" s="13"/>
      <c r="Q1037"/>
      <c r="R1037"/>
      <c r="S1037"/>
      <c r="T1037"/>
      <c r="U1037" s="420"/>
      <c r="V1037" s="244"/>
      <c r="W1037" s="244"/>
    </row>
    <row r="1038" spans="1:23" customFormat="1" ht="14.5" x14ac:dyDescent="0.35">
      <c r="B1038" s="3"/>
      <c r="C1038" s="232" t="s">
        <v>1245</v>
      </c>
      <c r="E1038" s="366"/>
      <c r="F1038" s="245"/>
      <c r="G1038" s="245"/>
      <c r="H1038" s="173"/>
      <c r="J1038" s="173"/>
      <c r="K1038" s="402"/>
      <c r="L1038" s="402"/>
      <c r="M1038" s="174"/>
      <c r="N1038" s="173"/>
      <c r="O1038" s="173"/>
      <c r="P1038" s="13"/>
      <c r="T1038" s="6"/>
    </row>
    <row r="1039" spans="1:23" customFormat="1" ht="14.5" x14ac:dyDescent="0.35">
      <c r="A1039" s="3"/>
      <c r="B1039" s="3"/>
      <c r="C1039" s="233" t="s">
        <v>179</v>
      </c>
      <c r="D1039" s="244">
        <v>83</v>
      </c>
      <c r="E1039" s="366"/>
      <c r="F1039" s="371" t="s">
        <v>1256</v>
      </c>
      <c r="G1039" s="371"/>
      <c r="H1039" s="176">
        <v>10</v>
      </c>
      <c r="I1039" s="12">
        <v>546</v>
      </c>
      <c r="J1039" s="176">
        <v>250</v>
      </c>
      <c r="K1039" s="410">
        <f t="shared" ref="K1039:K1049" si="181">+H1039/I1039*J1039</f>
        <v>4.5787545787545794</v>
      </c>
      <c r="L1039" s="176">
        <f t="shared" ref="L1039:L1049" si="182">+H1039+K1039</f>
        <v>14.57875457875458</v>
      </c>
      <c r="M1039" s="411"/>
      <c r="N1039" s="176">
        <f t="shared" ref="N1039:N1049" si="183">+L1039*1.4</f>
        <v>20.410256410256412</v>
      </c>
      <c r="O1039" s="176">
        <v>45</v>
      </c>
      <c r="P1039" s="13"/>
      <c r="S1039" t="s">
        <v>12</v>
      </c>
      <c r="T1039" s="6">
        <v>46032</v>
      </c>
    </row>
    <row r="1040" spans="1:23" customFormat="1" ht="14.5" x14ac:dyDescent="0.35">
      <c r="A1040" s="594"/>
      <c r="B1040" s="594"/>
      <c r="C1040" s="597" t="s">
        <v>179</v>
      </c>
      <c r="D1040" s="772">
        <v>83</v>
      </c>
      <c r="E1040" s="745"/>
      <c r="F1040" s="245" t="s">
        <v>1256</v>
      </c>
      <c r="G1040" s="245"/>
      <c r="H1040" s="173">
        <v>10</v>
      </c>
      <c r="I1040">
        <v>546</v>
      </c>
      <c r="J1040" s="173">
        <v>250</v>
      </c>
      <c r="K1040" s="402">
        <f>+H1040/I1040*J1040</f>
        <v>4.5787545787545794</v>
      </c>
      <c r="L1040" s="173">
        <f>+H1040+K1040</f>
        <v>14.57875457875458</v>
      </c>
      <c r="M1040" s="174"/>
      <c r="N1040" s="173">
        <f>+L1040*1.4</f>
        <v>20.410256410256412</v>
      </c>
      <c r="O1040" s="173">
        <v>45</v>
      </c>
      <c r="T1040" s="6"/>
    </row>
    <row r="1041" spans="1:20" customFormat="1" ht="14.5" x14ac:dyDescent="0.35">
      <c r="A1041" s="594"/>
      <c r="B1041" s="594"/>
      <c r="C1041" s="597" t="s">
        <v>179</v>
      </c>
      <c r="D1041" s="772">
        <v>83</v>
      </c>
      <c r="E1041" s="745"/>
      <c r="F1041" s="245" t="s">
        <v>1256</v>
      </c>
      <c r="G1041" s="245"/>
      <c r="H1041" s="173">
        <v>10</v>
      </c>
      <c r="I1041">
        <v>546</v>
      </c>
      <c r="J1041" s="173">
        <v>250</v>
      </c>
      <c r="K1041" s="402">
        <f>+H1041/I1041*J1041</f>
        <v>4.5787545787545794</v>
      </c>
      <c r="L1041" s="173">
        <f>+H1041+K1041</f>
        <v>14.57875457875458</v>
      </c>
      <c r="M1041" s="174"/>
      <c r="N1041" s="173">
        <f>+L1041*1.4</f>
        <v>20.410256410256412</v>
      </c>
      <c r="O1041" s="173">
        <v>45</v>
      </c>
      <c r="T1041" s="6"/>
    </row>
    <row r="1042" spans="1:20" customFormat="1" ht="14.5" x14ac:dyDescent="0.35">
      <c r="A1042" s="594"/>
      <c r="B1042" s="594"/>
      <c r="C1042" s="597" t="s">
        <v>179</v>
      </c>
      <c r="D1042" s="772">
        <v>83</v>
      </c>
      <c r="E1042" s="745"/>
      <c r="F1042" s="245" t="s">
        <v>1256</v>
      </c>
      <c r="G1042" s="245"/>
      <c r="H1042" s="173">
        <v>10</v>
      </c>
      <c r="I1042">
        <v>546</v>
      </c>
      <c r="J1042" s="173">
        <v>250</v>
      </c>
      <c r="K1042" s="402">
        <f>+H1042/I1042*J1042</f>
        <v>4.5787545787545794</v>
      </c>
      <c r="L1042" s="173">
        <f>+H1042+K1042</f>
        <v>14.57875457875458</v>
      </c>
      <c r="M1042" s="174"/>
      <c r="N1042" s="173">
        <f>+L1042*1.4</f>
        <v>20.410256410256412</v>
      </c>
      <c r="O1042" s="173">
        <v>45</v>
      </c>
      <c r="T1042" s="6"/>
    </row>
    <row r="1043" spans="1:20" customFormat="1" ht="14.5" x14ac:dyDescent="0.35">
      <c r="A1043" s="594"/>
      <c r="B1043" s="594"/>
      <c r="C1043" s="597" t="s">
        <v>179</v>
      </c>
      <c r="D1043" s="772">
        <v>84</v>
      </c>
      <c r="E1043" s="745"/>
      <c r="F1043" s="245" t="s">
        <v>1256</v>
      </c>
      <c r="G1043" s="245"/>
      <c r="H1043" s="173">
        <v>10</v>
      </c>
      <c r="I1043">
        <v>546</v>
      </c>
      <c r="J1043" s="173">
        <v>250</v>
      </c>
      <c r="K1043" s="402">
        <f t="shared" si="181"/>
        <v>4.5787545787545794</v>
      </c>
      <c r="L1043" s="173">
        <f t="shared" si="182"/>
        <v>14.57875457875458</v>
      </c>
      <c r="M1043" s="174"/>
      <c r="N1043" s="173">
        <f t="shared" si="183"/>
        <v>20.410256410256412</v>
      </c>
      <c r="O1043" s="173">
        <v>45</v>
      </c>
    </row>
    <row r="1044" spans="1:20" customFormat="1" ht="14.5" x14ac:dyDescent="0.35">
      <c r="A1044" s="594"/>
      <c r="B1044" s="594"/>
      <c r="C1044" s="597" t="s">
        <v>179</v>
      </c>
      <c r="D1044" s="772">
        <v>85</v>
      </c>
      <c r="E1044" s="745"/>
      <c r="F1044" s="245" t="s">
        <v>1257</v>
      </c>
      <c r="G1044" s="245"/>
      <c r="H1044" s="173">
        <v>5</v>
      </c>
      <c r="I1044">
        <v>546</v>
      </c>
      <c r="J1044" s="173">
        <v>250</v>
      </c>
      <c r="K1044" s="402">
        <f t="shared" si="181"/>
        <v>2.2893772893772897</v>
      </c>
      <c r="L1044" s="173">
        <f t="shared" si="182"/>
        <v>7.2893772893772901</v>
      </c>
      <c r="M1044" s="174"/>
      <c r="N1044" s="173">
        <f t="shared" si="183"/>
        <v>10.205128205128206</v>
      </c>
      <c r="O1044" s="173">
        <v>15</v>
      </c>
    </row>
    <row r="1045" spans="1:20" customFormat="1" ht="14.5" x14ac:dyDescent="0.35">
      <c r="A1045" s="594"/>
      <c r="B1045" s="594"/>
      <c r="C1045" s="597" t="s">
        <v>179</v>
      </c>
      <c r="D1045" s="772">
        <v>86</v>
      </c>
      <c r="E1045" s="745"/>
      <c r="F1045" s="245" t="s">
        <v>1257</v>
      </c>
      <c r="G1045" s="245"/>
      <c r="H1045" s="173">
        <v>5</v>
      </c>
      <c r="I1045">
        <v>546</v>
      </c>
      <c r="J1045" s="173">
        <v>250</v>
      </c>
      <c r="K1045" s="402">
        <f t="shared" si="181"/>
        <v>2.2893772893772897</v>
      </c>
      <c r="L1045" s="173">
        <f t="shared" si="182"/>
        <v>7.2893772893772901</v>
      </c>
      <c r="M1045" s="174"/>
      <c r="N1045" s="173">
        <f t="shared" si="183"/>
        <v>10.205128205128206</v>
      </c>
      <c r="O1045" s="173">
        <v>15</v>
      </c>
    </row>
    <row r="1046" spans="1:20" customFormat="1" ht="14.5" x14ac:dyDescent="0.35">
      <c r="A1046" s="594"/>
      <c r="B1046" s="594"/>
      <c r="C1046" s="597" t="s">
        <v>179</v>
      </c>
      <c r="D1046" s="772">
        <v>87</v>
      </c>
      <c r="E1046" s="745"/>
      <c r="F1046" s="245" t="s">
        <v>1257</v>
      </c>
      <c r="G1046" s="245"/>
      <c r="H1046" s="173">
        <v>5</v>
      </c>
      <c r="I1046">
        <v>546</v>
      </c>
      <c r="J1046" s="173">
        <v>250</v>
      </c>
      <c r="K1046" s="402">
        <f t="shared" si="181"/>
        <v>2.2893772893772897</v>
      </c>
      <c r="L1046" s="173">
        <f t="shared" si="182"/>
        <v>7.2893772893772901</v>
      </c>
      <c r="M1046" s="174"/>
      <c r="N1046" s="173">
        <f t="shared" si="183"/>
        <v>10.205128205128206</v>
      </c>
      <c r="O1046" s="173">
        <v>15</v>
      </c>
    </row>
    <row r="1047" spans="1:20" customFormat="1" ht="14.5" x14ac:dyDescent="0.35">
      <c r="A1047" s="594"/>
      <c r="B1047" s="594"/>
      <c r="C1047" s="597" t="s">
        <v>179</v>
      </c>
      <c r="D1047" s="772">
        <v>88</v>
      </c>
      <c r="E1047" s="745"/>
      <c r="F1047" s="245" t="s">
        <v>1257</v>
      </c>
      <c r="G1047" s="245"/>
      <c r="H1047" s="173">
        <v>5</v>
      </c>
      <c r="I1047">
        <v>546</v>
      </c>
      <c r="J1047" s="173">
        <v>250</v>
      </c>
      <c r="K1047" s="402">
        <f t="shared" si="181"/>
        <v>2.2893772893772897</v>
      </c>
      <c r="L1047" s="173">
        <f t="shared" si="182"/>
        <v>7.2893772893772901</v>
      </c>
      <c r="M1047" s="174"/>
      <c r="N1047" s="173">
        <f t="shared" si="183"/>
        <v>10.205128205128206</v>
      </c>
      <c r="O1047" s="173">
        <v>15</v>
      </c>
    </row>
    <row r="1048" spans="1:20" customFormat="1" ht="14.5" x14ac:dyDescent="0.35">
      <c r="A1048" s="594"/>
      <c r="B1048" s="594"/>
      <c r="C1048" s="597" t="s">
        <v>179</v>
      </c>
      <c r="D1048" s="772">
        <v>89</v>
      </c>
      <c r="E1048" s="745"/>
      <c r="F1048" s="245" t="s">
        <v>1257</v>
      </c>
      <c r="G1048" s="245"/>
      <c r="H1048" s="173">
        <v>5</v>
      </c>
      <c r="I1048">
        <v>546</v>
      </c>
      <c r="J1048" s="173">
        <v>250</v>
      </c>
      <c r="K1048" s="402">
        <f t="shared" si="181"/>
        <v>2.2893772893772897</v>
      </c>
      <c r="L1048" s="173">
        <f t="shared" si="182"/>
        <v>7.2893772893772901</v>
      </c>
      <c r="M1048" s="174"/>
      <c r="N1048" s="173">
        <f t="shared" si="183"/>
        <v>10.205128205128206</v>
      </c>
      <c r="O1048" s="173">
        <v>15</v>
      </c>
    </row>
    <row r="1049" spans="1:20" customFormat="1" ht="14.5" x14ac:dyDescent="0.35">
      <c r="A1049" s="3"/>
      <c r="B1049" s="3"/>
      <c r="C1049" s="233" t="s">
        <v>179</v>
      </c>
      <c r="D1049" s="244">
        <v>90</v>
      </c>
      <c r="E1049" s="366"/>
      <c r="F1049" s="372" t="s">
        <v>1257</v>
      </c>
      <c r="G1049" s="372"/>
      <c r="H1049" s="373">
        <v>5</v>
      </c>
      <c r="I1049" s="343">
        <v>546</v>
      </c>
      <c r="J1049" s="373">
        <v>250</v>
      </c>
      <c r="K1049" s="407">
        <f t="shared" si="181"/>
        <v>2.2893772893772897</v>
      </c>
      <c r="L1049" s="373">
        <f t="shared" si="182"/>
        <v>7.2893772893772901</v>
      </c>
      <c r="M1049" s="408"/>
      <c r="N1049" s="373">
        <f t="shared" si="183"/>
        <v>10.205128205128206</v>
      </c>
      <c r="O1049" s="373">
        <v>15</v>
      </c>
      <c r="P1049" s="13"/>
      <c r="S1049" t="s">
        <v>2405</v>
      </c>
    </row>
    <row r="1050" spans="1:20" customFormat="1" ht="14.5" x14ac:dyDescent="0.35">
      <c r="A1050" s="594"/>
      <c r="B1050" s="594"/>
      <c r="C1050" s="597" t="s">
        <v>179</v>
      </c>
      <c r="D1050" s="772">
        <v>90</v>
      </c>
      <c r="E1050" s="745"/>
      <c r="F1050" s="245" t="s">
        <v>2406</v>
      </c>
      <c r="G1050" s="245"/>
      <c r="H1050" s="173">
        <v>5</v>
      </c>
      <c r="I1050">
        <v>546</v>
      </c>
      <c r="J1050" s="173">
        <v>250</v>
      </c>
      <c r="K1050" s="402">
        <f>+H1050/I1050*J1050</f>
        <v>2.2893772893772897</v>
      </c>
      <c r="L1050" s="173">
        <f>+H1050+K1050</f>
        <v>7.2893772893772901</v>
      </c>
      <c r="M1050" s="174"/>
      <c r="N1050" s="173">
        <f>+L1050*1.4</f>
        <v>10.205128205128206</v>
      </c>
      <c r="O1050" s="173">
        <v>15</v>
      </c>
    </row>
    <row r="1051" spans="1:20" customFormat="1" ht="14.5" x14ac:dyDescent="0.35">
      <c r="A1051" s="3"/>
      <c r="B1051" s="3"/>
      <c r="C1051" s="232" t="s">
        <v>1440</v>
      </c>
      <c r="E1051" s="366"/>
      <c r="F1051" s="245"/>
      <c r="G1051" s="245"/>
      <c r="H1051" s="173"/>
      <c r="J1051" s="173"/>
      <c r="K1051" s="402"/>
      <c r="L1051" s="173"/>
      <c r="M1051" s="174"/>
      <c r="N1051" s="173"/>
      <c r="O1051" s="173"/>
      <c r="P1051" s="13"/>
    </row>
    <row r="1052" spans="1:20" customFormat="1" ht="14.5" x14ac:dyDescent="0.35">
      <c r="A1052" s="92"/>
      <c r="B1052" s="594"/>
      <c r="C1052" s="597" t="s">
        <v>1378</v>
      </c>
      <c r="D1052" s="92">
        <v>91</v>
      </c>
      <c r="E1052" s="366" t="s">
        <v>408</v>
      </c>
      <c r="F1052" s="371" t="s">
        <v>1379</v>
      </c>
      <c r="G1052" s="371"/>
      <c r="H1052" s="176">
        <v>4</v>
      </c>
      <c r="I1052" s="12">
        <v>3550</v>
      </c>
      <c r="J1052" s="176">
        <v>5698</v>
      </c>
      <c r="K1052" s="410">
        <f t="shared" ref="K1052:K1064" si="184">+H1052/I1052*J1052</f>
        <v>6.420281690140845</v>
      </c>
      <c r="L1052" s="176">
        <f t="shared" ref="L1052:L1064" si="185">+H1052+K1052</f>
        <v>10.420281690140845</v>
      </c>
      <c r="M1052" s="411"/>
      <c r="N1052" s="176">
        <f t="shared" ref="N1052:N1064" si="186">+L1052*1.4</f>
        <v>14.588394366197182</v>
      </c>
      <c r="O1052" s="176">
        <v>35</v>
      </c>
      <c r="P1052" s="13"/>
      <c r="S1052" t="s">
        <v>12</v>
      </c>
      <c r="T1052" s="6">
        <v>46087</v>
      </c>
    </row>
    <row r="1053" spans="1:20" customFormat="1" ht="14.5" x14ac:dyDescent="0.35">
      <c r="A1053" s="92"/>
      <c r="B1053" s="594"/>
      <c r="C1053" s="597" t="s">
        <v>1378</v>
      </c>
      <c r="D1053" s="92">
        <v>92</v>
      </c>
      <c r="E1053" s="745" t="s">
        <v>407</v>
      </c>
      <c r="F1053" s="245" t="s">
        <v>1379</v>
      </c>
      <c r="G1053" s="245"/>
      <c r="H1053" s="173">
        <v>4</v>
      </c>
      <c r="I1053">
        <v>3550</v>
      </c>
      <c r="J1053" s="173">
        <v>5698</v>
      </c>
      <c r="K1053" s="402">
        <f t="shared" si="184"/>
        <v>6.420281690140845</v>
      </c>
      <c r="L1053" s="173">
        <f t="shared" si="185"/>
        <v>10.420281690140845</v>
      </c>
      <c r="M1053" s="174"/>
      <c r="N1053" s="173">
        <f t="shared" si="186"/>
        <v>14.588394366197182</v>
      </c>
      <c r="O1053" s="173">
        <v>35</v>
      </c>
    </row>
    <row r="1054" spans="1:20" customFormat="1" ht="14.5" x14ac:dyDescent="0.35">
      <c r="A1054" s="92"/>
      <c r="B1054" s="594"/>
      <c r="C1054" s="597" t="s">
        <v>1378</v>
      </c>
      <c r="D1054" s="92">
        <v>93</v>
      </c>
      <c r="E1054" s="745" t="s">
        <v>407</v>
      </c>
      <c r="F1054" s="245" t="s">
        <v>1379</v>
      </c>
      <c r="G1054" s="245"/>
      <c r="H1054" s="173">
        <v>4</v>
      </c>
      <c r="I1054">
        <v>3550</v>
      </c>
      <c r="J1054" s="173">
        <v>5698</v>
      </c>
      <c r="K1054" s="402">
        <f t="shared" si="184"/>
        <v>6.420281690140845</v>
      </c>
      <c r="L1054" s="173">
        <f t="shared" si="185"/>
        <v>10.420281690140845</v>
      </c>
      <c r="M1054" s="174"/>
      <c r="N1054" s="173">
        <f t="shared" si="186"/>
        <v>14.588394366197182</v>
      </c>
      <c r="O1054" s="173">
        <v>35</v>
      </c>
    </row>
    <row r="1055" spans="1:20" customFormat="1" ht="14.5" x14ac:dyDescent="0.35">
      <c r="A1055" s="92"/>
      <c r="B1055" s="594"/>
      <c r="C1055" s="597" t="s">
        <v>1378</v>
      </c>
      <c r="D1055" s="92">
        <v>94</v>
      </c>
      <c r="E1055" s="745" t="s">
        <v>409</v>
      </c>
      <c r="F1055" s="245" t="s">
        <v>1379</v>
      </c>
      <c r="G1055" s="245"/>
      <c r="H1055" s="173">
        <v>4</v>
      </c>
      <c r="I1055">
        <v>3550</v>
      </c>
      <c r="J1055" s="173">
        <v>5698</v>
      </c>
      <c r="K1055" s="402">
        <f t="shared" si="184"/>
        <v>6.420281690140845</v>
      </c>
      <c r="L1055" s="173">
        <f t="shared" si="185"/>
        <v>10.420281690140845</v>
      </c>
      <c r="M1055" s="174"/>
      <c r="N1055" s="173">
        <f t="shared" si="186"/>
        <v>14.588394366197182</v>
      </c>
      <c r="O1055" s="173">
        <v>35</v>
      </c>
    </row>
    <row r="1056" spans="1:20" customFormat="1" ht="14.5" x14ac:dyDescent="0.35">
      <c r="A1056" s="92"/>
      <c r="B1056" s="594"/>
      <c r="C1056" s="597" t="s">
        <v>1378</v>
      </c>
      <c r="D1056" s="92">
        <v>96</v>
      </c>
      <c r="E1056" s="745" t="s">
        <v>408</v>
      </c>
      <c r="F1056" s="245" t="s">
        <v>1388</v>
      </c>
      <c r="G1056" s="245"/>
      <c r="H1056" s="173">
        <v>4</v>
      </c>
      <c r="I1056">
        <v>3550</v>
      </c>
      <c r="J1056" s="173">
        <v>5698</v>
      </c>
      <c r="K1056" s="402">
        <f t="shared" si="184"/>
        <v>6.420281690140845</v>
      </c>
      <c r="L1056" s="173">
        <f t="shared" si="185"/>
        <v>10.420281690140845</v>
      </c>
      <c r="M1056" s="174"/>
      <c r="N1056" s="173">
        <f t="shared" si="186"/>
        <v>14.588394366197182</v>
      </c>
      <c r="O1056" s="173">
        <v>35</v>
      </c>
    </row>
    <row r="1057" spans="1:20" customFormat="1" ht="14.5" x14ac:dyDescent="0.35">
      <c r="A1057" s="92" t="s">
        <v>561</v>
      </c>
      <c r="B1057" s="594"/>
      <c r="C1057" s="597" t="s">
        <v>1454</v>
      </c>
      <c r="D1057" s="92">
        <v>110</v>
      </c>
      <c r="E1057" s="745" t="s">
        <v>760</v>
      </c>
      <c r="F1057" s="245" t="s">
        <v>2399</v>
      </c>
      <c r="G1057" s="245"/>
      <c r="H1057" s="173">
        <v>4</v>
      </c>
      <c r="I1057">
        <v>3550</v>
      </c>
      <c r="J1057" s="173">
        <v>5698</v>
      </c>
      <c r="K1057" s="402">
        <f t="shared" si="184"/>
        <v>6.420281690140845</v>
      </c>
      <c r="L1057" s="173">
        <f t="shared" si="185"/>
        <v>10.420281690140845</v>
      </c>
      <c r="M1057" s="174"/>
      <c r="N1057" s="173">
        <f t="shared" si="186"/>
        <v>14.588394366197182</v>
      </c>
      <c r="O1057" s="173">
        <v>35</v>
      </c>
    </row>
    <row r="1058" spans="1:20" customFormat="1" ht="14.5" x14ac:dyDescent="0.35">
      <c r="A1058" s="92" t="s">
        <v>561</v>
      </c>
      <c r="B1058" s="594"/>
      <c r="C1058" s="597" t="s">
        <v>1454</v>
      </c>
      <c r="D1058" s="92">
        <v>116</v>
      </c>
      <c r="E1058" s="745" t="s">
        <v>409</v>
      </c>
      <c r="F1058" s="245" t="s">
        <v>1386</v>
      </c>
      <c r="G1058" s="245"/>
      <c r="H1058" s="173">
        <v>4</v>
      </c>
      <c r="I1058">
        <v>3550</v>
      </c>
      <c r="J1058" s="173">
        <v>5698</v>
      </c>
      <c r="K1058" s="402">
        <f t="shared" si="184"/>
        <v>6.420281690140845</v>
      </c>
      <c r="L1058" s="173">
        <f t="shared" si="185"/>
        <v>10.420281690140845</v>
      </c>
      <c r="M1058" s="174"/>
      <c r="N1058" s="173">
        <f t="shared" si="186"/>
        <v>14.588394366197182</v>
      </c>
      <c r="O1058" s="173">
        <v>35</v>
      </c>
    </row>
    <row r="1059" spans="1:20" customFormat="1" ht="14.5" x14ac:dyDescent="0.35">
      <c r="A1059" s="92" t="s">
        <v>561</v>
      </c>
      <c r="B1059" s="594"/>
      <c r="C1059" s="597" t="s">
        <v>1454</v>
      </c>
      <c r="D1059" s="92">
        <v>117</v>
      </c>
      <c r="E1059" s="745" t="s">
        <v>410</v>
      </c>
      <c r="F1059" s="245" t="s">
        <v>1386</v>
      </c>
      <c r="G1059" s="245"/>
      <c r="H1059" s="173">
        <v>4</v>
      </c>
      <c r="I1059">
        <v>3550</v>
      </c>
      <c r="J1059" s="173">
        <v>5698</v>
      </c>
      <c r="K1059" s="402">
        <f t="shared" si="184"/>
        <v>6.420281690140845</v>
      </c>
      <c r="L1059" s="173">
        <f t="shared" si="185"/>
        <v>10.420281690140845</v>
      </c>
      <c r="M1059" s="174"/>
      <c r="N1059" s="173">
        <f t="shared" si="186"/>
        <v>14.588394366197182</v>
      </c>
      <c r="O1059" s="173">
        <v>35</v>
      </c>
    </row>
    <row r="1060" spans="1:20" customFormat="1" ht="14.5" x14ac:dyDescent="0.35">
      <c r="A1060" s="92" t="s">
        <v>561</v>
      </c>
      <c r="B1060" s="594"/>
      <c r="C1060" s="597" t="s">
        <v>1454</v>
      </c>
      <c r="D1060" s="92">
        <v>118</v>
      </c>
      <c r="E1060" s="745" t="s">
        <v>410</v>
      </c>
      <c r="F1060" s="245" t="s">
        <v>1386</v>
      </c>
      <c r="G1060" s="245"/>
      <c r="H1060" s="173">
        <v>4</v>
      </c>
      <c r="I1060">
        <v>3550</v>
      </c>
      <c r="J1060" s="173">
        <v>5698</v>
      </c>
      <c r="K1060" s="402">
        <f t="shared" si="184"/>
        <v>6.420281690140845</v>
      </c>
      <c r="L1060" s="173">
        <f t="shared" si="185"/>
        <v>10.420281690140845</v>
      </c>
      <c r="M1060" s="174"/>
      <c r="N1060" s="173">
        <f t="shared" si="186"/>
        <v>14.588394366197182</v>
      </c>
      <c r="O1060" s="173">
        <v>35</v>
      </c>
    </row>
    <row r="1061" spans="1:20" customFormat="1" ht="14.5" x14ac:dyDescent="0.35">
      <c r="A1061" s="92" t="s">
        <v>561</v>
      </c>
      <c r="B1061" s="594"/>
      <c r="C1061" s="597" t="s">
        <v>1454</v>
      </c>
      <c r="D1061" s="92">
        <v>119</v>
      </c>
      <c r="E1061" s="745" t="s">
        <v>760</v>
      </c>
      <c r="F1061" s="245" t="s">
        <v>1386</v>
      </c>
      <c r="G1061" s="245"/>
      <c r="H1061" s="173">
        <v>4</v>
      </c>
      <c r="I1061">
        <v>3550</v>
      </c>
      <c r="J1061" s="173">
        <v>5698</v>
      </c>
      <c r="K1061" s="402">
        <f t="shared" si="184"/>
        <v>6.420281690140845</v>
      </c>
      <c r="L1061" s="173">
        <f t="shared" si="185"/>
        <v>10.420281690140845</v>
      </c>
      <c r="M1061" s="174"/>
      <c r="N1061" s="173">
        <f t="shared" si="186"/>
        <v>14.588394366197182</v>
      </c>
      <c r="O1061" s="173">
        <v>35</v>
      </c>
    </row>
    <row r="1062" spans="1:20" customFormat="1" ht="14.5" x14ac:dyDescent="0.35">
      <c r="A1062" s="92" t="s">
        <v>561</v>
      </c>
      <c r="B1062" s="594"/>
      <c r="C1062" s="597" t="s">
        <v>1454</v>
      </c>
      <c r="D1062" s="92">
        <v>120</v>
      </c>
      <c r="E1062" s="745" t="s">
        <v>597</v>
      </c>
      <c r="F1062" s="245" t="s">
        <v>1386</v>
      </c>
      <c r="G1062" s="245"/>
      <c r="H1062" s="173">
        <v>4</v>
      </c>
      <c r="I1062">
        <v>3550</v>
      </c>
      <c r="J1062" s="173">
        <v>5698</v>
      </c>
      <c r="K1062" s="402">
        <f t="shared" si="184"/>
        <v>6.420281690140845</v>
      </c>
      <c r="L1062" s="173">
        <f t="shared" si="185"/>
        <v>10.420281690140845</v>
      </c>
      <c r="M1062" s="174"/>
      <c r="N1062" s="173">
        <f t="shared" si="186"/>
        <v>14.588394366197182</v>
      </c>
      <c r="O1062" s="173">
        <v>35</v>
      </c>
    </row>
    <row r="1063" spans="1:20" customFormat="1" ht="14.5" x14ac:dyDescent="0.35">
      <c r="A1063" s="92" t="s">
        <v>561</v>
      </c>
      <c r="B1063" s="594"/>
      <c r="C1063" s="597" t="s">
        <v>1454</v>
      </c>
      <c r="D1063" s="92">
        <v>121</v>
      </c>
      <c r="E1063" s="745" t="s">
        <v>409</v>
      </c>
      <c r="F1063" s="245" t="s">
        <v>1387</v>
      </c>
      <c r="G1063" s="245"/>
      <c r="H1063" s="173">
        <v>4</v>
      </c>
      <c r="I1063">
        <v>3550</v>
      </c>
      <c r="J1063" s="173">
        <v>5698</v>
      </c>
      <c r="K1063" s="402">
        <f t="shared" si="184"/>
        <v>6.420281690140845</v>
      </c>
      <c r="L1063" s="173">
        <f t="shared" si="185"/>
        <v>10.420281690140845</v>
      </c>
      <c r="M1063" s="174"/>
      <c r="N1063" s="173">
        <f t="shared" si="186"/>
        <v>14.588394366197182</v>
      </c>
      <c r="O1063" s="173">
        <v>35</v>
      </c>
    </row>
    <row r="1064" spans="1:20" customFormat="1" ht="14.5" x14ac:dyDescent="0.35">
      <c r="A1064" s="92" t="s">
        <v>561</v>
      </c>
      <c r="B1064" s="594"/>
      <c r="C1064" s="597" t="s">
        <v>1454</v>
      </c>
      <c r="D1064" s="92">
        <v>122</v>
      </c>
      <c r="E1064" s="745" t="s">
        <v>410</v>
      </c>
      <c r="F1064" s="245" t="s">
        <v>1387</v>
      </c>
      <c r="G1064" s="245"/>
      <c r="H1064" s="173">
        <v>4</v>
      </c>
      <c r="I1064">
        <v>3550</v>
      </c>
      <c r="J1064" s="173">
        <v>5698</v>
      </c>
      <c r="K1064" s="402">
        <f t="shared" si="184"/>
        <v>6.420281690140845</v>
      </c>
      <c r="L1064" s="173">
        <f t="shared" si="185"/>
        <v>10.420281690140845</v>
      </c>
      <c r="M1064" s="174"/>
      <c r="N1064" s="173">
        <f t="shared" si="186"/>
        <v>14.588394366197182</v>
      </c>
      <c r="O1064" s="173">
        <v>35</v>
      </c>
    </row>
    <row r="1065" spans="1:20" customFormat="1" ht="14.5" x14ac:dyDescent="0.35">
      <c r="A1065" s="92" t="s">
        <v>561</v>
      </c>
      <c r="B1065" s="594"/>
      <c r="C1065" s="597" t="s">
        <v>1454</v>
      </c>
      <c r="D1065" s="92">
        <v>123</v>
      </c>
      <c r="E1065" s="745" t="s">
        <v>760</v>
      </c>
      <c r="F1065" s="245" t="s">
        <v>1387</v>
      </c>
      <c r="G1065" s="245"/>
      <c r="H1065" s="173">
        <v>4</v>
      </c>
      <c r="I1065">
        <v>3550</v>
      </c>
      <c r="J1065" s="173">
        <v>5698</v>
      </c>
      <c r="K1065" s="402">
        <f t="shared" ref="K1065:K1075" si="187">+H1065/I1065*J1065</f>
        <v>6.420281690140845</v>
      </c>
      <c r="L1065" s="173">
        <f t="shared" ref="L1065:L1075" si="188">+H1065+K1065</f>
        <v>10.420281690140845</v>
      </c>
      <c r="M1065" s="174"/>
      <c r="N1065" s="173">
        <f t="shared" ref="N1065:N1075" si="189">+L1065*1.4</f>
        <v>14.588394366197182</v>
      </c>
      <c r="O1065" s="173">
        <v>35</v>
      </c>
    </row>
    <row r="1066" spans="1:20" customFormat="1" ht="14.5" x14ac:dyDescent="0.35">
      <c r="A1066" s="92" t="s">
        <v>561</v>
      </c>
      <c r="B1066" s="594"/>
      <c r="C1066" s="597" t="s">
        <v>1454</v>
      </c>
      <c r="D1066" s="92">
        <v>125</v>
      </c>
      <c r="E1066" s="745" t="s">
        <v>410</v>
      </c>
      <c r="F1066" s="245" t="s">
        <v>1389</v>
      </c>
      <c r="G1066" s="245"/>
      <c r="H1066" s="173">
        <v>4</v>
      </c>
      <c r="I1066">
        <v>3550</v>
      </c>
      <c r="J1066" s="173">
        <v>5698</v>
      </c>
      <c r="K1066" s="402">
        <f t="shared" si="187"/>
        <v>6.420281690140845</v>
      </c>
      <c r="L1066" s="173">
        <f t="shared" si="188"/>
        <v>10.420281690140845</v>
      </c>
      <c r="M1066" s="174"/>
      <c r="N1066" s="173">
        <f t="shared" si="189"/>
        <v>14.588394366197182</v>
      </c>
      <c r="O1066" s="173">
        <v>35</v>
      </c>
    </row>
    <row r="1067" spans="1:20" customFormat="1" ht="14.5" x14ac:dyDescent="0.35">
      <c r="A1067" s="92" t="s">
        <v>561</v>
      </c>
      <c r="B1067" s="594"/>
      <c r="C1067" s="597" t="s">
        <v>1454</v>
      </c>
      <c r="D1067" s="92">
        <v>126</v>
      </c>
      <c r="E1067" s="745" t="s">
        <v>760</v>
      </c>
      <c r="F1067" s="245" t="s">
        <v>1389</v>
      </c>
      <c r="G1067" s="245"/>
      <c r="H1067" s="173">
        <v>4</v>
      </c>
      <c r="I1067">
        <v>3550</v>
      </c>
      <c r="J1067" s="173">
        <v>5698</v>
      </c>
      <c r="K1067" s="402">
        <f t="shared" si="187"/>
        <v>6.420281690140845</v>
      </c>
      <c r="L1067" s="173">
        <f t="shared" si="188"/>
        <v>10.420281690140845</v>
      </c>
      <c r="M1067" s="174"/>
      <c r="N1067" s="173">
        <f t="shared" si="189"/>
        <v>14.588394366197182</v>
      </c>
      <c r="O1067" s="173">
        <v>35</v>
      </c>
    </row>
    <row r="1068" spans="1:20" s="13" customFormat="1" ht="14.5" x14ac:dyDescent="0.35">
      <c r="A1068" s="13" t="s">
        <v>561</v>
      </c>
      <c r="B1068" s="369"/>
      <c r="C1068" s="368" t="s">
        <v>1454</v>
      </c>
      <c r="D1068" s="13">
        <v>127</v>
      </c>
      <c r="E1068" s="399" t="s">
        <v>589</v>
      </c>
      <c r="F1068" s="435" t="s">
        <v>1389</v>
      </c>
      <c r="G1068" s="435"/>
      <c r="H1068" s="344">
        <v>4</v>
      </c>
      <c r="I1068" s="13">
        <v>3550</v>
      </c>
      <c r="J1068" s="344">
        <v>5698</v>
      </c>
      <c r="K1068" s="443">
        <f t="shared" si="187"/>
        <v>6.420281690140845</v>
      </c>
      <c r="L1068" s="344">
        <f t="shared" si="188"/>
        <v>10.420281690140845</v>
      </c>
      <c r="M1068" s="444"/>
      <c r="N1068" s="344">
        <f t="shared" si="189"/>
        <v>14.588394366197182</v>
      </c>
      <c r="O1068" s="344">
        <v>35</v>
      </c>
    </row>
    <row r="1069" spans="1:20" customFormat="1" ht="14.5" x14ac:dyDescent="0.35">
      <c r="A1069" s="92" t="s">
        <v>561</v>
      </c>
      <c r="B1069" s="594"/>
      <c r="C1069" s="597" t="s">
        <v>1454</v>
      </c>
      <c r="D1069" s="92">
        <v>128</v>
      </c>
      <c r="E1069" s="745" t="s">
        <v>411</v>
      </c>
      <c r="F1069" s="245" t="s">
        <v>1390</v>
      </c>
      <c r="G1069" s="245"/>
      <c r="H1069" s="173">
        <v>4</v>
      </c>
      <c r="I1069">
        <v>3550</v>
      </c>
      <c r="J1069" s="173">
        <v>5698</v>
      </c>
      <c r="K1069" s="402">
        <f t="shared" si="187"/>
        <v>6.420281690140845</v>
      </c>
      <c r="L1069" s="173">
        <f t="shared" si="188"/>
        <v>10.420281690140845</v>
      </c>
      <c r="M1069" s="174"/>
      <c r="N1069" s="173">
        <f t="shared" si="189"/>
        <v>14.588394366197182</v>
      </c>
      <c r="O1069" s="173">
        <v>35</v>
      </c>
    </row>
    <row r="1070" spans="1:20" customFormat="1" ht="14.5" x14ac:dyDescent="0.35">
      <c r="A1070" s="92" t="s">
        <v>561</v>
      </c>
      <c r="B1070" s="594"/>
      <c r="C1070" s="597" t="s">
        <v>1454</v>
      </c>
      <c r="D1070" s="92">
        <v>129</v>
      </c>
      <c r="E1070" s="745" t="s">
        <v>588</v>
      </c>
      <c r="F1070" s="245" t="s">
        <v>1390</v>
      </c>
      <c r="G1070" s="245"/>
      <c r="H1070" s="173">
        <v>4</v>
      </c>
      <c r="I1070">
        <v>3550</v>
      </c>
      <c r="J1070" s="173">
        <v>5698</v>
      </c>
      <c r="K1070" s="402">
        <f t="shared" si="187"/>
        <v>6.420281690140845</v>
      </c>
      <c r="L1070" s="173">
        <f t="shared" si="188"/>
        <v>10.420281690140845</v>
      </c>
      <c r="M1070" s="174"/>
      <c r="N1070" s="173">
        <f t="shared" si="189"/>
        <v>14.588394366197182</v>
      </c>
      <c r="O1070" s="173">
        <v>35</v>
      </c>
    </row>
    <row r="1071" spans="1:20" customFormat="1" ht="14.5" x14ac:dyDescent="0.35">
      <c r="A1071" s="92" t="s">
        <v>561</v>
      </c>
      <c r="B1071" s="594"/>
      <c r="C1071" s="597" t="s">
        <v>1454</v>
      </c>
      <c r="D1071" s="92">
        <v>131</v>
      </c>
      <c r="E1071" s="745" t="s">
        <v>597</v>
      </c>
      <c r="F1071" s="245" t="s">
        <v>1390</v>
      </c>
      <c r="G1071" s="245"/>
      <c r="H1071" s="173">
        <v>4</v>
      </c>
      <c r="I1071">
        <v>3550</v>
      </c>
      <c r="J1071" s="173">
        <v>5698</v>
      </c>
      <c r="K1071" s="402">
        <f t="shared" si="187"/>
        <v>6.420281690140845</v>
      </c>
      <c r="L1071" s="173">
        <f t="shared" si="188"/>
        <v>10.420281690140845</v>
      </c>
      <c r="M1071" s="174"/>
      <c r="N1071" s="173">
        <f t="shared" si="189"/>
        <v>14.588394366197182</v>
      </c>
      <c r="O1071" s="173">
        <v>35</v>
      </c>
    </row>
    <row r="1072" spans="1:20" customFormat="1" ht="14.5" hidden="1" x14ac:dyDescent="0.35">
      <c r="A1072" s="92" t="s">
        <v>561</v>
      </c>
      <c r="B1072" s="594"/>
      <c r="C1072" s="233" t="s">
        <v>1454</v>
      </c>
      <c r="D1072">
        <v>133</v>
      </c>
      <c r="E1072" s="366" t="s">
        <v>408</v>
      </c>
      <c r="F1072" s="371" t="s">
        <v>1406</v>
      </c>
      <c r="G1072" s="371"/>
      <c r="H1072" s="176">
        <v>4</v>
      </c>
      <c r="I1072" s="12">
        <v>3550</v>
      </c>
      <c r="J1072" s="176">
        <v>5698</v>
      </c>
      <c r="K1072" s="410">
        <f t="shared" si="187"/>
        <v>6.420281690140845</v>
      </c>
      <c r="L1072" s="176">
        <f t="shared" si="188"/>
        <v>10.420281690140845</v>
      </c>
      <c r="M1072" s="411"/>
      <c r="N1072" s="176">
        <f t="shared" si="189"/>
        <v>14.588394366197182</v>
      </c>
      <c r="O1072" s="176">
        <v>35</v>
      </c>
      <c r="P1072" s="13"/>
      <c r="S1072" t="s">
        <v>1820</v>
      </c>
      <c r="T1072" s="6">
        <v>46049</v>
      </c>
    </row>
    <row r="1073" spans="1:20" customFormat="1" ht="14.5" x14ac:dyDescent="0.35">
      <c r="A1073" s="92" t="s">
        <v>561</v>
      </c>
      <c r="B1073" s="594"/>
      <c r="C1073" s="597" t="s">
        <v>1454</v>
      </c>
      <c r="D1073" s="92">
        <v>134</v>
      </c>
      <c r="E1073" s="745" t="s">
        <v>407</v>
      </c>
      <c r="F1073" s="245" t="s">
        <v>1406</v>
      </c>
      <c r="G1073" s="245"/>
      <c r="H1073" s="173">
        <v>4</v>
      </c>
      <c r="I1073">
        <v>3550</v>
      </c>
      <c r="J1073" s="173">
        <v>5698</v>
      </c>
      <c r="K1073" s="402">
        <f t="shared" si="187"/>
        <v>6.420281690140845</v>
      </c>
      <c r="L1073" s="173">
        <f t="shared" si="188"/>
        <v>10.420281690140845</v>
      </c>
      <c r="M1073" s="174"/>
      <c r="N1073" s="173">
        <f t="shared" si="189"/>
        <v>14.588394366197182</v>
      </c>
      <c r="O1073" s="173">
        <v>35</v>
      </c>
    </row>
    <row r="1074" spans="1:20" customFormat="1" ht="14.5" x14ac:dyDescent="0.35">
      <c r="A1074" s="92" t="s">
        <v>561</v>
      </c>
      <c r="B1074" s="594"/>
      <c r="C1074" s="597" t="s">
        <v>1454</v>
      </c>
      <c r="D1074" s="92">
        <v>135</v>
      </c>
      <c r="E1074" s="745" t="s">
        <v>407</v>
      </c>
      <c r="F1074" s="245" t="s">
        <v>1406</v>
      </c>
      <c r="G1074" s="245"/>
      <c r="H1074" s="173">
        <v>4</v>
      </c>
      <c r="I1074">
        <v>3550</v>
      </c>
      <c r="J1074" s="173">
        <v>5698</v>
      </c>
      <c r="K1074" s="402">
        <f t="shared" si="187"/>
        <v>6.420281690140845</v>
      </c>
      <c r="L1074" s="173">
        <f t="shared" si="188"/>
        <v>10.420281690140845</v>
      </c>
      <c r="M1074" s="174"/>
      <c r="N1074" s="173">
        <f t="shared" si="189"/>
        <v>14.588394366197182</v>
      </c>
      <c r="O1074" s="173">
        <v>35</v>
      </c>
    </row>
    <row r="1075" spans="1:20" customFormat="1" ht="14.5" x14ac:dyDescent="0.35">
      <c r="A1075" s="92" t="s">
        <v>561</v>
      </c>
      <c r="B1075" s="594"/>
      <c r="C1075" s="597" t="s">
        <v>1454</v>
      </c>
      <c r="D1075" s="92">
        <v>139</v>
      </c>
      <c r="E1075" s="745" t="s">
        <v>412</v>
      </c>
      <c r="F1075" s="245" t="s">
        <v>1406</v>
      </c>
      <c r="G1075" s="245"/>
      <c r="H1075" s="173">
        <v>4</v>
      </c>
      <c r="I1075">
        <v>3550</v>
      </c>
      <c r="J1075" s="173">
        <v>5698</v>
      </c>
      <c r="K1075" s="402">
        <f t="shared" si="187"/>
        <v>6.420281690140845</v>
      </c>
      <c r="L1075" s="173">
        <f t="shared" si="188"/>
        <v>10.420281690140845</v>
      </c>
      <c r="M1075" s="174"/>
      <c r="N1075" s="173">
        <f t="shared" si="189"/>
        <v>14.588394366197182</v>
      </c>
      <c r="O1075" s="173">
        <v>35</v>
      </c>
    </row>
    <row r="1076" spans="1:20" customFormat="1" ht="18.5" x14ac:dyDescent="0.45">
      <c r="A1076" s="3"/>
      <c r="B1076" s="3"/>
      <c r="C1076" s="666">
        <v>45901</v>
      </c>
      <c r="P1076" s="344">
        <v>35</v>
      </c>
    </row>
    <row r="1077" spans="1:20" customFormat="1" ht="14.5" hidden="1" x14ac:dyDescent="0.35">
      <c r="A1077" s="594"/>
      <c r="B1077" s="775" t="s">
        <v>1154</v>
      </c>
      <c r="C1077" s="775" t="s">
        <v>1154</v>
      </c>
      <c r="D1077" s="92"/>
      <c r="E1077" s="745">
        <v>48</v>
      </c>
      <c r="F1077" s="371" t="s">
        <v>1839</v>
      </c>
      <c r="G1077" s="371"/>
      <c r="H1077" s="176">
        <v>10</v>
      </c>
      <c r="I1077" s="12">
        <v>5225</v>
      </c>
      <c r="J1077" s="176">
        <v>3700</v>
      </c>
      <c r="K1077" s="410">
        <f t="shared" ref="K1077:K1087" si="190">+H1077/I1077*J1077</f>
        <v>7.0813397129186608</v>
      </c>
      <c r="L1077" s="176">
        <f t="shared" ref="L1077:L1087" si="191">+H1077+K1077</f>
        <v>17.081339712918663</v>
      </c>
      <c r="M1077" s="12"/>
      <c r="N1077" s="176">
        <f t="shared" ref="N1077:N1087" si="192">+L1077*1.5</f>
        <v>25.622009569377994</v>
      </c>
      <c r="O1077" s="176">
        <v>35</v>
      </c>
      <c r="P1077" s="176">
        <v>35</v>
      </c>
      <c r="S1077" t="s">
        <v>3008</v>
      </c>
      <c r="T1077" s="6">
        <v>46112</v>
      </c>
    </row>
    <row r="1078" spans="1:20" customFormat="1" ht="14.5" x14ac:dyDescent="0.35">
      <c r="A1078" s="594"/>
      <c r="B1078" s="775" t="s">
        <v>1154</v>
      </c>
      <c r="C1078" s="775" t="s">
        <v>1883</v>
      </c>
      <c r="D1078" s="92"/>
      <c r="E1078" s="745">
        <v>36</v>
      </c>
      <c r="F1078" s="245" t="s">
        <v>1840</v>
      </c>
      <c r="G1078" s="245"/>
      <c r="H1078" s="173">
        <v>10</v>
      </c>
      <c r="I1078">
        <v>5225</v>
      </c>
      <c r="J1078" s="173">
        <v>3700</v>
      </c>
      <c r="K1078" s="402">
        <f t="shared" si="190"/>
        <v>7.0813397129186608</v>
      </c>
      <c r="L1078" s="173">
        <f t="shared" si="191"/>
        <v>17.081339712918663</v>
      </c>
      <c r="N1078" s="173">
        <f t="shared" si="192"/>
        <v>25.622009569377994</v>
      </c>
      <c r="O1078" s="173">
        <v>35</v>
      </c>
      <c r="P1078" s="173">
        <v>35</v>
      </c>
    </row>
    <row r="1079" spans="1:20" customFormat="1" ht="14.5" x14ac:dyDescent="0.35">
      <c r="A1079" s="594"/>
      <c r="B1079" s="775" t="s">
        <v>1154</v>
      </c>
      <c r="C1079" s="775" t="s">
        <v>1883</v>
      </c>
      <c r="D1079" s="92"/>
      <c r="E1079" s="745">
        <v>38</v>
      </c>
      <c r="F1079" s="245" t="s">
        <v>1840</v>
      </c>
      <c r="G1079" s="245"/>
      <c r="H1079" s="173">
        <v>10</v>
      </c>
      <c r="I1079">
        <v>5225</v>
      </c>
      <c r="J1079" s="173">
        <v>3700</v>
      </c>
      <c r="K1079" s="402">
        <f t="shared" si="190"/>
        <v>7.0813397129186608</v>
      </c>
      <c r="L1079" s="173">
        <f t="shared" si="191"/>
        <v>17.081339712918663</v>
      </c>
      <c r="N1079" s="173">
        <f t="shared" si="192"/>
        <v>25.622009569377994</v>
      </c>
      <c r="O1079" s="173">
        <v>35</v>
      </c>
      <c r="P1079" s="173">
        <v>35</v>
      </c>
    </row>
    <row r="1080" spans="1:20" customFormat="1" ht="14.5" x14ac:dyDescent="0.35">
      <c r="A1080" s="594"/>
      <c r="B1080" s="775" t="s">
        <v>1154</v>
      </c>
      <c r="C1080" s="775" t="s">
        <v>1883</v>
      </c>
      <c r="D1080" s="92"/>
      <c r="E1080" s="745">
        <v>40</v>
      </c>
      <c r="F1080" s="245" t="s">
        <v>1840</v>
      </c>
      <c r="G1080" s="245"/>
      <c r="H1080" s="173">
        <v>10</v>
      </c>
      <c r="I1080">
        <v>5225</v>
      </c>
      <c r="J1080" s="173">
        <v>3700</v>
      </c>
      <c r="K1080" s="402">
        <f t="shared" si="190"/>
        <v>7.0813397129186608</v>
      </c>
      <c r="L1080" s="173">
        <f t="shared" si="191"/>
        <v>17.081339712918663</v>
      </c>
      <c r="N1080" s="173">
        <f t="shared" si="192"/>
        <v>25.622009569377994</v>
      </c>
      <c r="O1080" s="173">
        <v>35</v>
      </c>
      <c r="P1080" s="173">
        <v>35</v>
      </c>
    </row>
    <row r="1081" spans="1:20" customFormat="1" ht="14.5" x14ac:dyDescent="0.35">
      <c r="A1081" s="594"/>
      <c r="B1081" s="775" t="s">
        <v>179</v>
      </c>
      <c r="C1081" s="775" t="s">
        <v>179</v>
      </c>
      <c r="D1081" s="92"/>
      <c r="E1081" s="745" t="s">
        <v>407</v>
      </c>
      <c r="F1081" s="245" t="s">
        <v>1889</v>
      </c>
      <c r="G1081" s="245"/>
      <c r="H1081" s="173">
        <v>10</v>
      </c>
      <c r="I1081">
        <v>5225</v>
      </c>
      <c r="J1081" s="173">
        <v>3700</v>
      </c>
      <c r="K1081" s="402">
        <f t="shared" si="190"/>
        <v>7.0813397129186608</v>
      </c>
      <c r="L1081" s="173">
        <f t="shared" si="191"/>
        <v>17.081339712918663</v>
      </c>
      <c r="N1081" s="173">
        <f t="shared" si="192"/>
        <v>25.622009569377994</v>
      </c>
      <c r="O1081" s="173">
        <v>35</v>
      </c>
      <c r="P1081" s="173">
        <v>35</v>
      </c>
    </row>
    <row r="1082" spans="1:20" customFormat="1" ht="14.5" x14ac:dyDescent="0.35">
      <c r="A1082" s="594"/>
      <c r="B1082" s="775" t="s">
        <v>179</v>
      </c>
      <c r="C1082" s="775" t="s">
        <v>179</v>
      </c>
      <c r="D1082" s="92"/>
      <c r="E1082" s="745" t="s">
        <v>412</v>
      </c>
      <c r="F1082" s="245" t="s">
        <v>1889</v>
      </c>
      <c r="G1082" s="245"/>
      <c r="H1082" s="173">
        <v>10</v>
      </c>
      <c r="I1082">
        <v>5225</v>
      </c>
      <c r="J1082" s="173">
        <v>3700</v>
      </c>
      <c r="K1082" s="402">
        <f>+H1082/I1082*J1082</f>
        <v>7.0813397129186608</v>
      </c>
      <c r="L1082" s="173">
        <f>+H1082+K1082</f>
        <v>17.081339712918663</v>
      </c>
      <c r="N1082" s="173">
        <f>+L1082*1.5</f>
        <v>25.622009569377994</v>
      </c>
      <c r="O1082" s="173">
        <v>35</v>
      </c>
      <c r="P1082" s="173">
        <v>35</v>
      </c>
    </row>
    <row r="1083" spans="1:20" customFormat="1" ht="14.5" hidden="1" x14ac:dyDescent="0.35">
      <c r="A1083" s="3"/>
      <c r="B1083" s="232" t="s">
        <v>179</v>
      </c>
      <c r="C1083" s="232" t="s">
        <v>179</v>
      </c>
      <c r="E1083" s="366" t="s">
        <v>407</v>
      </c>
      <c r="F1083" s="371" t="s">
        <v>1890</v>
      </c>
      <c r="G1083" s="371"/>
      <c r="H1083" s="176">
        <v>10</v>
      </c>
      <c r="I1083" s="12">
        <v>5225</v>
      </c>
      <c r="J1083" s="176">
        <v>3700</v>
      </c>
      <c r="K1083" s="410">
        <f t="shared" si="190"/>
        <v>7.0813397129186608</v>
      </c>
      <c r="L1083" s="176">
        <f t="shared" si="191"/>
        <v>17.081339712918663</v>
      </c>
      <c r="M1083" s="12"/>
      <c r="N1083" s="176">
        <f t="shared" si="192"/>
        <v>25.622009569377994</v>
      </c>
      <c r="O1083" s="176">
        <v>35</v>
      </c>
      <c r="P1083" s="344">
        <v>45</v>
      </c>
      <c r="S1083" t="s">
        <v>2152</v>
      </c>
      <c r="T1083" t="s">
        <v>2153</v>
      </c>
    </row>
    <row r="1084" spans="1:20" customFormat="1" ht="14.5" x14ac:dyDescent="0.35">
      <c r="A1084" s="594"/>
      <c r="B1084" s="775" t="s">
        <v>179</v>
      </c>
      <c r="C1084" s="775" t="s">
        <v>179</v>
      </c>
      <c r="D1084" s="92"/>
      <c r="E1084" s="745" t="s">
        <v>407</v>
      </c>
      <c r="F1084" s="245" t="s">
        <v>1891</v>
      </c>
      <c r="G1084" s="245"/>
      <c r="H1084" s="173">
        <v>10</v>
      </c>
      <c r="I1084">
        <v>5225</v>
      </c>
      <c r="J1084" s="173">
        <v>3700</v>
      </c>
      <c r="K1084" s="402">
        <f t="shared" si="190"/>
        <v>7.0813397129186608</v>
      </c>
      <c r="L1084" s="173">
        <f t="shared" si="191"/>
        <v>17.081339712918663</v>
      </c>
      <c r="N1084" s="173">
        <f t="shared" si="192"/>
        <v>25.622009569377994</v>
      </c>
      <c r="O1084" s="173">
        <v>35</v>
      </c>
      <c r="P1084" s="173">
        <v>35</v>
      </c>
    </row>
    <row r="1085" spans="1:20" customFormat="1" ht="14.5" x14ac:dyDescent="0.35">
      <c r="A1085" s="594"/>
      <c r="B1085" s="775" t="s">
        <v>179</v>
      </c>
      <c r="C1085" s="775" t="s">
        <v>179</v>
      </c>
      <c r="D1085" s="92"/>
      <c r="E1085" s="745" t="s">
        <v>409</v>
      </c>
      <c r="F1085" s="245" t="s">
        <v>1891</v>
      </c>
      <c r="G1085" s="245"/>
      <c r="H1085" s="173">
        <v>10</v>
      </c>
      <c r="I1085">
        <v>5225</v>
      </c>
      <c r="J1085" s="173">
        <v>3700</v>
      </c>
      <c r="K1085" s="402">
        <f t="shared" si="190"/>
        <v>7.0813397129186608</v>
      </c>
      <c r="L1085" s="173">
        <f t="shared" si="191"/>
        <v>17.081339712918663</v>
      </c>
      <c r="N1085" s="173">
        <f t="shared" si="192"/>
        <v>25.622009569377994</v>
      </c>
      <c r="O1085" s="173">
        <v>35</v>
      </c>
      <c r="P1085" s="173">
        <v>35</v>
      </c>
    </row>
    <row r="1087" spans="1:20" customFormat="1" ht="14.5" hidden="1" x14ac:dyDescent="0.35">
      <c r="A1087" s="3"/>
      <c r="B1087" s="232" t="s">
        <v>179</v>
      </c>
      <c r="C1087" s="232" t="s">
        <v>179</v>
      </c>
      <c r="E1087" s="366" t="s">
        <v>412</v>
      </c>
      <c r="F1087" s="371" t="s">
        <v>1927</v>
      </c>
      <c r="G1087" s="371"/>
      <c r="H1087" s="176">
        <v>10</v>
      </c>
      <c r="I1087" s="12">
        <v>5225</v>
      </c>
      <c r="J1087" s="176">
        <v>3700</v>
      </c>
      <c r="K1087" s="410">
        <f t="shared" si="190"/>
        <v>7.0813397129186608</v>
      </c>
      <c r="L1087" s="176">
        <f t="shared" si="191"/>
        <v>17.081339712918663</v>
      </c>
      <c r="M1087" s="12"/>
      <c r="N1087" s="176">
        <f t="shared" si="192"/>
        <v>25.622009569377994</v>
      </c>
      <c r="O1087" s="176">
        <v>35</v>
      </c>
      <c r="P1087" s="344">
        <v>35</v>
      </c>
      <c r="S1087" t="s">
        <v>12</v>
      </c>
      <c r="T1087" s="6">
        <v>46032</v>
      </c>
    </row>
    <row r="1088" spans="1:20" customFormat="1" ht="15.5" x14ac:dyDescent="0.35">
      <c r="A1088" s="3"/>
      <c r="B1088" s="3"/>
      <c r="C1088" s="11" t="s">
        <v>2345</v>
      </c>
      <c r="D1088" s="454"/>
      <c r="E1088" s="454"/>
      <c r="F1088" s="10"/>
      <c r="G1088" s="10"/>
      <c r="H1088" s="189"/>
      <c r="I1088" s="10"/>
      <c r="J1088" s="10"/>
      <c r="K1088" s="189"/>
      <c r="L1088" s="189"/>
      <c r="M1088" s="10"/>
      <c r="N1088" s="140"/>
      <c r="O1088" s="189"/>
      <c r="P1088" s="325"/>
    </row>
    <row r="1089" spans="1:20" customFormat="1" ht="15.5" hidden="1" x14ac:dyDescent="0.35">
      <c r="A1089" s="3"/>
      <c r="B1089" s="597" t="s">
        <v>616</v>
      </c>
      <c r="C1089" s="597"/>
      <c r="D1089" s="92"/>
      <c r="E1089" s="745">
        <v>44</v>
      </c>
      <c r="F1089" s="371" t="s">
        <v>2222</v>
      </c>
      <c r="G1089" s="371"/>
      <c r="H1089" s="176">
        <v>10</v>
      </c>
      <c r="I1089" s="12">
        <v>4609</v>
      </c>
      <c r="J1089" s="176">
        <v>3601</v>
      </c>
      <c r="K1089" s="176">
        <f t="shared" ref="K1089:K1152" si="193">+H1089/I1089*J1089</f>
        <v>7.812974614883923</v>
      </c>
      <c r="L1089" s="176">
        <f t="shared" ref="L1089:L1152" si="194">+H1089+K1089</f>
        <v>17.812974614883924</v>
      </c>
      <c r="M1089" s="12"/>
      <c r="N1089" s="176">
        <f t="shared" ref="N1089:N1152" si="195">+L1089*1.5</f>
        <v>26.719461922325884</v>
      </c>
      <c r="O1089" s="176">
        <v>45</v>
      </c>
      <c r="P1089" s="325"/>
      <c r="S1089" t="s">
        <v>2469</v>
      </c>
      <c r="T1089" s="6">
        <v>46056</v>
      </c>
    </row>
    <row r="1090" spans="1:20" customFormat="1" ht="15.5" x14ac:dyDescent="0.35">
      <c r="A1090" s="3"/>
      <c r="B1090" s="233" t="s">
        <v>616</v>
      </c>
      <c r="C1090" s="597"/>
      <c r="D1090" s="92"/>
      <c r="E1090" s="745">
        <v>46</v>
      </c>
      <c r="F1090" s="245" t="s">
        <v>2222</v>
      </c>
      <c r="G1090" s="245"/>
      <c r="H1090" s="173">
        <v>10</v>
      </c>
      <c r="I1090">
        <v>4609</v>
      </c>
      <c r="J1090" s="173">
        <v>3601</v>
      </c>
      <c r="K1090" s="173">
        <f t="shared" si="193"/>
        <v>7.812974614883923</v>
      </c>
      <c r="L1090" s="173">
        <f t="shared" si="194"/>
        <v>17.812974614883924</v>
      </c>
      <c r="N1090" s="173">
        <f t="shared" si="195"/>
        <v>26.719461922325884</v>
      </c>
      <c r="O1090" s="173">
        <v>45</v>
      </c>
      <c r="P1090" s="140"/>
    </row>
    <row r="1091" spans="1:20" customFormat="1" ht="15.5" hidden="1" x14ac:dyDescent="0.35">
      <c r="A1091" s="3"/>
      <c r="B1091" s="597" t="s">
        <v>616</v>
      </c>
      <c r="C1091" s="597"/>
      <c r="D1091" s="92"/>
      <c r="E1091" s="745">
        <v>48</v>
      </c>
      <c r="F1091" s="371" t="s">
        <v>2222</v>
      </c>
      <c r="G1091" s="371"/>
      <c r="H1091" s="176">
        <v>10</v>
      </c>
      <c r="I1091" s="12">
        <v>4609</v>
      </c>
      <c r="J1091" s="176">
        <v>3601</v>
      </c>
      <c r="K1091" s="176">
        <f t="shared" si="193"/>
        <v>7.812974614883923</v>
      </c>
      <c r="L1091" s="176">
        <f t="shared" si="194"/>
        <v>17.812974614883924</v>
      </c>
      <c r="M1091" s="12"/>
      <c r="N1091" s="176">
        <f t="shared" si="195"/>
        <v>26.719461922325884</v>
      </c>
      <c r="O1091" s="176">
        <v>45</v>
      </c>
      <c r="P1091" s="325"/>
      <c r="S1091" t="s">
        <v>2494</v>
      </c>
      <c r="T1091" s="6">
        <v>46059</v>
      </c>
    </row>
    <row r="1092" spans="1:20" customFormat="1" ht="15.5" x14ac:dyDescent="0.35">
      <c r="A1092" s="594"/>
      <c r="B1092" s="597" t="s">
        <v>616</v>
      </c>
      <c r="C1092" s="597"/>
      <c r="D1092" s="92"/>
      <c r="E1092" s="745">
        <v>50</v>
      </c>
      <c r="F1092" s="245" t="s">
        <v>2222</v>
      </c>
      <c r="G1092" s="245"/>
      <c r="H1092" s="173">
        <v>10</v>
      </c>
      <c r="I1092">
        <v>4609</v>
      </c>
      <c r="J1092" s="173">
        <v>3601</v>
      </c>
      <c r="K1092" s="173">
        <f t="shared" si="193"/>
        <v>7.812974614883923</v>
      </c>
      <c r="L1092" s="173">
        <f t="shared" si="194"/>
        <v>17.812974614883924</v>
      </c>
      <c r="N1092" s="173">
        <f t="shared" si="195"/>
        <v>26.719461922325884</v>
      </c>
      <c r="O1092" s="173">
        <v>45</v>
      </c>
      <c r="P1092" s="140"/>
    </row>
    <row r="1093" spans="1:20" customFormat="1" ht="15.5" x14ac:dyDescent="0.35">
      <c r="A1093" s="594"/>
      <c r="B1093" s="597" t="s">
        <v>616</v>
      </c>
      <c r="C1093" s="597"/>
      <c r="D1093" s="92"/>
      <c r="E1093" s="745">
        <v>52</v>
      </c>
      <c r="F1093" s="371" t="s">
        <v>2222</v>
      </c>
      <c r="G1093" s="371"/>
      <c r="H1093" s="176">
        <v>10</v>
      </c>
      <c r="I1093" s="12">
        <v>4609</v>
      </c>
      <c r="J1093" s="176">
        <v>3601</v>
      </c>
      <c r="K1093" s="176">
        <f t="shared" si="193"/>
        <v>7.812974614883923</v>
      </c>
      <c r="L1093" s="176">
        <f t="shared" si="194"/>
        <v>17.812974614883924</v>
      </c>
      <c r="M1093" s="12"/>
      <c r="N1093" s="176">
        <f t="shared" si="195"/>
        <v>26.719461922325884</v>
      </c>
      <c r="O1093" s="176">
        <v>45</v>
      </c>
      <c r="P1093" s="140"/>
      <c r="S1093" t="s">
        <v>3018</v>
      </c>
      <c r="T1093" s="6">
        <v>46119</v>
      </c>
    </row>
    <row r="1094" spans="1:20" customFormat="1" ht="15.5" x14ac:dyDescent="0.35">
      <c r="A1094" s="594"/>
      <c r="B1094" s="597" t="s">
        <v>275</v>
      </c>
      <c r="C1094" s="597"/>
      <c r="D1094" s="92"/>
      <c r="E1094" s="745">
        <v>42</v>
      </c>
      <c r="F1094" s="245" t="s">
        <v>2223</v>
      </c>
      <c r="G1094" s="245"/>
      <c r="H1094" s="173">
        <v>20</v>
      </c>
      <c r="I1094">
        <v>4609</v>
      </c>
      <c r="J1094" s="173">
        <v>3601</v>
      </c>
      <c r="K1094" s="173">
        <f t="shared" si="193"/>
        <v>15.625949229767846</v>
      </c>
      <c r="L1094" s="173">
        <f t="shared" si="194"/>
        <v>35.625949229767848</v>
      </c>
      <c r="N1094" s="173">
        <f t="shared" si="195"/>
        <v>53.438923844651768</v>
      </c>
      <c r="O1094" s="173">
        <v>70</v>
      </c>
      <c r="P1094" s="140"/>
    </row>
    <row r="1095" spans="1:20" customFormat="1" ht="15.5" x14ac:dyDescent="0.35">
      <c r="A1095" s="594"/>
      <c r="B1095" s="597" t="s">
        <v>275</v>
      </c>
      <c r="C1095" s="597"/>
      <c r="D1095" s="92"/>
      <c r="E1095" s="745">
        <v>44</v>
      </c>
      <c r="F1095" s="245" t="s">
        <v>2223</v>
      </c>
      <c r="G1095" s="245"/>
      <c r="H1095" s="173">
        <v>20</v>
      </c>
      <c r="I1095">
        <v>4609</v>
      </c>
      <c r="J1095" s="173">
        <v>3601</v>
      </c>
      <c r="K1095" s="173">
        <f t="shared" si="193"/>
        <v>15.625949229767846</v>
      </c>
      <c r="L1095" s="173">
        <f t="shared" si="194"/>
        <v>35.625949229767848</v>
      </c>
      <c r="N1095" s="173">
        <f t="shared" si="195"/>
        <v>53.438923844651768</v>
      </c>
      <c r="O1095" s="173">
        <v>70</v>
      </c>
      <c r="P1095" s="140"/>
    </row>
    <row r="1096" spans="1:20" customFormat="1" ht="15.5" x14ac:dyDescent="0.35">
      <c r="A1096" s="594"/>
      <c r="B1096" s="597" t="s">
        <v>275</v>
      </c>
      <c r="C1096" s="597"/>
      <c r="D1096" s="92"/>
      <c r="E1096" s="745">
        <v>46</v>
      </c>
      <c r="F1096" s="245" t="s">
        <v>2223</v>
      </c>
      <c r="G1096" s="245"/>
      <c r="H1096" s="173">
        <v>20</v>
      </c>
      <c r="I1096">
        <v>4609</v>
      </c>
      <c r="J1096" s="173">
        <v>3601</v>
      </c>
      <c r="K1096" s="173">
        <f t="shared" si="193"/>
        <v>15.625949229767846</v>
      </c>
      <c r="L1096" s="173">
        <f t="shared" si="194"/>
        <v>35.625949229767848</v>
      </c>
      <c r="N1096" s="173">
        <f t="shared" si="195"/>
        <v>53.438923844651768</v>
      </c>
      <c r="O1096" s="173">
        <v>70</v>
      </c>
      <c r="P1096" s="140"/>
    </row>
    <row r="1097" spans="1:20" customFormat="1" ht="15.5" hidden="1" x14ac:dyDescent="0.35">
      <c r="A1097" s="3"/>
      <c r="B1097" s="597" t="s">
        <v>275</v>
      </c>
      <c r="C1097" s="597"/>
      <c r="D1097" s="92"/>
      <c r="E1097" s="745">
        <v>52</v>
      </c>
      <c r="F1097" s="371" t="s">
        <v>2223</v>
      </c>
      <c r="G1097" s="371"/>
      <c r="H1097" s="176">
        <v>20</v>
      </c>
      <c r="I1097" s="12">
        <v>4609</v>
      </c>
      <c r="J1097" s="176">
        <v>3601</v>
      </c>
      <c r="K1097" s="176">
        <f t="shared" si="193"/>
        <v>15.625949229767846</v>
      </c>
      <c r="L1097" s="176">
        <f t="shared" si="194"/>
        <v>35.625949229767848</v>
      </c>
      <c r="M1097" s="12"/>
      <c r="N1097" s="176">
        <f t="shared" si="195"/>
        <v>53.438923844651768</v>
      </c>
      <c r="O1097" s="176">
        <v>70</v>
      </c>
      <c r="P1097" s="325"/>
      <c r="S1097" t="s">
        <v>2469</v>
      </c>
      <c r="T1097" s="6">
        <v>46056</v>
      </c>
    </row>
    <row r="1098" spans="1:20" customFormat="1" ht="15.5" x14ac:dyDescent="0.35">
      <c r="A1098" s="594"/>
      <c r="B1098" s="597" t="s">
        <v>275</v>
      </c>
      <c r="C1098" s="597"/>
      <c r="D1098" s="92"/>
      <c r="E1098" s="745">
        <v>50</v>
      </c>
      <c r="F1098" s="245" t="s">
        <v>2408</v>
      </c>
      <c r="G1098" s="245"/>
      <c r="H1098" s="173">
        <v>20</v>
      </c>
      <c r="I1098">
        <v>4609</v>
      </c>
      <c r="J1098" s="173">
        <v>3601</v>
      </c>
      <c r="K1098" s="173">
        <f t="shared" si="193"/>
        <v>15.625949229767846</v>
      </c>
      <c r="L1098" s="173">
        <f t="shared" si="194"/>
        <v>35.625949229767848</v>
      </c>
      <c r="N1098" s="173">
        <f t="shared" si="195"/>
        <v>53.438923844651768</v>
      </c>
      <c r="O1098" s="173">
        <v>70</v>
      </c>
      <c r="P1098" s="140"/>
    </row>
    <row r="1099" spans="1:20" customFormat="1" ht="15.5" x14ac:dyDescent="0.35">
      <c r="A1099" s="594"/>
      <c r="B1099" s="597" t="s">
        <v>275</v>
      </c>
      <c r="C1099" s="597"/>
      <c r="D1099" s="92"/>
      <c r="E1099" s="745">
        <v>52</v>
      </c>
      <c r="F1099" s="245" t="s">
        <v>2408</v>
      </c>
      <c r="G1099" s="245"/>
      <c r="H1099" s="173">
        <v>20</v>
      </c>
      <c r="I1099">
        <v>4609</v>
      </c>
      <c r="J1099" s="173">
        <v>3601</v>
      </c>
      <c r="K1099" s="173">
        <f t="shared" si="193"/>
        <v>15.625949229767846</v>
      </c>
      <c r="L1099" s="173">
        <f t="shared" si="194"/>
        <v>35.625949229767848</v>
      </c>
      <c r="N1099" s="173">
        <f t="shared" si="195"/>
        <v>53.438923844651768</v>
      </c>
      <c r="O1099" s="173">
        <v>70</v>
      </c>
      <c r="P1099" s="140"/>
    </row>
    <row r="1100" spans="1:20" customFormat="1" ht="15.5" x14ac:dyDescent="0.35">
      <c r="A1100" s="594"/>
      <c r="B1100" s="597" t="s">
        <v>275</v>
      </c>
      <c r="C1100" s="597"/>
      <c r="D1100" s="92"/>
      <c r="E1100" s="745">
        <v>54</v>
      </c>
      <c r="F1100" s="371" t="s">
        <v>2408</v>
      </c>
      <c r="G1100" s="371"/>
      <c r="H1100" s="176">
        <v>20</v>
      </c>
      <c r="I1100" s="12">
        <v>4609</v>
      </c>
      <c r="J1100" s="176">
        <v>3601</v>
      </c>
      <c r="K1100" s="176">
        <f t="shared" si="193"/>
        <v>15.625949229767846</v>
      </c>
      <c r="L1100" s="176">
        <f t="shared" si="194"/>
        <v>35.625949229767848</v>
      </c>
      <c r="M1100" s="12"/>
      <c r="N1100" s="176">
        <f t="shared" si="195"/>
        <v>53.438923844651768</v>
      </c>
      <c r="O1100" s="176">
        <v>70</v>
      </c>
      <c r="P1100" s="140"/>
      <c r="S1100" t="s">
        <v>3096</v>
      </c>
      <c r="T1100" s="6">
        <v>46126</v>
      </c>
    </row>
    <row r="1101" spans="1:20" customFormat="1" ht="15.5" hidden="1" x14ac:dyDescent="0.35">
      <c r="A1101" s="594"/>
      <c r="B1101" s="597" t="s">
        <v>275</v>
      </c>
      <c r="C1101" s="597"/>
      <c r="D1101" s="92"/>
      <c r="E1101" s="745">
        <v>56</v>
      </c>
      <c r="F1101" s="371" t="s">
        <v>2408</v>
      </c>
      <c r="G1101" s="371"/>
      <c r="H1101" s="176">
        <v>20</v>
      </c>
      <c r="I1101" s="12">
        <v>4609</v>
      </c>
      <c r="J1101" s="176">
        <v>3601</v>
      </c>
      <c r="K1101" s="176">
        <f t="shared" si="193"/>
        <v>15.625949229767846</v>
      </c>
      <c r="L1101" s="176">
        <f t="shared" si="194"/>
        <v>35.625949229767848</v>
      </c>
      <c r="M1101" s="12"/>
      <c r="N1101" s="176">
        <f t="shared" si="195"/>
        <v>53.438923844651768</v>
      </c>
      <c r="O1101" s="176">
        <v>70</v>
      </c>
      <c r="P1101" s="325"/>
      <c r="S1101" t="s">
        <v>2635</v>
      </c>
      <c r="T1101" s="6">
        <v>46069</v>
      </c>
    </row>
    <row r="1102" spans="1:20" customFormat="1" ht="15.5" hidden="1" x14ac:dyDescent="0.35">
      <c r="A1102" s="3"/>
      <c r="B1102" s="233" t="s">
        <v>2319</v>
      </c>
      <c r="C1102" s="233"/>
      <c r="E1102" s="366">
        <v>44</v>
      </c>
      <c r="F1102" s="371" t="s">
        <v>2225</v>
      </c>
      <c r="G1102" s="371"/>
      <c r="H1102" s="176">
        <v>10</v>
      </c>
      <c r="I1102" s="12">
        <v>4609</v>
      </c>
      <c r="J1102" s="176">
        <v>3601</v>
      </c>
      <c r="K1102" s="176">
        <f t="shared" si="193"/>
        <v>7.812974614883923</v>
      </c>
      <c r="L1102" s="176">
        <f t="shared" si="194"/>
        <v>17.812974614883924</v>
      </c>
      <c r="M1102" s="12"/>
      <c r="N1102" s="176">
        <f t="shared" si="195"/>
        <v>26.719461922325884</v>
      </c>
      <c r="O1102" s="176">
        <v>45</v>
      </c>
      <c r="P1102" s="325"/>
      <c r="S1102" t="s">
        <v>1699</v>
      </c>
      <c r="T1102" s="6">
        <v>46052</v>
      </c>
    </row>
    <row r="1103" spans="1:20" customFormat="1" ht="15.5" x14ac:dyDescent="0.35">
      <c r="A1103" s="594"/>
      <c r="B1103" s="597" t="s">
        <v>2319</v>
      </c>
      <c r="C1103" s="597"/>
      <c r="D1103" s="92"/>
      <c r="E1103" s="745">
        <v>46</v>
      </c>
      <c r="F1103" s="245" t="s">
        <v>2225</v>
      </c>
      <c r="G1103" s="245"/>
      <c r="H1103" s="173">
        <v>10</v>
      </c>
      <c r="I1103">
        <v>4609</v>
      </c>
      <c r="J1103" s="173">
        <v>3601</v>
      </c>
      <c r="K1103" s="173">
        <f t="shared" si="193"/>
        <v>7.812974614883923</v>
      </c>
      <c r="L1103" s="173">
        <f t="shared" si="194"/>
        <v>17.812974614883924</v>
      </c>
      <c r="N1103" s="173">
        <f t="shared" si="195"/>
        <v>26.719461922325884</v>
      </c>
      <c r="O1103" s="173">
        <v>45</v>
      </c>
      <c r="P1103" s="140"/>
    </row>
    <row r="1104" spans="1:20" customFormat="1" ht="15.5" x14ac:dyDescent="0.35">
      <c r="A1104" s="594"/>
      <c r="B1104" s="597" t="s">
        <v>2319</v>
      </c>
      <c r="C1104" s="597"/>
      <c r="D1104" s="92"/>
      <c r="E1104" s="745">
        <v>48</v>
      </c>
      <c r="F1104" s="245" t="s">
        <v>2225</v>
      </c>
      <c r="G1104" s="245"/>
      <c r="H1104" s="173">
        <v>10</v>
      </c>
      <c r="I1104">
        <v>4609</v>
      </c>
      <c r="J1104" s="173">
        <v>3601</v>
      </c>
      <c r="K1104" s="173">
        <f t="shared" si="193"/>
        <v>7.812974614883923</v>
      </c>
      <c r="L1104" s="173">
        <f t="shared" si="194"/>
        <v>17.812974614883924</v>
      </c>
      <c r="N1104" s="173">
        <f t="shared" si="195"/>
        <v>26.719461922325884</v>
      </c>
      <c r="O1104" s="173">
        <v>45</v>
      </c>
      <c r="P1104" s="140"/>
    </row>
    <row r="1105" spans="1:20" customFormat="1" ht="15.5" hidden="1" x14ac:dyDescent="0.35">
      <c r="A1105" s="594"/>
      <c r="B1105" s="597" t="s">
        <v>2319</v>
      </c>
      <c r="C1105" s="597"/>
      <c r="D1105" s="92"/>
      <c r="E1105" s="745">
        <v>50</v>
      </c>
      <c r="F1105" s="371" t="s">
        <v>2225</v>
      </c>
      <c r="G1105" s="371"/>
      <c r="H1105" s="176">
        <v>10</v>
      </c>
      <c r="I1105" s="12">
        <v>4609</v>
      </c>
      <c r="J1105" s="176">
        <v>3601</v>
      </c>
      <c r="K1105" s="176">
        <f t="shared" si="193"/>
        <v>7.812974614883923</v>
      </c>
      <c r="L1105" s="176">
        <f t="shared" si="194"/>
        <v>17.812974614883924</v>
      </c>
      <c r="M1105" s="12"/>
      <c r="N1105" s="176">
        <f t="shared" si="195"/>
        <v>26.719461922325884</v>
      </c>
      <c r="O1105" s="176">
        <v>45</v>
      </c>
      <c r="P1105" s="140"/>
      <c r="S1105" t="s">
        <v>3008</v>
      </c>
      <c r="T1105" s="6">
        <v>46112</v>
      </c>
    </row>
    <row r="1106" spans="1:20" customFormat="1" ht="15.5" hidden="1" x14ac:dyDescent="0.35">
      <c r="A1106" s="3"/>
      <c r="B1106" s="597" t="s">
        <v>2319</v>
      </c>
      <c r="C1106" s="597"/>
      <c r="D1106" s="92"/>
      <c r="E1106" s="745">
        <v>52</v>
      </c>
      <c r="F1106" s="371" t="s">
        <v>2225</v>
      </c>
      <c r="G1106" s="371"/>
      <c r="H1106" s="176">
        <v>10</v>
      </c>
      <c r="I1106" s="12">
        <v>4609</v>
      </c>
      <c r="J1106" s="176">
        <v>3601</v>
      </c>
      <c r="K1106" s="176">
        <f t="shared" si="193"/>
        <v>7.812974614883923</v>
      </c>
      <c r="L1106" s="176">
        <f t="shared" si="194"/>
        <v>17.812974614883924</v>
      </c>
      <c r="M1106" s="12"/>
      <c r="N1106" s="176">
        <f t="shared" si="195"/>
        <v>26.719461922325884</v>
      </c>
      <c r="O1106" s="176">
        <v>45</v>
      </c>
      <c r="P1106" s="325"/>
      <c r="S1106" t="s">
        <v>2469</v>
      </c>
      <c r="T1106" s="6">
        <v>46056</v>
      </c>
    </row>
    <row r="1107" spans="1:20" customFormat="1" ht="15.5" x14ac:dyDescent="0.35">
      <c r="A1107" s="594"/>
      <c r="B1107" s="597" t="s">
        <v>2319</v>
      </c>
      <c r="C1107" s="597"/>
      <c r="D1107" s="92"/>
      <c r="E1107" s="745">
        <v>52</v>
      </c>
      <c r="F1107" s="245" t="s">
        <v>2226</v>
      </c>
      <c r="G1107" s="245"/>
      <c r="H1107" s="173">
        <v>10</v>
      </c>
      <c r="I1107">
        <v>4609</v>
      </c>
      <c r="J1107" s="173">
        <v>3601</v>
      </c>
      <c r="K1107" s="173">
        <f t="shared" si="193"/>
        <v>7.812974614883923</v>
      </c>
      <c r="L1107" s="173">
        <f t="shared" si="194"/>
        <v>17.812974614883924</v>
      </c>
      <c r="N1107" s="173">
        <f t="shared" si="195"/>
        <v>26.719461922325884</v>
      </c>
      <c r="O1107" s="173">
        <v>45</v>
      </c>
      <c r="P1107" s="140"/>
    </row>
    <row r="1108" spans="1:20" customFormat="1" ht="15.5" x14ac:dyDescent="0.35">
      <c r="A1108" s="594"/>
      <c r="B1108" s="597" t="s">
        <v>2319</v>
      </c>
      <c r="C1108" s="597"/>
      <c r="D1108" s="92"/>
      <c r="E1108" s="745">
        <v>54</v>
      </c>
      <c r="F1108" s="245" t="s">
        <v>2226</v>
      </c>
      <c r="G1108" s="245"/>
      <c r="H1108" s="173">
        <v>10</v>
      </c>
      <c r="I1108">
        <v>4609</v>
      </c>
      <c r="J1108" s="173">
        <v>3601</v>
      </c>
      <c r="K1108" s="173">
        <f t="shared" si="193"/>
        <v>7.812974614883923</v>
      </c>
      <c r="L1108" s="173">
        <f t="shared" si="194"/>
        <v>17.812974614883924</v>
      </c>
      <c r="N1108" s="173">
        <f t="shared" si="195"/>
        <v>26.719461922325884</v>
      </c>
      <c r="O1108" s="173">
        <v>45</v>
      </c>
      <c r="P1108" s="140"/>
    </row>
    <row r="1109" spans="1:20" customFormat="1" ht="15.5" x14ac:dyDescent="0.35">
      <c r="A1109" s="594"/>
      <c r="B1109" s="597" t="s">
        <v>2319</v>
      </c>
      <c r="C1109" s="597"/>
      <c r="D1109" s="92"/>
      <c r="E1109" s="745">
        <v>56</v>
      </c>
      <c r="F1109" s="245" t="s">
        <v>2226</v>
      </c>
      <c r="G1109" s="245"/>
      <c r="H1109" s="173">
        <v>10</v>
      </c>
      <c r="I1109">
        <v>4609</v>
      </c>
      <c r="J1109" s="173">
        <v>3601</v>
      </c>
      <c r="K1109" s="173">
        <f t="shared" si="193"/>
        <v>7.812974614883923</v>
      </c>
      <c r="L1109" s="173">
        <f t="shared" si="194"/>
        <v>17.812974614883924</v>
      </c>
      <c r="N1109" s="173">
        <f t="shared" si="195"/>
        <v>26.719461922325884</v>
      </c>
      <c r="O1109" s="173">
        <v>45</v>
      </c>
      <c r="P1109" s="140"/>
    </row>
    <row r="1110" spans="1:20" customFormat="1" ht="15.5" x14ac:dyDescent="0.35">
      <c r="A1110" s="594"/>
      <c r="B1110" s="597" t="s">
        <v>2319</v>
      </c>
      <c r="C1110" s="597"/>
      <c r="D1110" s="92"/>
      <c r="E1110" s="745">
        <v>58</v>
      </c>
      <c r="F1110" s="245" t="s">
        <v>2226</v>
      </c>
      <c r="G1110" s="245"/>
      <c r="H1110" s="173">
        <v>10</v>
      </c>
      <c r="I1110">
        <v>4609</v>
      </c>
      <c r="J1110" s="173">
        <v>3601</v>
      </c>
      <c r="K1110" s="173">
        <f t="shared" si="193"/>
        <v>7.812974614883923</v>
      </c>
      <c r="L1110" s="173">
        <f t="shared" si="194"/>
        <v>17.812974614883924</v>
      </c>
      <c r="N1110" s="173">
        <f t="shared" si="195"/>
        <v>26.719461922325884</v>
      </c>
      <c r="O1110" s="173">
        <v>45</v>
      </c>
      <c r="P1110" s="140"/>
    </row>
    <row r="1111" spans="1:20" customFormat="1" ht="15.5" x14ac:dyDescent="0.35">
      <c r="A1111" s="594"/>
      <c r="B1111" s="597" t="s">
        <v>179</v>
      </c>
      <c r="C1111" s="597"/>
      <c r="D1111" s="92"/>
      <c r="E1111" s="745" t="s">
        <v>407</v>
      </c>
      <c r="F1111" s="371" t="s">
        <v>2229</v>
      </c>
      <c r="G1111" s="371"/>
      <c r="H1111" s="176">
        <v>20</v>
      </c>
      <c r="I1111" s="12">
        <v>4609</v>
      </c>
      <c r="J1111" s="176">
        <v>3601</v>
      </c>
      <c r="K1111" s="176">
        <f t="shared" si="193"/>
        <v>15.625949229767846</v>
      </c>
      <c r="L1111" s="176">
        <f t="shared" si="194"/>
        <v>35.625949229767848</v>
      </c>
      <c r="M1111" s="12"/>
      <c r="N1111" s="176">
        <f t="shared" si="195"/>
        <v>53.438923844651768</v>
      </c>
      <c r="O1111" s="176">
        <v>65</v>
      </c>
      <c r="P1111" s="140"/>
      <c r="S1111" t="s">
        <v>1522</v>
      </c>
      <c r="T1111" s="6">
        <v>46125</v>
      </c>
    </row>
    <row r="1112" spans="1:20" customFormat="1" ht="15.5" hidden="1" x14ac:dyDescent="0.35">
      <c r="A1112" s="594"/>
      <c r="B1112" s="597" t="s">
        <v>179</v>
      </c>
      <c r="C1112" s="597"/>
      <c r="D1112" s="92"/>
      <c r="E1112" s="745" t="s">
        <v>409</v>
      </c>
      <c r="F1112" s="371" t="s">
        <v>2229</v>
      </c>
      <c r="G1112" s="371"/>
      <c r="H1112" s="176">
        <v>20</v>
      </c>
      <c r="I1112" s="12">
        <v>4609</v>
      </c>
      <c r="J1112" s="176">
        <v>3601</v>
      </c>
      <c r="K1112" s="176">
        <f t="shared" si="193"/>
        <v>15.625949229767846</v>
      </c>
      <c r="L1112" s="176">
        <f t="shared" si="194"/>
        <v>35.625949229767848</v>
      </c>
      <c r="M1112" s="12"/>
      <c r="N1112" s="176">
        <f t="shared" si="195"/>
        <v>53.438923844651768</v>
      </c>
      <c r="O1112" s="176">
        <v>65</v>
      </c>
      <c r="P1112" s="140"/>
      <c r="S1112" t="s">
        <v>3008</v>
      </c>
      <c r="T1112" s="6">
        <v>46112</v>
      </c>
    </row>
    <row r="1113" spans="1:20" customFormat="1" ht="15.5" hidden="1" x14ac:dyDescent="0.35">
      <c r="A1113" s="3"/>
      <c r="B1113" s="233" t="s">
        <v>179</v>
      </c>
      <c r="C1113" s="233"/>
      <c r="E1113" s="366" t="s">
        <v>410</v>
      </c>
      <c r="F1113" s="371" t="s">
        <v>2229</v>
      </c>
      <c r="G1113" s="371"/>
      <c r="H1113" s="176">
        <v>20</v>
      </c>
      <c r="I1113" s="12">
        <v>4609</v>
      </c>
      <c r="J1113" s="176">
        <v>3601</v>
      </c>
      <c r="K1113" s="176">
        <f t="shared" si="193"/>
        <v>15.625949229767846</v>
      </c>
      <c r="L1113" s="176">
        <f t="shared" si="194"/>
        <v>35.625949229767848</v>
      </c>
      <c r="M1113" s="12"/>
      <c r="N1113" s="176">
        <f t="shared" si="195"/>
        <v>53.438923844651768</v>
      </c>
      <c r="O1113" s="176">
        <v>65</v>
      </c>
      <c r="P1113" s="325"/>
      <c r="S1113" t="s">
        <v>2407</v>
      </c>
    </row>
    <row r="1114" spans="1:20" customFormat="1" ht="15.5" x14ac:dyDescent="0.35">
      <c r="A1114" s="594"/>
      <c r="B1114" s="597" t="s">
        <v>179</v>
      </c>
      <c r="C1114" s="597"/>
      <c r="D1114" s="92"/>
      <c r="E1114" s="745" t="s">
        <v>407</v>
      </c>
      <c r="F1114" s="245" t="s">
        <v>2326</v>
      </c>
      <c r="G1114" s="245"/>
      <c r="H1114" s="173">
        <v>20</v>
      </c>
      <c r="I1114">
        <v>4609</v>
      </c>
      <c r="J1114" s="173">
        <v>3601</v>
      </c>
      <c r="K1114" s="173">
        <f t="shared" si="193"/>
        <v>15.625949229767846</v>
      </c>
      <c r="L1114" s="173">
        <f t="shared" si="194"/>
        <v>35.625949229767848</v>
      </c>
      <c r="N1114" s="173">
        <f t="shared" si="195"/>
        <v>53.438923844651768</v>
      </c>
      <c r="O1114" s="173">
        <v>65</v>
      </c>
      <c r="P1114" s="140"/>
    </row>
    <row r="1115" spans="1:20" customFormat="1" ht="15.5" x14ac:dyDescent="0.35">
      <c r="A1115" s="594"/>
      <c r="B1115" s="597" t="s">
        <v>179</v>
      </c>
      <c r="C1115" s="597"/>
      <c r="D1115" s="92"/>
      <c r="E1115" s="745" t="s">
        <v>409</v>
      </c>
      <c r="F1115" s="245" t="s">
        <v>2326</v>
      </c>
      <c r="G1115" s="245"/>
      <c r="H1115" s="173">
        <v>20</v>
      </c>
      <c r="I1115">
        <v>4609</v>
      </c>
      <c r="J1115" s="173">
        <v>3601</v>
      </c>
      <c r="K1115" s="173">
        <f t="shared" si="193"/>
        <v>15.625949229767846</v>
      </c>
      <c r="L1115" s="173">
        <f t="shared" si="194"/>
        <v>35.625949229767848</v>
      </c>
      <c r="N1115" s="173">
        <f t="shared" si="195"/>
        <v>53.438923844651768</v>
      </c>
      <c r="O1115" s="173">
        <v>65</v>
      </c>
      <c r="P1115" s="140"/>
    </row>
    <row r="1116" spans="1:20" customFormat="1" ht="15.5" hidden="1" x14ac:dyDescent="0.35">
      <c r="A1116" s="3"/>
      <c r="B1116" s="233" t="s">
        <v>179</v>
      </c>
      <c r="C1116" s="233"/>
      <c r="E1116" s="366" t="s">
        <v>410</v>
      </c>
      <c r="F1116" s="371" t="s">
        <v>2326</v>
      </c>
      <c r="G1116" s="371"/>
      <c r="H1116" s="176">
        <v>20</v>
      </c>
      <c r="I1116" s="12">
        <v>4609</v>
      </c>
      <c r="J1116" s="176">
        <v>3601</v>
      </c>
      <c r="K1116" s="176">
        <f t="shared" si="193"/>
        <v>15.625949229767846</v>
      </c>
      <c r="L1116" s="176">
        <f t="shared" si="194"/>
        <v>35.625949229767848</v>
      </c>
      <c r="M1116" s="12"/>
      <c r="N1116" s="176">
        <f t="shared" si="195"/>
        <v>53.438923844651768</v>
      </c>
      <c r="O1116" s="176">
        <v>65</v>
      </c>
      <c r="P1116" s="325"/>
      <c r="S1116" t="s">
        <v>2407</v>
      </c>
    </row>
    <row r="1117" spans="1:20" customFormat="1" ht="15.5" x14ac:dyDescent="0.35">
      <c r="A1117" s="594"/>
      <c r="B1117" s="597" t="s">
        <v>179</v>
      </c>
      <c r="C1117" s="597"/>
      <c r="D1117" s="92"/>
      <c r="E1117" s="745" t="s">
        <v>407</v>
      </c>
      <c r="F1117" s="371" t="s">
        <v>2230</v>
      </c>
      <c r="G1117" s="371"/>
      <c r="H1117" s="176">
        <v>11</v>
      </c>
      <c r="I1117" s="12">
        <v>4609</v>
      </c>
      <c r="J1117" s="176">
        <v>3601</v>
      </c>
      <c r="K1117" s="176">
        <f t="shared" si="193"/>
        <v>8.5942720763723148</v>
      </c>
      <c r="L1117" s="176">
        <f t="shared" si="194"/>
        <v>19.594272076372313</v>
      </c>
      <c r="M1117" s="12"/>
      <c r="N1117" s="176">
        <f t="shared" si="195"/>
        <v>29.39140811455847</v>
      </c>
      <c r="O1117" s="176">
        <v>35</v>
      </c>
      <c r="P1117" s="140"/>
      <c r="S1117" t="s">
        <v>12</v>
      </c>
      <c r="T1117" s="6">
        <v>46126</v>
      </c>
    </row>
    <row r="1118" spans="1:20" customFormat="1" ht="15.5" hidden="1" x14ac:dyDescent="0.35">
      <c r="A1118" s="3"/>
      <c r="B1118" s="233" t="s">
        <v>179</v>
      </c>
      <c r="C1118" s="233"/>
      <c r="E1118" s="366" t="s">
        <v>409</v>
      </c>
      <c r="F1118" s="371" t="s">
        <v>2230</v>
      </c>
      <c r="G1118" s="371"/>
      <c r="H1118" s="176">
        <v>11</v>
      </c>
      <c r="I1118" s="12">
        <v>4609</v>
      </c>
      <c r="J1118" s="176">
        <v>3601</v>
      </c>
      <c r="K1118" s="176">
        <f t="shared" si="193"/>
        <v>8.5942720763723148</v>
      </c>
      <c r="L1118" s="176">
        <f t="shared" si="194"/>
        <v>19.594272076372313</v>
      </c>
      <c r="M1118" s="12"/>
      <c r="N1118" s="176">
        <f t="shared" si="195"/>
        <v>29.39140811455847</v>
      </c>
      <c r="O1118" s="176">
        <v>35</v>
      </c>
      <c r="P1118" s="325"/>
      <c r="S1118" t="s">
        <v>2443</v>
      </c>
      <c r="T1118" s="6">
        <v>46057</v>
      </c>
    </row>
    <row r="1119" spans="1:20" customFormat="1" ht="15.5" hidden="1" x14ac:dyDescent="0.35">
      <c r="A1119" s="3"/>
      <c r="B1119" s="233" t="s">
        <v>179</v>
      </c>
      <c r="C1119" s="233"/>
      <c r="E1119" s="366" t="s">
        <v>410</v>
      </c>
      <c r="F1119" s="371" t="s">
        <v>2230</v>
      </c>
      <c r="G1119" s="371"/>
      <c r="H1119" s="176">
        <v>11</v>
      </c>
      <c r="I1119" s="12">
        <v>4609</v>
      </c>
      <c r="J1119" s="176">
        <v>3601</v>
      </c>
      <c r="K1119" s="176">
        <f t="shared" si="193"/>
        <v>8.5942720763723148</v>
      </c>
      <c r="L1119" s="176">
        <f t="shared" si="194"/>
        <v>19.594272076372313</v>
      </c>
      <c r="M1119" s="12"/>
      <c r="N1119" s="176">
        <f t="shared" si="195"/>
        <v>29.39140811455847</v>
      </c>
      <c r="O1119" s="176">
        <v>35</v>
      </c>
      <c r="P1119" s="325"/>
      <c r="S1119" t="s">
        <v>1077</v>
      </c>
      <c r="T1119" s="6">
        <v>46057</v>
      </c>
    </row>
    <row r="1120" spans="1:20" customFormat="1" ht="15.5" hidden="1" x14ac:dyDescent="0.35">
      <c r="A1120" s="3"/>
      <c r="B1120" s="233" t="s">
        <v>179</v>
      </c>
      <c r="C1120" s="233"/>
      <c r="E1120" s="366" t="s">
        <v>407</v>
      </c>
      <c r="F1120" s="371" t="s">
        <v>2231</v>
      </c>
      <c r="G1120" s="371"/>
      <c r="H1120" s="176">
        <v>11</v>
      </c>
      <c r="I1120" s="12">
        <v>4609</v>
      </c>
      <c r="J1120" s="176">
        <v>3601</v>
      </c>
      <c r="K1120" s="176">
        <f t="shared" si="193"/>
        <v>8.5942720763723148</v>
      </c>
      <c r="L1120" s="176">
        <f t="shared" si="194"/>
        <v>19.594272076372313</v>
      </c>
      <c r="M1120" s="12"/>
      <c r="N1120" s="176">
        <f t="shared" si="195"/>
        <v>29.39140811455847</v>
      </c>
      <c r="O1120" s="176">
        <v>35</v>
      </c>
      <c r="P1120" s="325"/>
      <c r="S1120" t="s">
        <v>2346</v>
      </c>
      <c r="T1120" s="6">
        <v>46049</v>
      </c>
    </row>
    <row r="1121" spans="1:20" customFormat="1" ht="15.5" hidden="1" x14ac:dyDescent="0.35">
      <c r="A1121" s="3"/>
      <c r="B1121" s="233" t="s">
        <v>179</v>
      </c>
      <c r="C1121" s="233"/>
      <c r="E1121" s="366" t="s">
        <v>409</v>
      </c>
      <c r="F1121" s="371" t="s">
        <v>2231</v>
      </c>
      <c r="G1121" s="371"/>
      <c r="H1121" s="176">
        <v>11</v>
      </c>
      <c r="I1121" s="12">
        <v>4609</v>
      </c>
      <c r="J1121" s="176">
        <v>3601</v>
      </c>
      <c r="K1121" s="176">
        <f t="shared" si="193"/>
        <v>8.5942720763723148</v>
      </c>
      <c r="L1121" s="176">
        <f t="shared" si="194"/>
        <v>19.594272076372313</v>
      </c>
      <c r="M1121" s="12"/>
      <c r="N1121" s="176">
        <f t="shared" si="195"/>
        <v>29.39140811455847</v>
      </c>
      <c r="O1121" s="176">
        <v>35</v>
      </c>
      <c r="P1121" s="325"/>
      <c r="S1121" t="s">
        <v>2443</v>
      </c>
      <c r="T1121" s="6">
        <v>46057</v>
      </c>
    </row>
    <row r="1122" spans="1:20" customFormat="1" ht="15.5" hidden="1" x14ac:dyDescent="0.35">
      <c r="A1122" s="3"/>
      <c r="B1122" s="233" t="s">
        <v>179</v>
      </c>
      <c r="C1122" s="597"/>
      <c r="D1122" s="92"/>
      <c r="E1122" s="745" t="s">
        <v>410</v>
      </c>
      <c r="F1122" s="371" t="s">
        <v>2231</v>
      </c>
      <c r="G1122" s="371"/>
      <c r="H1122" s="176">
        <v>11</v>
      </c>
      <c r="I1122" s="12">
        <v>4609</v>
      </c>
      <c r="J1122" s="176">
        <v>3601</v>
      </c>
      <c r="K1122" s="176">
        <f t="shared" si="193"/>
        <v>8.5942720763723148</v>
      </c>
      <c r="L1122" s="176">
        <f t="shared" si="194"/>
        <v>19.594272076372313</v>
      </c>
      <c r="M1122" s="12"/>
      <c r="N1122" s="176">
        <f t="shared" si="195"/>
        <v>29.39140811455847</v>
      </c>
      <c r="O1122" s="176">
        <v>35</v>
      </c>
      <c r="P1122" s="325"/>
      <c r="S1122" t="s">
        <v>12</v>
      </c>
      <c r="T1122" s="6">
        <v>46088</v>
      </c>
    </row>
    <row r="1123" spans="1:20" customFormat="1" ht="15.5" x14ac:dyDescent="0.35">
      <c r="A1123" s="594"/>
      <c r="B1123" s="597" t="s">
        <v>179</v>
      </c>
      <c r="C1123" s="597"/>
      <c r="D1123" s="92"/>
      <c r="E1123" s="745" t="s">
        <v>407</v>
      </c>
      <c r="F1123" s="245" t="s">
        <v>2320</v>
      </c>
      <c r="G1123" s="245"/>
      <c r="H1123" s="173">
        <v>7.5</v>
      </c>
      <c r="I1123">
        <v>4609</v>
      </c>
      <c r="J1123" s="173">
        <v>3601</v>
      </c>
      <c r="K1123" s="173">
        <f t="shared" si="193"/>
        <v>5.859730961162942</v>
      </c>
      <c r="L1123" s="173">
        <f t="shared" si="194"/>
        <v>13.359730961162942</v>
      </c>
      <c r="N1123" s="173">
        <f t="shared" si="195"/>
        <v>20.039596441744415</v>
      </c>
      <c r="O1123" s="173">
        <v>35</v>
      </c>
      <c r="P1123" s="140"/>
    </row>
    <row r="1124" spans="1:20" customFormat="1" ht="15.5" x14ac:dyDescent="0.35">
      <c r="A1124" s="594"/>
      <c r="B1124" s="597" t="s">
        <v>179</v>
      </c>
      <c r="C1124" s="597"/>
      <c r="D1124" s="92"/>
      <c r="E1124" s="745" t="s">
        <v>409</v>
      </c>
      <c r="F1124" s="245" t="s">
        <v>2320</v>
      </c>
      <c r="G1124" s="245"/>
      <c r="H1124" s="173">
        <v>7.5</v>
      </c>
      <c r="I1124">
        <v>4609</v>
      </c>
      <c r="J1124" s="173">
        <v>3601</v>
      </c>
      <c r="K1124" s="173">
        <f t="shared" si="193"/>
        <v>5.859730961162942</v>
      </c>
      <c r="L1124" s="173">
        <f t="shared" si="194"/>
        <v>13.359730961162942</v>
      </c>
      <c r="N1124" s="173">
        <f t="shared" si="195"/>
        <v>20.039596441744415</v>
      </c>
      <c r="O1124" s="173">
        <v>35</v>
      </c>
      <c r="P1124" s="140"/>
    </row>
    <row r="1125" spans="1:20" customFormat="1" ht="15.5" hidden="1" x14ac:dyDescent="0.35">
      <c r="A1125" s="3"/>
      <c r="B1125" s="233" t="s">
        <v>179</v>
      </c>
      <c r="C1125" s="233"/>
      <c r="E1125" s="366" t="s">
        <v>410</v>
      </c>
      <c r="F1125" s="371" t="s">
        <v>2320</v>
      </c>
      <c r="G1125" s="371"/>
      <c r="H1125" s="176">
        <v>7.5</v>
      </c>
      <c r="I1125" s="12">
        <v>4609</v>
      </c>
      <c r="J1125" s="176">
        <v>3601</v>
      </c>
      <c r="K1125" s="176">
        <f t="shared" si="193"/>
        <v>5.859730961162942</v>
      </c>
      <c r="L1125" s="176">
        <f t="shared" si="194"/>
        <v>13.359730961162942</v>
      </c>
      <c r="M1125" s="12"/>
      <c r="N1125" s="176">
        <f t="shared" si="195"/>
        <v>20.039596441744415</v>
      </c>
      <c r="O1125" s="176">
        <v>35</v>
      </c>
      <c r="P1125" s="325"/>
      <c r="S1125" t="s">
        <v>2407</v>
      </c>
      <c r="T1125" s="6">
        <v>46052</v>
      </c>
    </row>
    <row r="1126" spans="1:20" customFormat="1" ht="15.5" x14ac:dyDescent="0.35">
      <c r="A1126" s="594"/>
      <c r="B1126" s="597" t="s">
        <v>179</v>
      </c>
      <c r="C1126" s="597"/>
      <c r="D1126" s="92"/>
      <c r="E1126" s="745" t="s">
        <v>407</v>
      </c>
      <c r="F1126" s="245" t="s">
        <v>2321</v>
      </c>
      <c r="G1126" s="245"/>
      <c r="H1126" s="173">
        <v>7.5</v>
      </c>
      <c r="I1126">
        <v>4609</v>
      </c>
      <c r="J1126" s="173">
        <v>3601</v>
      </c>
      <c r="K1126" s="173">
        <f t="shared" si="193"/>
        <v>5.859730961162942</v>
      </c>
      <c r="L1126" s="173">
        <f t="shared" si="194"/>
        <v>13.359730961162942</v>
      </c>
      <c r="N1126" s="173">
        <f t="shared" si="195"/>
        <v>20.039596441744415</v>
      </c>
      <c r="O1126" s="173">
        <v>35</v>
      </c>
      <c r="P1126" s="140"/>
    </row>
    <row r="1127" spans="1:20" customFormat="1" ht="15.5" x14ac:dyDescent="0.35">
      <c r="A1127" s="594"/>
      <c r="B1127" s="597" t="s">
        <v>179</v>
      </c>
      <c r="C1127" s="597"/>
      <c r="D1127" s="92"/>
      <c r="E1127" s="745" t="s">
        <v>409</v>
      </c>
      <c r="F1127" s="245" t="s">
        <v>2321</v>
      </c>
      <c r="G1127" s="245"/>
      <c r="H1127" s="173">
        <v>7.5</v>
      </c>
      <c r="I1127">
        <v>4609</v>
      </c>
      <c r="J1127" s="173">
        <v>3601</v>
      </c>
      <c r="K1127" s="173">
        <f t="shared" si="193"/>
        <v>5.859730961162942</v>
      </c>
      <c r="L1127" s="173">
        <f t="shared" si="194"/>
        <v>13.359730961162942</v>
      </c>
      <c r="N1127" s="173">
        <f t="shared" si="195"/>
        <v>20.039596441744415</v>
      </c>
      <c r="O1127" s="173">
        <v>35</v>
      </c>
      <c r="P1127" s="140"/>
    </row>
    <row r="1128" spans="1:20" customFormat="1" ht="15.5" hidden="1" x14ac:dyDescent="0.35">
      <c r="A1128" s="594"/>
      <c r="B1128" s="597" t="s">
        <v>179</v>
      </c>
      <c r="C1128" s="597"/>
      <c r="D1128" s="92"/>
      <c r="E1128" s="745" t="s">
        <v>410</v>
      </c>
      <c r="F1128" s="371" t="s">
        <v>2321</v>
      </c>
      <c r="G1128" s="371"/>
      <c r="H1128" s="176">
        <v>7.5</v>
      </c>
      <c r="I1128" s="12">
        <v>4609</v>
      </c>
      <c r="J1128" s="176">
        <v>3601</v>
      </c>
      <c r="K1128" s="176">
        <f t="shared" si="193"/>
        <v>5.859730961162942</v>
      </c>
      <c r="L1128" s="176">
        <f t="shared" si="194"/>
        <v>13.359730961162942</v>
      </c>
      <c r="M1128" s="12"/>
      <c r="N1128" s="176">
        <f t="shared" si="195"/>
        <v>20.039596441744415</v>
      </c>
      <c r="O1128" s="176">
        <v>35</v>
      </c>
      <c r="P1128" s="325"/>
      <c r="S1128" t="s">
        <v>12</v>
      </c>
      <c r="T1128" s="6">
        <v>46074</v>
      </c>
    </row>
    <row r="1129" spans="1:20" customFormat="1" ht="15.5" hidden="1" x14ac:dyDescent="0.35">
      <c r="A1129" s="3"/>
      <c r="B1129" s="233" t="s">
        <v>179</v>
      </c>
      <c r="C1129" s="233"/>
      <c r="E1129" s="366" t="s">
        <v>407</v>
      </c>
      <c r="F1129" s="371" t="s">
        <v>2322</v>
      </c>
      <c r="G1129" s="371"/>
      <c r="H1129" s="176">
        <v>7.5</v>
      </c>
      <c r="I1129" s="12">
        <v>4609</v>
      </c>
      <c r="J1129" s="176">
        <v>3601</v>
      </c>
      <c r="K1129" s="176">
        <f t="shared" si="193"/>
        <v>5.859730961162942</v>
      </c>
      <c r="L1129" s="176">
        <f t="shared" si="194"/>
        <v>13.359730961162942</v>
      </c>
      <c r="M1129" s="12"/>
      <c r="N1129" s="176">
        <f t="shared" si="195"/>
        <v>20.039596441744415</v>
      </c>
      <c r="O1129" s="176">
        <v>25</v>
      </c>
      <c r="P1129" s="325"/>
      <c r="S1129" t="s">
        <v>12</v>
      </c>
      <c r="T1129" s="6">
        <v>46053</v>
      </c>
    </row>
    <row r="1130" spans="1:20" customFormat="1" ht="15.5" x14ac:dyDescent="0.35">
      <c r="A1130" s="594"/>
      <c r="B1130" s="597" t="s">
        <v>179</v>
      </c>
      <c r="C1130" s="597"/>
      <c r="D1130" s="92"/>
      <c r="E1130" s="745" t="s">
        <v>410</v>
      </c>
      <c r="F1130" s="245" t="s">
        <v>2322</v>
      </c>
      <c r="G1130" s="245"/>
      <c r="H1130" s="173">
        <v>7.5</v>
      </c>
      <c r="I1130">
        <v>4609</v>
      </c>
      <c r="J1130" s="173">
        <v>3601</v>
      </c>
      <c r="K1130" s="173">
        <f t="shared" si="193"/>
        <v>5.859730961162942</v>
      </c>
      <c r="L1130" s="173">
        <f t="shared" si="194"/>
        <v>13.359730961162942</v>
      </c>
      <c r="N1130" s="173">
        <f t="shared" si="195"/>
        <v>20.039596441744415</v>
      </c>
      <c r="O1130" s="173">
        <v>25</v>
      </c>
      <c r="P1130" s="140"/>
    </row>
    <row r="1131" spans="1:20" customFormat="1" ht="15.5" hidden="1" x14ac:dyDescent="0.35">
      <c r="A1131" s="3"/>
      <c r="B1131" s="233" t="s">
        <v>179</v>
      </c>
      <c r="C1131" s="233"/>
      <c r="E1131" s="366" t="s">
        <v>2324</v>
      </c>
      <c r="F1131" s="371" t="s">
        <v>2323</v>
      </c>
      <c r="G1131" s="371"/>
      <c r="H1131" s="176">
        <v>7.5</v>
      </c>
      <c r="I1131" s="12">
        <v>4609</v>
      </c>
      <c r="J1131" s="176">
        <v>3601</v>
      </c>
      <c r="K1131" s="176">
        <f t="shared" si="193"/>
        <v>5.859730961162942</v>
      </c>
      <c r="L1131" s="176">
        <f t="shared" si="194"/>
        <v>13.359730961162942</v>
      </c>
      <c r="M1131" s="12"/>
      <c r="N1131" s="176">
        <f t="shared" si="195"/>
        <v>20.039596441744415</v>
      </c>
      <c r="O1131" s="176">
        <v>25</v>
      </c>
      <c r="P1131" s="325"/>
      <c r="S1131" t="s">
        <v>12</v>
      </c>
      <c r="T1131" s="6">
        <v>46052</v>
      </c>
    </row>
    <row r="1132" spans="1:20" customFormat="1" ht="15.5" hidden="1" x14ac:dyDescent="0.35">
      <c r="A1132" s="594"/>
      <c r="B1132" s="597" t="s">
        <v>179</v>
      </c>
      <c r="C1132" s="597"/>
      <c r="D1132" s="92"/>
      <c r="E1132" s="745" t="s">
        <v>407</v>
      </c>
      <c r="F1132" s="371" t="s">
        <v>2323</v>
      </c>
      <c r="G1132" s="371"/>
      <c r="H1132" s="176">
        <v>7.5</v>
      </c>
      <c r="I1132" s="12">
        <v>4609</v>
      </c>
      <c r="J1132" s="176">
        <v>3601</v>
      </c>
      <c r="K1132" s="176">
        <f t="shared" si="193"/>
        <v>5.859730961162942</v>
      </c>
      <c r="L1132" s="176">
        <f t="shared" si="194"/>
        <v>13.359730961162942</v>
      </c>
      <c r="M1132" s="12"/>
      <c r="N1132" s="176">
        <f t="shared" si="195"/>
        <v>20.039596441744415</v>
      </c>
      <c r="O1132" s="176">
        <v>25</v>
      </c>
      <c r="P1132" s="140"/>
      <c r="S1132" t="s">
        <v>12</v>
      </c>
      <c r="T1132" s="6">
        <v>46107</v>
      </c>
    </row>
    <row r="1133" spans="1:20" customFormat="1" ht="15.5" x14ac:dyDescent="0.35">
      <c r="A1133" s="594"/>
      <c r="B1133" s="597" t="s">
        <v>179</v>
      </c>
      <c r="C1133" s="597"/>
      <c r="D1133" s="92"/>
      <c r="E1133" s="745" t="s">
        <v>407</v>
      </c>
      <c r="F1133" s="245" t="s">
        <v>2323</v>
      </c>
      <c r="G1133" s="245"/>
      <c r="H1133" s="173">
        <v>7.5</v>
      </c>
      <c r="I1133">
        <v>4609</v>
      </c>
      <c r="J1133" s="173">
        <v>3601</v>
      </c>
      <c r="K1133" s="173">
        <f t="shared" si="193"/>
        <v>5.859730961162942</v>
      </c>
      <c r="L1133" s="173">
        <f t="shared" si="194"/>
        <v>13.359730961162942</v>
      </c>
      <c r="N1133" s="173">
        <f t="shared" si="195"/>
        <v>20.039596441744415</v>
      </c>
      <c r="O1133" s="173">
        <v>25</v>
      </c>
      <c r="P1133" s="140"/>
    </row>
    <row r="1134" spans="1:20" customFormat="1" ht="15.5" hidden="1" x14ac:dyDescent="0.35">
      <c r="A1134" s="3"/>
      <c r="B1134" s="233" t="s">
        <v>179</v>
      </c>
      <c r="C1134" s="597"/>
      <c r="D1134" s="92"/>
      <c r="E1134" s="745" t="s">
        <v>409</v>
      </c>
      <c r="F1134" s="371" t="s">
        <v>2323</v>
      </c>
      <c r="G1134" s="371"/>
      <c r="H1134" s="176">
        <v>7.5</v>
      </c>
      <c r="I1134" s="12">
        <v>4609</v>
      </c>
      <c r="J1134" s="176">
        <v>3601</v>
      </c>
      <c r="K1134" s="176">
        <f t="shared" si="193"/>
        <v>5.859730961162942</v>
      </c>
      <c r="L1134" s="176">
        <f t="shared" si="194"/>
        <v>13.359730961162942</v>
      </c>
      <c r="M1134" s="12"/>
      <c r="N1134" s="176">
        <f t="shared" si="195"/>
        <v>20.039596441744415</v>
      </c>
      <c r="O1134" s="176">
        <v>25</v>
      </c>
      <c r="P1134" s="325"/>
      <c r="S1134" t="s">
        <v>12</v>
      </c>
      <c r="T1134" s="6">
        <v>46093</v>
      </c>
    </row>
    <row r="1135" spans="1:20" s="13" customFormat="1" ht="15.5" x14ac:dyDescent="0.35">
      <c r="A1135" s="369"/>
      <c r="B1135" s="368" t="s">
        <v>179</v>
      </c>
      <c r="C1135" s="368"/>
      <c r="E1135" s="399" t="s">
        <v>410</v>
      </c>
      <c r="F1135" s="371" t="s">
        <v>2323</v>
      </c>
      <c r="G1135" s="371"/>
      <c r="H1135" s="176">
        <v>7.5</v>
      </c>
      <c r="I1135" s="12">
        <v>4609</v>
      </c>
      <c r="J1135" s="176">
        <v>3601</v>
      </c>
      <c r="K1135" s="176">
        <f t="shared" si="193"/>
        <v>5.859730961162942</v>
      </c>
      <c r="L1135" s="176">
        <f t="shared" si="194"/>
        <v>13.359730961162942</v>
      </c>
      <c r="M1135" s="12"/>
      <c r="N1135" s="176">
        <f t="shared" si="195"/>
        <v>20.039596441744415</v>
      </c>
      <c r="O1135" s="176">
        <v>25</v>
      </c>
      <c r="P1135" s="325"/>
      <c r="S1135" s="13" t="s">
        <v>12</v>
      </c>
      <c r="T1135" s="828">
        <v>46119</v>
      </c>
    </row>
    <row r="1136" spans="1:20" customFormat="1" ht="15.5" hidden="1" x14ac:dyDescent="0.35">
      <c r="A1136" s="3"/>
      <c r="B1136" s="233" t="s">
        <v>179</v>
      </c>
      <c r="C1136" s="233"/>
      <c r="E1136" s="366" t="s">
        <v>2324</v>
      </c>
      <c r="F1136" s="371" t="s">
        <v>2325</v>
      </c>
      <c r="G1136" s="371"/>
      <c r="H1136" s="176">
        <v>7.5</v>
      </c>
      <c r="I1136" s="12">
        <v>4609</v>
      </c>
      <c r="J1136" s="176">
        <v>3601</v>
      </c>
      <c r="K1136" s="176">
        <f t="shared" si="193"/>
        <v>5.859730961162942</v>
      </c>
      <c r="L1136" s="176">
        <f t="shared" si="194"/>
        <v>13.359730961162942</v>
      </c>
      <c r="M1136" s="12"/>
      <c r="N1136" s="176">
        <f t="shared" si="195"/>
        <v>20.039596441744415</v>
      </c>
      <c r="O1136" s="176">
        <v>25</v>
      </c>
      <c r="P1136" s="325"/>
      <c r="S1136" t="s">
        <v>12</v>
      </c>
      <c r="T1136" s="6">
        <v>46052</v>
      </c>
    </row>
    <row r="1137" spans="1:20" customFormat="1" ht="15.5" hidden="1" x14ac:dyDescent="0.35">
      <c r="A1137" s="594"/>
      <c r="B1137" s="597" t="s">
        <v>179</v>
      </c>
      <c r="C1137" s="597"/>
      <c r="D1137" s="92"/>
      <c r="E1137" s="745" t="s">
        <v>407</v>
      </c>
      <c r="F1137" s="371" t="s">
        <v>2325</v>
      </c>
      <c r="G1137" s="371"/>
      <c r="H1137" s="176">
        <v>7.5</v>
      </c>
      <c r="I1137" s="12">
        <v>4609</v>
      </c>
      <c r="J1137" s="176">
        <v>3601</v>
      </c>
      <c r="K1137" s="176">
        <f t="shared" si="193"/>
        <v>5.859730961162942</v>
      </c>
      <c r="L1137" s="176">
        <f t="shared" si="194"/>
        <v>13.359730961162942</v>
      </c>
      <c r="M1137" s="12"/>
      <c r="N1137" s="176">
        <f t="shared" si="195"/>
        <v>20.039596441744415</v>
      </c>
      <c r="O1137" s="176">
        <v>25</v>
      </c>
      <c r="P1137" s="140"/>
      <c r="S1137" t="s">
        <v>12</v>
      </c>
      <c r="T1137" s="6">
        <v>46105</v>
      </c>
    </row>
    <row r="1138" spans="1:20" customFormat="1" ht="15.5" x14ac:dyDescent="0.35">
      <c r="A1138" s="594"/>
      <c r="B1138" s="597" t="s">
        <v>179</v>
      </c>
      <c r="C1138" s="597"/>
      <c r="D1138" s="92"/>
      <c r="E1138" s="745" t="s">
        <v>407</v>
      </c>
      <c r="F1138" s="245" t="s">
        <v>2325</v>
      </c>
      <c r="G1138" s="245"/>
      <c r="H1138" s="173">
        <v>7.5</v>
      </c>
      <c r="I1138">
        <v>4609</v>
      </c>
      <c r="J1138" s="173">
        <v>3601</v>
      </c>
      <c r="K1138" s="173">
        <f t="shared" si="193"/>
        <v>5.859730961162942</v>
      </c>
      <c r="L1138" s="173">
        <f t="shared" si="194"/>
        <v>13.359730961162942</v>
      </c>
      <c r="N1138" s="173">
        <f t="shared" si="195"/>
        <v>20.039596441744415</v>
      </c>
      <c r="O1138" s="173">
        <v>25</v>
      </c>
      <c r="P1138" s="140"/>
    </row>
    <row r="1139" spans="1:20" customFormat="1" ht="15.5" hidden="1" x14ac:dyDescent="0.35">
      <c r="A1139" s="3"/>
      <c r="B1139" s="597" t="s">
        <v>179</v>
      </c>
      <c r="C1139" s="597"/>
      <c r="D1139" s="92"/>
      <c r="E1139" s="745" t="s">
        <v>409</v>
      </c>
      <c r="F1139" s="371" t="s">
        <v>2325</v>
      </c>
      <c r="G1139" s="371"/>
      <c r="H1139" s="176">
        <v>7.5</v>
      </c>
      <c r="I1139" s="12">
        <v>4609</v>
      </c>
      <c r="J1139" s="176">
        <v>3601</v>
      </c>
      <c r="K1139" s="176">
        <f t="shared" si="193"/>
        <v>5.859730961162942</v>
      </c>
      <c r="L1139" s="176">
        <f t="shared" si="194"/>
        <v>13.359730961162942</v>
      </c>
      <c r="M1139" s="12"/>
      <c r="N1139" s="176">
        <f t="shared" si="195"/>
        <v>20.039596441744415</v>
      </c>
      <c r="O1139" s="176">
        <v>25</v>
      </c>
      <c r="P1139" s="325"/>
      <c r="S1139" t="s">
        <v>2500</v>
      </c>
      <c r="T1139" s="6">
        <v>46064</v>
      </c>
    </row>
    <row r="1140" spans="1:20" customFormat="1" ht="15.5" hidden="1" x14ac:dyDescent="0.35">
      <c r="A1140" s="594"/>
      <c r="B1140" s="597" t="s">
        <v>179</v>
      </c>
      <c r="C1140" s="597"/>
      <c r="D1140" s="92"/>
      <c r="E1140" s="745" t="s">
        <v>410</v>
      </c>
      <c r="F1140" s="371" t="s">
        <v>2325</v>
      </c>
      <c r="G1140" s="371"/>
      <c r="H1140" s="176">
        <v>7.5</v>
      </c>
      <c r="I1140" s="12">
        <v>4609</v>
      </c>
      <c r="J1140" s="176">
        <v>3601</v>
      </c>
      <c r="K1140" s="176">
        <f t="shared" si="193"/>
        <v>5.859730961162942</v>
      </c>
      <c r="L1140" s="176">
        <f t="shared" si="194"/>
        <v>13.359730961162942</v>
      </c>
      <c r="M1140" s="12"/>
      <c r="N1140" s="176">
        <f t="shared" si="195"/>
        <v>20.039596441744415</v>
      </c>
      <c r="O1140" s="176">
        <v>25</v>
      </c>
      <c r="P1140" s="140"/>
      <c r="S1140" t="s">
        <v>12</v>
      </c>
      <c r="T1140" s="6">
        <v>46115</v>
      </c>
    </row>
    <row r="1141" spans="1:20" customFormat="1" ht="15.5" x14ac:dyDescent="0.35">
      <c r="A1141" s="594"/>
      <c r="B1141" s="597" t="s">
        <v>179</v>
      </c>
      <c r="C1141" s="597"/>
      <c r="D1141" s="92"/>
      <c r="E1141" s="745" t="s">
        <v>407</v>
      </c>
      <c r="F1141" s="245" t="s">
        <v>2327</v>
      </c>
      <c r="G1141" s="245"/>
      <c r="H1141" s="173">
        <v>6.5</v>
      </c>
      <c r="I1141">
        <v>4609</v>
      </c>
      <c r="J1141" s="173">
        <v>3601</v>
      </c>
      <c r="K1141" s="173">
        <f t="shared" si="193"/>
        <v>5.0784334996745493</v>
      </c>
      <c r="L1141" s="173">
        <f t="shared" si="194"/>
        <v>11.578433499674549</v>
      </c>
      <c r="N1141" s="173">
        <f t="shared" si="195"/>
        <v>17.367650249511826</v>
      </c>
      <c r="O1141" s="173">
        <v>25</v>
      </c>
      <c r="P1141" s="140"/>
    </row>
    <row r="1142" spans="1:20" customFormat="1" ht="15.5" hidden="1" x14ac:dyDescent="0.35">
      <c r="A1142" s="3"/>
      <c r="B1142" s="233" t="s">
        <v>179</v>
      </c>
      <c r="C1142" s="597"/>
      <c r="D1142" s="92"/>
      <c r="E1142" s="745" t="s">
        <v>409</v>
      </c>
      <c r="F1142" s="371" t="s">
        <v>2327</v>
      </c>
      <c r="G1142" s="371"/>
      <c r="H1142" s="176">
        <v>6.5</v>
      </c>
      <c r="I1142" s="12">
        <v>4609</v>
      </c>
      <c r="J1142" s="176">
        <v>3601</v>
      </c>
      <c r="K1142" s="176">
        <f t="shared" si="193"/>
        <v>5.0784334996745493</v>
      </c>
      <c r="L1142" s="176">
        <f t="shared" si="194"/>
        <v>11.578433499674549</v>
      </c>
      <c r="M1142" s="12"/>
      <c r="N1142" s="176">
        <f t="shared" si="195"/>
        <v>17.367650249511826</v>
      </c>
      <c r="O1142" s="176">
        <v>25</v>
      </c>
      <c r="P1142" s="325"/>
      <c r="S1142" t="s">
        <v>12</v>
      </c>
      <c r="T1142" s="6">
        <v>46093</v>
      </c>
    </row>
    <row r="1143" spans="1:20" customFormat="1" ht="15.5" hidden="1" x14ac:dyDescent="0.35">
      <c r="A1143" s="3"/>
      <c r="B1143" s="233" t="s">
        <v>179</v>
      </c>
      <c r="C1143" s="233"/>
      <c r="E1143" s="366" t="s">
        <v>410</v>
      </c>
      <c r="F1143" s="371" t="s">
        <v>2327</v>
      </c>
      <c r="G1143" s="371"/>
      <c r="H1143" s="176">
        <v>6.5</v>
      </c>
      <c r="I1143" s="12">
        <v>4609</v>
      </c>
      <c r="J1143" s="176">
        <v>3601</v>
      </c>
      <c r="K1143" s="176">
        <f t="shared" si="193"/>
        <v>5.0784334996745493</v>
      </c>
      <c r="L1143" s="176">
        <f t="shared" si="194"/>
        <v>11.578433499674549</v>
      </c>
      <c r="M1143" s="12"/>
      <c r="N1143" s="176">
        <f t="shared" si="195"/>
        <v>17.367650249511826</v>
      </c>
      <c r="O1143" s="176">
        <v>25</v>
      </c>
      <c r="P1143" s="325"/>
      <c r="S1143" t="s">
        <v>2407</v>
      </c>
      <c r="T1143" s="6">
        <v>46052</v>
      </c>
    </row>
    <row r="1144" spans="1:20" customFormat="1" ht="15.5" x14ac:dyDescent="0.35">
      <c r="A1144" s="594"/>
      <c r="B1144" s="597" t="s">
        <v>179</v>
      </c>
      <c r="C1144" s="597"/>
      <c r="D1144" s="92"/>
      <c r="E1144" s="745" t="s">
        <v>407</v>
      </c>
      <c r="F1144" s="245" t="s">
        <v>2329</v>
      </c>
      <c r="G1144" s="245"/>
      <c r="H1144" s="173">
        <v>6.5</v>
      </c>
      <c r="I1144">
        <v>4609</v>
      </c>
      <c r="J1144" s="173">
        <v>3601</v>
      </c>
      <c r="K1144" s="173">
        <f t="shared" si="193"/>
        <v>5.0784334996745493</v>
      </c>
      <c r="L1144" s="173">
        <f t="shared" si="194"/>
        <v>11.578433499674549</v>
      </c>
      <c r="N1144" s="173">
        <f t="shared" si="195"/>
        <v>17.367650249511826</v>
      </c>
      <c r="O1144" s="173">
        <v>25</v>
      </c>
      <c r="P1144" s="140"/>
    </row>
    <row r="1145" spans="1:20" customFormat="1" ht="15.5" x14ac:dyDescent="0.35">
      <c r="A1145" s="594"/>
      <c r="B1145" s="597" t="s">
        <v>179</v>
      </c>
      <c r="C1145" s="597"/>
      <c r="D1145" s="92"/>
      <c r="E1145" s="745" t="s">
        <v>409</v>
      </c>
      <c r="F1145" s="245" t="s">
        <v>2329</v>
      </c>
      <c r="G1145" s="245"/>
      <c r="H1145" s="173">
        <v>10</v>
      </c>
      <c r="I1145">
        <v>4609</v>
      </c>
      <c r="J1145" s="173">
        <v>3601</v>
      </c>
      <c r="K1145" s="173">
        <f t="shared" si="193"/>
        <v>7.812974614883923</v>
      </c>
      <c r="L1145" s="173">
        <f t="shared" si="194"/>
        <v>17.812974614883924</v>
      </c>
      <c r="N1145" s="173">
        <f t="shared" si="195"/>
        <v>26.719461922325884</v>
      </c>
      <c r="O1145" s="173">
        <v>25</v>
      </c>
      <c r="P1145" s="140"/>
    </row>
    <row r="1146" spans="1:20" customFormat="1" ht="15.5" x14ac:dyDescent="0.35">
      <c r="A1146" s="594"/>
      <c r="B1146" s="597" t="s">
        <v>179</v>
      </c>
      <c r="C1146" s="597"/>
      <c r="D1146" s="92"/>
      <c r="E1146" s="745" t="s">
        <v>410</v>
      </c>
      <c r="F1146" s="245" t="s">
        <v>2329</v>
      </c>
      <c r="G1146" s="245"/>
      <c r="H1146" s="173">
        <v>10</v>
      </c>
      <c r="I1146">
        <v>4609</v>
      </c>
      <c r="J1146" s="173">
        <v>3601</v>
      </c>
      <c r="K1146" s="173">
        <f t="shared" si="193"/>
        <v>7.812974614883923</v>
      </c>
      <c r="L1146" s="173">
        <f t="shared" si="194"/>
        <v>17.812974614883924</v>
      </c>
      <c r="N1146" s="173">
        <f t="shared" si="195"/>
        <v>26.719461922325884</v>
      </c>
      <c r="O1146" s="173">
        <v>25</v>
      </c>
      <c r="P1146" s="140"/>
    </row>
    <row r="1147" spans="1:20" customFormat="1" ht="15.5" x14ac:dyDescent="0.35">
      <c r="A1147" s="594"/>
      <c r="B1147" s="597" t="s">
        <v>179</v>
      </c>
      <c r="C1147" s="597"/>
      <c r="D1147" s="92"/>
      <c r="E1147" s="745" t="s">
        <v>407</v>
      </c>
      <c r="F1147" s="245" t="s">
        <v>2328</v>
      </c>
      <c r="G1147" s="245"/>
      <c r="H1147" s="173">
        <v>10</v>
      </c>
      <c r="I1147">
        <v>4609</v>
      </c>
      <c r="J1147" s="173">
        <v>3601</v>
      </c>
      <c r="K1147" s="173">
        <f t="shared" si="193"/>
        <v>7.812974614883923</v>
      </c>
      <c r="L1147" s="173">
        <f t="shared" si="194"/>
        <v>17.812974614883924</v>
      </c>
      <c r="N1147" s="173">
        <f t="shared" si="195"/>
        <v>26.719461922325884</v>
      </c>
      <c r="O1147" s="173">
        <v>25</v>
      </c>
      <c r="P1147" s="140"/>
    </row>
    <row r="1148" spans="1:20" customFormat="1" ht="15.5" x14ac:dyDescent="0.35">
      <c r="A1148" s="594"/>
      <c r="B1148" s="597" t="s">
        <v>179</v>
      </c>
      <c r="C1148" s="597"/>
      <c r="D1148" s="92"/>
      <c r="E1148" s="745" t="s">
        <v>409</v>
      </c>
      <c r="F1148" s="245" t="s">
        <v>2328</v>
      </c>
      <c r="G1148" s="245"/>
      <c r="H1148" s="173">
        <v>10</v>
      </c>
      <c r="I1148">
        <v>4609</v>
      </c>
      <c r="J1148" s="173">
        <v>3601</v>
      </c>
      <c r="K1148" s="173">
        <f t="shared" si="193"/>
        <v>7.812974614883923</v>
      </c>
      <c r="L1148" s="173">
        <f t="shared" si="194"/>
        <v>17.812974614883924</v>
      </c>
      <c r="N1148" s="173">
        <f t="shared" si="195"/>
        <v>26.719461922325884</v>
      </c>
      <c r="O1148" s="173">
        <v>25</v>
      </c>
      <c r="P1148" s="140"/>
    </row>
    <row r="1149" spans="1:20" customFormat="1" ht="15.5" x14ac:dyDescent="0.35">
      <c r="A1149" s="594"/>
      <c r="B1149" s="597" t="s">
        <v>179</v>
      </c>
      <c r="C1149" s="597"/>
      <c r="D1149" s="92"/>
      <c r="E1149" s="745" t="s">
        <v>410</v>
      </c>
      <c r="F1149" s="245" t="s">
        <v>2328</v>
      </c>
      <c r="G1149" s="245"/>
      <c r="H1149" s="173">
        <v>10</v>
      </c>
      <c r="I1149">
        <v>4609</v>
      </c>
      <c r="J1149" s="173">
        <v>3601</v>
      </c>
      <c r="K1149" s="173">
        <f t="shared" si="193"/>
        <v>7.812974614883923</v>
      </c>
      <c r="L1149" s="173">
        <f t="shared" si="194"/>
        <v>17.812974614883924</v>
      </c>
      <c r="N1149" s="173">
        <f t="shared" si="195"/>
        <v>26.719461922325884</v>
      </c>
      <c r="O1149" s="173">
        <v>25</v>
      </c>
      <c r="P1149" s="140"/>
    </row>
    <row r="1150" spans="1:20" customFormat="1" ht="15.5" x14ac:dyDescent="0.35">
      <c r="A1150" s="594"/>
      <c r="B1150" s="597" t="s">
        <v>179</v>
      </c>
      <c r="C1150" s="597"/>
      <c r="D1150" s="92"/>
      <c r="E1150" s="745" t="s">
        <v>407</v>
      </c>
      <c r="F1150" s="371" t="s">
        <v>2330</v>
      </c>
      <c r="G1150" s="371"/>
      <c r="H1150" s="176">
        <v>10</v>
      </c>
      <c r="I1150" s="12">
        <v>4609</v>
      </c>
      <c r="J1150" s="176">
        <v>3601</v>
      </c>
      <c r="K1150" s="176">
        <f t="shared" si="193"/>
        <v>7.812974614883923</v>
      </c>
      <c r="L1150" s="176">
        <f t="shared" si="194"/>
        <v>17.812974614883924</v>
      </c>
      <c r="M1150" s="12"/>
      <c r="N1150" s="176">
        <f t="shared" si="195"/>
        <v>26.719461922325884</v>
      </c>
      <c r="O1150" s="176">
        <v>35</v>
      </c>
      <c r="P1150" s="140"/>
      <c r="S1150" t="s">
        <v>12</v>
      </c>
      <c r="T1150" s="6">
        <v>46130</v>
      </c>
    </row>
    <row r="1151" spans="1:20" customFormat="1" ht="15.5" x14ac:dyDescent="0.35">
      <c r="A1151" s="594"/>
      <c r="B1151" s="597" t="s">
        <v>179</v>
      </c>
      <c r="C1151" s="597"/>
      <c r="D1151" s="92"/>
      <c r="E1151" s="745" t="s">
        <v>409</v>
      </c>
      <c r="F1151" s="245" t="s">
        <v>2330</v>
      </c>
      <c r="G1151" s="245"/>
      <c r="H1151" s="173">
        <v>10</v>
      </c>
      <c r="I1151">
        <v>4609</v>
      </c>
      <c r="J1151" s="173">
        <v>3601</v>
      </c>
      <c r="K1151" s="173">
        <f t="shared" si="193"/>
        <v>7.812974614883923</v>
      </c>
      <c r="L1151" s="173">
        <f t="shared" si="194"/>
        <v>17.812974614883924</v>
      </c>
      <c r="N1151" s="173">
        <f t="shared" si="195"/>
        <v>26.719461922325884</v>
      </c>
      <c r="O1151" s="173">
        <v>35</v>
      </c>
      <c r="P1151" s="140"/>
    </row>
    <row r="1152" spans="1:20" customFormat="1" ht="15.5" x14ac:dyDescent="0.35">
      <c r="A1152" s="594"/>
      <c r="B1152" s="597" t="s">
        <v>179</v>
      </c>
      <c r="C1152" s="597"/>
      <c r="D1152" s="92"/>
      <c r="E1152" s="745" t="s">
        <v>410</v>
      </c>
      <c r="F1152" s="245" t="s">
        <v>2330</v>
      </c>
      <c r="G1152" s="245"/>
      <c r="H1152" s="173">
        <v>10</v>
      </c>
      <c r="I1152">
        <v>4609</v>
      </c>
      <c r="J1152" s="173">
        <v>3601</v>
      </c>
      <c r="K1152" s="173">
        <f t="shared" si="193"/>
        <v>7.812974614883923</v>
      </c>
      <c r="L1152" s="173">
        <f t="shared" si="194"/>
        <v>17.812974614883924</v>
      </c>
      <c r="N1152" s="173">
        <f t="shared" si="195"/>
        <v>26.719461922325884</v>
      </c>
      <c r="O1152" s="173">
        <v>35</v>
      </c>
      <c r="P1152" s="140"/>
    </row>
    <row r="1153" spans="1:24" customFormat="1" ht="15.5" x14ac:dyDescent="0.35">
      <c r="A1153" s="3"/>
      <c r="B1153" s="233"/>
      <c r="C1153" s="233"/>
      <c r="E1153" s="366"/>
      <c r="F1153" s="245"/>
      <c r="G1153" s="245"/>
      <c r="H1153" s="173"/>
      <c r="J1153" s="173"/>
      <c r="K1153" s="173"/>
      <c r="L1153" s="173"/>
      <c r="N1153" s="173"/>
      <c r="O1153" s="173"/>
      <c r="P1153" s="325"/>
    </row>
    <row r="1154" spans="1:24" customFormat="1" ht="18.5" x14ac:dyDescent="0.45">
      <c r="A1154" s="3"/>
      <c r="B1154" s="233"/>
      <c r="C1154" s="5" t="s">
        <v>2409</v>
      </c>
      <c r="E1154" s="366"/>
      <c r="F1154" s="245"/>
      <c r="G1154" s="245"/>
      <c r="H1154" s="173"/>
      <c r="J1154" s="173"/>
      <c r="K1154" s="173"/>
      <c r="L1154" s="173"/>
      <c r="N1154" s="173"/>
      <c r="O1154" s="173"/>
      <c r="P1154" s="325"/>
    </row>
    <row r="1155" spans="1:24" ht="15.5" outlineLevel="1" x14ac:dyDescent="0.35">
      <c r="B1155" s="233"/>
      <c r="C1155" s="233"/>
      <c r="D1155"/>
      <c r="E1155" s="366"/>
      <c r="F1155" s="245"/>
      <c r="G1155" s="245"/>
      <c r="H1155" s="173"/>
      <c r="I1155"/>
      <c r="J1155" s="173"/>
      <c r="K1155" s="173"/>
      <c r="L1155" s="173"/>
      <c r="M1155"/>
      <c r="N1155" s="173"/>
      <c r="O1155" s="173"/>
      <c r="U1155" s="138"/>
    </row>
    <row r="1156" spans="1:24" ht="15.5" outlineLevel="1" x14ac:dyDescent="0.35">
      <c r="C1156" s="10" t="s">
        <v>686</v>
      </c>
      <c r="D1156" s="10">
        <v>1</v>
      </c>
      <c r="E1156" s="10">
        <v>42</v>
      </c>
      <c r="F1156" s="206" t="s">
        <v>486</v>
      </c>
      <c r="G1156" s="206"/>
      <c r="H1156" s="140">
        <v>37</v>
      </c>
      <c r="K1156" s="140"/>
      <c r="L1156" s="140"/>
      <c r="M1156" s="452"/>
      <c r="N1156" s="140">
        <f>+L1156*M1156+L1156</f>
        <v>0</v>
      </c>
      <c r="O1156" s="10">
        <v>80</v>
      </c>
      <c r="P1156" s="109"/>
      <c r="U1156" s="138"/>
    </row>
    <row r="1157" spans="1:24" ht="15.5" outlineLevel="1" x14ac:dyDescent="0.35">
      <c r="C1157" s="10" t="s">
        <v>686</v>
      </c>
      <c r="D1157" s="10">
        <v>2</v>
      </c>
      <c r="E1157" s="10">
        <v>44</v>
      </c>
      <c r="F1157" s="206" t="s">
        <v>486</v>
      </c>
      <c r="G1157" s="206"/>
      <c r="H1157" s="140">
        <v>37</v>
      </c>
      <c r="K1157" s="140"/>
      <c r="L1157" s="140"/>
      <c r="M1157" s="452"/>
      <c r="N1157" s="140">
        <f>+L1157*M1157+L1157</f>
        <v>0</v>
      </c>
      <c r="O1157" s="10">
        <v>80</v>
      </c>
      <c r="P1157" s="109"/>
      <c r="U1157" s="138"/>
    </row>
    <row r="1158" spans="1:24" ht="15.5" outlineLevel="1" x14ac:dyDescent="0.35">
      <c r="C1158" s="10" t="s">
        <v>686</v>
      </c>
      <c r="D1158" s="10">
        <v>3</v>
      </c>
      <c r="E1158" s="10">
        <v>46</v>
      </c>
      <c r="F1158" s="206" t="s">
        <v>486</v>
      </c>
      <c r="G1158" s="206"/>
      <c r="H1158" s="140">
        <v>37</v>
      </c>
      <c r="K1158" s="140"/>
      <c r="L1158" s="140"/>
      <c r="M1158" s="452"/>
      <c r="N1158" s="140">
        <f>+L1158*M1158+L1158</f>
        <v>0</v>
      </c>
      <c r="O1158" s="10">
        <v>80</v>
      </c>
      <c r="P1158" s="109"/>
      <c r="U1158" s="138"/>
    </row>
    <row r="1159" spans="1:24" ht="15.5" outlineLevel="1" x14ac:dyDescent="0.35">
      <c r="B1159" s="10"/>
      <c r="C1159" s="11" t="s">
        <v>596</v>
      </c>
      <c r="D1159" s="10"/>
      <c r="E1159" s="10"/>
      <c r="H1159" s="10"/>
      <c r="J1159" s="140"/>
      <c r="K1159" s="140"/>
      <c r="L1159" s="140"/>
      <c r="M1159" s="453"/>
      <c r="O1159" s="140"/>
      <c r="U1159" s="138"/>
    </row>
    <row r="1160" spans="1:24" ht="15.5" outlineLevel="1" x14ac:dyDescent="0.35">
      <c r="B1160" s="10"/>
      <c r="C1160" s="10" t="s">
        <v>591</v>
      </c>
      <c r="D1160" s="10">
        <v>4</v>
      </c>
      <c r="E1160" s="10" t="s">
        <v>589</v>
      </c>
      <c r="F1160" s="206" t="s">
        <v>574</v>
      </c>
      <c r="G1160" s="206"/>
      <c r="H1160" s="140">
        <v>16</v>
      </c>
      <c r="I1160" s="56">
        <v>8183</v>
      </c>
      <c r="J1160" s="140">
        <v>13183</v>
      </c>
      <c r="K1160" s="140">
        <f>+H1160/I1160*J1160</f>
        <v>25.776365636074789</v>
      </c>
      <c r="L1160" s="140">
        <f>+H1160+K1160</f>
        <v>41.776365636074786</v>
      </c>
      <c r="M1160" s="453">
        <v>0.3</v>
      </c>
      <c r="N1160" s="140">
        <f>+L1160*M1160+L1160</f>
        <v>54.309275326897222</v>
      </c>
      <c r="O1160" s="140">
        <v>75</v>
      </c>
      <c r="S1160" s="10" t="s">
        <v>992</v>
      </c>
      <c r="U1160" s="138"/>
    </row>
    <row r="1161" spans="1:24" s="11" customFormat="1" ht="15" customHeight="1" x14ac:dyDescent="0.35">
      <c r="B1161" s="10"/>
      <c r="C1161" s="10" t="s">
        <v>591</v>
      </c>
      <c r="D1161" s="10">
        <v>6</v>
      </c>
      <c r="E1161" s="10" t="s">
        <v>590</v>
      </c>
      <c r="F1161" s="206" t="s">
        <v>575</v>
      </c>
      <c r="G1161" s="206"/>
      <c r="H1161" s="140">
        <v>23</v>
      </c>
      <c r="I1161" s="56">
        <v>8183</v>
      </c>
      <c r="J1161" s="140">
        <v>13183</v>
      </c>
      <c r="K1161" s="140">
        <f>+H1161/I1161*J1161</f>
        <v>37.053525601857508</v>
      </c>
      <c r="L1161" s="140">
        <f>+H1161+K1161</f>
        <v>60.053525601857508</v>
      </c>
      <c r="M1161" s="453">
        <v>0.3</v>
      </c>
      <c r="N1161" s="140">
        <f>+L1161*M1161+L1161</f>
        <v>78.069583282414754</v>
      </c>
      <c r="O1161" s="140">
        <v>85</v>
      </c>
      <c r="P1161" s="325"/>
      <c r="Q1161" s="10"/>
      <c r="R1161" s="10"/>
      <c r="S1161" s="10"/>
      <c r="T1161" s="404"/>
      <c r="U1161" s="138"/>
      <c r="V1161" s="10"/>
      <c r="W1161" s="10"/>
    </row>
    <row r="1162" spans="1:24" s="11" customFormat="1" ht="15" customHeight="1" x14ac:dyDescent="0.35">
      <c r="C1162" s="10" t="s">
        <v>591</v>
      </c>
      <c r="D1162" s="10">
        <v>7</v>
      </c>
      <c r="E1162" s="10" t="s">
        <v>405</v>
      </c>
      <c r="F1162" s="206" t="s">
        <v>956</v>
      </c>
      <c r="G1162" s="206"/>
      <c r="H1162" s="140">
        <v>16</v>
      </c>
      <c r="I1162" s="56">
        <v>8183</v>
      </c>
      <c r="J1162" s="140">
        <v>13183</v>
      </c>
      <c r="K1162" s="140">
        <f>+H1162/I1162*J1162</f>
        <v>25.776365636074789</v>
      </c>
      <c r="L1162" s="140">
        <f>+H1162+K1162</f>
        <v>41.776365636074786</v>
      </c>
      <c r="M1162" s="453">
        <v>0.3</v>
      </c>
      <c r="N1162" s="140">
        <f>+L1162*M1162+L1162</f>
        <v>54.309275326897222</v>
      </c>
      <c r="O1162" s="140">
        <v>75</v>
      </c>
      <c r="P1162" s="325"/>
      <c r="Q1162" s="10"/>
      <c r="R1162" s="10"/>
      <c r="S1162" s="10"/>
      <c r="T1162" s="404"/>
      <c r="U1162" s="138"/>
      <c r="V1162" s="10"/>
      <c r="W1162" s="10"/>
    </row>
    <row r="1163" spans="1:24" s="52" customFormat="1" ht="15" customHeight="1" outlineLevel="1" x14ac:dyDescent="0.35">
      <c r="B1163" s="57"/>
      <c r="C1163" s="330" t="s">
        <v>752</v>
      </c>
      <c r="D1163" s="244"/>
      <c r="E1163" s="244"/>
      <c r="F1163" s="244"/>
      <c r="G1163" s="244"/>
      <c r="H1163" s="459"/>
      <c r="I1163" s="460"/>
      <c r="J1163" s="459"/>
      <c r="K1163" s="459"/>
      <c r="L1163" s="459"/>
      <c r="M1163" s="461"/>
      <c r="N1163" s="459"/>
      <c r="O1163" s="462"/>
      <c r="P1163" s="463"/>
      <c r="Q1163" s="57"/>
      <c r="R1163" s="57"/>
      <c r="S1163" s="57"/>
      <c r="T1163" s="464"/>
      <c r="U1163" s="337"/>
      <c r="V1163" s="244"/>
      <c r="W1163" s="244"/>
      <c r="X1163" s="240"/>
    </row>
    <row r="1164" spans="1:24" ht="15" customHeight="1" outlineLevel="1" x14ac:dyDescent="0.35">
      <c r="B1164" s="57"/>
      <c r="C1164" s="241" t="s">
        <v>753</v>
      </c>
      <c r="D1164" s="244">
        <v>9</v>
      </c>
      <c r="E1164" s="244">
        <v>46</v>
      </c>
      <c r="F1164" s="244" t="s">
        <v>751</v>
      </c>
      <c r="G1164" s="244"/>
      <c r="H1164" s="459">
        <v>33</v>
      </c>
      <c r="I1164" s="460"/>
      <c r="J1164" s="459"/>
      <c r="K1164" s="459"/>
      <c r="L1164" s="459"/>
      <c r="M1164" s="461"/>
      <c r="N1164" s="459"/>
      <c r="O1164" s="462">
        <v>75</v>
      </c>
      <c r="P1164" s="463"/>
      <c r="Q1164" s="57"/>
      <c r="R1164" s="57"/>
      <c r="S1164" s="57"/>
      <c r="T1164" s="464"/>
      <c r="U1164" s="337"/>
      <c r="V1164" s="244"/>
      <c r="W1164" s="244"/>
    </row>
    <row r="1165" spans="1:24" ht="15" customHeight="1" outlineLevel="1" x14ac:dyDescent="0.35">
      <c r="B1165" s="57"/>
      <c r="C1165" s="241" t="s">
        <v>753</v>
      </c>
      <c r="D1165" s="244">
        <v>10</v>
      </c>
      <c r="E1165" s="244">
        <v>48</v>
      </c>
      <c r="F1165" s="244" t="s">
        <v>751</v>
      </c>
      <c r="G1165" s="244"/>
      <c r="H1165" s="459">
        <v>33</v>
      </c>
      <c r="I1165" s="460"/>
      <c r="J1165" s="459"/>
      <c r="K1165" s="459"/>
      <c r="L1165" s="459"/>
      <c r="M1165" s="461"/>
      <c r="N1165" s="459"/>
      <c r="O1165" s="462">
        <v>75</v>
      </c>
      <c r="P1165" s="463"/>
      <c r="Q1165" s="57"/>
      <c r="R1165" s="57"/>
      <c r="S1165" s="57"/>
      <c r="T1165" s="464"/>
      <c r="U1165" s="337"/>
      <c r="V1165" s="244"/>
      <c r="W1165" s="244"/>
    </row>
    <row r="1166" spans="1:24" ht="15" customHeight="1" outlineLevel="1" x14ac:dyDescent="0.35">
      <c r="C1166" s="11" t="s">
        <v>26</v>
      </c>
      <c r="D1166" s="10"/>
      <c r="E1166" s="11"/>
      <c r="F1166" s="11"/>
      <c r="G1166" s="11"/>
      <c r="H1166" s="136">
        <f t="shared" ref="H1166:O1166" si="196">SUM(H1156:H1162)</f>
        <v>166</v>
      </c>
      <c r="I1166" s="136">
        <f t="shared" si="196"/>
        <v>24549</v>
      </c>
      <c r="J1166" s="136">
        <f t="shared" si="196"/>
        <v>39549</v>
      </c>
      <c r="K1166" s="136">
        <f t="shared" si="196"/>
        <v>88.606256874007087</v>
      </c>
      <c r="L1166" s="136">
        <f t="shared" si="196"/>
        <v>143.60625687400707</v>
      </c>
      <c r="M1166" s="136">
        <f t="shared" si="196"/>
        <v>0.89999999999999991</v>
      </c>
      <c r="N1166" s="136">
        <f t="shared" si="196"/>
        <v>186.6881339362092</v>
      </c>
      <c r="O1166" s="136">
        <f t="shared" si="196"/>
        <v>475</v>
      </c>
      <c r="P1166" s="474"/>
      <c r="Q1166" s="11"/>
      <c r="R1166" s="11"/>
      <c r="S1166" s="11"/>
      <c r="T1166" s="475"/>
      <c r="U1166" s="421"/>
      <c r="V1166" s="11"/>
      <c r="W1166" s="11"/>
    </row>
    <row r="1167" spans="1:24" s="57" customFormat="1" ht="15.5" x14ac:dyDescent="0.35">
      <c r="B1167" s="11"/>
      <c r="C1167" s="11" t="s">
        <v>143</v>
      </c>
      <c r="D1167" s="454"/>
      <c r="E1167" s="454"/>
      <c r="F1167" s="10"/>
      <c r="G1167" s="10"/>
      <c r="H1167" s="189"/>
      <c r="I1167" s="10"/>
      <c r="J1167" s="10"/>
      <c r="K1167" s="189"/>
      <c r="L1167" s="189"/>
      <c r="M1167" s="452"/>
      <c r="N1167" s="140">
        <f>+L1167*M1167+L1167</f>
        <v>0</v>
      </c>
      <c r="O1167" s="189"/>
      <c r="P1167" s="325"/>
      <c r="Q1167" s="10"/>
      <c r="R1167" s="10"/>
      <c r="S1167" s="10"/>
      <c r="T1167" s="404"/>
      <c r="U1167" s="419"/>
      <c r="V1167" s="10"/>
      <c r="W1167" s="10"/>
    </row>
    <row r="1168" spans="1:24" s="244" customFormat="1" ht="15.5" x14ac:dyDescent="0.35">
      <c r="B1168" s="11"/>
      <c r="C1168" s="10"/>
      <c r="D1168" s="10"/>
      <c r="E1168" s="10"/>
      <c r="F1168" s="11" t="s">
        <v>701</v>
      </c>
      <c r="G1168" s="11"/>
      <c r="H1168" s="140"/>
      <c r="I1168" s="10"/>
      <c r="J1168" s="140"/>
      <c r="K1168" s="140"/>
      <c r="L1168" s="140"/>
      <c r="M1168" s="453"/>
      <c r="N1168" s="140"/>
      <c r="O1168" s="140"/>
      <c r="P1168" s="325"/>
      <c r="Q1168" s="10"/>
      <c r="R1168" s="10"/>
      <c r="S1168" s="10"/>
      <c r="T1168" s="404"/>
      <c r="U1168" s="138"/>
      <c r="V1168" s="10"/>
      <c r="W1168" s="10"/>
    </row>
    <row r="1169" spans="1:21" s="244" customFormat="1" ht="15.5" x14ac:dyDescent="0.35">
      <c r="F1169" s="330" t="s">
        <v>786</v>
      </c>
      <c r="G1169" s="330"/>
      <c r="H1169" s="459"/>
      <c r="I1169" s="460"/>
      <c r="J1169" s="459"/>
      <c r="K1169" s="459"/>
      <c r="L1169" s="459"/>
      <c r="M1169" s="461"/>
      <c r="N1169" s="459"/>
      <c r="O1169" s="462"/>
      <c r="P1169" s="463"/>
      <c r="Q1169" s="57"/>
      <c r="R1169" s="57"/>
      <c r="S1169" s="57"/>
      <c r="T1169" s="464"/>
      <c r="U1169" s="337"/>
    </row>
    <row r="1170" spans="1:21" s="244" customFormat="1" ht="15.5" x14ac:dyDescent="0.35">
      <c r="C1170" s="244" t="s">
        <v>712</v>
      </c>
      <c r="D1170" s="244">
        <v>2</v>
      </c>
      <c r="E1170" s="244" t="s">
        <v>760</v>
      </c>
      <c r="F1170" s="244" t="s">
        <v>759</v>
      </c>
      <c r="H1170" s="459">
        <v>7</v>
      </c>
      <c r="I1170" s="460">
        <v>8267</v>
      </c>
      <c r="J1170" s="459">
        <v>7400</v>
      </c>
      <c r="K1170" s="459">
        <f>+H1170/I1170*J1170</f>
        <v>6.2658763759525824</v>
      </c>
      <c r="L1170" s="459">
        <f>+H1170+K1170</f>
        <v>13.265876375952583</v>
      </c>
      <c r="M1170" s="461">
        <v>0.3</v>
      </c>
      <c r="N1170" s="459">
        <f>+L1170*1.3</f>
        <v>17.24563928873836</v>
      </c>
      <c r="O1170" s="462">
        <v>25</v>
      </c>
      <c r="P1170" s="463"/>
      <c r="Q1170" s="57"/>
      <c r="R1170" s="57"/>
      <c r="S1170" s="57"/>
      <c r="T1170" s="464"/>
      <c r="U1170" s="337"/>
    </row>
    <row r="1171" spans="1:21" customFormat="1" ht="14.5" x14ac:dyDescent="0.35">
      <c r="B1171" s="244"/>
      <c r="C1171" s="244"/>
      <c r="D1171" s="233">
        <v>3</v>
      </c>
      <c r="F1171" s="330" t="s">
        <v>844</v>
      </c>
      <c r="G1171" s="330"/>
      <c r="I1171" s="173"/>
      <c r="J1171" s="4"/>
      <c r="K1171" s="173"/>
      <c r="L1171" s="145"/>
      <c r="M1171" s="145"/>
      <c r="N1171" s="468"/>
      <c r="O1171" s="145"/>
      <c r="P1171" s="469"/>
      <c r="T1171" s="467"/>
      <c r="U1171" s="420"/>
    </row>
    <row r="1172" spans="1:21" customFormat="1" ht="14.5" x14ac:dyDescent="0.35">
      <c r="B1172" s="244"/>
      <c r="C1172" s="244" t="s">
        <v>712</v>
      </c>
      <c r="D1172">
        <v>5</v>
      </c>
      <c r="E1172" t="s">
        <v>588</v>
      </c>
      <c r="F1172" t="s">
        <v>832</v>
      </c>
      <c r="H1172" s="173">
        <v>7</v>
      </c>
      <c r="I1172" s="4">
        <v>9682</v>
      </c>
      <c r="J1172" s="173">
        <v>7766</v>
      </c>
      <c r="K1172" s="145">
        <f t="shared" ref="K1172:K1182" si="197">+H1172/I1172*J1172</f>
        <v>5.6147490187977693</v>
      </c>
      <c r="L1172" s="145">
        <f t="shared" ref="L1172:L1182" si="198">+H1172+K1172</f>
        <v>12.61474901879777</v>
      </c>
      <c r="M1172" s="468">
        <v>0.4</v>
      </c>
      <c r="N1172" s="145">
        <f t="shared" ref="N1172:N1182" si="199">+L1172*1.4</f>
        <v>17.660648626316878</v>
      </c>
      <c r="O1172" s="173">
        <v>25</v>
      </c>
      <c r="P1172" s="344"/>
      <c r="T1172" s="467"/>
      <c r="U1172" s="420"/>
    </row>
    <row r="1173" spans="1:21" customFormat="1" ht="14.5" x14ac:dyDescent="0.35">
      <c r="B1173" s="244"/>
      <c r="C1173" s="244" t="s">
        <v>712</v>
      </c>
      <c r="D1173">
        <v>6</v>
      </c>
      <c r="E1173" t="s">
        <v>588</v>
      </c>
      <c r="F1173" t="s">
        <v>832</v>
      </c>
      <c r="H1173" s="173">
        <v>7</v>
      </c>
      <c r="I1173" s="4">
        <v>9682</v>
      </c>
      <c r="J1173" s="173">
        <v>7766</v>
      </c>
      <c r="K1173" s="145">
        <f t="shared" si="197"/>
        <v>5.6147490187977693</v>
      </c>
      <c r="L1173" s="145">
        <f t="shared" si="198"/>
        <v>12.61474901879777</v>
      </c>
      <c r="M1173" s="468">
        <v>0.4</v>
      </c>
      <c r="N1173" s="145">
        <f t="shared" si="199"/>
        <v>17.660648626316878</v>
      </c>
      <c r="O1173" s="173">
        <v>25</v>
      </c>
      <c r="P1173" s="344"/>
      <c r="T1173" s="467"/>
      <c r="U1173" s="420"/>
    </row>
    <row r="1174" spans="1:21" customFormat="1" ht="14.5" x14ac:dyDescent="0.35">
      <c r="B1174" s="244"/>
      <c r="C1174" s="244" t="s">
        <v>712</v>
      </c>
      <c r="D1174">
        <v>7</v>
      </c>
      <c r="E1174" t="s">
        <v>588</v>
      </c>
      <c r="F1174" t="s">
        <v>832</v>
      </c>
      <c r="H1174" s="173">
        <v>7</v>
      </c>
      <c r="I1174" s="4">
        <v>9682</v>
      </c>
      <c r="J1174" s="173">
        <v>7766</v>
      </c>
      <c r="K1174" s="145">
        <f t="shared" si="197"/>
        <v>5.6147490187977693</v>
      </c>
      <c r="L1174" s="145">
        <f t="shared" si="198"/>
        <v>12.61474901879777</v>
      </c>
      <c r="M1174" s="468">
        <v>0.4</v>
      </c>
      <c r="N1174" s="145">
        <f t="shared" si="199"/>
        <v>17.660648626316878</v>
      </c>
      <c r="O1174" s="173">
        <v>25</v>
      </c>
      <c r="P1174" s="344"/>
      <c r="T1174" s="467"/>
      <c r="U1174" s="420"/>
    </row>
    <row r="1175" spans="1:21" customFormat="1" ht="14.5" x14ac:dyDescent="0.35">
      <c r="B1175" s="244"/>
      <c r="C1175" s="244" t="s">
        <v>712</v>
      </c>
      <c r="D1175">
        <v>8</v>
      </c>
      <c r="E1175" t="s">
        <v>588</v>
      </c>
      <c r="F1175" t="s">
        <v>832</v>
      </c>
      <c r="H1175" s="173">
        <v>7</v>
      </c>
      <c r="I1175" s="4">
        <v>9682</v>
      </c>
      <c r="J1175" s="173">
        <v>7766</v>
      </c>
      <c r="K1175" s="145">
        <f t="shared" si="197"/>
        <v>5.6147490187977693</v>
      </c>
      <c r="L1175" s="145">
        <f t="shared" si="198"/>
        <v>12.61474901879777</v>
      </c>
      <c r="M1175" s="468">
        <v>0.4</v>
      </c>
      <c r="N1175" s="145">
        <f t="shared" si="199"/>
        <v>17.660648626316878</v>
      </c>
      <c r="O1175" s="173">
        <v>25</v>
      </c>
      <c r="P1175" s="344"/>
      <c r="T1175" s="467"/>
      <c r="U1175" s="420"/>
    </row>
    <row r="1176" spans="1:21" customFormat="1" ht="14.5" x14ac:dyDescent="0.35">
      <c r="B1176" s="244"/>
      <c r="C1176" s="244" t="s">
        <v>712</v>
      </c>
      <c r="D1176">
        <v>9</v>
      </c>
      <c r="E1176" t="s">
        <v>760</v>
      </c>
      <c r="F1176" t="s">
        <v>832</v>
      </c>
      <c r="H1176" s="173">
        <v>7</v>
      </c>
      <c r="I1176" s="4">
        <v>9682</v>
      </c>
      <c r="J1176" s="173">
        <v>7766</v>
      </c>
      <c r="K1176" s="145">
        <f t="shared" si="197"/>
        <v>5.6147490187977693</v>
      </c>
      <c r="L1176" s="145">
        <f t="shared" si="198"/>
        <v>12.61474901879777</v>
      </c>
      <c r="M1176" s="468">
        <v>0.4</v>
      </c>
      <c r="N1176" s="145">
        <f t="shared" si="199"/>
        <v>17.660648626316878</v>
      </c>
      <c r="O1176" s="173">
        <v>25</v>
      </c>
      <c r="P1176" s="344"/>
      <c r="T1176" s="467"/>
      <c r="U1176" s="420"/>
    </row>
    <row r="1177" spans="1:21" customFormat="1" ht="14.5" x14ac:dyDescent="0.35">
      <c r="B1177" s="244"/>
      <c r="C1177" s="244" t="s">
        <v>712</v>
      </c>
      <c r="D1177">
        <v>10</v>
      </c>
      <c r="E1177" t="s">
        <v>760</v>
      </c>
      <c r="F1177" t="s">
        <v>832</v>
      </c>
      <c r="H1177" s="173">
        <v>7</v>
      </c>
      <c r="I1177" s="4">
        <v>9682</v>
      </c>
      <c r="J1177" s="173">
        <v>7766</v>
      </c>
      <c r="K1177" s="145">
        <f t="shared" si="197"/>
        <v>5.6147490187977693</v>
      </c>
      <c r="L1177" s="145">
        <f t="shared" si="198"/>
        <v>12.61474901879777</v>
      </c>
      <c r="M1177" s="468">
        <v>0.4</v>
      </c>
      <c r="N1177" s="145">
        <f t="shared" si="199"/>
        <v>17.660648626316878</v>
      </c>
      <c r="O1177" s="173" t="s">
        <v>1337</v>
      </c>
      <c r="P1177" s="344"/>
      <c r="T1177" s="467"/>
      <c r="U1177" s="420"/>
    </row>
    <row r="1178" spans="1:21" customFormat="1" ht="14.5" x14ac:dyDescent="0.35">
      <c r="B1178" s="244"/>
      <c r="C1178" s="244" t="s">
        <v>712</v>
      </c>
      <c r="D1178">
        <v>11</v>
      </c>
      <c r="E1178" t="s">
        <v>760</v>
      </c>
      <c r="F1178" t="s">
        <v>832</v>
      </c>
      <c r="H1178" s="173">
        <v>7</v>
      </c>
      <c r="I1178" s="4">
        <v>9682</v>
      </c>
      <c r="J1178" s="173">
        <v>7766</v>
      </c>
      <c r="K1178" s="145">
        <f t="shared" si="197"/>
        <v>5.6147490187977693</v>
      </c>
      <c r="L1178" s="145">
        <f t="shared" si="198"/>
        <v>12.61474901879777</v>
      </c>
      <c r="M1178" s="468">
        <v>0.4</v>
      </c>
      <c r="N1178" s="145">
        <f t="shared" si="199"/>
        <v>17.660648626316878</v>
      </c>
      <c r="O1178" s="173">
        <v>25</v>
      </c>
      <c r="P1178" s="344"/>
      <c r="T1178" s="467"/>
      <c r="U1178" s="420"/>
    </row>
    <row r="1179" spans="1:21" customFormat="1" ht="14.5" x14ac:dyDescent="0.35">
      <c r="B1179" s="244"/>
      <c r="C1179" s="244" t="s">
        <v>712</v>
      </c>
      <c r="D1179">
        <v>12</v>
      </c>
      <c r="E1179" t="s">
        <v>760</v>
      </c>
      <c r="F1179" t="s">
        <v>832</v>
      </c>
      <c r="H1179" s="173">
        <v>7</v>
      </c>
      <c r="I1179" s="4">
        <v>9682</v>
      </c>
      <c r="J1179" s="173">
        <v>7766</v>
      </c>
      <c r="K1179" s="145">
        <f t="shared" si="197"/>
        <v>5.6147490187977693</v>
      </c>
      <c r="L1179" s="145">
        <f t="shared" si="198"/>
        <v>12.61474901879777</v>
      </c>
      <c r="M1179" s="468">
        <v>0.4</v>
      </c>
      <c r="N1179" s="145">
        <f t="shared" si="199"/>
        <v>17.660648626316878</v>
      </c>
      <c r="O1179" s="173">
        <v>25</v>
      </c>
      <c r="P1179" s="344"/>
      <c r="T1179" s="467"/>
      <c r="U1179" s="420"/>
    </row>
    <row r="1180" spans="1:21" customFormat="1" ht="14.5" x14ac:dyDescent="0.35">
      <c r="B1180" s="244"/>
      <c r="C1180" s="244" t="s">
        <v>712</v>
      </c>
      <c r="D1180">
        <v>13</v>
      </c>
      <c r="E1180" t="s">
        <v>760</v>
      </c>
      <c r="F1180" t="s">
        <v>832</v>
      </c>
      <c r="H1180" s="173">
        <v>7</v>
      </c>
      <c r="I1180" s="4">
        <v>9682</v>
      </c>
      <c r="J1180" s="173">
        <v>7766</v>
      </c>
      <c r="K1180" s="145">
        <f t="shared" si="197"/>
        <v>5.6147490187977693</v>
      </c>
      <c r="L1180" s="145">
        <f t="shared" si="198"/>
        <v>12.61474901879777</v>
      </c>
      <c r="M1180" s="468">
        <v>0.4</v>
      </c>
      <c r="N1180" s="145">
        <f t="shared" si="199"/>
        <v>17.660648626316878</v>
      </c>
      <c r="O1180" s="173">
        <v>25</v>
      </c>
      <c r="P1180" s="344"/>
      <c r="T1180" s="467"/>
      <c r="U1180" s="420"/>
    </row>
    <row r="1181" spans="1:21" customFormat="1" ht="14.5" x14ac:dyDescent="0.35">
      <c r="B1181" s="244"/>
      <c r="C1181" s="244" t="s">
        <v>712</v>
      </c>
      <c r="D1181">
        <v>14</v>
      </c>
      <c r="E1181" t="s">
        <v>760</v>
      </c>
      <c r="F1181" t="s">
        <v>832</v>
      </c>
      <c r="H1181" s="173">
        <v>7</v>
      </c>
      <c r="I1181" s="4">
        <v>9682</v>
      </c>
      <c r="J1181" s="173">
        <v>7766</v>
      </c>
      <c r="K1181" s="145">
        <f t="shared" si="197"/>
        <v>5.6147490187977693</v>
      </c>
      <c r="L1181" s="145">
        <f t="shared" si="198"/>
        <v>12.61474901879777</v>
      </c>
      <c r="M1181" s="468">
        <v>0.4</v>
      </c>
      <c r="N1181" s="145">
        <f t="shared" si="199"/>
        <v>17.660648626316878</v>
      </c>
      <c r="O1181" s="173">
        <v>25</v>
      </c>
      <c r="P1181" s="344"/>
      <c r="T1181" s="467"/>
      <c r="U1181" s="420"/>
    </row>
    <row r="1182" spans="1:21" customFormat="1" ht="14.5" x14ac:dyDescent="0.35">
      <c r="B1182" s="244"/>
      <c r="C1182" s="244" t="s">
        <v>712</v>
      </c>
      <c r="D1182">
        <v>15</v>
      </c>
      <c r="E1182" t="s">
        <v>588</v>
      </c>
      <c r="F1182" t="s">
        <v>832</v>
      </c>
      <c r="H1182" s="173">
        <v>7</v>
      </c>
      <c r="I1182" s="4">
        <v>9682</v>
      </c>
      <c r="J1182" s="173">
        <v>7766</v>
      </c>
      <c r="K1182" s="145">
        <f t="shared" si="197"/>
        <v>5.6147490187977693</v>
      </c>
      <c r="L1182" s="145">
        <f t="shared" si="198"/>
        <v>12.61474901879777</v>
      </c>
      <c r="M1182" s="468">
        <v>0.4</v>
      </c>
      <c r="N1182" s="145">
        <f t="shared" si="199"/>
        <v>17.660648626316878</v>
      </c>
      <c r="O1182" s="173">
        <v>25</v>
      </c>
      <c r="P1182" s="344"/>
      <c r="T1182" s="467"/>
      <c r="U1182" s="420"/>
    </row>
    <row r="1183" spans="1:21" customFormat="1" ht="14.5" x14ac:dyDescent="0.35">
      <c r="B1183" s="244"/>
      <c r="C1183" s="330" t="s">
        <v>1780</v>
      </c>
      <c r="H1183" s="173"/>
      <c r="I1183" s="4"/>
      <c r="J1183" s="173"/>
      <c r="K1183" s="145"/>
      <c r="L1183" s="145"/>
      <c r="M1183" s="468"/>
      <c r="N1183" s="145"/>
      <c r="O1183" s="173"/>
      <c r="P1183" s="344"/>
      <c r="T1183" s="467"/>
      <c r="U1183" s="420"/>
    </row>
    <row r="1184" spans="1:21" customFormat="1" ht="14.5" x14ac:dyDescent="0.35">
      <c r="A1184" s="3"/>
      <c r="B1184" s="3"/>
      <c r="C1184" s="233"/>
      <c r="E1184" s="366"/>
      <c r="F1184" s="245" t="s">
        <v>1424</v>
      </c>
      <c r="G1184" s="245"/>
      <c r="H1184" s="173">
        <v>11.428571428571429</v>
      </c>
      <c r="I1184">
        <v>3550</v>
      </c>
      <c r="J1184" s="173">
        <v>5698</v>
      </c>
      <c r="K1184" s="402">
        <f>+H1184/I1184*J1184</f>
        <v>18.343661971830986</v>
      </c>
      <c r="L1184" s="173">
        <f>+H1184+K1184</f>
        <v>29.772233400402413</v>
      </c>
      <c r="M1184" s="174"/>
      <c r="N1184" s="173">
        <f>+L1184*1.4</f>
        <v>41.681126760563373</v>
      </c>
      <c r="O1184" s="173">
        <v>35</v>
      </c>
      <c r="P1184" s="13"/>
    </row>
    <row r="1185" spans="1:23" ht="15" customHeight="1" outlineLevel="1" x14ac:dyDescent="0.35">
      <c r="F1185" s="11" t="s">
        <v>158</v>
      </c>
      <c r="G1185" s="11"/>
      <c r="H1185" s="136"/>
      <c r="I1185" s="136"/>
      <c r="J1185" s="136"/>
      <c r="K1185" s="136"/>
      <c r="L1185" s="136"/>
      <c r="M1185" s="136"/>
      <c r="N1185" s="136"/>
      <c r="O1185" s="136"/>
      <c r="P1185" s="474"/>
      <c r="Q1185" s="141"/>
      <c r="R1185" s="141"/>
      <c r="S1185" s="136"/>
      <c r="T1185" s="534"/>
      <c r="U1185" s="421"/>
    </row>
    <row r="1186" spans="1:23" ht="15.5" outlineLevel="1" x14ac:dyDescent="0.35">
      <c r="B1186" s="11" t="s">
        <v>66</v>
      </c>
      <c r="F1186" s="11" t="s">
        <v>66</v>
      </c>
      <c r="G1186" s="11"/>
      <c r="H1186" s="136"/>
      <c r="I1186" s="136"/>
      <c r="J1186" s="136"/>
      <c r="M1186" s="136"/>
      <c r="O1186" s="136"/>
      <c r="P1186" s="474"/>
    </row>
    <row r="1187" spans="1:23" ht="15.5" outlineLevel="1" x14ac:dyDescent="0.35">
      <c r="C1187" s="11" t="s">
        <v>319</v>
      </c>
      <c r="D1187" s="10">
        <v>1</v>
      </c>
      <c r="E1187" s="10">
        <v>4</v>
      </c>
      <c r="F1187" s="10" t="s">
        <v>687</v>
      </c>
      <c r="H1187" s="140">
        <v>0.4</v>
      </c>
      <c r="I1187" s="56"/>
      <c r="J1187" s="140"/>
      <c r="K1187" s="140"/>
      <c r="L1187" s="140"/>
      <c r="M1187" s="452"/>
      <c r="N1187" s="140">
        <f>+L1187*M1187+L1187</f>
        <v>0</v>
      </c>
      <c r="O1187" s="140">
        <v>5</v>
      </c>
      <c r="U1187" s="138"/>
    </row>
    <row r="1188" spans="1:23" ht="15.5" outlineLevel="1" x14ac:dyDescent="0.35">
      <c r="C1188" s="11" t="s">
        <v>319</v>
      </c>
      <c r="D1188" s="10">
        <v>2</v>
      </c>
      <c r="E1188" s="10">
        <v>4</v>
      </c>
      <c r="F1188" s="10" t="s">
        <v>687</v>
      </c>
      <c r="H1188" s="140">
        <v>0.4</v>
      </c>
      <c r="I1188" s="56"/>
      <c r="J1188" s="140"/>
      <c r="K1188" s="140"/>
      <c r="L1188" s="140"/>
      <c r="M1188" s="452"/>
      <c r="N1188" s="140">
        <f>+L1188*M1188+L1188</f>
        <v>0</v>
      </c>
      <c r="O1188" s="140">
        <v>5</v>
      </c>
      <c r="U1188" s="138"/>
    </row>
    <row r="1189" spans="1:23" ht="15.5" outlineLevel="1" x14ac:dyDescent="0.35">
      <c r="C1189" s="11" t="s">
        <v>596</v>
      </c>
      <c r="D1189" s="10"/>
      <c r="E1189" s="10"/>
      <c r="H1189" s="530"/>
      <c r="J1189" s="140"/>
      <c r="K1189" s="140"/>
      <c r="L1189" s="140"/>
      <c r="M1189" s="453"/>
      <c r="O1189" s="140"/>
      <c r="U1189" s="138"/>
    </row>
    <row r="1190" spans="1:23" s="57" customFormat="1" ht="15.5" x14ac:dyDescent="0.35">
      <c r="A1190" s="66"/>
      <c r="B1190" s="451"/>
      <c r="C1190" s="451"/>
      <c r="D1190" s="451">
        <v>4</v>
      </c>
      <c r="E1190" s="451">
        <v>6</v>
      </c>
      <c r="F1190" s="206" t="s">
        <v>688</v>
      </c>
      <c r="G1190" s="206"/>
      <c r="H1190" s="140">
        <v>1.5</v>
      </c>
      <c r="I1190" s="56">
        <v>8183</v>
      </c>
      <c r="J1190" s="140">
        <v>13183</v>
      </c>
      <c r="K1190" s="140">
        <f>+H1190/I1190*J1190</f>
        <v>2.4165342783820112</v>
      </c>
      <c r="L1190" s="140">
        <f>+H1190+K1190</f>
        <v>3.9165342783820112</v>
      </c>
      <c r="M1190" s="453">
        <v>0.3</v>
      </c>
      <c r="N1190" s="140">
        <f>+L1190*M1190+L1190</f>
        <v>5.0914945618966145</v>
      </c>
      <c r="O1190" s="140">
        <v>5</v>
      </c>
      <c r="P1190" s="140"/>
      <c r="Q1190" s="10"/>
      <c r="R1190" s="10"/>
      <c r="S1190" s="10"/>
      <c r="T1190" s="404"/>
      <c r="U1190" s="138"/>
      <c r="V1190" s="10"/>
      <c r="W1190" s="10"/>
    </row>
    <row r="1191" spans="1:23" s="57" customFormat="1" ht="15.5" x14ac:dyDescent="0.35">
      <c r="A1191" s="66"/>
      <c r="B1191" s="451"/>
      <c r="C1191" s="451"/>
      <c r="D1191" s="451">
        <v>5</v>
      </c>
      <c r="E1191" s="451">
        <v>6</v>
      </c>
      <c r="F1191" s="206" t="s">
        <v>688</v>
      </c>
      <c r="G1191" s="206"/>
      <c r="H1191" s="140">
        <v>1.5</v>
      </c>
      <c r="I1191" s="56">
        <v>8183</v>
      </c>
      <c r="J1191" s="140">
        <v>13183</v>
      </c>
      <c r="K1191" s="140">
        <f>+H1191/I1191*J1191</f>
        <v>2.4165342783820112</v>
      </c>
      <c r="L1191" s="140">
        <f>+H1191+K1191</f>
        <v>3.9165342783820112</v>
      </c>
      <c r="M1191" s="453">
        <v>0.3</v>
      </c>
      <c r="N1191" s="140">
        <f>+L1191*M1191+L1191</f>
        <v>5.0914945618966145</v>
      </c>
      <c r="O1191" s="140">
        <v>5</v>
      </c>
      <c r="P1191" s="140"/>
      <c r="Q1191" s="10"/>
      <c r="R1191" s="10"/>
      <c r="S1191" s="10"/>
      <c r="T1191" s="404"/>
      <c r="U1191" s="138"/>
      <c r="V1191" s="10"/>
      <c r="W1191" s="10"/>
    </row>
    <row r="1192" spans="1:23" s="57" customFormat="1" ht="15.5" x14ac:dyDescent="0.35">
      <c r="A1192" s="66"/>
      <c r="B1192" s="451"/>
      <c r="C1192" s="451"/>
      <c r="D1192" s="451">
        <v>6</v>
      </c>
      <c r="E1192" s="451">
        <v>6</v>
      </c>
      <c r="F1192" s="206" t="s">
        <v>688</v>
      </c>
      <c r="G1192" s="206"/>
      <c r="H1192" s="140">
        <v>1.5</v>
      </c>
      <c r="I1192" s="56">
        <v>8183</v>
      </c>
      <c r="J1192" s="140">
        <v>13183</v>
      </c>
      <c r="K1192" s="140">
        <f>+H1192/I1192*J1192</f>
        <v>2.4165342783820112</v>
      </c>
      <c r="L1192" s="140">
        <f>+H1192+K1192</f>
        <v>3.9165342783820112</v>
      </c>
      <c r="M1192" s="453">
        <v>0.3</v>
      </c>
      <c r="N1192" s="140">
        <f>+L1192*M1192+L1192</f>
        <v>5.0914945618966145</v>
      </c>
      <c r="O1192" s="140">
        <v>5</v>
      </c>
      <c r="P1192" s="140"/>
      <c r="Q1192" s="10"/>
      <c r="R1192" s="10"/>
      <c r="S1192" s="10"/>
      <c r="T1192" s="404"/>
      <c r="U1192" s="138"/>
      <c r="V1192" s="10"/>
      <c r="W1192" s="10"/>
    </row>
    <row r="1193" spans="1:23" s="57" customFormat="1" ht="15.5" x14ac:dyDescent="0.35">
      <c r="A1193" s="66"/>
      <c r="B1193" s="451"/>
      <c r="C1193" s="451"/>
      <c r="D1193" s="451">
        <v>7</v>
      </c>
      <c r="E1193" s="451">
        <v>6</v>
      </c>
      <c r="F1193" s="206" t="s">
        <v>688</v>
      </c>
      <c r="G1193" s="206"/>
      <c r="H1193" s="140">
        <v>1.5</v>
      </c>
      <c r="I1193" s="56">
        <v>8183</v>
      </c>
      <c r="J1193" s="140">
        <v>13183</v>
      </c>
      <c r="K1193" s="140">
        <f>+H1193/I1193*J1193</f>
        <v>2.4165342783820112</v>
      </c>
      <c r="L1193" s="140">
        <f>+H1193+K1193</f>
        <v>3.9165342783820112</v>
      </c>
      <c r="M1193" s="453">
        <v>0.3</v>
      </c>
      <c r="N1193" s="140">
        <f>+L1193*M1193+L1193</f>
        <v>5.0914945618966145</v>
      </c>
      <c r="O1193" s="140">
        <v>5</v>
      </c>
      <c r="P1193" s="140"/>
      <c r="Q1193" s="10"/>
      <c r="R1193" s="10"/>
      <c r="S1193" s="10"/>
      <c r="T1193" s="404"/>
      <c r="U1193" s="138"/>
      <c r="V1193" s="10"/>
      <c r="W1193" s="10"/>
    </row>
    <row r="1194" spans="1:23" s="57" customFormat="1" ht="15.5" x14ac:dyDescent="0.35">
      <c r="A1194" s="66"/>
      <c r="B1194" s="451"/>
      <c r="C1194" s="451"/>
      <c r="D1194" s="451">
        <v>8</v>
      </c>
      <c r="E1194" s="451">
        <v>6</v>
      </c>
      <c r="F1194" s="206" t="s">
        <v>2285</v>
      </c>
      <c r="G1194" s="206"/>
      <c r="H1194" s="140"/>
      <c r="I1194" s="56"/>
      <c r="J1194" s="140"/>
      <c r="K1194" s="140"/>
      <c r="L1194" s="140"/>
      <c r="M1194" s="453"/>
      <c r="N1194" s="140"/>
      <c r="O1194" s="140"/>
      <c r="P1194" s="140"/>
      <c r="Q1194" s="10"/>
      <c r="R1194" s="10"/>
      <c r="S1194" s="10"/>
      <c r="T1194" s="404"/>
      <c r="U1194" s="138"/>
      <c r="V1194" s="10"/>
      <c r="W1194" s="10"/>
    </row>
    <row r="1195" spans="1:23" s="57" customFormat="1" ht="15.5" x14ac:dyDescent="0.35">
      <c r="B1195" s="10"/>
      <c r="C1195" s="10"/>
      <c r="D1195" s="10"/>
      <c r="E1195" s="10"/>
      <c r="F1195" s="339" t="s">
        <v>729</v>
      </c>
      <c r="G1195" s="339"/>
      <c r="H1195" s="140"/>
      <c r="I1195" s="56"/>
      <c r="J1195" s="140"/>
      <c r="K1195" s="140"/>
      <c r="L1195" s="140"/>
      <c r="M1195" s="453"/>
      <c r="N1195" s="140"/>
      <c r="O1195" s="140"/>
      <c r="P1195" s="325"/>
      <c r="Q1195" s="10"/>
      <c r="R1195" s="10"/>
      <c r="S1195" s="10"/>
      <c r="T1195" s="404"/>
      <c r="U1195" s="138"/>
      <c r="V1195" s="10"/>
      <c r="W1195" s="10"/>
    </row>
    <row r="1196" spans="1:23" s="345" customFormat="1" ht="15.5" x14ac:dyDescent="0.35">
      <c r="B1196" s="252"/>
      <c r="C1196" s="754"/>
      <c r="D1196" s="345">
        <v>10</v>
      </c>
      <c r="E1196" s="345">
        <v>10</v>
      </c>
      <c r="F1196" s="345" t="s">
        <v>90</v>
      </c>
      <c r="H1196" s="497">
        <v>2</v>
      </c>
      <c r="I1196" s="498">
        <v>8267</v>
      </c>
      <c r="J1196" s="497">
        <v>7400</v>
      </c>
      <c r="K1196" s="497">
        <f>+H1196/I1196*J1196</f>
        <v>1.7902503931293092</v>
      </c>
      <c r="L1196" s="497">
        <f>+H1196+K1196</f>
        <v>3.790250393129309</v>
      </c>
      <c r="M1196" s="499">
        <v>0.3</v>
      </c>
      <c r="N1196" s="497">
        <f>+L1196*1.3</f>
        <v>4.9273255110681022</v>
      </c>
      <c r="O1196" s="463">
        <v>5</v>
      </c>
      <c r="P1196" s="463"/>
      <c r="Q1196" s="252"/>
      <c r="R1196" s="252"/>
      <c r="S1196" s="252"/>
      <c r="T1196" s="500"/>
      <c r="U1196" s="424"/>
    </row>
    <row r="1197" spans="1:23" customFormat="1" ht="14.5" collapsed="1" x14ac:dyDescent="0.35">
      <c r="B1197" s="3"/>
      <c r="C1197" s="3"/>
      <c r="D1197" s="232"/>
      <c r="F1197" s="330" t="s">
        <v>844</v>
      </c>
      <c r="G1197" s="330"/>
      <c r="H1197" s="3"/>
      <c r="I1197" s="173"/>
      <c r="J1197" s="4"/>
      <c r="K1197" s="173"/>
      <c r="L1197" s="145"/>
      <c r="M1197" s="145"/>
      <c r="N1197" s="468"/>
      <c r="O1197" s="145"/>
      <c r="P1197" s="469"/>
      <c r="T1197" s="467"/>
      <c r="U1197" s="420"/>
    </row>
    <row r="1198" spans="1:23" s="13" customFormat="1" ht="14.5" x14ac:dyDescent="0.35">
      <c r="B1198" s="369"/>
      <c r="C1198" s="755" t="s">
        <v>833</v>
      </c>
      <c r="D1198" s="13">
        <v>11</v>
      </c>
      <c r="E1198" s="13">
        <v>10</v>
      </c>
      <c r="F1198" s="13" t="s">
        <v>834</v>
      </c>
      <c r="H1198" s="344">
        <v>2</v>
      </c>
      <c r="I1198" s="756">
        <v>9682</v>
      </c>
      <c r="J1198" s="344">
        <v>7766</v>
      </c>
      <c r="K1198" s="469">
        <f>+H1198/I1198*J1198</f>
        <v>1.6042140053707912</v>
      </c>
      <c r="L1198" s="469">
        <f>+H1198+K1198</f>
        <v>3.6042140053707912</v>
      </c>
      <c r="M1198" s="501">
        <v>0.4</v>
      </c>
      <c r="N1198" s="469">
        <f>+L1198*1.4</f>
        <v>5.0458996075191074</v>
      </c>
      <c r="O1198" s="344">
        <v>5</v>
      </c>
      <c r="P1198" s="344"/>
      <c r="T1198" s="743"/>
      <c r="U1198" s="744"/>
    </row>
    <row r="1199" spans="1:23" customFormat="1" ht="14.5" x14ac:dyDescent="0.35">
      <c r="B1199" s="3"/>
      <c r="C1199" s="365">
        <v>45352</v>
      </c>
      <c r="H1199" s="173"/>
      <c r="I1199" s="4"/>
      <c r="J1199" s="173"/>
      <c r="K1199" s="145"/>
      <c r="L1199" s="145"/>
      <c r="M1199" s="468"/>
      <c r="N1199" s="145"/>
      <c r="O1199" s="173"/>
      <c r="P1199" s="344"/>
      <c r="T1199" s="467"/>
      <c r="U1199" s="420"/>
    </row>
    <row r="1200" spans="1:23" s="13" customFormat="1" ht="14.5" x14ac:dyDescent="0.35">
      <c r="B1200" s="369"/>
      <c r="C1200" s="368"/>
      <c r="D1200" s="13">
        <v>14</v>
      </c>
      <c r="E1200" s="399">
        <v>4</v>
      </c>
      <c r="F1200" s="435" t="s">
        <v>1059</v>
      </c>
      <c r="G1200" s="435"/>
      <c r="H1200" s="344">
        <v>1.62</v>
      </c>
      <c r="I1200" s="13">
        <v>4192</v>
      </c>
      <c r="J1200" s="344">
        <v>3417</v>
      </c>
      <c r="K1200" s="344">
        <f t="shared" ref="K1200:K1212" si="200">+J1200/I1200*H1200</f>
        <v>1.3205009541984734</v>
      </c>
      <c r="L1200" s="443">
        <f t="shared" ref="L1200:L1212" si="201">+H1200+K1200</f>
        <v>2.9405009541984732</v>
      </c>
      <c r="M1200" s="444">
        <v>1.4</v>
      </c>
      <c r="N1200" s="344">
        <f t="shared" ref="N1200:N1212" si="202">+L1200*M1200</f>
        <v>4.1167013358778624</v>
      </c>
      <c r="O1200" s="344">
        <v>5</v>
      </c>
      <c r="U1200" s="744"/>
    </row>
    <row r="1201" spans="2:21" s="13" customFormat="1" ht="14.5" x14ac:dyDescent="0.35">
      <c r="B1201" s="369"/>
      <c r="C1201" s="368"/>
      <c r="D1201" s="13">
        <v>15</v>
      </c>
      <c r="E1201" s="399">
        <v>4</v>
      </c>
      <c r="F1201" s="435" t="s">
        <v>1059</v>
      </c>
      <c r="G1201" s="435"/>
      <c r="H1201" s="344">
        <v>1.62</v>
      </c>
      <c r="I1201" s="13">
        <v>4192</v>
      </c>
      <c r="J1201" s="344">
        <v>3417</v>
      </c>
      <c r="K1201" s="344">
        <f t="shared" si="200"/>
        <v>1.3205009541984734</v>
      </c>
      <c r="L1201" s="443">
        <f t="shared" si="201"/>
        <v>2.9405009541984732</v>
      </c>
      <c r="M1201" s="444">
        <v>1.4</v>
      </c>
      <c r="N1201" s="344">
        <f t="shared" si="202"/>
        <v>4.1167013358778624</v>
      </c>
      <c r="O1201" s="344">
        <v>5</v>
      </c>
      <c r="U1201" s="744"/>
    </row>
    <row r="1202" spans="2:21" s="13" customFormat="1" ht="14.5" x14ac:dyDescent="0.35">
      <c r="B1202" s="369"/>
      <c r="C1202" s="368"/>
      <c r="D1202" s="13">
        <v>16</v>
      </c>
      <c r="E1202" s="399">
        <v>4</v>
      </c>
      <c r="F1202" s="435" t="s">
        <v>1060</v>
      </c>
      <c r="G1202" s="435"/>
      <c r="H1202" s="344">
        <v>1.62</v>
      </c>
      <c r="I1202" s="13">
        <v>4192</v>
      </c>
      <c r="J1202" s="344">
        <v>3417</v>
      </c>
      <c r="K1202" s="344">
        <f t="shared" si="200"/>
        <v>1.3205009541984734</v>
      </c>
      <c r="L1202" s="443">
        <f t="shared" si="201"/>
        <v>2.9405009541984732</v>
      </c>
      <c r="M1202" s="444">
        <v>1.4</v>
      </c>
      <c r="N1202" s="344">
        <f t="shared" si="202"/>
        <v>4.1167013358778624</v>
      </c>
      <c r="O1202" s="344">
        <v>5</v>
      </c>
      <c r="U1202" s="744"/>
    </row>
    <row r="1203" spans="2:21" s="13" customFormat="1" ht="14.5" x14ac:dyDescent="0.35">
      <c r="B1203" s="369"/>
      <c r="C1203" s="368"/>
      <c r="D1203" s="13">
        <v>17</v>
      </c>
      <c r="E1203" s="399">
        <v>5</v>
      </c>
      <c r="F1203" s="435" t="s">
        <v>1060</v>
      </c>
      <c r="G1203" s="435"/>
      <c r="H1203" s="344">
        <v>1.62</v>
      </c>
      <c r="I1203" s="13">
        <v>4192</v>
      </c>
      <c r="J1203" s="344">
        <v>3417</v>
      </c>
      <c r="K1203" s="344">
        <f t="shared" si="200"/>
        <v>1.3205009541984734</v>
      </c>
      <c r="L1203" s="443">
        <f t="shared" si="201"/>
        <v>2.9405009541984732</v>
      </c>
      <c r="M1203" s="444">
        <v>1.4</v>
      </c>
      <c r="N1203" s="344">
        <f t="shared" si="202"/>
        <v>4.1167013358778624</v>
      </c>
      <c r="O1203" s="344">
        <v>5</v>
      </c>
      <c r="U1203" s="744"/>
    </row>
    <row r="1204" spans="2:21" s="13" customFormat="1" ht="14.5" x14ac:dyDescent="0.35">
      <c r="B1204" s="369"/>
      <c r="C1204" s="368"/>
      <c r="D1204" s="13">
        <v>18</v>
      </c>
      <c r="E1204" s="399">
        <v>6</v>
      </c>
      <c r="F1204" s="435" t="s">
        <v>1060</v>
      </c>
      <c r="G1204" s="435"/>
      <c r="H1204" s="344">
        <v>1.62</v>
      </c>
      <c r="I1204" s="13">
        <v>4192</v>
      </c>
      <c r="J1204" s="344">
        <v>3417</v>
      </c>
      <c r="K1204" s="344">
        <f t="shared" si="200"/>
        <v>1.3205009541984734</v>
      </c>
      <c r="L1204" s="443">
        <f t="shared" si="201"/>
        <v>2.9405009541984732</v>
      </c>
      <c r="M1204" s="444">
        <v>1.4</v>
      </c>
      <c r="N1204" s="344">
        <f t="shared" si="202"/>
        <v>4.1167013358778624</v>
      </c>
      <c r="O1204" s="344">
        <v>5</v>
      </c>
      <c r="U1204" s="744"/>
    </row>
    <row r="1205" spans="2:21" s="13" customFormat="1" ht="14.5" x14ac:dyDescent="0.35">
      <c r="B1205" s="369"/>
      <c r="C1205" s="368"/>
      <c r="D1205" s="13">
        <v>19</v>
      </c>
      <c r="E1205" s="399">
        <v>6</v>
      </c>
      <c r="F1205" s="435" t="s">
        <v>1060</v>
      </c>
      <c r="G1205" s="435"/>
      <c r="H1205" s="344">
        <v>1.62</v>
      </c>
      <c r="I1205" s="13">
        <v>4192</v>
      </c>
      <c r="J1205" s="344">
        <v>3417</v>
      </c>
      <c r="K1205" s="344">
        <f t="shared" si="200"/>
        <v>1.3205009541984734</v>
      </c>
      <c r="L1205" s="443">
        <f t="shared" si="201"/>
        <v>2.9405009541984732</v>
      </c>
      <c r="M1205" s="444">
        <v>1.4</v>
      </c>
      <c r="N1205" s="344">
        <f t="shared" si="202"/>
        <v>4.1167013358778624</v>
      </c>
      <c r="O1205" s="344">
        <v>5</v>
      </c>
      <c r="U1205" s="744"/>
    </row>
    <row r="1206" spans="2:21" s="13" customFormat="1" ht="14.5" x14ac:dyDescent="0.35">
      <c r="B1206" s="369"/>
      <c r="C1206" s="368"/>
      <c r="D1206" s="13">
        <v>25</v>
      </c>
      <c r="E1206" s="399">
        <v>8</v>
      </c>
      <c r="F1206" s="435" t="s">
        <v>1059</v>
      </c>
      <c r="G1206" s="435"/>
      <c r="H1206" s="344">
        <v>2.16</v>
      </c>
      <c r="I1206" s="13">
        <v>4192</v>
      </c>
      <c r="J1206" s="344">
        <v>3417</v>
      </c>
      <c r="K1206" s="344">
        <f t="shared" si="200"/>
        <v>1.7606679389312978</v>
      </c>
      <c r="L1206" s="443">
        <f t="shared" si="201"/>
        <v>3.9206679389312979</v>
      </c>
      <c r="M1206" s="444">
        <v>1.4</v>
      </c>
      <c r="N1206" s="344">
        <f t="shared" si="202"/>
        <v>5.4889351145038168</v>
      </c>
      <c r="O1206" s="344">
        <v>6</v>
      </c>
      <c r="U1206" s="744"/>
    </row>
    <row r="1207" spans="2:21" s="13" customFormat="1" ht="14.5" x14ac:dyDescent="0.35">
      <c r="B1207" s="369"/>
      <c r="C1207" s="368"/>
      <c r="D1207" s="13">
        <v>29</v>
      </c>
      <c r="E1207" s="399">
        <v>8</v>
      </c>
      <c r="F1207" s="435" t="s">
        <v>90</v>
      </c>
      <c r="G1207" s="435"/>
      <c r="H1207" s="344">
        <v>2.16</v>
      </c>
      <c r="I1207" s="13">
        <v>4192</v>
      </c>
      <c r="J1207" s="344">
        <v>3417</v>
      </c>
      <c r="K1207" s="344">
        <f t="shared" si="200"/>
        <v>1.7606679389312978</v>
      </c>
      <c r="L1207" s="443">
        <f t="shared" si="201"/>
        <v>3.9206679389312979</v>
      </c>
      <c r="M1207" s="444">
        <v>1.4</v>
      </c>
      <c r="N1207" s="344">
        <f t="shared" si="202"/>
        <v>5.4889351145038168</v>
      </c>
      <c r="O1207" s="344">
        <v>6</v>
      </c>
      <c r="U1207" s="744"/>
    </row>
    <row r="1208" spans="2:21" s="13" customFormat="1" ht="14.5" x14ac:dyDescent="0.35">
      <c r="B1208" s="369"/>
      <c r="C1208" s="368"/>
      <c r="D1208" s="13">
        <v>30</v>
      </c>
      <c r="E1208" s="399">
        <v>8</v>
      </c>
      <c r="F1208" s="435" t="s">
        <v>90</v>
      </c>
      <c r="G1208" s="435"/>
      <c r="H1208" s="344">
        <v>2.16</v>
      </c>
      <c r="I1208" s="13">
        <v>4192</v>
      </c>
      <c r="J1208" s="344">
        <v>3417</v>
      </c>
      <c r="K1208" s="344">
        <f t="shared" si="200"/>
        <v>1.7606679389312978</v>
      </c>
      <c r="L1208" s="443">
        <f t="shared" si="201"/>
        <v>3.9206679389312979</v>
      </c>
      <c r="M1208" s="444">
        <v>1.4</v>
      </c>
      <c r="N1208" s="344">
        <f t="shared" si="202"/>
        <v>5.4889351145038168</v>
      </c>
      <c r="O1208" s="344">
        <v>6</v>
      </c>
      <c r="U1208" s="744"/>
    </row>
    <row r="1209" spans="2:21" s="13" customFormat="1" ht="14.5" x14ac:dyDescent="0.35">
      <c r="B1209" s="369"/>
      <c r="C1209" s="368"/>
      <c r="D1209" s="13">
        <v>31</v>
      </c>
      <c r="E1209" s="399">
        <v>8</v>
      </c>
      <c r="F1209" s="435" t="s">
        <v>90</v>
      </c>
      <c r="G1209" s="435"/>
      <c r="H1209" s="344">
        <v>2.16</v>
      </c>
      <c r="I1209" s="13">
        <v>4192</v>
      </c>
      <c r="J1209" s="344">
        <v>3417</v>
      </c>
      <c r="K1209" s="344">
        <f t="shared" si="200"/>
        <v>1.7606679389312978</v>
      </c>
      <c r="L1209" s="443">
        <f t="shared" si="201"/>
        <v>3.9206679389312979</v>
      </c>
      <c r="M1209" s="444">
        <v>1.4</v>
      </c>
      <c r="N1209" s="344">
        <f t="shared" si="202"/>
        <v>5.4889351145038168</v>
      </c>
      <c r="O1209" s="344">
        <v>6</v>
      </c>
      <c r="U1209" s="744"/>
    </row>
    <row r="1210" spans="2:21" s="13" customFormat="1" ht="14.5" x14ac:dyDescent="0.35">
      <c r="B1210" s="369"/>
      <c r="C1210" s="368"/>
      <c r="D1210" s="13">
        <v>32</v>
      </c>
      <c r="E1210" s="399">
        <v>8</v>
      </c>
      <c r="F1210" s="435" t="s">
        <v>90</v>
      </c>
      <c r="G1210" s="435"/>
      <c r="H1210" s="344">
        <v>2.16</v>
      </c>
      <c r="I1210" s="13">
        <v>4192</v>
      </c>
      <c r="J1210" s="344">
        <v>3417</v>
      </c>
      <c r="K1210" s="344">
        <f t="shared" si="200"/>
        <v>1.7606679389312978</v>
      </c>
      <c r="L1210" s="443">
        <f t="shared" si="201"/>
        <v>3.9206679389312979</v>
      </c>
      <c r="M1210" s="444">
        <v>1.4</v>
      </c>
      <c r="N1210" s="344">
        <f t="shared" si="202"/>
        <v>5.4889351145038168</v>
      </c>
      <c r="O1210" s="344">
        <v>6</v>
      </c>
      <c r="U1210" s="744"/>
    </row>
    <row r="1211" spans="2:21" s="13" customFormat="1" ht="14.5" x14ac:dyDescent="0.35">
      <c r="B1211" s="369"/>
      <c r="C1211" s="368"/>
      <c r="D1211" s="13">
        <v>33</v>
      </c>
      <c r="E1211" s="399">
        <v>8</v>
      </c>
      <c r="F1211" s="435" t="s">
        <v>90</v>
      </c>
      <c r="G1211" s="435"/>
      <c r="H1211" s="344">
        <v>2.16</v>
      </c>
      <c r="I1211" s="13">
        <v>4192</v>
      </c>
      <c r="J1211" s="344">
        <v>3417</v>
      </c>
      <c r="K1211" s="344">
        <f t="shared" si="200"/>
        <v>1.7606679389312978</v>
      </c>
      <c r="L1211" s="443">
        <f t="shared" si="201"/>
        <v>3.9206679389312979</v>
      </c>
      <c r="M1211" s="444">
        <v>1.4</v>
      </c>
      <c r="N1211" s="344">
        <f t="shared" si="202"/>
        <v>5.4889351145038168</v>
      </c>
      <c r="O1211" s="344">
        <v>6</v>
      </c>
      <c r="U1211" s="744"/>
    </row>
    <row r="1212" spans="2:21" s="13" customFormat="1" ht="14.5" x14ac:dyDescent="0.35">
      <c r="B1212" s="369"/>
      <c r="C1212" s="368"/>
      <c r="D1212" s="13">
        <v>34</v>
      </c>
      <c r="E1212" s="399">
        <v>8</v>
      </c>
      <c r="F1212" s="435" t="s">
        <v>90</v>
      </c>
      <c r="G1212" s="435"/>
      <c r="H1212" s="344">
        <v>2.16</v>
      </c>
      <c r="I1212" s="13">
        <v>4192</v>
      </c>
      <c r="J1212" s="344">
        <v>3417</v>
      </c>
      <c r="K1212" s="344">
        <f t="shared" si="200"/>
        <v>1.7606679389312978</v>
      </c>
      <c r="L1212" s="443">
        <f t="shared" si="201"/>
        <v>3.9206679389312979</v>
      </c>
      <c r="M1212" s="444">
        <v>1.4</v>
      </c>
      <c r="N1212" s="344">
        <f t="shared" si="202"/>
        <v>5.4889351145038168</v>
      </c>
      <c r="O1212" s="344">
        <v>6</v>
      </c>
      <c r="U1212" s="744"/>
    </row>
    <row r="1213" spans="2:21" customFormat="1" ht="14.5" x14ac:dyDescent="0.35">
      <c r="B1213" s="3"/>
      <c r="C1213" s="232" t="s">
        <v>1692</v>
      </c>
      <c r="E1213" s="366"/>
      <c r="F1213" s="245"/>
      <c r="G1213" s="245"/>
      <c r="H1213" s="173"/>
      <c r="J1213" s="173"/>
      <c r="K1213" s="173"/>
      <c r="L1213" s="402"/>
      <c r="M1213" s="174"/>
      <c r="N1213" s="173"/>
      <c r="O1213" s="173"/>
      <c r="P1213" s="13"/>
      <c r="U1213" s="420"/>
    </row>
    <row r="1214" spans="2:21" customFormat="1" ht="14.5" hidden="1" x14ac:dyDescent="0.35">
      <c r="B1214" s="3"/>
      <c r="C1214" s="597" t="s">
        <v>1611</v>
      </c>
      <c r="D1214" s="92"/>
      <c r="E1214" s="745">
        <v>4</v>
      </c>
      <c r="F1214" s="371" t="s">
        <v>505</v>
      </c>
      <c r="G1214" s="371"/>
      <c r="H1214" s="176">
        <v>1.65</v>
      </c>
      <c r="I1214" s="12">
        <v>6149</v>
      </c>
      <c r="J1214" s="176">
        <f t="shared" ref="J1214:J1227" si="203">5832-600</f>
        <v>5232</v>
      </c>
      <c r="K1214" s="410">
        <f t="shared" ref="K1214:K1227" si="204">+H1214/I1214*J1214</f>
        <v>1.4039355992844365</v>
      </c>
      <c r="L1214" s="176">
        <f t="shared" ref="L1214:L1227" si="205">+H1214+K1214</f>
        <v>3.0539355992844364</v>
      </c>
      <c r="M1214" s="411"/>
      <c r="N1214" s="176">
        <f t="shared" ref="N1214:N1227" si="206">+L1214*1.4</f>
        <v>4.2755098389982109</v>
      </c>
      <c r="O1214" s="176">
        <v>5</v>
      </c>
      <c r="P1214" s="13"/>
      <c r="S1214" t="s">
        <v>12</v>
      </c>
      <c r="T1214" s="6">
        <v>46026</v>
      </c>
    </row>
    <row r="1215" spans="2:21" customFormat="1" ht="14.5" hidden="1" x14ac:dyDescent="0.35">
      <c r="B1215" s="3"/>
      <c r="C1215" s="597" t="s">
        <v>1611</v>
      </c>
      <c r="D1215" s="92"/>
      <c r="E1215" s="745">
        <v>4</v>
      </c>
      <c r="F1215" s="371" t="s">
        <v>505</v>
      </c>
      <c r="G1215" s="371"/>
      <c r="H1215" s="176">
        <v>1.65</v>
      </c>
      <c r="I1215" s="12">
        <v>6149</v>
      </c>
      <c r="J1215" s="176">
        <f t="shared" si="203"/>
        <v>5232</v>
      </c>
      <c r="K1215" s="410">
        <f t="shared" si="204"/>
        <v>1.4039355992844365</v>
      </c>
      <c r="L1215" s="176">
        <f t="shared" si="205"/>
        <v>3.0539355992844364</v>
      </c>
      <c r="M1215" s="411"/>
      <c r="N1215" s="176">
        <f t="shared" si="206"/>
        <v>4.2755098389982109</v>
      </c>
      <c r="O1215" s="176">
        <v>5</v>
      </c>
      <c r="P1215" s="13"/>
      <c r="S1215" t="s">
        <v>12</v>
      </c>
      <c r="T1215" s="6">
        <v>46080</v>
      </c>
    </row>
    <row r="1216" spans="2:21" customFormat="1" ht="14.5" hidden="1" x14ac:dyDescent="0.35">
      <c r="B1216" s="3"/>
      <c r="C1216" s="597" t="s">
        <v>1611</v>
      </c>
      <c r="D1216" s="92"/>
      <c r="E1216" s="745">
        <v>4</v>
      </c>
      <c r="F1216" s="371" t="s">
        <v>505</v>
      </c>
      <c r="G1216" s="371"/>
      <c r="H1216" s="176">
        <v>1.65</v>
      </c>
      <c r="I1216" s="12">
        <v>6149</v>
      </c>
      <c r="J1216" s="176">
        <f t="shared" si="203"/>
        <v>5232</v>
      </c>
      <c r="K1216" s="410">
        <f t="shared" si="204"/>
        <v>1.4039355992844365</v>
      </c>
      <c r="L1216" s="176">
        <f t="shared" si="205"/>
        <v>3.0539355992844364</v>
      </c>
      <c r="M1216" s="411"/>
      <c r="N1216" s="176">
        <f t="shared" si="206"/>
        <v>4.2755098389982109</v>
      </c>
      <c r="O1216" s="176">
        <v>5</v>
      </c>
      <c r="P1216" s="13"/>
      <c r="S1216" t="s">
        <v>12</v>
      </c>
      <c r="T1216" s="6">
        <v>46080</v>
      </c>
    </row>
    <row r="1217" spans="1:20" customFormat="1" ht="14.5" hidden="1" x14ac:dyDescent="0.35">
      <c r="B1217" s="3"/>
      <c r="C1217" s="597" t="s">
        <v>1611</v>
      </c>
      <c r="D1217" s="92"/>
      <c r="E1217" s="745">
        <v>4</v>
      </c>
      <c r="F1217" s="371" t="s">
        <v>505</v>
      </c>
      <c r="G1217" s="371"/>
      <c r="H1217" s="176">
        <v>1.65</v>
      </c>
      <c r="I1217" s="12">
        <v>6149</v>
      </c>
      <c r="J1217" s="176">
        <f t="shared" si="203"/>
        <v>5232</v>
      </c>
      <c r="K1217" s="410">
        <f t="shared" si="204"/>
        <v>1.4039355992844365</v>
      </c>
      <c r="L1217" s="176">
        <f t="shared" si="205"/>
        <v>3.0539355992844364</v>
      </c>
      <c r="M1217" s="411"/>
      <c r="N1217" s="176">
        <f t="shared" si="206"/>
        <v>4.2755098389982109</v>
      </c>
      <c r="O1217" s="176">
        <v>5</v>
      </c>
      <c r="P1217" s="13"/>
      <c r="S1217" t="s">
        <v>12</v>
      </c>
      <c r="T1217" s="6">
        <v>46100</v>
      </c>
    </row>
    <row r="1218" spans="1:20" customFormat="1" ht="14.5" hidden="1" x14ac:dyDescent="0.35">
      <c r="B1218" s="3"/>
      <c r="C1218" s="597" t="s">
        <v>1611</v>
      </c>
      <c r="D1218" s="92"/>
      <c r="E1218" s="745">
        <v>4</v>
      </c>
      <c r="F1218" s="371" t="s">
        <v>505</v>
      </c>
      <c r="G1218" s="371"/>
      <c r="H1218" s="176">
        <v>1.65</v>
      </c>
      <c r="I1218" s="12">
        <v>6149</v>
      </c>
      <c r="J1218" s="176">
        <f t="shared" si="203"/>
        <v>5232</v>
      </c>
      <c r="K1218" s="410">
        <f t="shared" si="204"/>
        <v>1.4039355992844365</v>
      </c>
      <c r="L1218" s="176">
        <f t="shared" si="205"/>
        <v>3.0539355992844364</v>
      </c>
      <c r="M1218" s="411"/>
      <c r="N1218" s="176">
        <f t="shared" si="206"/>
        <v>4.2755098389982109</v>
      </c>
      <c r="O1218" s="176">
        <v>5</v>
      </c>
      <c r="S1218" t="s">
        <v>12</v>
      </c>
      <c r="T1218" s="6">
        <v>46116</v>
      </c>
    </row>
    <row r="1219" spans="1:20" customFormat="1" ht="14.5" hidden="1" x14ac:dyDescent="0.35">
      <c r="B1219" s="3"/>
      <c r="C1219" s="597" t="s">
        <v>1611</v>
      </c>
      <c r="D1219" s="92"/>
      <c r="E1219" s="745">
        <v>4</v>
      </c>
      <c r="F1219" s="371" t="s">
        <v>505</v>
      </c>
      <c r="G1219" s="371"/>
      <c r="H1219" s="176">
        <v>1.65</v>
      </c>
      <c r="I1219" s="12">
        <v>6149</v>
      </c>
      <c r="J1219" s="176">
        <f t="shared" si="203"/>
        <v>5232</v>
      </c>
      <c r="K1219" s="410">
        <f t="shared" si="204"/>
        <v>1.4039355992844365</v>
      </c>
      <c r="L1219" s="176">
        <f t="shared" si="205"/>
        <v>3.0539355992844364</v>
      </c>
      <c r="M1219" s="411"/>
      <c r="N1219" s="176">
        <f t="shared" si="206"/>
        <v>4.2755098389982109</v>
      </c>
      <c r="O1219" s="176">
        <v>5</v>
      </c>
      <c r="S1219" t="s">
        <v>12</v>
      </c>
      <c r="T1219" s="6">
        <v>46116</v>
      </c>
    </row>
    <row r="1220" spans="1:20" customFormat="1" ht="14.5" hidden="1" x14ac:dyDescent="0.35">
      <c r="B1220" s="3"/>
      <c r="C1220" s="597" t="s">
        <v>1611</v>
      </c>
      <c r="D1220" s="92"/>
      <c r="E1220" s="745">
        <v>4</v>
      </c>
      <c r="F1220" s="371" t="s">
        <v>505</v>
      </c>
      <c r="G1220" s="371"/>
      <c r="H1220" s="176">
        <v>1.65</v>
      </c>
      <c r="I1220" s="12">
        <v>6149</v>
      </c>
      <c r="J1220" s="176">
        <f t="shared" si="203"/>
        <v>5232</v>
      </c>
      <c r="K1220" s="410">
        <f t="shared" si="204"/>
        <v>1.4039355992844365</v>
      </c>
      <c r="L1220" s="176">
        <f t="shared" si="205"/>
        <v>3.0539355992844364</v>
      </c>
      <c r="M1220" s="411"/>
      <c r="N1220" s="176">
        <f t="shared" si="206"/>
        <v>4.2755098389982109</v>
      </c>
      <c r="O1220" s="176">
        <v>5</v>
      </c>
      <c r="S1220" t="s">
        <v>12</v>
      </c>
      <c r="T1220" s="6">
        <v>46116</v>
      </c>
    </row>
    <row r="1221" spans="1:20" customFormat="1" ht="14.5" hidden="1" x14ac:dyDescent="0.35">
      <c r="B1221" s="3"/>
      <c r="C1221" s="597" t="s">
        <v>1611</v>
      </c>
      <c r="D1221" s="92"/>
      <c r="E1221" s="745">
        <v>4</v>
      </c>
      <c r="F1221" s="371" t="s">
        <v>505</v>
      </c>
      <c r="G1221" s="371"/>
      <c r="H1221" s="176">
        <v>1.65</v>
      </c>
      <c r="I1221" s="12">
        <v>6149</v>
      </c>
      <c r="J1221" s="176">
        <f t="shared" si="203"/>
        <v>5232</v>
      </c>
      <c r="K1221" s="410">
        <f t="shared" si="204"/>
        <v>1.4039355992844365</v>
      </c>
      <c r="L1221" s="176">
        <f t="shared" si="205"/>
        <v>3.0539355992844364</v>
      </c>
      <c r="M1221" s="411"/>
      <c r="N1221" s="176">
        <f t="shared" si="206"/>
        <v>4.2755098389982109</v>
      </c>
      <c r="O1221" s="176">
        <v>5</v>
      </c>
      <c r="S1221" t="s">
        <v>12</v>
      </c>
      <c r="T1221" s="6">
        <v>46123</v>
      </c>
    </row>
    <row r="1222" spans="1:20" customFormat="1" ht="14.5" x14ac:dyDescent="0.35">
      <c r="B1222" s="3"/>
      <c r="C1222" s="597" t="s">
        <v>1611</v>
      </c>
      <c r="D1222" s="92"/>
      <c r="E1222" s="745">
        <v>4</v>
      </c>
      <c r="F1222" s="245" t="s">
        <v>505</v>
      </c>
      <c r="G1222" s="245"/>
      <c r="H1222" s="173">
        <v>1.65</v>
      </c>
      <c r="I1222">
        <v>6149</v>
      </c>
      <c r="J1222" s="173">
        <f t="shared" si="203"/>
        <v>5232</v>
      </c>
      <c r="K1222" s="402">
        <f t="shared" si="204"/>
        <v>1.4039355992844365</v>
      </c>
      <c r="L1222" s="173">
        <f t="shared" si="205"/>
        <v>3.0539355992844364</v>
      </c>
      <c r="M1222" s="174"/>
      <c r="N1222" s="173">
        <f t="shared" si="206"/>
        <v>4.2755098389982109</v>
      </c>
      <c r="O1222" s="173">
        <v>5</v>
      </c>
    </row>
    <row r="1223" spans="1:20" s="13" customFormat="1" ht="14.5" x14ac:dyDescent="0.35">
      <c r="B1223" s="369"/>
      <c r="C1223" s="368" t="s">
        <v>1611</v>
      </c>
      <c r="E1223" s="399">
        <v>4</v>
      </c>
      <c r="F1223" s="435" t="s">
        <v>505</v>
      </c>
      <c r="G1223" s="435"/>
      <c r="H1223" s="344">
        <v>1.65</v>
      </c>
      <c r="I1223" s="13">
        <v>6149</v>
      </c>
      <c r="J1223" s="344">
        <f t="shared" si="203"/>
        <v>5232</v>
      </c>
      <c r="K1223" s="443">
        <f t="shared" si="204"/>
        <v>1.4039355992844365</v>
      </c>
      <c r="L1223" s="344">
        <f t="shared" si="205"/>
        <v>3.0539355992844364</v>
      </c>
      <c r="M1223" s="444"/>
      <c r="N1223" s="344">
        <f t="shared" si="206"/>
        <v>4.2755098389982109</v>
      </c>
      <c r="O1223" s="344">
        <v>5</v>
      </c>
    </row>
    <row r="1224" spans="1:20" s="13" customFormat="1" ht="14.5" x14ac:dyDescent="0.35">
      <c r="B1224" s="369"/>
      <c r="C1224" s="368" t="s">
        <v>1611</v>
      </c>
      <c r="E1224" s="399">
        <v>4</v>
      </c>
      <c r="F1224" s="435" t="s">
        <v>505</v>
      </c>
      <c r="G1224" s="435"/>
      <c r="H1224" s="344">
        <v>1.65</v>
      </c>
      <c r="I1224" s="13">
        <v>6149</v>
      </c>
      <c r="J1224" s="344">
        <f t="shared" si="203"/>
        <v>5232</v>
      </c>
      <c r="K1224" s="443">
        <f t="shared" si="204"/>
        <v>1.4039355992844365</v>
      </c>
      <c r="L1224" s="344">
        <f t="shared" si="205"/>
        <v>3.0539355992844364</v>
      </c>
      <c r="M1224" s="444"/>
      <c r="N1224" s="344">
        <f t="shared" si="206"/>
        <v>4.2755098389982109</v>
      </c>
      <c r="O1224" s="344">
        <v>5</v>
      </c>
    </row>
    <row r="1225" spans="1:20" s="13" customFormat="1" ht="14.5" x14ac:dyDescent="0.35">
      <c r="B1225" s="369"/>
      <c r="C1225" s="368" t="s">
        <v>1611</v>
      </c>
      <c r="E1225" s="399">
        <v>4</v>
      </c>
      <c r="F1225" s="435" t="s">
        <v>505</v>
      </c>
      <c r="G1225" s="435"/>
      <c r="H1225" s="344">
        <v>1.65</v>
      </c>
      <c r="I1225" s="13">
        <v>6149</v>
      </c>
      <c r="J1225" s="344">
        <f t="shared" si="203"/>
        <v>5232</v>
      </c>
      <c r="K1225" s="443">
        <f t="shared" si="204"/>
        <v>1.4039355992844365</v>
      </c>
      <c r="L1225" s="344">
        <f t="shared" si="205"/>
        <v>3.0539355992844364</v>
      </c>
      <c r="M1225" s="444"/>
      <c r="N1225" s="344">
        <f t="shared" si="206"/>
        <v>4.2755098389982109</v>
      </c>
      <c r="O1225" s="344">
        <v>5</v>
      </c>
    </row>
    <row r="1226" spans="1:20" s="13" customFormat="1" ht="14.5" x14ac:dyDescent="0.35">
      <c r="B1226" s="369"/>
      <c r="C1226" s="368" t="s">
        <v>1611</v>
      </c>
      <c r="E1226" s="399">
        <v>4</v>
      </c>
      <c r="F1226" s="435" t="s">
        <v>505</v>
      </c>
      <c r="G1226" s="435"/>
      <c r="H1226" s="344">
        <v>1.65</v>
      </c>
      <c r="I1226" s="13">
        <v>6149</v>
      </c>
      <c r="J1226" s="344">
        <f t="shared" si="203"/>
        <v>5232</v>
      </c>
      <c r="K1226" s="443">
        <f t="shared" si="204"/>
        <v>1.4039355992844365</v>
      </c>
      <c r="L1226" s="344">
        <f t="shared" si="205"/>
        <v>3.0539355992844364</v>
      </c>
      <c r="M1226" s="444"/>
      <c r="N1226" s="344">
        <f t="shared" si="206"/>
        <v>4.2755098389982109</v>
      </c>
      <c r="O1226" s="344">
        <v>5</v>
      </c>
    </row>
    <row r="1227" spans="1:20" s="13" customFormat="1" ht="14.5" x14ac:dyDescent="0.35">
      <c r="B1227" s="369"/>
      <c r="C1227" s="368" t="s">
        <v>1611</v>
      </c>
      <c r="E1227" s="399">
        <v>4</v>
      </c>
      <c r="F1227" s="435" t="s">
        <v>505</v>
      </c>
      <c r="G1227" s="435"/>
      <c r="H1227" s="344">
        <v>1.65</v>
      </c>
      <c r="I1227" s="13">
        <v>6149</v>
      </c>
      <c r="J1227" s="344">
        <f t="shared" si="203"/>
        <v>5232</v>
      </c>
      <c r="K1227" s="443">
        <f t="shared" si="204"/>
        <v>1.4039355992844365</v>
      </c>
      <c r="L1227" s="344">
        <f t="shared" si="205"/>
        <v>3.0539355992844364</v>
      </c>
      <c r="M1227" s="444"/>
      <c r="N1227" s="344">
        <f t="shared" si="206"/>
        <v>4.2755098389982109</v>
      </c>
      <c r="O1227" s="344">
        <v>5</v>
      </c>
    </row>
    <row r="1228" spans="1:20" s="13" customFormat="1" ht="14.5" x14ac:dyDescent="0.35">
      <c r="A1228" s="369"/>
      <c r="B1228" s="369"/>
      <c r="C1228" s="368" t="s">
        <v>1611</v>
      </c>
      <c r="E1228" s="399">
        <v>5</v>
      </c>
      <c r="F1228" s="435" t="s">
        <v>505</v>
      </c>
      <c r="G1228" s="435"/>
      <c r="H1228" s="344">
        <v>1.65</v>
      </c>
      <c r="I1228" s="13">
        <v>6149</v>
      </c>
      <c r="J1228" s="344">
        <f t="shared" ref="J1228:J1237" si="207">5832-600</f>
        <v>5232</v>
      </c>
      <c r="K1228" s="443">
        <f t="shared" ref="K1228:K1237" si="208">+H1228/I1228*J1228</f>
        <v>1.4039355992844365</v>
      </c>
      <c r="L1228" s="344">
        <f t="shared" ref="L1228:L1237" si="209">+H1228+K1228</f>
        <v>3.0539355992844364</v>
      </c>
      <c r="M1228" s="444"/>
      <c r="N1228" s="344">
        <f t="shared" ref="N1228:N1237" si="210">+L1228*1.4</f>
        <v>4.2755098389982109</v>
      </c>
      <c r="O1228" s="344">
        <v>5</v>
      </c>
    </row>
    <row r="1229" spans="1:20" s="13" customFormat="1" ht="14.5" x14ac:dyDescent="0.35">
      <c r="A1229" s="369"/>
      <c r="B1229" s="369"/>
      <c r="C1229" s="368" t="s">
        <v>1611</v>
      </c>
      <c r="E1229" s="399">
        <v>5</v>
      </c>
      <c r="F1229" s="435" t="s">
        <v>505</v>
      </c>
      <c r="G1229" s="435"/>
      <c r="H1229" s="344">
        <v>1.65</v>
      </c>
      <c r="I1229" s="13">
        <v>6149</v>
      </c>
      <c r="J1229" s="344">
        <f t="shared" si="207"/>
        <v>5232</v>
      </c>
      <c r="K1229" s="443">
        <f t="shared" si="208"/>
        <v>1.4039355992844365</v>
      </c>
      <c r="L1229" s="344">
        <f t="shared" si="209"/>
        <v>3.0539355992844364</v>
      </c>
      <c r="M1229" s="444"/>
      <c r="N1229" s="344">
        <f t="shared" si="210"/>
        <v>4.2755098389982109</v>
      </c>
      <c r="O1229" s="344">
        <v>5</v>
      </c>
    </row>
    <row r="1230" spans="1:20" s="13" customFormat="1" ht="14.5" x14ac:dyDescent="0.35">
      <c r="A1230" s="369"/>
      <c r="B1230" s="369"/>
      <c r="C1230" s="368" t="s">
        <v>1611</v>
      </c>
      <c r="E1230" s="399">
        <v>5</v>
      </c>
      <c r="F1230" s="435" t="s">
        <v>505</v>
      </c>
      <c r="G1230" s="435"/>
      <c r="H1230" s="344">
        <v>1.65</v>
      </c>
      <c r="I1230" s="13">
        <v>6149</v>
      </c>
      <c r="J1230" s="344">
        <f t="shared" si="207"/>
        <v>5232</v>
      </c>
      <c r="K1230" s="443">
        <f t="shared" si="208"/>
        <v>1.4039355992844365</v>
      </c>
      <c r="L1230" s="344">
        <f t="shared" si="209"/>
        <v>3.0539355992844364</v>
      </c>
      <c r="M1230" s="444"/>
      <c r="N1230" s="344">
        <f t="shared" si="210"/>
        <v>4.2755098389982109</v>
      </c>
      <c r="O1230" s="344">
        <v>5</v>
      </c>
    </row>
    <row r="1231" spans="1:20" s="13" customFormat="1" ht="14.5" x14ac:dyDescent="0.35">
      <c r="A1231" s="369"/>
      <c r="B1231" s="369"/>
      <c r="C1231" s="368" t="s">
        <v>1611</v>
      </c>
      <c r="E1231" s="399">
        <v>5</v>
      </c>
      <c r="F1231" s="435" t="s">
        <v>505</v>
      </c>
      <c r="G1231" s="435"/>
      <c r="H1231" s="344">
        <v>1.65</v>
      </c>
      <c r="I1231" s="13">
        <v>6149</v>
      </c>
      <c r="J1231" s="344">
        <f t="shared" si="207"/>
        <v>5232</v>
      </c>
      <c r="K1231" s="443">
        <f t="shared" si="208"/>
        <v>1.4039355992844365</v>
      </c>
      <c r="L1231" s="344">
        <f t="shared" si="209"/>
        <v>3.0539355992844364</v>
      </c>
      <c r="M1231" s="444"/>
      <c r="N1231" s="344">
        <f t="shared" si="210"/>
        <v>4.2755098389982109</v>
      </c>
      <c r="O1231" s="344">
        <v>5</v>
      </c>
    </row>
    <row r="1232" spans="1:20" s="13" customFormat="1" ht="14.5" x14ac:dyDescent="0.35">
      <c r="A1232" s="369"/>
      <c r="B1232" s="369"/>
      <c r="C1232" s="368" t="s">
        <v>1611</v>
      </c>
      <c r="E1232" s="399">
        <v>5</v>
      </c>
      <c r="F1232" s="435" t="s">
        <v>505</v>
      </c>
      <c r="G1232" s="435"/>
      <c r="H1232" s="344">
        <v>1.65</v>
      </c>
      <c r="I1232" s="13">
        <v>6149</v>
      </c>
      <c r="J1232" s="344">
        <f t="shared" si="207"/>
        <v>5232</v>
      </c>
      <c r="K1232" s="443">
        <f t="shared" si="208"/>
        <v>1.4039355992844365</v>
      </c>
      <c r="L1232" s="344">
        <f t="shared" si="209"/>
        <v>3.0539355992844364</v>
      </c>
      <c r="M1232" s="444"/>
      <c r="N1232" s="344">
        <f t="shared" si="210"/>
        <v>4.2755098389982109</v>
      </c>
      <c r="O1232" s="344">
        <v>5</v>
      </c>
    </row>
    <row r="1233" spans="1:20" s="13" customFormat="1" ht="14.5" x14ac:dyDescent="0.35">
      <c r="A1233" s="369"/>
      <c r="B1233" s="369"/>
      <c r="C1233" s="368" t="s">
        <v>1611</v>
      </c>
      <c r="E1233" s="399">
        <v>5</v>
      </c>
      <c r="F1233" s="435" t="s">
        <v>505</v>
      </c>
      <c r="G1233" s="435"/>
      <c r="H1233" s="344">
        <v>1.65</v>
      </c>
      <c r="I1233" s="13">
        <v>6149</v>
      </c>
      <c r="J1233" s="344">
        <f t="shared" si="207"/>
        <v>5232</v>
      </c>
      <c r="K1233" s="443">
        <f t="shared" si="208"/>
        <v>1.4039355992844365</v>
      </c>
      <c r="L1233" s="344">
        <f t="shared" si="209"/>
        <v>3.0539355992844364</v>
      </c>
      <c r="M1233" s="444"/>
      <c r="N1233" s="344">
        <f t="shared" si="210"/>
        <v>4.2755098389982109</v>
      </c>
      <c r="O1233" s="344">
        <v>5</v>
      </c>
    </row>
    <row r="1234" spans="1:20" s="13" customFormat="1" ht="14.5" x14ac:dyDescent="0.35">
      <c r="A1234" s="369"/>
      <c r="B1234" s="369"/>
      <c r="C1234" s="368" t="s">
        <v>1611</v>
      </c>
      <c r="E1234" s="399">
        <v>5</v>
      </c>
      <c r="F1234" s="435" t="s">
        <v>505</v>
      </c>
      <c r="G1234" s="435"/>
      <c r="H1234" s="344">
        <v>1.65</v>
      </c>
      <c r="I1234" s="13">
        <v>6149</v>
      </c>
      <c r="J1234" s="344">
        <f t="shared" si="207"/>
        <v>5232</v>
      </c>
      <c r="K1234" s="443">
        <f t="shared" si="208"/>
        <v>1.4039355992844365</v>
      </c>
      <c r="L1234" s="344">
        <f t="shared" si="209"/>
        <v>3.0539355992844364</v>
      </c>
      <c r="M1234" s="444"/>
      <c r="N1234" s="344">
        <f t="shared" si="210"/>
        <v>4.2755098389982109</v>
      </c>
      <c r="O1234" s="344">
        <v>5</v>
      </c>
    </row>
    <row r="1235" spans="1:20" s="13" customFormat="1" ht="14.5" x14ac:dyDescent="0.35">
      <c r="A1235" s="369"/>
      <c r="B1235" s="369"/>
      <c r="C1235" s="368" t="s">
        <v>1611</v>
      </c>
      <c r="E1235" s="399">
        <v>5</v>
      </c>
      <c r="F1235" s="435" t="s">
        <v>505</v>
      </c>
      <c r="G1235" s="435"/>
      <c r="H1235" s="344">
        <v>1.65</v>
      </c>
      <c r="I1235" s="13">
        <v>6149</v>
      </c>
      <c r="J1235" s="344">
        <f t="shared" si="207"/>
        <v>5232</v>
      </c>
      <c r="K1235" s="443">
        <f t="shared" si="208"/>
        <v>1.4039355992844365</v>
      </c>
      <c r="L1235" s="344">
        <f t="shared" si="209"/>
        <v>3.0539355992844364</v>
      </c>
      <c r="M1235" s="444"/>
      <c r="N1235" s="344">
        <f t="shared" si="210"/>
        <v>4.2755098389982109</v>
      </c>
      <c r="O1235" s="344">
        <v>5</v>
      </c>
    </row>
    <row r="1236" spans="1:20" s="13" customFormat="1" ht="14.5" x14ac:dyDescent="0.35">
      <c r="A1236" s="369"/>
      <c r="B1236" s="369"/>
      <c r="C1236" s="368" t="s">
        <v>1611</v>
      </c>
      <c r="E1236" s="399">
        <v>5</v>
      </c>
      <c r="F1236" s="435" t="s">
        <v>505</v>
      </c>
      <c r="G1236" s="435"/>
      <c r="H1236" s="344">
        <v>1.65</v>
      </c>
      <c r="I1236" s="13">
        <v>6149</v>
      </c>
      <c r="J1236" s="344">
        <f t="shared" si="207"/>
        <v>5232</v>
      </c>
      <c r="K1236" s="443">
        <f t="shared" si="208"/>
        <v>1.4039355992844365</v>
      </c>
      <c r="L1236" s="344">
        <f t="shared" si="209"/>
        <v>3.0539355992844364</v>
      </c>
      <c r="M1236" s="444"/>
      <c r="N1236" s="344">
        <f t="shared" si="210"/>
        <v>4.2755098389982109</v>
      </c>
      <c r="O1236" s="344">
        <v>5</v>
      </c>
    </row>
    <row r="1237" spans="1:20" s="13" customFormat="1" ht="14.5" x14ac:dyDescent="0.35">
      <c r="A1237" s="369"/>
      <c r="B1237" s="369"/>
      <c r="C1237" s="368" t="s">
        <v>1611</v>
      </c>
      <c r="E1237" s="399">
        <v>5</v>
      </c>
      <c r="F1237" s="435" t="s">
        <v>505</v>
      </c>
      <c r="G1237" s="435"/>
      <c r="H1237" s="344">
        <v>1.65</v>
      </c>
      <c r="I1237" s="13">
        <v>6149</v>
      </c>
      <c r="J1237" s="344">
        <f t="shared" si="207"/>
        <v>5232</v>
      </c>
      <c r="K1237" s="443">
        <f t="shared" si="208"/>
        <v>1.4039355992844365</v>
      </c>
      <c r="L1237" s="344">
        <f t="shared" si="209"/>
        <v>3.0539355992844364</v>
      </c>
      <c r="M1237" s="444"/>
      <c r="N1237" s="344">
        <f t="shared" si="210"/>
        <v>4.2755098389982109</v>
      </c>
      <c r="O1237" s="344">
        <v>5</v>
      </c>
    </row>
    <row r="1238" spans="1:20" s="13" customFormat="1" ht="14.5" x14ac:dyDescent="0.35">
      <c r="A1238" s="369"/>
      <c r="B1238" s="369"/>
      <c r="C1238" s="368" t="s">
        <v>1611</v>
      </c>
      <c r="E1238" s="399">
        <v>5</v>
      </c>
      <c r="F1238" s="435" t="s">
        <v>1593</v>
      </c>
      <c r="G1238" s="435"/>
      <c r="H1238" s="344">
        <v>1.65</v>
      </c>
      <c r="I1238" s="13">
        <v>6149</v>
      </c>
      <c r="J1238" s="344">
        <f t="shared" ref="J1238:J1243" si="211">5832-600</f>
        <v>5232</v>
      </c>
      <c r="K1238" s="443">
        <f t="shared" ref="K1238:K1243" si="212">+H1238/I1238*J1238</f>
        <v>1.4039355992844365</v>
      </c>
      <c r="L1238" s="344">
        <f t="shared" ref="L1238:L1243" si="213">+H1238+K1238</f>
        <v>3.0539355992844364</v>
      </c>
      <c r="M1238" s="444"/>
      <c r="N1238" s="344">
        <f t="shared" ref="N1238:N1243" si="214">+L1238*1.4</f>
        <v>4.2755098389982109</v>
      </c>
      <c r="O1238" s="344">
        <v>5</v>
      </c>
    </row>
    <row r="1239" spans="1:20" s="13" customFormat="1" ht="14.5" x14ac:dyDescent="0.35">
      <c r="A1239" s="369"/>
      <c r="B1239" s="369"/>
      <c r="C1239" s="368" t="s">
        <v>1611</v>
      </c>
      <c r="E1239" s="399">
        <v>5</v>
      </c>
      <c r="F1239" s="435" t="s">
        <v>1593</v>
      </c>
      <c r="G1239" s="435"/>
      <c r="H1239" s="344">
        <v>1.65</v>
      </c>
      <c r="I1239" s="13">
        <v>6149</v>
      </c>
      <c r="J1239" s="344">
        <f t="shared" si="211"/>
        <v>5232</v>
      </c>
      <c r="K1239" s="443">
        <f t="shared" si="212"/>
        <v>1.4039355992844365</v>
      </c>
      <c r="L1239" s="344">
        <f t="shared" si="213"/>
        <v>3.0539355992844364</v>
      </c>
      <c r="M1239" s="444"/>
      <c r="N1239" s="344">
        <f t="shared" si="214"/>
        <v>4.2755098389982109</v>
      </c>
      <c r="O1239" s="344">
        <v>5</v>
      </c>
    </row>
    <row r="1240" spans="1:20" s="13" customFormat="1" ht="14.5" x14ac:dyDescent="0.35">
      <c r="A1240" s="369"/>
      <c r="B1240" s="369"/>
      <c r="C1240" s="368" t="s">
        <v>1611</v>
      </c>
      <c r="E1240" s="399">
        <v>5</v>
      </c>
      <c r="F1240" s="435" t="s">
        <v>1593</v>
      </c>
      <c r="G1240" s="435"/>
      <c r="H1240" s="344">
        <v>1.65</v>
      </c>
      <c r="I1240" s="13">
        <v>6149</v>
      </c>
      <c r="J1240" s="344">
        <f t="shared" si="211"/>
        <v>5232</v>
      </c>
      <c r="K1240" s="443">
        <f t="shared" si="212"/>
        <v>1.4039355992844365</v>
      </c>
      <c r="L1240" s="344">
        <f t="shared" si="213"/>
        <v>3.0539355992844364</v>
      </c>
      <c r="M1240" s="444"/>
      <c r="N1240" s="344">
        <f t="shared" si="214"/>
        <v>4.2755098389982109</v>
      </c>
      <c r="O1240" s="344">
        <v>5</v>
      </c>
    </row>
    <row r="1241" spans="1:20" s="13" customFormat="1" ht="14.5" x14ac:dyDescent="0.35">
      <c r="A1241" s="369"/>
      <c r="B1241" s="369"/>
      <c r="C1241" s="368" t="s">
        <v>1611</v>
      </c>
      <c r="E1241" s="399">
        <v>5</v>
      </c>
      <c r="F1241" s="435" t="s">
        <v>1593</v>
      </c>
      <c r="G1241" s="435"/>
      <c r="H1241" s="344">
        <v>1.65</v>
      </c>
      <c r="I1241" s="13">
        <v>6149</v>
      </c>
      <c r="J1241" s="344">
        <f t="shared" si="211"/>
        <v>5232</v>
      </c>
      <c r="K1241" s="443">
        <f t="shared" si="212"/>
        <v>1.4039355992844365</v>
      </c>
      <c r="L1241" s="344">
        <f t="shared" si="213"/>
        <v>3.0539355992844364</v>
      </c>
      <c r="M1241" s="444"/>
      <c r="N1241" s="344">
        <f t="shared" si="214"/>
        <v>4.2755098389982109</v>
      </c>
      <c r="O1241" s="344">
        <v>5</v>
      </c>
    </row>
    <row r="1242" spans="1:20" s="13" customFormat="1" ht="14.5" x14ac:dyDescent="0.35">
      <c r="B1242" s="369"/>
      <c r="C1242" s="368" t="s">
        <v>1611</v>
      </c>
      <c r="E1242" s="399">
        <v>5</v>
      </c>
      <c r="F1242" s="435" t="s">
        <v>1593</v>
      </c>
      <c r="G1242" s="435"/>
      <c r="H1242" s="344">
        <v>1.65</v>
      </c>
      <c r="I1242" s="13">
        <v>6149</v>
      </c>
      <c r="J1242" s="344">
        <f t="shared" si="211"/>
        <v>5232</v>
      </c>
      <c r="K1242" s="443">
        <f t="shared" si="212"/>
        <v>1.4039355992844365</v>
      </c>
      <c r="L1242" s="344">
        <f t="shared" si="213"/>
        <v>3.0539355992844364</v>
      </c>
      <c r="M1242" s="444"/>
      <c r="N1242" s="344">
        <f t="shared" si="214"/>
        <v>4.2755098389982109</v>
      </c>
      <c r="O1242" s="344">
        <v>5</v>
      </c>
    </row>
    <row r="1243" spans="1:20" s="13" customFormat="1" ht="14.5" x14ac:dyDescent="0.35">
      <c r="B1243" s="369"/>
      <c r="C1243" s="368" t="s">
        <v>1611</v>
      </c>
      <c r="E1243" s="399">
        <v>5</v>
      </c>
      <c r="F1243" s="435" t="s">
        <v>505</v>
      </c>
      <c r="G1243" s="435"/>
      <c r="H1243" s="344">
        <v>1.65</v>
      </c>
      <c r="I1243" s="13">
        <v>6149</v>
      </c>
      <c r="J1243" s="344">
        <f t="shared" si="211"/>
        <v>5232</v>
      </c>
      <c r="K1243" s="443">
        <f t="shared" si="212"/>
        <v>1.4039355992844365</v>
      </c>
      <c r="L1243" s="344">
        <f t="shared" si="213"/>
        <v>3.0539355992844364</v>
      </c>
      <c r="M1243" s="444"/>
      <c r="N1243" s="344">
        <f t="shared" si="214"/>
        <v>4.2755098389982109</v>
      </c>
      <c r="O1243" s="344">
        <v>5</v>
      </c>
    </row>
    <row r="1244" spans="1:20" customFormat="1" ht="14.5" x14ac:dyDescent="0.35">
      <c r="A1244" s="3"/>
      <c r="B1244" s="3"/>
      <c r="C1244" s="232" t="s">
        <v>2107</v>
      </c>
      <c r="E1244" s="366"/>
      <c r="F1244" s="245"/>
      <c r="G1244" s="245"/>
      <c r="H1244" s="173"/>
      <c r="J1244" s="173"/>
      <c r="K1244" s="402"/>
      <c r="L1244" s="173"/>
      <c r="M1244" s="174"/>
      <c r="N1244" s="173"/>
      <c r="O1244" s="173"/>
      <c r="P1244" s="13"/>
    </row>
    <row r="1245" spans="1:20" customFormat="1" ht="14.5" hidden="1" x14ac:dyDescent="0.35">
      <c r="A1245" s="3"/>
      <c r="B1245" s="597" t="s">
        <v>833</v>
      </c>
      <c r="C1245" s="597"/>
      <c r="D1245" s="92" t="s">
        <v>409</v>
      </c>
      <c r="E1245" s="745">
        <v>5</v>
      </c>
      <c r="F1245" s="371" t="s">
        <v>90</v>
      </c>
      <c r="G1245" s="371"/>
      <c r="H1245" s="176">
        <v>1.8</v>
      </c>
      <c r="I1245" s="12">
        <v>5225</v>
      </c>
      <c r="J1245" s="176">
        <v>3700</v>
      </c>
      <c r="K1245" s="410">
        <f t="shared" ref="K1245:K1252" si="215">+H1245/I1245*J1245</f>
        <v>1.2746411483253588</v>
      </c>
      <c r="L1245" s="176">
        <f t="shared" ref="L1245:L1252" si="216">+H1245+K1245</f>
        <v>3.0746411483253588</v>
      </c>
      <c r="M1245" s="12"/>
      <c r="N1245" s="176">
        <f t="shared" ref="N1245:N1252" si="217">+L1245*1.5</f>
        <v>4.6119617224880383</v>
      </c>
      <c r="O1245" s="176">
        <v>5</v>
      </c>
      <c r="P1245" s="344"/>
      <c r="S1245" t="s">
        <v>12</v>
      </c>
      <c r="T1245" s="6">
        <v>46067</v>
      </c>
    </row>
    <row r="1246" spans="1:20" customFormat="1" ht="14.5" hidden="1" x14ac:dyDescent="0.35">
      <c r="A1246" s="3"/>
      <c r="B1246" s="233" t="s">
        <v>833</v>
      </c>
      <c r="C1246" s="597"/>
      <c r="D1246" s="92" t="s">
        <v>409</v>
      </c>
      <c r="E1246" s="745">
        <v>5</v>
      </c>
      <c r="F1246" s="371" t="s">
        <v>90</v>
      </c>
      <c r="G1246" s="371"/>
      <c r="H1246" s="176">
        <v>1.8</v>
      </c>
      <c r="I1246" s="12">
        <v>5225</v>
      </c>
      <c r="J1246" s="176">
        <v>3700</v>
      </c>
      <c r="K1246" s="410">
        <f t="shared" si="215"/>
        <v>1.2746411483253588</v>
      </c>
      <c r="L1246" s="176">
        <f t="shared" si="216"/>
        <v>3.0746411483253588</v>
      </c>
      <c r="M1246" s="12"/>
      <c r="N1246" s="176">
        <f t="shared" si="217"/>
        <v>4.6119617224880383</v>
      </c>
      <c r="O1246" s="176">
        <v>5</v>
      </c>
      <c r="P1246" s="344"/>
      <c r="S1246" t="s">
        <v>12</v>
      </c>
      <c r="T1246" s="6">
        <v>46078</v>
      </c>
    </row>
    <row r="1247" spans="1:20" customFormat="1" ht="14.5" hidden="1" x14ac:dyDescent="0.35">
      <c r="A1247" s="3"/>
      <c r="B1247" s="233" t="s">
        <v>833</v>
      </c>
      <c r="C1247" s="597"/>
      <c r="D1247" s="92" t="s">
        <v>409</v>
      </c>
      <c r="E1247" s="745">
        <v>5</v>
      </c>
      <c r="F1247" s="371" t="s">
        <v>90</v>
      </c>
      <c r="G1247" s="371"/>
      <c r="H1247" s="176">
        <v>1.8</v>
      </c>
      <c r="I1247" s="12">
        <v>5225</v>
      </c>
      <c r="J1247" s="176">
        <v>3700</v>
      </c>
      <c r="K1247" s="410">
        <f t="shared" si="215"/>
        <v>1.2746411483253588</v>
      </c>
      <c r="L1247" s="176">
        <f t="shared" si="216"/>
        <v>3.0746411483253588</v>
      </c>
      <c r="M1247" s="12"/>
      <c r="N1247" s="176">
        <f t="shared" si="217"/>
        <v>4.6119617224880383</v>
      </c>
      <c r="O1247" s="176">
        <v>5</v>
      </c>
      <c r="P1247" s="173"/>
      <c r="S1247" t="s">
        <v>12</v>
      </c>
      <c r="T1247" s="6">
        <v>46116</v>
      </c>
    </row>
    <row r="1248" spans="1:20" customFormat="1" ht="14.5" hidden="1" x14ac:dyDescent="0.35">
      <c r="A1248" s="3"/>
      <c r="B1248" s="233" t="s">
        <v>833</v>
      </c>
      <c r="C1248" s="597"/>
      <c r="D1248" s="92" t="s">
        <v>409</v>
      </c>
      <c r="E1248" s="745">
        <v>5</v>
      </c>
      <c r="F1248" s="371" t="s">
        <v>90</v>
      </c>
      <c r="G1248" s="371"/>
      <c r="H1248" s="176">
        <v>1.8</v>
      </c>
      <c r="I1248" s="12">
        <v>5225</v>
      </c>
      <c r="J1248" s="176">
        <v>3700</v>
      </c>
      <c r="K1248" s="410">
        <f t="shared" si="215"/>
        <v>1.2746411483253588</v>
      </c>
      <c r="L1248" s="176">
        <f t="shared" si="216"/>
        <v>3.0746411483253588</v>
      </c>
      <c r="M1248" s="12"/>
      <c r="N1248" s="176">
        <f t="shared" si="217"/>
        <v>4.6119617224880383</v>
      </c>
      <c r="O1248" s="176">
        <v>5</v>
      </c>
      <c r="P1248" s="173"/>
      <c r="S1248" t="s">
        <v>12</v>
      </c>
      <c r="T1248" s="6">
        <v>46116</v>
      </c>
    </row>
    <row r="1249" spans="1:21" customFormat="1" ht="14.5" hidden="1" x14ac:dyDescent="0.35">
      <c r="A1249" s="3"/>
      <c r="B1249" s="233" t="s">
        <v>833</v>
      </c>
      <c r="C1249" s="597"/>
      <c r="D1249" s="92" t="s">
        <v>409</v>
      </c>
      <c r="E1249" s="745">
        <v>5</v>
      </c>
      <c r="F1249" s="245" t="s">
        <v>1825</v>
      </c>
      <c r="G1249" s="245"/>
      <c r="H1249" s="173">
        <v>1.8</v>
      </c>
      <c r="I1249">
        <v>5225</v>
      </c>
      <c r="J1249" s="173">
        <v>3700</v>
      </c>
      <c r="K1249" s="402">
        <f t="shared" si="215"/>
        <v>1.2746411483253588</v>
      </c>
      <c r="L1249" s="173">
        <f t="shared" si="216"/>
        <v>3.0746411483253588</v>
      </c>
      <c r="N1249" s="173">
        <f t="shared" si="217"/>
        <v>4.6119617224880383</v>
      </c>
      <c r="O1249" s="173">
        <v>5</v>
      </c>
      <c r="P1249" s="173"/>
      <c r="S1249" t="s">
        <v>12</v>
      </c>
      <c r="T1249" s="6">
        <v>46067</v>
      </c>
    </row>
    <row r="1250" spans="1:21" customFormat="1" ht="14.5" hidden="1" x14ac:dyDescent="0.35">
      <c r="A1250" s="3"/>
      <c r="B1250" s="233" t="s">
        <v>833</v>
      </c>
      <c r="C1250" s="597"/>
      <c r="D1250" s="92" t="s">
        <v>409</v>
      </c>
      <c r="E1250" s="745">
        <v>5</v>
      </c>
      <c r="F1250" s="245" t="s">
        <v>1825</v>
      </c>
      <c r="G1250" s="245"/>
      <c r="H1250" s="173">
        <v>1.8</v>
      </c>
      <c r="I1250">
        <v>5225</v>
      </c>
      <c r="J1250" s="173">
        <v>3700</v>
      </c>
      <c r="K1250" s="402">
        <f t="shared" si="215"/>
        <v>1.2746411483253588</v>
      </c>
      <c r="L1250" s="173">
        <f t="shared" si="216"/>
        <v>3.0746411483253588</v>
      </c>
      <c r="N1250" s="173">
        <f t="shared" si="217"/>
        <v>4.6119617224880383</v>
      </c>
      <c r="O1250" s="173">
        <v>5</v>
      </c>
      <c r="P1250" s="173"/>
      <c r="S1250" t="s">
        <v>12</v>
      </c>
      <c r="T1250" s="6">
        <v>46067</v>
      </c>
    </row>
    <row r="1251" spans="1:21" customFormat="1" ht="14.5" hidden="1" x14ac:dyDescent="0.35">
      <c r="A1251" s="3"/>
      <c r="B1251" s="233" t="s">
        <v>833</v>
      </c>
      <c r="C1251" s="597"/>
      <c r="D1251" s="92" t="s">
        <v>409</v>
      </c>
      <c r="E1251" s="745">
        <v>5</v>
      </c>
      <c r="F1251" s="371" t="s">
        <v>1825</v>
      </c>
      <c r="G1251" s="371"/>
      <c r="H1251" s="176">
        <v>1.8</v>
      </c>
      <c r="I1251" s="12">
        <v>5225</v>
      </c>
      <c r="J1251" s="176">
        <v>3700</v>
      </c>
      <c r="K1251" s="410">
        <f t="shared" si="215"/>
        <v>1.2746411483253588</v>
      </c>
      <c r="L1251" s="176">
        <f t="shared" si="216"/>
        <v>3.0746411483253588</v>
      </c>
      <c r="M1251" s="12"/>
      <c r="N1251" s="176">
        <f t="shared" si="217"/>
        <v>4.6119617224880383</v>
      </c>
      <c r="O1251" s="176">
        <v>5</v>
      </c>
      <c r="P1251" s="173"/>
      <c r="S1251" t="s">
        <v>12</v>
      </c>
      <c r="T1251" s="6">
        <v>46123</v>
      </c>
    </row>
    <row r="1252" spans="1:21" customFormat="1" ht="14.5" hidden="1" x14ac:dyDescent="0.35">
      <c r="A1252" s="3"/>
      <c r="B1252" s="233" t="s">
        <v>833</v>
      </c>
      <c r="C1252" s="597"/>
      <c r="D1252" s="92" t="s">
        <v>409</v>
      </c>
      <c r="E1252" s="745">
        <v>5</v>
      </c>
      <c r="F1252" s="371" t="s">
        <v>1825</v>
      </c>
      <c r="G1252" s="371"/>
      <c r="H1252" s="176">
        <v>1.8</v>
      </c>
      <c r="I1252" s="12">
        <v>5225</v>
      </c>
      <c r="J1252" s="176">
        <v>3700</v>
      </c>
      <c r="K1252" s="410">
        <f t="shared" si="215"/>
        <v>1.2746411483253588</v>
      </c>
      <c r="L1252" s="176">
        <f t="shared" si="216"/>
        <v>3.0746411483253588</v>
      </c>
      <c r="M1252" s="12"/>
      <c r="N1252" s="176">
        <f t="shared" si="217"/>
        <v>4.6119617224880383</v>
      </c>
      <c r="O1252" s="176">
        <v>5</v>
      </c>
      <c r="P1252" s="173"/>
      <c r="S1252" t="s">
        <v>12</v>
      </c>
      <c r="T1252" s="6">
        <v>46116</v>
      </c>
    </row>
    <row r="1253" spans="1:21" customFormat="1" ht="14.5" hidden="1" x14ac:dyDescent="0.35">
      <c r="A1253" s="3"/>
      <c r="B1253" s="233" t="s">
        <v>833</v>
      </c>
      <c r="C1253" s="597"/>
      <c r="D1253" s="92" t="s">
        <v>409</v>
      </c>
      <c r="E1253" s="745">
        <v>5</v>
      </c>
      <c r="F1253" s="371" t="s">
        <v>90</v>
      </c>
      <c r="G1253" s="371"/>
      <c r="H1253" s="176">
        <v>1.8</v>
      </c>
      <c r="I1253" s="12">
        <v>5225</v>
      </c>
      <c r="J1253" s="176">
        <v>3700</v>
      </c>
      <c r="K1253" s="410">
        <f t="shared" ref="K1253:K1264" si="218">+H1253/I1253*J1253</f>
        <v>1.2746411483253588</v>
      </c>
      <c r="L1253" s="176">
        <f t="shared" ref="L1253:L1264" si="219">+H1253+K1253</f>
        <v>3.0746411483253588</v>
      </c>
      <c r="M1253" s="12"/>
      <c r="N1253" s="176">
        <f t="shared" ref="N1253:N1264" si="220">+L1253*1.5</f>
        <v>4.6119617224880383</v>
      </c>
      <c r="O1253" s="176">
        <v>5</v>
      </c>
      <c r="P1253" s="344"/>
      <c r="S1253" t="s">
        <v>12</v>
      </c>
      <c r="T1253" s="6">
        <v>46088</v>
      </c>
    </row>
    <row r="1254" spans="1:21" customFormat="1" ht="14.5" hidden="1" x14ac:dyDescent="0.35">
      <c r="A1254" s="3"/>
      <c r="B1254" s="233" t="s">
        <v>833</v>
      </c>
      <c r="C1254" s="597"/>
      <c r="D1254" s="92" t="s">
        <v>409</v>
      </c>
      <c r="E1254" s="745">
        <v>5</v>
      </c>
      <c r="F1254" s="371" t="s">
        <v>90</v>
      </c>
      <c r="G1254" s="371"/>
      <c r="H1254" s="176">
        <v>1.8</v>
      </c>
      <c r="I1254" s="12">
        <v>5225</v>
      </c>
      <c r="J1254" s="176">
        <v>3700</v>
      </c>
      <c r="K1254" s="410">
        <f t="shared" si="218"/>
        <v>1.2746411483253588</v>
      </c>
      <c r="L1254" s="176">
        <f t="shared" si="219"/>
        <v>3.0746411483253588</v>
      </c>
      <c r="M1254" s="12"/>
      <c r="N1254" s="176">
        <f t="shared" si="220"/>
        <v>4.6119617224880383</v>
      </c>
      <c r="O1254" s="176">
        <v>5</v>
      </c>
      <c r="P1254" s="344"/>
      <c r="S1254" t="s">
        <v>12</v>
      </c>
      <c r="T1254" s="6">
        <v>46088</v>
      </c>
    </row>
    <row r="1255" spans="1:21" customFormat="1" ht="14.5" hidden="1" x14ac:dyDescent="0.35">
      <c r="A1255" s="3"/>
      <c r="B1255" s="233" t="s">
        <v>833</v>
      </c>
      <c r="C1255" s="597"/>
      <c r="D1255" s="92" t="s">
        <v>409</v>
      </c>
      <c r="E1255" s="745">
        <v>5</v>
      </c>
      <c r="F1255" s="371" t="s">
        <v>90</v>
      </c>
      <c r="G1255" s="371"/>
      <c r="H1255" s="176">
        <v>1.8</v>
      </c>
      <c r="I1255" s="12">
        <v>5225</v>
      </c>
      <c r="J1255" s="176">
        <v>3700</v>
      </c>
      <c r="K1255" s="410">
        <f t="shared" si="218"/>
        <v>1.2746411483253588</v>
      </c>
      <c r="L1255" s="176">
        <f t="shared" si="219"/>
        <v>3.0746411483253588</v>
      </c>
      <c r="M1255" s="12"/>
      <c r="N1255" s="176">
        <f t="shared" si="220"/>
        <v>4.6119617224880383</v>
      </c>
      <c r="O1255" s="176">
        <v>5</v>
      </c>
      <c r="P1255" s="344"/>
      <c r="S1255" t="s">
        <v>12</v>
      </c>
      <c r="T1255" s="6">
        <v>46088</v>
      </c>
    </row>
    <row r="1256" spans="1:21" customFormat="1" ht="14.5" hidden="1" x14ac:dyDescent="0.35">
      <c r="A1256" s="3"/>
      <c r="B1256" s="233" t="s">
        <v>833</v>
      </c>
      <c r="C1256" s="597"/>
      <c r="D1256" s="92" t="s">
        <v>409</v>
      </c>
      <c r="E1256" s="745">
        <v>5</v>
      </c>
      <c r="F1256" s="371" t="s">
        <v>90</v>
      </c>
      <c r="G1256" s="371"/>
      <c r="H1256" s="176">
        <v>1.8</v>
      </c>
      <c r="I1256" s="12">
        <v>5225</v>
      </c>
      <c r="J1256" s="176">
        <v>3700</v>
      </c>
      <c r="K1256" s="410">
        <f t="shared" si="218"/>
        <v>1.2746411483253588</v>
      </c>
      <c r="L1256" s="176">
        <f t="shared" si="219"/>
        <v>3.0746411483253588</v>
      </c>
      <c r="M1256" s="12"/>
      <c r="N1256" s="176">
        <f t="shared" si="220"/>
        <v>4.6119617224880383</v>
      </c>
      <c r="O1256" s="176">
        <v>5</v>
      </c>
      <c r="P1256" s="344"/>
      <c r="S1256" t="s">
        <v>12</v>
      </c>
      <c r="T1256" s="6">
        <v>46088</v>
      </c>
    </row>
    <row r="1257" spans="1:21" customFormat="1" ht="14.5" hidden="1" x14ac:dyDescent="0.35">
      <c r="A1257" s="3"/>
      <c r="B1257" s="233" t="s">
        <v>833</v>
      </c>
      <c r="C1257" s="233"/>
      <c r="D1257" t="s">
        <v>409</v>
      </c>
      <c r="E1257" s="366">
        <v>5</v>
      </c>
      <c r="F1257" s="371" t="s">
        <v>1822</v>
      </c>
      <c r="G1257" s="371"/>
      <c r="H1257" s="176">
        <v>1.8</v>
      </c>
      <c r="I1257" s="12">
        <v>5225</v>
      </c>
      <c r="J1257" s="176">
        <v>3700</v>
      </c>
      <c r="K1257" s="410">
        <f t="shared" si="218"/>
        <v>1.2746411483253588</v>
      </c>
      <c r="L1257" s="176">
        <f t="shared" si="219"/>
        <v>3.0746411483253588</v>
      </c>
      <c r="M1257" s="12"/>
      <c r="N1257" s="176">
        <f t="shared" si="220"/>
        <v>4.6119617224880383</v>
      </c>
      <c r="O1257" s="176">
        <v>5</v>
      </c>
      <c r="P1257" s="344"/>
      <c r="S1257" t="s">
        <v>2190</v>
      </c>
      <c r="T1257" s="6">
        <v>46030</v>
      </c>
    </row>
    <row r="1258" spans="1:21" customFormat="1" ht="14.5" hidden="1" x14ac:dyDescent="0.35">
      <c r="A1258" s="3"/>
      <c r="B1258" s="233" t="s">
        <v>833</v>
      </c>
      <c r="C1258" s="233"/>
      <c r="D1258" t="s">
        <v>409</v>
      </c>
      <c r="E1258" s="366">
        <v>5</v>
      </c>
      <c r="F1258" s="371" t="s">
        <v>1822</v>
      </c>
      <c r="G1258" s="371"/>
      <c r="H1258" s="176">
        <v>1.8</v>
      </c>
      <c r="I1258" s="12">
        <v>5225</v>
      </c>
      <c r="J1258" s="176">
        <v>3700</v>
      </c>
      <c r="K1258" s="410">
        <f t="shared" si="218"/>
        <v>1.2746411483253588</v>
      </c>
      <c r="L1258" s="176">
        <f t="shared" si="219"/>
        <v>3.0746411483253588</v>
      </c>
      <c r="M1258" s="12"/>
      <c r="N1258" s="176">
        <f t="shared" si="220"/>
        <v>4.6119617224880383</v>
      </c>
      <c r="O1258" s="176">
        <v>5</v>
      </c>
      <c r="P1258" s="344"/>
      <c r="S1258" t="s">
        <v>2190</v>
      </c>
      <c r="T1258" s="6">
        <v>46032</v>
      </c>
    </row>
    <row r="1259" spans="1:21" customFormat="1" ht="14.5" hidden="1" x14ac:dyDescent="0.35">
      <c r="A1259" s="3"/>
      <c r="B1259" s="233" t="s">
        <v>833</v>
      </c>
      <c r="C1259" s="233"/>
      <c r="D1259" t="s">
        <v>409</v>
      </c>
      <c r="E1259" s="366">
        <v>5</v>
      </c>
      <c r="F1259" s="371" t="s">
        <v>1822</v>
      </c>
      <c r="G1259" s="371"/>
      <c r="H1259" s="176">
        <v>1.8</v>
      </c>
      <c r="I1259" s="12">
        <v>5225</v>
      </c>
      <c r="J1259" s="176">
        <v>3700</v>
      </c>
      <c r="K1259" s="410">
        <f t="shared" si="218"/>
        <v>1.2746411483253588</v>
      </c>
      <c r="L1259" s="176">
        <f t="shared" si="219"/>
        <v>3.0746411483253588</v>
      </c>
      <c r="M1259" s="12"/>
      <c r="N1259" s="176">
        <f t="shared" si="220"/>
        <v>4.6119617224880383</v>
      </c>
      <c r="O1259" s="176">
        <v>5</v>
      </c>
      <c r="P1259" s="344"/>
      <c r="S1259" t="s">
        <v>2190</v>
      </c>
      <c r="T1259" s="6">
        <v>46032</v>
      </c>
    </row>
    <row r="1260" spans="1:21" customFormat="1" ht="14.5" hidden="1" x14ac:dyDescent="0.35">
      <c r="A1260" s="3"/>
      <c r="B1260" s="233" t="s">
        <v>833</v>
      </c>
      <c r="C1260" s="233"/>
      <c r="D1260" t="s">
        <v>409</v>
      </c>
      <c r="E1260" s="366">
        <v>5</v>
      </c>
      <c r="F1260" s="371" t="s">
        <v>1822</v>
      </c>
      <c r="G1260" s="371"/>
      <c r="H1260" s="176">
        <v>1.8</v>
      </c>
      <c r="I1260" s="12">
        <v>5225</v>
      </c>
      <c r="J1260" s="176">
        <v>3700</v>
      </c>
      <c r="K1260" s="410">
        <f t="shared" si="218"/>
        <v>1.2746411483253588</v>
      </c>
      <c r="L1260" s="176">
        <f t="shared" si="219"/>
        <v>3.0746411483253588</v>
      </c>
      <c r="M1260" s="12"/>
      <c r="N1260" s="176">
        <f t="shared" si="220"/>
        <v>4.6119617224880383</v>
      </c>
      <c r="O1260" s="176">
        <v>5</v>
      </c>
      <c r="P1260" s="344"/>
      <c r="S1260" t="s">
        <v>2190</v>
      </c>
      <c r="T1260" s="6">
        <v>46032</v>
      </c>
    </row>
    <row r="1261" spans="1:21" customFormat="1" ht="14.5" hidden="1" x14ac:dyDescent="0.35">
      <c r="A1261" s="3"/>
      <c r="B1261" s="233" t="s">
        <v>833</v>
      </c>
      <c r="C1261" s="233"/>
      <c r="D1261" t="s">
        <v>409</v>
      </c>
      <c r="E1261" s="366">
        <v>5</v>
      </c>
      <c r="F1261" s="371" t="s">
        <v>1822</v>
      </c>
      <c r="G1261" s="371"/>
      <c r="H1261" s="176">
        <v>1.8</v>
      </c>
      <c r="I1261" s="12">
        <v>5225</v>
      </c>
      <c r="J1261" s="176">
        <v>3700</v>
      </c>
      <c r="K1261" s="410">
        <f t="shared" si="218"/>
        <v>1.2746411483253588</v>
      </c>
      <c r="L1261" s="176">
        <f t="shared" si="219"/>
        <v>3.0746411483253588</v>
      </c>
      <c r="M1261" s="12"/>
      <c r="N1261" s="176">
        <f t="shared" si="220"/>
        <v>4.6119617224880383</v>
      </c>
      <c r="O1261" s="176">
        <v>5</v>
      </c>
      <c r="P1261" s="344"/>
      <c r="S1261" t="s">
        <v>2190</v>
      </c>
      <c r="T1261" s="6">
        <v>46032</v>
      </c>
    </row>
    <row r="1262" spans="1:21" customFormat="1" ht="14.5" hidden="1" x14ac:dyDescent="0.35">
      <c r="A1262" s="3"/>
      <c r="B1262" s="233" t="s">
        <v>833</v>
      </c>
      <c r="C1262" s="233"/>
      <c r="D1262" t="s">
        <v>409</v>
      </c>
      <c r="E1262" s="366">
        <v>5</v>
      </c>
      <c r="F1262" s="371" t="s">
        <v>1822</v>
      </c>
      <c r="G1262" s="371"/>
      <c r="H1262" s="176">
        <v>1.8</v>
      </c>
      <c r="I1262" s="12">
        <v>5225</v>
      </c>
      <c r="J1262" s="176">
        <v>3700</v>
      </c>
      <c r="K1262" s="410">
        <f t="shared" si="218"/>
        <v>1.2746411483253588</v>
      </c>
      <c r="L1262" s="176">
        <f t="shared" si="219"/>
        <v>3.0746411483253588</v>
      </c>
      <c r="M1262" s="12"/>
      <c r="N1262" s="176">
        <f t="shared" si="220"/>
        <v>4.6119617224880383</v>
      </c>
      <c r="O1262" s="176">
        <v>5</v>
      </c>
      <c r="P1262" s="344"/>
      <c r="S1262" t="s">
        <v>2190</v>
      </c>
      <c r="T1262" s="6">
        <v>46032</v>
      </c>
    </row>
    <row r="1263" spans="1:21" customFormat="1" ht="14.5" hidden="1" x14ac:dyDescent="0.35">
      <c r="A1263" s="3"/>
      <c r="B1263" s="233" t="s">
        <v>833</v>
      </c>
      <c r="C1263" s="233"/>
      <c r="D1263" t="s">
        <v>409</v>
      </c>
      <c r="E1263" s="366">
        <v>5</v>
      </c>
      <c r="F1263" s="371" t="s">
        <v>1822</v>
      </c>
      <c r="G1263" s="371"/>
      <c r="H1263" s="176">
        <v>1.8</v>
      </c>
      <c r="I1263" s="12">
        <v>5225</v>
      </c>
      <c r="J1263" s="176">
        <v>3700</v>
      </c>
      <c r="K1263" s="410">
        <f t="shared" si="218"/>
        <v>1.2746411483253588</v>
      </c>
      <c r="L1263" s="176">
        <f t="shared" si="219"/>
        <v>3.0746411483253588</v>
      </c>
      <c r="M1263" s="12"/>
      <c r="N1263" s="176">
        <f t="shared" si="220"/>
        <v>4.6119617224880383</v>
      </c>
      <c r="O1263" s="176">
        <v>5</v>
      </c>
      <c r="P1263" s="344"/>
      <c r="S1263" t="s">
        <v>12</v>
      </c>
      <c r="T1263" s="6">
        <v>46030</v>
      </c>
    </row>
    <row r="1264" spans="1:21" s="109" customFormat="1" ht="15" customHeight="1" outlineLevel="1" x14ac:dyDescent="0.35">
      <c r="B1264" s="368" t="s">
        <v>833</v>
      </c>
      <c r="C1264" s="368"/>
      <c r="D1264" s="13" t="s">
        <v>409</v>
      </c>
      <c r="E1264" s="399">
        <v>5</v>
      </c>
      <c r="F1264" s="435" t="s">
        <v>1822</v>
      </c>
      <c r="G1264" s="435"/>
      <c r="H1264" s="344">
        <v>1.8</v>
      </c>
      <c r="I1264" s="13">
        <v>5225</v>
      </c>
      <c r="J1264" s="344">
        <v>3700</v>
      </c>
      <c r="K1264" s="443">
        <f t="shared" si="218"/>
        <v>1.2746411483253588</v>
      </c>
      <c r="L1264" s="344">
        <f t="shared" si="219"/>
        <v>3.0746411483253588</v>
      </c>
      <c r="M1264" s="13"/>
      <c r="N1264" s="344">
        <f t="shared" si="220"/>
        <v>4.6119617224880383</v>
      </c>
      <c r="O1264" s="344">
        <v>5</v>
      </c>
      <c r="P1264" s="474"/>
      <c r="Q1264" s="474"/>
      <c r="R1264" s="474"/>
      <c r="S1264" s="474"/>
      <c r="T1264" s="747"/>
      <c r="U1264" s="748"/>
    </row>
    <row r="1265" spans="1:21" ht="15" customHeight="1" outlineLevel="1" x14ac:dyDescent="0.35">
      <c r="B1265" s="233"/>
      <c r="C1265" s="232" t="s">
        <v>2106</v>
      </c>
      <c r="D1265"/>
      <c r="E1265" s="366"/>
      <c r="F1265" s="245"/>
      <c r="G1265" s="245"/>
      <c r="H1265" s="173"/>
      <c r="I1265"/>
      <c r="J1265" s="173"/>
      <c r="K1265" s="402"/>
      <c r="L1265" s="173"/>
      <c r="M1265"/>
      <c r="N1265" s="173"/>
      <c r="O1265" s="173"/>
      <c r="P1265" s="474"/>
      <c r="Q1265" s="141"/>
      <c r="R1265" s="141"/>
      <c r="S1265" s="136"/>
      <c r="T1265" s="534"/>
      <c r="U1265" s="421"/>
    </row>
    <row r="1266" spans="1:21" s="13" customFormat="1" ht="14.5" x14ac:dyDescent="0.35">
      <c r="A1266" s="369"/>
      <c r="B1266" s="369"/>
      <c r="C1266" s="368" t="s">
        <v>1611</v>
      </c>
      <c r="E1266" s="399">
        <v>6</v>
      </c>
      <c r="F1266" s="435" t="s">
        <v>1592</v>
      </c>
      <c r="G1266" s="435"/>
      <c r="H1266" s="344">
        <v>1.65</v>
      </c>
      <c r="I1266" s="13">
        <v>6149</v>
      </c>
      <c r="J1266" s="344">
        <f>5832-600</f>
        <v>5232</v>
      </c>
      <c r="K1266" s="443">
        <f>+H1266/I1266*J1266</f>
        <v>1.4039355992844365</v>
      </c>
      <c r="L1266" s="344">
        <f>+H1266+K1266</f>
        <v>3.0539355992844364</v>
      </c>
      <c r="M1266" s="444"/>
      <c r="N1266" s="344">
        <f>+L1266*1.4</f>
        <v>4.2755098389982109</v>
      </c>
      <c r="O1266" s="344">
        <v>5</v>
      </c>
    </row>
    <row r="1267" spans="1:21" s="13" customFormat="1" ht="14.5" x14ac:dyDescent="0.35">
      <c r="A1267" s="369"/>
      <c r="B1267" s="369"/>
      <c r="C1267" s="368" t="s">
        <v>1611</v>
      </c>
      <c r="E1267" s="399">
        <v>6</v>
      </c>
      <c r="F1267" s="435" t="s">
        <v>1592</v>
      </c>
      <c r="G1267" s="435"/>
      <c r="H1267" s="344">
        <v>1.65</v>
      </c>
      <c r="I1267" s="13">
        <v>6149</v>
      </c>
      <c r="J1267" s="344">
        <f>5832-600</f>
        <v>5232</v>
      </c>
      <c r="K1267" s="443">
        <f>+H1267/I1267*J1267</f>
        <v>1.4039355992844365</v>
      </c>
      <c r="L1267" s="344">
        <f>+H1267+K1267</f>
        <v>3.0539355992844364</v>
      </c>
      <c r="M1267" s="444"/>
      <c r="N1267" s="344">
        <f>+L1267*1.4</f>
        <v>4.2755098389982109</v>
      </c>
      <c r="O1267" s="344">
        <v>5</v>
      </c>
    </row>
    <row r="1268" spans="1:21" s="13" customFormat="1" ht="14.5" x14ac:dyDescent="0.35">
      <c r="A1268" s="369"/>
      <c r="B1268" s="369"/>
      <c r="C1268" s="368" t="s">
        <v>1611</v>
      </c>
      <c r="E1268" s="399">
        <v>6</v>
      </c>
      <c r="F1268" s="435" t="s">
        <v>1592</v>
      </c>
      <c r="G1268" s="435"/>
      <c r="H1268" s="344">
        <v>1.65</v>
      </c>
      <c r="I1268" s="13">
        <v>6149</v>
      </c>
      <c r="J1268" s="344">
        <f>5832-600</f>
        <v>5232</v>
      </c>
      <c r="K1268" s="443">
        <f>+H1268/I1268*J1268</f>
        <v>1.4039355992844365</v>
      </c>
      <c r="L1268" s="344">
        <f>+H1268+K1268</f>
        <v>3.0539355992844364</v>
      </c>
      <c r="M1268" s="444"/>
      <c r="N1268" s="344">
        <f>+L1268*1.4</f>
        <v>4.2755098389982109</v>
      </c>
      <c r="O1268" s="344">
        <v>5</v>
      </c>
    </row>
    <row r="1269" spans="1:21" s="13" customFormat="1" ht="14.5" x14ac:dyDescent="0.35">
      <c r="A1269" s="369"/>
      <c r="B1269" s="369"/>
      <c r="C1269" s="368" t="s">
        <v>1611</v>
      </c>
      <c r="E1269" s="399">
        <v>6</v>
      </c>
      <c r="F1269" s="435" t="s">
        <v>1592</v>
      </c>
      <c r="G1269" s="435"/>
      <c r="H1269" s="344">
        <v>1.65</v>
      </c>
      <c r="I1269" s="13">
        <v>6149</v>
      </c>
      <c r="J1269" s="344">
        <f>5832-600</f>
        <v>5232</v>
      </c>
      <c r="K1269" s="443">
        <f>+H1269/I1269*J1269</f>
        <v>1.4039355992844365</v>
      </c>
      <c r="L1269" s="344">
        <f>+H1269+K1269</f>
        <v>3.0539355992844364</v>
      </c>
      <c r="M1269" s="444"/>
      <c r="N1269" s="344">
        <f>+L1269*1.4</f>
        <v>4.2755098389982109</v>
      </c>
      <c r="O1269" s="344">
        <v>5</v>
      </c>
    </row>
    <row r="1270" spans="1:21" s="13" customFormat="1" ht="14.5" x14ac:dyDescent="0.35">
      <c r="A1270" s="369"/>
      <c r="B1270" s="369"/>
      <c r="C1270" s="368" t="s">
        <v>1611</v>
      </c>
      <c r="E1270" s="399">
        <v>6</v>
      </c>
      <c r="F1270" s="435" t="s">
        <v>1592</v>
      </c>
      <c r="G1270" s="435"/>
      <c r="H1270" s="344">
        <v>1.65</v>
      </c>
      <c r="I1270" s="13">
        <v>6149</v>
      </c>
      <c r="J1270" s="344">
        <f>5832-600</f>
        <v>5232</v>
      </c>
      <c r="K1270" s="443">
        <f>+H1270/I1270*J1270</f>
        <v>1.4039355992844365</v>
      </c>
      <c r="L1270" s="344">
        <f>+H1270+K1270</f>
        <v>3.0539355992844364</v>
      </c>
      <c r="M1270" s="444"/>
      <c r="N1270" s="344">
        <f>+L1270*1.4</f>
        <v>4.2755098389982109</v>
      </c>
      <c r="O1270" s="344">
        <v>5</v>
      </c>
    </row>
    <row r="1271" spans="1:21" s="13" customFormat="1" ht="14.5" x14ac:dyDescent="0.35">
      <c r="A1271" s="369"/>
      <c r="B1271" s="369"/>
      <c r="C1271" s="368" t="s">
        <v>1611</v>
      </c>
      <c r="E1271" s="399">
        <v>6</v>
      </c>
      <c r="F1271" s="435" t="s">
        <v>505</v>
      </c>
      <c r="G1271" s="435"/>
      <c r="H1271" s="344">
        <v>1.65</v>
      </c>
      <c r="I1271" s="13">
        <v>6149</v>
      </c>
      <c r="J1271" s="344">
        <f t="shared" ref="J1271:J1285" si="221">5832-600</f>
        <v>5232</v>
      </c>
      <c r="K1271" s="443">
        <f t="shared" ref="K1271:K1285" si="222">+H1271/I1271*J1271</f>
        <v>1.4039355992844365</v>
      </c>
      <c r="L1271" s="344">
        <f t="shared" ref="L1271:L1285" si="223">+H1271+K1271</f>
        <v>3.0539355992844364</v>
      </c>
      <c r="M1271" s="444"/>
      <c r="N1271" s="344">
        <f t="shared" ref="N1271:N1285" si="224">+L1271*1.4</f>
        <v>4.2755098389982109</v>
      </c>
      <c r="O1271" s="344">
        <v>5</v>
      </c>
    </row>
    <row r="1272" spans="1:21" customFormat="1" ht="14.5" hidden="1" x14ac:dyDescent="0.35">
      <c r="A1272" s="3"/>
      <c r="B1272" s="594"/>
      <c r="C1272" s="597" t="s">
        <v>1611</v>
      </c>
      <c r="D1272" s="92"/>
      <c r="E1272" s="745" t="s">
        <v>618</v>
      </c>
      <c r="F1272" s="371" t="s">
        <v>505</v>
      </c>
      <c r="G1272" s="371"/>
      <c r="H1272" s="176">
        <v>1.65</v>
      </c>
      <c r="I1272" s="12">
        <v>6149</v>
      </c>
      <c r="J1272" s="176">
        <f t="shared" si="221"/>
        <v>5232</v>
      </c>
      <c r="K1272" s="410">
        <f t="shared" si="222"/>
        <v>1.4039355992844365</v>
      </c>
      <c r="L1272" s="176">
        <f t="shared" si="223"/>
        <v>3.0539355992844364</v>
      </c>
      <c r="M1272" s="411"/>
      <c r="N1272" s="176">
        <f t="shared" si="224"/>
        <v>4.2755098389982109</v>
      </c>
      <c r="O1272" s="176">
        <v>5</v>
      </c>
      <c r="P1272" s="13"/>
      <c r="S1272" t="s">
        <v>12</v>
      </c>
      <c r="T1272" s="6">
        <v>46067</v>
      </c>
    </row>
    <row r="1273" spans="1:21" customFormat="1" ht="14.5" hidden="1" x14ac:dyDescent="0.35">
      <c r="A1273" s="3"/>
      <c r="B1273" s="594"/>
      <c r="C1273" s="597" t="s">
        <v>1611</v>
      </c>
      <c r="D1273" s="92"/>
      <c r="E1273" s="745" t="s">
        <v>618</v>
      </c>
      <c r="F1273" s="371" t="s">
        <v>505</v>
      </c>
      <c r="G1273" s="371"/>
      <c r="H1273" s="176">
        <v>1.65</v>
      </c>
      <c r="I1273" s="12">
        <v>6149</v>
      </c>
      <c r="J1273" s="176">
        <f t="shared" si="221"/>
        <v>5232</v>
      </c>
      <c r="K1273" s="410">
        <f t="shared" si="222"/>
        <v>1.4039355992844365</v>
      </c>
      <c r="L1273" s="176">
        <f t="shared" si="223"/>
        <v>3.0539355992844364</v>
      </c>
      <c r="M1273" s="411"/>
      <c r="N1273" s="176">
        <f t="shared" si="224"/>
        <v>4.2755098389982109</v>
      </c>
      <c r="O1273" s="176">
        <v>5</v>
      </c>
      <c r="P1273" s="13"/>
      <c r="S1273" t="s">
        <v>12</v>
      </c>
      <c r="T1273" s="6">
        <v>46067</v>
      </c>
    </row>
    <row r="1274" spans="1:21" customFormat="1" ht="14.5" hidden="1" x14ac:dyDescent="0.35">
      <c r="A1274" s="3"/>
      <c r="B1274" s="3"/>
      <c r="C1274" s="597" t="s">
        <v>1611</v>
      </c>
      <c r="D1274" s="92"/>
      <c r="E1274" s="745" t="s">
        <v>618</v>
      </c>
      <c r="F1274" s="371" t="s">
        <v>505</v>
      </c>
      <c r="G1274" s="371"/>
      <c r="H1274" s="176">
        <v>1.65</v>
      </c>
      <c r="I1274" s="12">
        <v>6149</v>
      </c>
      <c r="J1274" s="176">
        <f t="shared" si="221"/>
        <v>5232</v>
      </c>
      <c r="K1274" s="410">
        <f t="shared" si="222"/>
        <v>1.4039355992844365</v>
      </c>
      <c r="L1274" s="176">
        <f t="shared" si="223"/>
        <v>3.0539355992844364</v>
      </c>
      <c r="M1274" s="411"/>
      <c r="N1274" s="176">
        <f t="shared" si="224"/>
        <v>4.2755098389982109</v>
      </c>
      <c r="O1274" s="176">
        <v>5</v>
      </c>
      <c r="S1274" t="s">
        <v>12</v>
      </c>
      <c r="T1274" s="6">
        <v>46117</v>
      </c>
    </row>
    <row r="1275" spans="1:21" customFormat="1" ht="14.5" hidden="1" x14ac:dyDescent="0.35">
      <c r="A1275" s="3"/>
      <c r="B1275" s="3"/>
      <c r="C1275" s="597" t="s">
        <v>1611</v>
      </c>
      <c r="D1275" s="92"/>
      <c r="E1275" s="745" t="s">
        <v>618</v>
      </c>
      <c r="F1275" s="371" t="s">
        <v>505</v>
      </c>
      <c r="G1275" s="371"/>
      <c r="H1275" s="176">
        <v>1.65</v>
      </c>
      <c r="I1275" s="12">
        <v>6149</v>
      </c>
      <c r="J1275" s="176">
        <f t="shared" si="221"/>
        <v>5232</v>
      </c>
      <c r="K1275" s="410">
        <f t="shared" si="222"/>
        <v>1.4039355992844365</v>
      </c>
      <c r="L1275" s="176">
        <f t="shared" si="223"/>
        <v>3.0539355992844364</v>
      </c>
      <c r="M1275" s="411"/>
      <c r="N1275" s="176">
        <f t="shared" si="224"/>
        <v>4.2755098389982109</v>
      </c>
      <c r="O1275" s="176">
        <v>5</v>
      </c>
      <c r="S1275" t="s">
        <v>12</v>
      </c>
      <c r="T1275" s="6">
        <v>46117</v>
      </c>
    </row>
    <row r="1276" spans="1:21" customFormat="1" ht="14.5" hidden="1" x14ac:dyDescent="0.35">
      <c r="A1276" s="3"/>
      <c r="B1276" s="3"/>
      <c r="C1276" s="597" t="s">
        <v>1611</v>
      </c>
      <c r="D1276" s="92"/>
      <c r="E1276" s="745" t="s">
        <v>618</v>
      </c>
      <c r="F1276" s="371" t="s">
        <v>505</v>
      </c>
      <c r="G1276" s="371"/>
      <c r="H1276" s="176">
        <v>1.65</v>
      </c>
      <c r="I1276" s="12">
        <v>6149</v>
      </c>
      <c r="J1276" s="176">
        <f t="shared" si="221"/>
        <v>5232</v>
      </c>
      <c r="K1276" s="410">
        <f t="shared" si="222"/>
        <v>1.4039355992844365</v>
      </c>
      <c r="L1276" s="176">
        <f t="shared" si="223"/>
        <v>3.0539355992844364</v>
      </c>
      <c r="M1276" s="411"/>
      <c r="N1276" s="176">
        <f t="shared" si="224"/>
        <v>4.2755098389982109</v>
      </c>
      <c r="O1276" s="176">
        <v>5</v>
      </c>
      <c r="S1276" t="s">
        <v>12</v>
      </c>
      <c r="T1276" s="6">
        <v>46117</v>
      </c>
    </row>
    <row r="1277" spans="1:21" customFormat="1" ht="14.5" hidden="1" x14ac:dyDescent="0.35">
      <c r="A1277" s="3"/>
      <c r="B1277" s="3"/>
      <c r="C1277" s="597" t="s">
        <v>1611</v>
      </c>
      <c r="D1277" s="92"/>
      <c r="E1277" s="745" t="s">
        <v>618</v>
      </c>
      <c r="F1277" s="371" t="s">
        <v>505</v>
      </c>
      <c r="G1277" s="371"/>
      <c r="H1277" s="176">
        <v>1.65</v>
      </c>
      <c r="I1277" s="12">
        <v>6149</v>
      </c>
      <c r="J1277" s="176">
        <f t="shared" si="221"/>
        <v>5232</v>
      </c>
      <c r="K1277" s="410">
        <f t="shared" si="222"/>
        <v>1.4039355992844365</v>
      </c>
      <c r="L1277" s="176">
        <f t="shared" si="223"/>
        <v>3.0539355992844364</v>
      </c>
      <c r="M1277" s="411"/>
      <c r="N1277" s="176">
        <f t="shared" si="224"/>
        <v>4.2755098389982109</v>
      </c>
      <c r="O1277" s="176">
        <v>5</v>
      </c>
      <c r="S1277" t="s">
        <v>12</v>
      </c>
      <c r="T1277" s="6">
        <v>46117</v>
      </c>
    </row>
    <row r="1278" spans="1:21" customFormat="1" ht="14.5" hidden="1" x14ac:dyDescent="0.35">
      <c r="A1278" s="3"/>
      <c r="B1278" s="3"/>
      <c r="C1278" s="597" t="s">
        <v>1611</v>
      </c>
      <c r="D1278" s="92"/>
      <c r="E1278" s="745" t="s">
        <v>618</v>
      </c>
      <c r="F1278" s="371" t="s">
        <v>505</v>
      </c>
      <c r="G1278" s="371"/>
      <c r="H1278" s="176">
        <v>1.65</v>
      </c>
      <c r="I1278" s="12">
        <v>6149</v>
      </c>
      <c r="J1278" s="176">
        <f t="shared" si="221"/>
        <v>5232</v>
      </c>
      <c r="K1278" s="410">
        <f t="shared" si="222"/>
        <v>1.4039355992844365</v>
      </c>
      <c r="L1278" s="176">
        <f t="shared" si="223"/>
        <v>3.0539355992844364</v>
      </c>
      <c r="M1278" s="411"/>
      <c r="N1278" s="176">
        <f t="shared" si="224"/>
        <v>4.2755098389982109</v>
      </c>
      <c r="O1278" s="176">
        <v>5</v>
      </c>
      <c r="S1278" t="s">
        <v>12</v>
      </c>
      <c r="T1278" s="6">
        <v>46117</v>
      </c>
    </row>
    <row r="1279" spans="1:21" customFormat="1" ht="14.5" x14ac:dyDescent="0.35">
      <c r="A1279" s="3"/>
      <c r="B1279" s="3"/>
      <c r="C1279" s="597" t="s">
        <v>1611</v>
      </c>
      <c r="D1279" s="92"/>
      <c r="E1279" s="745" t="s">
        <v>618</v>
      </c>
      <c r="F1279" s="371" t="s">
        <v>505</v>
      </c>
      <c r="G1279" s="371"/>
      <c r="H1279" s="176">
        <v>1.65</v>
      </c>
      <c r="I1279" s="12">
        <v>6149</v>
      </c>
      <c r="J1279" s="176">
        <f t="shared" si="221"/>
        <v>5232</v>
      </c>
      <c r="K1279" s="410">
        <f t="shared" si="222"/>
        <v>1.4039355992844365</v>
      </c>
      <c r="L1279" s="176">
        <f t="shared" si="223"/>
        <v>3.0539355992844364</v>
      </c>
      <c r="M1279" s="411"/>
      <c r="N1279" s="176">
        <f t="shared" si="224"/>
        <v>4.2755098389982109</v>
      </c>
      <c r="O1279" s="176">
        <v>5</v>
      </c>
      <c r="S1279" t="s">
        <v>12</v>
      </c>
      <c r="T1279" s="6">
        <v>46078</v>
      </c>
    </row>
    <row r="1280" spans="1:21" customFormat="1" ht="14.5" x14ac:dyDescent="0.35">
      <c r="A1280" s="3"/>
      <c r="B1280" s="3"/>
      <c r="C1280" s="597" t="s">
        <v>1611</v>
      </c>
      <c r="D1280" s="92"/>
      <c r="E1280" s="745" t="s">
        <v>618</v>
      </c>
      <c r="F1280" s="371" t="s">
        <v>505</v>
      </c>
      <c r="G1280" s="371"/>
      <c r="H1280" s="176">
        <v>1.65</v>
      </c>
      <c r="I1280" s="12">
        <v>6149</v>
      </c>
      <c r="J1280" s="176">
        <f t="shared" si="221"/>
        <v>5232</v>
      </c>
      <c r="K1280" s="410">
        <f t="shared" si="222"/>
        <v>1.4039355992844365</v>
      </c>
      <c r="L1280" s="176">
        <f t="shared" si="223"/>
        <v>3.0539355992844364</v>
      </c>
      <c r="M1280" s="411"/>
      <c r="N1280" s="176">
        <f t="shared" si="224"/>
        <v>4.2755098389982109</v>
      </c>
      <c r="O1280" s="176">
        <v>5</v>
      </c>
      <c r="S1280" t="s">
        <v>12</v>
      </c>
      <c r="T1280" s="6">
        <v>46078</v>
      </c>
    </row>
    <row r="1281" spans="1:20" customFormat="1" ht="14.5" x14ac:dyDescent="0.35">
      <c r="A1281" s="3"/>
      <c r="B1281" s="3"/>
      <c r="C1281" s="597" t="s">
        <v>1611</v>
      </c>
      <c r="D1281" s="92"/>
      <c r="E1281" s="745" t="s">
        <v>618</v>
      </c>
      <c r="F1281" s="245" t="s">
        <v>505</v>
      </c>
      <c r="G1281" s="245"/>
      <c r="H1281" s="173">
        <v>1.65</v>
      </c>
      <c r="I1281">
        <v>6149</v>
      </c>
      <c r="J1281" s="173">
        <f t="shared" si="221"/>
        <v>5232</v>
      </c>
      <c r="K1281" s="402">
        <f t="shared" si="222"/>
        <v>1.4039355992844365</v>
      </c>
      <c r="L1281" s="173">
        <f t="shared" si="223"/>
        <v>3.0539355992844364</v>
      </c>
      <c r="M1281" s="174"/>
      <c r="N1281" s="173">
        <f t="shared" si="224"/>
        <v>4.2755098389982109</v>
      </c>
      <c r="O1281" s="173">
        <v>5</v>
      </c>
    </row>
    <row r="1282" spans="1:20" customFormat="1" ht="14.5" hidden="1" x14ac:dyDescent="0.35">
      <c r="A1282" s="3"/>
      <c r="B1282" s="3"/>
      <c r="C1282" s="233" t="s">
        <v>1611</v>
      </c>
      <c r="E1282" s="366">
        <v>6</v>
      </c>
      <c r="F1282" s="371" t="s">
        <v>505</v>
      </c>
      <c r="G1282" s="371"/>
      <c r="H1282" s="176">
        <v>1.65</v>
      </c>
      <c r="I1282" s="12">
        <v>6149</v>
      </c>
      <c r="J1282" s="176">
        <f t="shared" si="221"/>
        <v>5232</v>
      </c>
      <c r="K1282" s="410">
        <f t="shared" si="222"/>
        <v>1.4039355992844365</v>
      </c>
      <c r="L1282" s="176">
        <f t="shared" si="223"/>
        <v>3.0539355992844364</v>
      </c>
      <c r="M1282" s="411"/>
      <c r="N1282" s="176">
        <f t="shared" si="224"/>
        <v>4.2755098389982109</v>
      </c>
      <c r="O1282" s="176">
        <v>5</v>
      </c>
      <c r="P1282" s="13"/>
      <c r="S1282" t="s">
        <v>2189</v>
      </c>
      <c r="T1282" s="6">
        <v>46030</v>
      </c>
    </row>
    <row r="1283" spans="1:20" customFormat="1" ht="14.5" hidden="1" x14ac:dyDescent="0.35">
      <c r="A1283" s="3"/>
      <c r="B1283" s="3"/>
      <c r="C1283" s="233" t="s">
        <v>1611</v>
      </c>
      <c r="E1283" s="366">
        <v>6</v>
      </c>
      <c r="F1283" s="371" t="s">
        <v>505</v>
      </c>
      <c r="G1283" s="371"/>
      <c r="H1283" s="176">
        <v>1.65</v>
      </c>
      <c r="I1283" s="12">
        <v>6149</v>
      </c>
      <c r="J1283" s="176">
        <f t="shared" si="221"/>
        <v>5232</v>
      </c>
      <c r="K1283" s="410">
        <f t="shared" si="222"/>
        <v>1.4039355992844365</v>
      </c>
      <c r="L1283" s="176">
        <f t="shared" si="223"/>
        <v>3.0539355992844364</v>
      </c>
      <c r="M1283" s="411"/>
      <c r="N1283" s="176">
        <f t="shared" si="224"/>
        <v>4.2755098389982109</v>
      </c>
      <c r="O1283" s="176">
        <v>5</v>
      </c>
      <c r="P1283" s="13"/>
      <c r="S1283" t="s">
        <v>2189</v>
      </c>
      <c r="T1283" s="6">
        <v>46030</v>
      </c>
    </row>
    <row r="1284" spans="1:20" s="13" customFormat="1" ht="14.5" x14ac:dyDescent="0.35">
      <c r="A1284" s="369"/>
      <c r="B1284" s="369"/>
      <c r="C1284" s="368" t="s">
        <v>1611</v>
      </c>
      <c r="E1284" s="399">
        <v>6</v>
      </c>
      <c r="F1284" s="435" t="s">
        <v>505</v>
      </c>
      <c r="G1284" s="435"/>
      <c r="H1284" s="344">
        <v>1.65</v>
      </c>
      <c r="I1284" s="13">
        <v>6149</v>
      </c>
      <c r="J1284" s="344">
        <f t="shared" si="221"/>
        <v>5232</v>
      </c>
      <c r="K1284" s="443">
        <f t="shared" si="222"/>
        <v>1.4039355992844365</v>
      </c>
      <c r="L1284" s="344">
        <f t="shared" si="223"/>
        <v>3.0539355992844364</v>
      </c>
      <c r="M1284" s="444"/>
      <c r="N1284" s="344">
        <f t="shared" si="224"/>
        <v>4.2755098389982109</v>
      </c>
      <c r="O1284" s="344">
        <v>5</v>
      </c>
    </row>
    <row r="1285" spans="1:20" s="13" customFormat="1" ht="14.5" x14ac:dyDescent="0.35">
      <c r="A1285" s="369"/>
      <c r="B1285" s="369"/>
      <c r="C1285" s="368" t="s">
        <v>1611</v>
      </c>
      <c r="E1285" s="399">
        <v>6</v>
      </c>
      <c r="F1285" s="435" t="s">
        <v>505</v>
      </c>
      <c r="G1285" s="435"/>
      <c r="H1285" s="344">
        <v>1.65</v>
      </c>
      <c r="I1285" s="13">
        <v>6149</v>
      </c>
      <c r="J1285" s="344">
        <f t="shared" si="221"/>
        <v>5232</v>
      </c>
      <c r="K1285" s="443">
        <f t="shared" si="222"/>
        <v>1.4039355992844365</v>
      </c>
      <c r="L1285" s="344">
        <f t="shared" si="223"/>
        <v>3.0539355992844364</v>
      </c>
      <c r="M1285" s="444"/>
      <c r="N1285" s="344">
        <f t="shared" si="224"/>
        <v>4.2755098389982109</v>
      </c>
      <c r="O1285" s="344">
        <v>5</v>
      </c>
    </row>
    <row r="1286" spans="1:20" customFormat="1" ht="14.5" x14ac:dyDescent="0.35">
      <c r="A1286" s="3"/>
      <c r="B1286" s="3"/>
      <c r="C1286" s="232" t="s">
        <v>2107</v>
      </c>
      <c r="E1286" s="366"/>
      <c r="F1286" s="245"/>
      <c r="G1286" s="245"/>
      <c r="H1286" s="173"/>
      <c r="J1286" s="173"/>
      <c r="K1286" s="402"/>
      <c r="L1286" s="173"/>
      <c r="M1286" s="174"/>
      <c r="N1286" s="173"/>
      <c r="O1286" s="173"/>
      <c r="P1286" s="13"/>
    </row>
    <row r="1287" spans="1:20" customFormat="1" ht="14.5" hidden="1" x14ac:dyDescent="0.35">
      <c r="A1287" s="3"/>
      <c r="B1287" s="233" t="s">
        <v>833</v>
      </c>
      <c r="C1287" s="233"/>
      <c r="D1287" t="s">
        <v>412</v>
      </c>
      <c r="E1287" s="366">
        <v>6</v>
      </c>
      <c r="F1287" s="371" t="s">
        <v>1886</v>
      </c>
      <c r="G1287" s="371"/>
      <c r="H1287" s="176">
        <v>1.8</v>
      </c>
      <c r="I1287" s="12">
        <v>5225</v>
      </c>
      <c r="J1287" s="176">
        <v>3700</v>
      </c>
      <c r="K1287" s="410">
        <f t="shared" ref="K1287:K1294" si="225">+H1287/I1287*J1287</f>
        <v>1.2746411483253588</v>
      </c>
      <c r="L1287" s="176">
        <f t="shared" ref="L1287:L1294" si="226">+H1287+K1287</f>
        <v>3.0746411483253588</v>
      </c>
      <c r="M1287" s="12"/>
      <c r="N1287" s="176">
        <f t="shared" ref="N1287:N1294" si="227">+L1287*1.5</f>
        <v>4.6119617224880383</v>
      </c>
      <c r="O1287" s="176">
        <v>5</v>
      </c>
      <c r="P1287" s="344"/>
      <c r="S1287" t="s">
        <v>2482</v>
      </c>
      <c r="T1287" s="6">
        <v>46058</v>
      </c>
    </row>
    <row r="1288" spans="1:20" customFormat="1" ht="14.5" hidden="1" x14ac:dyDescent="0.35">
      <c r="A1288" s="3"/>
      <c r="B1288" s="233" t="s">
        <v>833</v>
      </c>
      <c r="C1288" s="233"/>
      <c r="D1288" t="s">
        <v>412</v>
      </c>
      <c r="E1288" s="366">
        <v>6</v>
      </c>
      <c r="F1288" s="371" t="s">
        <v>1886</v>
      </c>
      <c r="G1288" s="371"/>
      <c r="H1288" s="176">
        <v>1.8</v>
      </c>
      <c r="I1288" s="12">
        <v>5225</v>
      </c>
      <c r="J1288" s="176">
        <v>3700</v>
      </c>
      <c r="K1288" s="410">
        <f t="shared" si="225"/>
        <v>1.2746411483253588</v>
      </c>
      <c r="L1288" s="176">
        <f t="shared" si="226"/>
        <v>3.0746411483253588</v>
      </c>
      <c r="M1288" s="12"/>
      <c r="N1288" s="176">
        <f t="shared" si="227"/>
        <v>4.6119617224880383</v>
      </c>
      <c r="O1288" s="176">
        <v>5</v>
      </c>
      <c r="P1288" s="344"/>
      <c r="S1288" t="s">
        <v>2482</v>
      </c>
      <c r="T1288" s="6">
        <v>46058</v>
      </c>
    </row>
    <row r="1289" spans="1:20" customFormat="1" ht="14.5" hidden="1" x14ac:dyDescent="0.35">
      <c r="A1289" s="3"/>
      <c r="B1289" s="233" t="s">
        <v>833</v>
      </c>
      <c r="C1289" s="597"/>
      <c r="D1289" s="92" t="s">
        <v>412</v>
      </c>
      <c r="E1289" s="745">
        <v>6</v>
      </c>
      <c r="F1289" s="371" t="s">
        <v>1886</v>
      </c>
      <c r="G1289" s="371"/>
      <c r="H1289" s="176">
        <v>1.8</v>
      </c>
      <c r="I1289" s="12">
        <v>5225</v>
      </c>
      <c r="J1289" s="176">
        <v>3700</v>
      </c>
      <c r="K1289" s="410">
        <f t="shared" si="225"/>
        <v>1.2746411483253588</v>
      </c>
      <c r="L1289" s="176">
        <f t="shared" si="226"/>
        <v>3.0746411483253588</v>
      </c>
      <c r="M1289" s="12"/>
      <c r="N1289" s="176">
        <f t="shared" si="227"/>
        <v>4.6119617224880383</v>
      </c>
      <c r="O1289" s="176">
        <v>5</v>
      </c>
      <c r="P1289" s="344"/>
      <c r="S1289" t="s">
        <v>12</v>
      </c>
      <c r="T1289" s="6">
        <v>46078</v>
      </c>
    </row>
    <row r="1290" spans="1:20" s="13" customFormat="1" ht="14.5" x14ac:dyDescent="0.35">
      <c r="A1290" s="369"/>
      <c r="B1290" s="368" t="s">
        <v>833</v>
      </c>
      <c r="C1290" s="368"/>
      <c r="D1290" s="13" t="s">
        <v>412</v>
      </c>
      <c r="E1290" s="399">
        <v>6</v>
      </c>
      <c r="F1290" s="435" t="s">
        <v>1886</v>
      </c>
      <c r="G1290" s="435"/>
      <c r="H1290" s="344">
        <v>1.8</v>
      </c>
      <c r="I1290" s="13">
        <v>5225</v>
      </c>
      <c r="J1290" s="344">
        <v>3700</v>
      </c>
      <c r="K1290" s="443">
        <f t="shared" si="225"/>
        <v>1.2746411483253588</v>
      </c>
      <c r="L1290" s="344">
        <f t="shared" si="226"/>
        <v>3.0746411483253588</v>
      </c>
      <c r="N1290" s="344">
        <f t="shared" si="227"/>
        <v>4.6119617224880383</v>
      </c>
      <c r="O1290" s="344">
        <v>5</v>
      </c>
      <c r="P1290" s="344"/>
    </row>
    <row r="1291" spans="1:20" customFormat="1" ht="14.5" hidden="1" x14ac:dyDescent="0.35">
      <c r="A1291" s="3"/>
      <c r="B1291" s="233" t="s">
        <v>833</v>
      </c>
      <c r="C1291" s="597"/>
      <c r="D1291" s="92" t="s">
        <v>412</v>
      </c>
      <c r="E1291" s="745">
        <v>6</v>
      </c>
      <c r="F1291" s="371" t="s">
        <v>1822</v>
      </c>
      <c r="G1291" s="371"/>
      <c r="H1291" s="176">
        <v>1.8</v>
      </c>
      <c r="I1291" s="12">
        <v>5225</v>
      </c>
      <c r="J1291" s="176">
        <v>3700</v>
      </c>
      <c r="K1291" s="410">
        <f t="shared" si="225"/>
        <v>1.2746411483253588</v>
      </c>
      <c r="L1291" s="176">
        <f t="shared" si="226"/>
        <v>3.0746411483253588</v>
      </c>
      <c r="M1291" s="12"/>
      <c r="N1291" s="176">
        <f t="shared" si="227"/>
        <v>4.6119617224880383</v>
      </c>
      <c r="O1291" s="176">
        <v>5</v>
      </c>
      <c r="P1291" s="344"/>
      <c r="S1291" t="s">
        <v>12</v>
      </c>
      <c r="T1291" s="6">
        <v>46351</v>
      </c>
    </row>
    <row r="1292" spans="1:20" customFormat="1" ht="14.5" hidden="1" x14ac:dyDescent="0.35">
      <c r="A1292" s="594"/>
      <c r="B1292" s="597" t="s">
        <v>833</v>
      </c>
      <c r="C1292" s="597"/>
      <c r="D1292" s="92" t="s">
        <v>412</v>
      </c>
      <c r="E1292" s="745">
        <v>6</v>
      </c>
      <c r="F1292" s="371" t="s">
        <v>1822</v>
      </c>
      <c r="G1292" s="371"/>
      <c r="H1292" s="176"/>
      <c r="I1292" s="12">
        <v>5225</v>
      </c>
      <c r="J1292" s="176">
        <v>3700</v>
      </c>
      <c r="K1292" s="410">
        <f t="shared" si="225"/>
        <v>0</v>
      </c>
      <c r="L1292" s="176">
        <f t="shared" si="226"/>
        <v>0</v>
      </c>
      <c r="M1292" s="12"/>
      <c r="N1292" s="176">
        <f t="shared" si="227"/>
        <v>0</v>
      </c>
      <c r="O1292" s="176">
        <v>5</v>
      </c>
      <c r="P1292" s="173"/>
      <c r="S1292" t="s">
        <v>12</v>
      </c>
      <c r="T1292" s="6">
        <v>46123</v>
      </c>
    </row>
    <row r="1293" spans="1:20" customFormat="1" ht="14.5" hidden="1" x14ac:dyDescent="0.35">
      <c r="A1293" s="594"/>
      <c r="B1293" s="597" t="s">
        <v>833</v>
      </c>
      <c r="C1293" s="597"/>
      <c r="D1293" s="92" t="s">
        <v>412</v>
      </c>
      <c r="E1293" s="745">
        <v>6</v>
      </c>
      <c r="F1293" s="371" t="s">
        <v>1822</v>
      </c>
      <c r="G1293" s="371"/>
      <c r="H1293" s="176">
        <v>1.8</v>
      </c>
      <c r="I1293" s="12">
        <v>5225</v>
      </c>
      <c r="J1293" s="176">
        <v>3700</v>
      </c>
      <c r="K1293" s="410">
        <f t="shared" si="225"/>
        <v>1.2746411483253588</v>
      </c>
      <c r="L1293" s="176">
        <f t="shared" si="226"/>
        <v>3.0746411483253588</v>
      </c>
      <c r="M1293" s="12"/>
      <c r="N1293" s="176">
        <f t="shared" si="227"/>
        <v>4.6119617224880383</v>
      </c>
      <c r="O1293" s="176">
        <v>5</v>
      </c>
      <c r="P1293" s="173"/>
      <c r="S1293" t="s">
        <v>12</v>
      </c>
      <c r="T1293" s="6">
        <v>46123</v>
      </c>
    </row>
    <row r="1294" spans="1:20" customFormat="1" ht="14.5" x14ac:dyDescent="0.35">
      <c r="A1294" s="594"/>
      <c r="B1294" s="597" t="s">
        <v>833</v>
      </c>
      <c r="C1294" s="597"/>
      <c r="D1294" s="92" t="s">
        <v>412</v>
      </c>
      <c r="E1294" s="745">
        <v>6</v>
      </c>
      <c r="F1294" s="245" t="s">
        <v>1822</v>
      </c>
      <c r="G1294" s="245"/>
      <c r="H1294" s="173">
        <v>1.8</v>
      </c>
      <c r="I1294">
        <v>5225</v>
      </c>
      <c r="J1294" s="173">
        <v>3700</v>
      </c>
      <c r="K1294" s="402">
        <f t="shared" si="225"/>
        <v>1.2746411483253588</v>
      </c>
      <c r="L1294" s="173">
        <f t="shared" si="226"/>
        <v>3.0746411483253588</v>
      </c>
      <c r="N1294" s="173">
        <f t="shared" si="227"/>
        <v>4.6119617224880383</v>
      </c>
      <c r="O1294" s="173">
        <v>5</v>
      </c>
      <c r="P1294" s="173"/>
    </row>
    <row r="1295" spans="1:20" customFormat="1" ht="14.5" hidden="1" x14ac:dyDescent="0.35">
      <c r="A1295" s="3"/>
      <c r="B1295" s="233" t="s">
        <v>833</v>
      </c>
      <c r="C1295" s="233"/>
      <c r="D1295" t="s">
        <v>412</v>
      </c>
      <c r="E1295" s="366">
        <v>6</v>
      </c>
      <c r="F1295" s="371" t="s">
        <v>1824</v>
      </c>
      <c r="G1295" s="371"/>
      <c r="H1295" s="176">
        <v>1.8</v>
      </c>
      <c r="I1295" s="12">
        <v>5225</v>
      </c>
      <c r="J1295" s="176">
        <v>3700</v>
      </c>
      <c r="K1295" s="410">
        <f>+H1295/I1295*J1295</f>
        <v>1.2746411483253588</v>
      </c>
      <c r="L1295" s="176">
        <f>+H1295+K1295</f>
        <v>3.0746411483253588</v>
      </c>
      <c r="M1295" s="12"/>
      <c r="N1295" s="176">
        <f>+L1295*1.5</f>
        <v>4.6119617224880383</v>
      </c>
      <c r="O1295" s="176">
        <v>5</v>
      </c>
      <c r="P1295" s="344"/>
      <c r="S1295" t="s">
        <v>2189</v>
      </c>
      <c r="T1295" s="6">
        <v>46030</v>
      </c>
    </row>
    <row r="1296" spans="1:20" customFormat="1" ht="14.5" hidden="1" x14ac:dyDescent="0.35">
      <c r="A1296" s="3"/>
      <c r="B1296" s="233" t="s">
        <v>833</v>
      </c>
      <c r="C1296" s="233"/>
      <c r="D1296" t="s">
        <v>412</v>
      </c>
      <c r="E1296" s="366">
        <v>6</v>
      </c>
      <c r="F1296" s="371" t="s">
        <v>1824</v>
      </c>
      <c r="G1296" s="371"/>
      <c r="H1296" s="176">
        <v>1.8</v>
      </c>
      <c r="I1296" s="12">
        <v>5225</v>
      </c>
      <c r="J1296" s="176">
        <v>3700</v>
      </c>
      <c r="K1296" s="410">
        <f>+H1296/I1296*J1296</f>
        <v>1.2746411483253588</v>
      </c>
      <c r="L1296" s="176">
        <f>+H1296+K1296</f>
        <v>3.0746411483253588</v>
      </c>
      <c r="M1296" s="12"/>
      <c r="N1296" s="176">
        <f>+L1296*1.5</f>
        <v>4.6119617224880383</v>
      </c>
      <c r="O1296" s="176">
        <v>5</v>
      </c>
      <c r="P1296" s="344"/>
      <c r="S1296" t="s">
        <v>2189</v>
      </c>
      <c r="T1296" s="6">
        <v>46030</v>
      </c>
    </row>
    <row r="1297" spans="1:20" s="13" customFormat="1" ht="14.5" x14ac:dyDescent="0.35">
      <c r="A1297" s="369"/>
      <c r="B1297" s="368" t="s">
        <v>833</v>
      </c>
      <c r="C1297" s="368"/>
      <c r="D1297" s="13" t="s">
        <v>412</v>
      </c>
      <c r="E1297" s="399">
        <v>6</v>
      </c>
      <c r="F1297" s="435" t="s">
        <v>1824</v>
      </c>
      <c r="G1297" s="435"/>
      <c r="H1297" s="344">
        <v>1.8</v>
      </c>
      <c r="I1297" s="13">
        <v>5225</v>
      </c>
      <c r="J1297" s="344">
        <v>3700</v>
      </c>
      <c r="K1297" s="443">
        <f>+H1297/I1297*J1297</f>
        <v>1.2746411483253588</v>
      </c>
      <c r="L1297" s="344">
        <f>+H1297+K1297</f>
        <v>3.0746411483253588</v>
      </c>
      <c r="N1297" s="344">
        <f>+L1297*1.5</f>
        <v>4.6119617224880383</v>
      </c>
      <c r="O1297" s="344">
        <v>5</v>
      </c>
      <c r="P1297" s="344"/>
    </row>
    <row r="1298" spans="1:20" s="13" customFormat="1" ht="14.5" x14ac:dyDescent="0.35">
      <c r="A1298" s="369"/>
      <c r="B1298" s="368" t="s">
        <v>833</v>
      </c>
      <c r="C1298" s="368"/>
      <c r="D1298" s="13" t="s">
        <v>412</v>
      </c>
      <c r="E1298" s="399">
        <v>6</v>
      </c>
      <c r="F1298" s="435" t="s">
        <v>1824</v>
      </c>
      <c r="G1298" s="435"/>
      <c r="H1298" s="344">
        <v>1.8</v>
      </c>
      <c r="I1298" s="13">
        <v>5225</v>
      </c>
      <c r="J1298" s="344">
        <v>3700</v>
      </c>
      <c r="K1298" s="443">
        <f>+H1298/I1298*J1298</f>
        <v>1.2746411483253588</v>
      </c>
      <c r="L1298" s="344">
        <f>+H1298+K1298</f>
        <v>3.0746411483253588</v>
      </c>
      <c r="N1298" s="344">
        <f>+L1298*1.5</f>
        <v>4.6119617224880383</v>
      </c>
      <c r="O1298" s="344">
        <v>5</v>
      </c>
      <c r="P1298" s="344"/>
    </row>
    <row r="1299" spans="1:20" s="13" customFormat="1" ht="14.5" x14ac:dyDescent="0.35">
      <c r="A1299" s="369"/>
      <c r="B1299" s="368" t="s">
        <v>833</v>
      </c>
      <c r="C1299" s="368"/>
      <c r="D1299" s="13" t="s">
        <v>412</v>
      </c>
      <c r="E1299" s="399">
        <v>6</v>
      </c>
      <c r="F1299" s="435" t="s">
        <v>1824</v>
      </c>
      <c r="G1299" s="435"/>
      <c r="H1299" s="344">
        <v>1.8</v>
      </c>
      <c r="I1299" s="13">
        <v>5225</v>
      </c>
      <c r="J1299" s="344">
        <v>3700</v>
      </c>
      <c r="K1299" s="443">
        <f>+H1299/I1299*J1299</f>
        <v>1.2746411483253588</v>
      </c>
      <c r="L1299" s="344">
        <f>+H1299+K1299</f>
        <v>3.0746411483253588</v>
      </c>
      <c r="N1299" s="344">
        <f>+L1299*1.5</f>
        <v>4.6119617224880383</v>
      </c>
      <c r="O1299" s="344">
        <v>5</v>
      </c>
      <c r="P1299" s="344"/>
    </row>
    <row r="1300" spans="1:20" customFormat="1" ht="18.5" x14ac:dyDescent="0.45">
      <c r="A1300" s="3"/>
      <c r="B1300" s="3"/>
      <c r="C1300" s="666">
        <v>45901</v>
      </c>
      <c r="P1300" s="344"/>
    </row>
    <row r="1301" spans="1:20" customFormat="1" ht="14.5" x14ac:dyDescent="0.35">
      <c r="A1301" s="594"/>
      <c r="B1301" s="597" t="s">
        <v>833</v>
      </c>
      <c r="C1301" s="597"/>
      <c r="D1301" s="92" t="s">
        <v>760</v>
      </c>
      <c r="E1301" s="745">
        <v>8</v>
      </c>
      <c r="F1301" s="371" t="s">
        <v>1823</v>
      </c>
      <c r="G1301" s="371"/>
      <c r="H1301" s="176">
        <v>1.8</v>
      </c>
      <c r="I1301" s="12">
        <v>5225</v>
      </c>
      <c r="J1301" s="176">
        <v>3700</v>
      </c>
      <c r="K1301" s="410">
        <f t="shared" ref="K1301:K1327" si="228">+H1301/I1301*J1301</f>
        <v>1.2746411483253588</v>
      </c>
      <c r="L1301" s="176">
        <f t="shared" ref="L1301:L1327" si="229">+H1301+K1301</f>
        <v>3.0746411483253588</v>
      </c>
      <c r="M1301" s="12"/>
      <c r="N1301" s="176">
        <f t="shared" ref="N1301:N1327" si="230">+L1301*1.5</f>
        <v>4.6119617224880383</v>
      </c>
      <c r="O1301" s="176">
        <v>5</v>
      </c>
      <c r="P1301" s="173"/>
      <c r="S1301" t="s">
        <v>12</v>
      </c>
      <c r="T1301" s="6">
        <v>46123</v>
      </c>
    </row>
    <row r="1302" spans="1:20" customFormat="1" ht="14.5" x14ac:dyDescent="0.35">
      <c r="A1302" s="594"/>
      <c r="B1302" s="597" t="s">
        <v>833</v>
      </c>
      <c r="C1302" s="597"/>
      <c r="D1302" s="92" t="s">
        <v>760</v>
      </c>
      <c r="E1302" s="745">
        <v>8</v>
      </c>
      <c r="F1302" s="245" t="s">
        <v>1823</v>
      </c>
      <c r="G1302" s="245"/>
      <c r="H1302" s="173">
        <v>1.8</v>
      </c>
      <c r="I1302">
        <v>5225</v>
      </c>
      <c r="J1302" s="173">
        <v>3700</v>
      </c>
      <c r="K1302" s="402">
        <f t="shared" si="228"/>
        <v>1.2746411483253588</v>
      </c>
      <c r="L1302" s="173">
        <f t="shared" si="229"/>
        <v>3.0746411483253588</v>
      </c>
      <c r="N1302" s="173">
        <f t="shared" si="230"/>
        <v>4.6119617224880383</v>
      </c>
      <c r="O1302" s="173">
        <v>5</v>
      </c>
      <c r="P1302" s="173"/>
    </row>
    <row r="1303" spans="1:20" customFormat="1" ht="14.5" x14ac:dyDescent="0.35">
      <c r="A1303" s="594"/>
      <c r="B1303" s="597" t="s">
        <v>833</v>
      </c>
      <c r="C1303" s="597"/>
      <c r="D1303" s="92" t="s">
        <v>760</v>
      </c>
      <c r="E1303" s="745">
        <v>8</v>
      </c>
      <c r="F1303" s="245" t="s">
        <v>1823</v>
      </c>
      <c r="G1303" s="245"/>
      <c r="H1303" s="173">
        <v>1.8</v>
      </c>
      <c r="I1303">
        <v>5225</v>
      </c>
      <c r="J1303" s="173">
        <v>3700</v>
      </c>
      <c r="K1303" s="402">
        <f t="shared" si="228"/>
        <v>1.2746411483253588</v>
      </c>
      <c r="L1303" s="173">
        <f t="shared" si="229"/>
        <v>3.0746411483253588</v>
      </c>
      <c r="N1303" s="173">
        <f t="shared" si="230"/>
        <v>4.6119617224880383</v>
      </c>
      <c r="O1303" s="173">
        <v>5</v>
      </c>
      <c r="P1303" s="173"/>
    </row>
    <row r="1304" spans="1:20" customFormat="1" ht="14.5" x14ac:dyDescent="0.35">
      <c r="A1304" s="594"/>
      <c r="B1304" s="597" t="s">
        <v>833</v>
      </c>
      <c r="C1304" s="597"/>
      <c r="D1304" s="92" t="s">
        <v>760</v>
      </c>
      <c r="E1304" s="745">
        <v>8</v>
      </c>
      <c r="F1304" s="245" t="s">
        <v>1823</v>
      </c>
      <c r="G1304" s="245"/>
      <c r="H1304" s="173">
        <v>1.8</v>
      </c>
      <c r="I1304">
        <v>5225</v>
      </c>
      <c r="J1304" s="173">
        <v>3700</v>
      </c>
      <c r="K1304" s="402">
        <f t="shared" si="228"/>
        <v>1.2746411483253588</v>
      </c>
      <c r="L1304" s="173">
        <f t="shared" si="229"/>
        <v>3.0746411483253588</v>
      </c>
      <c r="N1304" s="173">
        <f t="shared" si="230"/>
        <v>4.6119617224880383</v>
      </c>
      <c r="O1304" s="173">
        <v>5</v>
      </c>
      <c r="P1304" s="173"/>
    </row>
    <row r="1305" spans="1:20" customFormat="1" ht="14.5" x14ac:dyDescent="0.35">
      <c r="A1305" s="594"/>
      <c r="B1305" s="597" t="s">
        <v>833</v>
      </c>
      <c r="C1305" s="597"/>
      <c r="D1305" s="92" t="s">
        <v>760</v>
      </c>
      <c r="E1305" s="745">
        <v>8</v>
      </c>
      <c r="F1305" s="245" t="s">
        <v>1823</v>
      </c>
      <c r="G1305" s="245"/>
      <c r="H1305" s="173">
        <v>1.8</v>
      </c>
      <c r="I1305">
        <v>5225</v>
      </c>
      <c r="J1305" s="173">
        <v>3700</v>
      </c>
      <c r="K1305" s="402">
        <f>+H1305/I1305*J1305</f>
        <v>1.2746411483253588</v>
      </c>
      <c r="L1305" s="173">
        <f>+H1305+K1305</f>
        <v>3.0746411483253588</v>
      </c>
      <c r="N1305" s="173">
        <f>+L1305*1.5</f>
        <v>4.6119617224880383</v>
      </c>
      <c r="O1305" s="173">
        <v>5</v>
      </c>
      <c r="P1305" s="173"/>
    </row>
    <row r="1306" spans="1:20" customFormat="1" ht="14.5" x14ac:dyDescent="0.35">
      <c r="A1306" s="594"/>
      <c r="B1306" s="597" t="s">
        <v>833</v>
      </c>
      <c r="C1306" s="597"/>
      <c r="D1306" s="92" t="s">
        <v>760</v>
      </c>
      <c r="E1306" s="745">
        <v>8</v>
      </c>
      <c r="F1306" s="245" t="s">
        <v>1823</v>
      </c>
      <c r="G1306" s="245"/>
      <c r="H1306" s="173">
        <v>1.8</v>
      </c>
      <c r="I1306">
        <v>5225</v>
      </c>
      <c r="J1306" s="173">
        <v>3700</v>
      </c>
      <c r="K1306" s="402">
        <f>+H1306/I1306*J1306</f>
        <v>1.2746411483253588</v>
      </c>
      <c r="L1306" s="173">
        <f>+H1306+K1306</f>
        <v>3.0746411483253588</v>
      </c>
      <c r="N1306" s="173">
        <f>+L1306*1.5</f>
        <v>4.6119617224880383</v>
      </c>
      <c r="O1306" s="173">
        <v>5</v>
      </c>
      <c r="P1306" s="173"/>
    </row>
    <row r="1307" spans="1:20" customFormat="1" ht="14.5" x14ac:dyDescent="0.35">
      <c r="A1307" s="594"/>
      <c r="B1307" s="597" t="s">
        <v>833</v>
      </c>
      <c r="C1307" s="597"/>
      <c r="D1307" s="92" t="s">
        <v>760</v>
      </c>
      <c r="E1307" s="745">
        <v>8</v>
      </c>
      <c r="F1307" s="245" t="s">
        <v>1823</v>
      </c>
      <c r="G1307" s="245"/>
      <c r="H1307" s="173">
        <v>1.8</v>
      </c>
      <c r="I1307">
        <v>5225</v>
      </c>
      <c r="J1307" s="173">
        <v>3700</v>
      </c>
      <c r="K1307" s="402">
        <f t="shared" si="228"/>
        <v>1.2746411483253588</v>
      </c>
      <c r="L1307" s="173">
        <f t="shared" si="229"/>
        <v>3.0746411483253588</v>
      </c>
      <c r="N1307" s="173">
        <f t="shared" si="230"/>
        <v>4.6119617224880383</v>
      </c>
      <c r="O1307" s="173">
        <v>5</v>
      </c>
      <c r="P1307" s="173"/>
    </row>
    <row r="1308" spans="1:20" customFormat="1" ht="14.5" x14ac:dyDescent="0.35">
      <c r="A1308" s="594"/>
      <c r="B1308" s="597" t="s">
        <v>833</v>
      </c>
      <c r="C1308" s="597"/>
      <c r="D1308" s="92" t="s">
        <v>760</v>
      </c>
      <c r="E1308" s="745">
        <v>8</v>
      </c>
      <c r="F1308" s="245" t="s">
        <v>1823</v>
      </c>
      <c r="G1308" s="245"/>
      <c r="H1308" s="173">
        <v>1.8</v>
      </c>
      <c r="I1308">
        <v>5225</v>
      </c>
      <c r="J1308" s="173">
        <v>3700</v>
      </c>
      <c r="K1308" s="402">
        <f t="shared" si="228"/>
        <v>1.2746411483253588</v>
      </c>
      <c r="L1308" s="173">
        <f t="shared" si="229"/>
        <v>3.0746411483253588</v>
      </c>
      <c r="N1308" s="173">
        <f t="shared" si="230"/>
        <v>4.6119617224880383</v>
      </c>
      <c r="O1308" s="173">
        <v>5</v>
      </c>
      <c r="P1308" s="173"/>
    </row>
    <row r="1309" spans="1:20" customFormat="1" ht="14.5" x14ac:dyDescent="0.35">
      <c r="A1309" s="594"/>
      <c r="B1309" s="597" t="s">
        <v>833</v>
      </c>
      <c r="C1309" s="597"/>
      <c r="D1309" s="92" t="s">
        <v>760</v>
      </c>
      <c r="E1309" s="745">
        <v>8</v>
      </c>
      <c r="F1309" s="245" t="s">
        <v>1823</v>
      </c>
      <c r="G1309" s="245"/>
      <c r="H1309" s="173">
        <v>1.8</v>
      </c>
      <c r="I1309">
        <v>5225</v>
      </c>
      <c r="J1309" s="173">
        <v>3700</v>
      </c>
      <c r="K1309" s="402">
        <f t="shared" si="228"/>
        <v>1.2746411483253588</v>
      </c>
      <c r="L1309" s="173">
        <f t="shared" si="229"/>
        <v>3.0746411483253588</v>
      </c>
      <c r="N1309" s="173">
        <f t="shared" si="230"/>
        <v>4.6119617224880383</v>
      </c>
      <c r="O1309" s="173">
        <v>5</v>
      </c>
      <c r="P1309" s="173"/>
    </row>
    <row r="1310" spans="1:20" customFormat="1" ht="14.5" x14ac:dyDescent="0.35">
      <c r="A1310" s="594"/>
      <c r="B1310" s="597" t="s">
        <v>833</v>
      </c>
      <c r="C1310" s="597"/>
      <c r="D1310" s="92" t="s">
        <v>760</v>
      </c>
      <c r="E1310" s="745">
        <v>8</v>
      </c>
      <c r="F1310" s="245" t="s">
        <v>1823</v>
      </c>
      <c r="G1310" s="245"/>
      <c r="H1310" s="173">
        <v>1.8</v>
      </c>
      <c r="I1310">
        <v>5225</v>
      </c>
      <c r="J1310" s="173">
        <v>3700</v>
      </c>
      <c r="K1310" s="402">
        <f t="shared" si="228"/>
        <v>1.2746411483253588</v>
      </c>
      <c r="L1310" s="173">
        <f t="shared" si="229"/>
        <v>3.0746411483253588</v>
      </c>
      <c r="N1310" s="173">
        <f t="shared" si="230"/>
        <v>4.6119617224880383</v>
      </c>
      <c r="O1310" s="173">
        <v>5</v>
      </c>
      <c r="P1310" s="173"/>
    </row>
    <row r="1311" spans="1:20" customFormat="1" ht="14.5" x14ac:dyDescent="0.35">
      <c r="A1311" s="594"/>
      <c r="B1311" s="597" t="s">
        <v>833</v>
      </c>
      <c r="C1311" s="597"/>
      <c r="D1311" s="92" t="s">
        <v>760</v>
      </c>
      <c r="E1311" s="745">
        <v>8</v>
      </c>
      <c r="F1311" s="245" t="s">
        <v>1823</v>
      </c>
      <c r="G1311" s="245"/>
      <c r="H1311" s="173">
        <v>1.8</v>
      </c>
      <c r="I1311">
        <v>5225</v>
      </c>
      <c r="J1311" s="173">
        <v>3700</v>
      </c>
      <c r="K1311" s="402">
        <f t="shared" si="228"/>
        <v>1.2746411483253588</v>
      </c>
      <c r="L1311" s="173">
        <f t="shared" si="229"/>
        <v>3.0746411483253588</v>
      </c>
      <c r="N1311" s="173">
        <f t="shared" si="230"/>
        <v>4.6119617224880383</v>
      </c>
      <c r="O1311" s="173">
        <v>5</v>
      </c>
      <c r="P1311" s="173"/>
    </row>
    <row r="1312" spans="1:20" customFormat="1" ht="14.5" x14ac:dyDescent="0.35">
      <c r="A1312" s="594"/>
      <c r="B1312" s="597" t="s">
        <v>833</v>
      </c>
      <c r="C1312" s="597"/>
      <c r="D1312" s="92" t="s">
        <v>760</v>
      </c>
      <c r="E1312" s="745">
        <v>8</v>
      </c>
      <c r="F1312" s="245" t="s">
        <v>1823</v>
      </c>
      <c r="G1312" s="245"/>
      <c r="H1312" s="173">
        <v>1.8</v>
      </c>
      <c r="I1312">
        <v>5225</v>
      </c>
      <c r="J1312" s="173">
        <v>3700</v>
      </c>
      <c r="K1312" s="402">
        <f>+H1312/I1312*J1312</f>
        <v>1.2746411483253588</v>
      </c>
      <c r="L1312" s="173">
        <f>+H1312+K1312</f>
        <v>3.0746411483253588</v>
      </c>
      <c r="N1312" s="173">
        <f>+L1312*1.5</f>
        <v>4.6119617224880383</v>
      </c>
      <c r="O1312" s="173">
        <v>5</v>
      </c>
      <c r="P1312" s="173"/>
    </row>
    <row r="1313" spans="1:20" customFormat="1" ht="14.5" hidden="1" x14ac:dyDescent="0.35">
      <c r="A1313" s="3"/>
      <c r="B1313" s="233" t="s">
        <v>833</v>
      </c>
      <c r="C1313" s="233"/>
      <c r="D1313" t="s">
        <v>760</v>
      </c>
      <c r="E1313" s="366">
        <v>8</v>
      </c>
      <c r="F1313" s="371" t="s">
        <v>90</v>
      </c>
      <c r="G1313" s="371"/>
      <c r="H1313" s="176">
        <v>1.8</v>
      </c>
      <c r="I1313" s="12">
        <v>5225</v>
      </c>
      <c r="J1313" s="176">
        <v>3700</v>
      </c>
      <c r="K1313" s="410">
        <f t="shared" si="228"/>
        <v>1.2746411483253588</v>
      </c>
      <c r="L1313" s="176">
        <f t="shared" si="229"/>
        <v>3.0746411483253588</v>
      </c>
      <c r="M1313" s="12"/>
      <c r="N1313" s="176">
        <f t="shared" si="230"/>
        <v>4.6119617224880383</v>
      </c>
      <c r="O1313" s="176">
        <v>5</v>
      </c>
      <c r="P1313" s="344"/>
      <c r="R1313" s="92"/>
      <c r="S1313" t="s">
        <v>12</v>
      </c>
      <c r="T1313" s="6">
        <v>46032</v>
      </c>
    </row>
    <row r="1314" spans="1:20" customFormat="1" ht="15.5" hidden="1" x14ac:dyDescent="0.35">
      <c r="A1314" s="594"/>
      <c r="B1314" s="597" t="s">
        <v>833</v>
      </c>
      <c r="C1314" s="597"/>
      <c r="D1314" s="92" t="s">
        <v>760</v>
      </c>
      <c r="E1314" s="745">
        <v>8</v>
      </c>
      <c r="F1314" s="371" t="s">
        <v>90</v>
      </c>
      <c r="G1314" s="371"/>
      <c r="H1314" s="176">
        <v>1.8</v>
      </c>
      <c r="I1314" s="12">
        <v>5225</v>
      </c>
      <c r="J1314" s="176">
        <v>3700</v>
      </c>
      <c r="K1314" s="410">
        <f t="shared" si="228"/>
        <v>1.2746411483253588</v>
      </c>
      <c r="L1314" s="176">
        <f t="shared" si="229"/>
        <v>3.0746411483253588</v>
      </c>
      <c r="M1314" s="12"/>
      <c r="N1314" s="176">
        <f t="shared" si="230"/>
        <v>4.6119617224880383</v>
      </c>
      <c r="O1314" s="176">
        <v>5</v>
      </c>
      <c r="P1314" s="344"/>
      <c r="S1314" s="10" t="s">
        <v>12</v>
      </c>
      <c r="T1314" s="404">
        <v>46093</v>
      </c>
    </row>
    <row r="1315" spans="1:20" customFormat="1" ht="14.5" hidden="1" x14ac:dyDescent="0.35">
      <c r="A1315" s="594"/>
      <c r="B1315" s="597" t="s">
        <v>833</v>
      </c>
      <c r="C1315" s="597"/>
      <c r="D1315" s="92" t="s">
        <v>760</v>
      </c>
      <c r="E1315" s="745">
        <v>8</v>
      </c>
      <c r="F1315" s="371" t="s">
        <v>90</v>
      </c>
      <c r="G1315" s="371"/>
      <c r="H1315" s="176">
        <v>1.8</v>
      </c>
      <c r="I1315" s="12">
        <v>5225</v>
      </c>
      <c r="J1315" s="176">
        <v>3700</v>
      </c>
      <c r="K1315" s="410">
        <f t="shared" si="228"/>
        <v>1.2746411483253588</v>
      </c>
      <c r="L1315" s="176">
        <f t="shared" si="229"/>
        <v>3.0746411483253588</v>
      </c>
      <c r="M1315" s="12"/>
      <c r="N1315" s="176">
        <f t="shared" si="230"/>
        <v>4.6119617224880383</v>
      </c>
      <c r="O1315" s="176">
        <v>5</v>
      </c>
      <c r="P1315" s="344"/>
      <c r="S1315" t="s">
        <v>12</v>
      </c>
      <c r="T1315" s="6">
        <v>46093</v>
      </c>
    </row>
    <row r="1316" spans="1:20" customFormat="1" ht="14.5" hidden="1" x14ac:dyDescent="0.35">
      <c r="A1316" s="594"/>
      <c r="B1316" s="597" t="s">
        <v>833</v>
      </c>
      <c r="C1316" s="597"/>
      <c r="D1316" s="92" t="s">
        <v>760</v>
      </c>
      <c r="E1316" s="745">
        <v>8</v>
      </c>
      <c r="F1316" s="371" t="s">
        <v>90</v>
      </c>
      <c r="G1316" s="371"/>
      <c r="H1316" s="176">
        <v>1.8</v>
      </c>
      <c r="I1316" s="12">
        <v>5225</v>
      </c>
      <c r="J1316" s="176">
        <v>3700</v>
      </c>
      <c r="K1316" s="410">
        <f t="shared" si="228"/>
        <v>1.2746411483253588</v>
      </c>
      <c r="L1316" s="176">
        <f t="shared" si="229"/>
        <v>3.0746411483253588</v>
      </c>
      <c r="M1316" s="12"/>
      <c r="N1316" s="176">
        <f t="shared" si="230"/>
        <v>4.6119617224880383</v>
      </c>
      <c r="O1316" s="176">
        <v>5</v>
      </c>
      <c r="P1316" s="173"/>
      <c r="S1316" t="s">
        <v>12</v>
      </c>
      <c r="T1316" s="6">
        <v>46123</v>
      </c>
    </row>
    <row r="1317" spans="1:20" customFormat="1" ht="14.5" hidden="1" x14ac:dyDescent="0.35">
      <c r="A1317" s="594"/>
      <c r="B1317" s="597" t="s">
        <v>833</v>
      </c>
      <c r="C1317" s="597"/>
      <c r="D1317" s="92" t="s">
        <v>760</v>
      </c>
      <c r="E1317" s="745">
        <v>8</v>
      </c>
      <c r="F1317" s="371" t="s">
        <v>90</v>
      </c>
      <c r="G1317" s="371"/>
      <c r="H1317" s="176">
        <v>1.8</v>
      </c>
      <c r="I1317" s="12">
        <v>5225</v>
      </c>
      <c r="J1317" s="176">
        <v>3700</v>
      </c>
      <c r="K1317" s="410">
        <f t="shared" si="228"/>
        <v>1.2746411483253588</v>
      </c>
      <c r="L1317" s="176">
        <f t="shared" si="229"/>
        <v>3.0746411483253588</v>
      </c>
      <c r="M1317" s="12"/>
      <c r="N1317" s="176">
        <f t="shared" si="230"/>
        <v>4.6119617224880383</v>
      </c>
      <c r="O1317" s="176">
        <v>5</v>
      </c>
      <c r="P1317" s="173"/>
      <c r="S1317" t="s">
        <v>12</v>
      </c>
      <c r="T1317" s="6">
        <v>46123</v>
      </c>
    </row>
    <row r="1318" spans="1:20" customFormat="1" ht="14.5" hidden="1" x14ac:dyDescent="0.35">
      <c r="A1318" s="594"/>
      <c r="B1318" s="597" t="s">
        <v>833</v>
      </c>
      <c r="C1318" s="597"/>
      <c r="D1318" s="92" t="s">
        <v>760</v>
      </c>
      <c r="E1318" s="745">
        <v>8</v>
      </c>
      <c r="F1318" s="371" t="s">
        <v>90</v>
      </c>
      <c r="G1318" s="371"/>
      <c r="H1318" s="176">
        <v>1.8</v>
      </c>
      <c r="I1318" s="12">
        <v>5225</v>
      </c>
      <c r="J1318" s="176">
        <v>3700</v>
      </c>
      <c r="K1318" s="410">
        <f t="shared" si="228"/>
        <v>1.2746411483253588</v>
      </c>
      <c r="L1318" s="176">
        <f t="shared" si="229"/>
        <v>3.0746411483253588</v>
      </c>
      <c r="M1318" s="12"/>
      <c r="N1318" s="176">
        <f t="shared" si="230"/>
        <v>4.6119617224880383</v>
      </c>
      <c r="O1318" s="176">
        <v>5</v>
      </c>
      <c r="P1318" s="173"/>
      <c r="S1318" t="s">
        <v>12</v>
      </c>
      <c r="T1318" s="6">
        <v>46123</v>
      </c>
    </row>
    <row r="1319" spans="1:20" customFormat="1" ht="14.5" x14ac:dyDescent="0.35">
      <c r="A1319" s="594"/>
      <c r="B1319" s="597" t="s">
        <v>833</v>
      </c>
      <c r="C1319" s="597"/>
      <c r="D1319" s="92" t="s">
        <v>760</v>
      </c>
      <c r="E1319" s="745">
        <v>8</v>
      </c>
      <c r="F1319" s="245" t="s">
        <v>90</v>
      </c>
      <c r="G1319" s="245"/>
      <c r="H1319" s="173">
        <v>1.8</v>
      </c>
      <c r="I1319">
        <v>5225</v>
      </c>
      <c r="J1319" s="173">
        <v>3700</v>
      </c>
      <c r="K1319" s="402">
        <f t="shared" si="228"/>
        <v>1.2746411483253588</v>
      </c>
      <c r="L1319" s="173">
        <f t="shared" si="229"/>
        <v>3.0746411483253588</v>
      </c>
      <c r="N1319" s="173">
        <f t="shared" si="230"/>
        <v>4.6119617224880383</v>
      </c>
      <c r="O1319" s="173">
        <v>5</v>
      </c>
      <c r="P1319" s="173"/>
    </row>
    <row r="1320" spans="1:20" customFormat="1" ht="14.5" x14ac:dyDescent="0.35">
      <c r="A1320" s="594"/>
      <c r="B1320" s="597" t="s">
        <v>833</v>
      </c>
      <c r="C1320" s="597"/>
      <c r="D1320" s="92" t="s">
        <v>760</v>
      </c>
      <c r="E1320" s="745">
        <v>8</v>
      </c>
      <c r="F1320" s="245" t="s">
        <v>90</v>
      </c>
      <c r="G1320" s="245"/>
      <c r="H1320" s="173">
        <v>1.8</v>
      </c>
      <c r="I1320">
        <v>5225</v>
      </c>
      <c r="J1320" s="173">
        <v>3700</v>
      </c>
      <c r="K1320" s="402">
        <f t="shared" si="228"/>
        <v>1.2746411483253588</v>
      </c>
      <c r="L1320" s="173">
        <f t="shared" si="229"/>
        <v>3.0746411483253588</v>
      </c>
      <c r="N1320" s="173">
        <f t="shared" si="230"/>
        <v>4.6119617224880383</v>
      </c>
      <c r="O1320" s="173">
        <v>5</v>
      </c>
      <c r="P1320" s="173"/>
    </row>
    <row r="1321" spans="1:20" customFormat="1" ht="14.5" x14ac:dyDescent="0.35">
      <c r="A1321" s="594"/>
      <c r="B1321" s="597" t="s">
        <v>833</v>
      </c>
      <c r="C1321" s="597"/>
      <c r="D1321" s="92" t="s">
        <v>760</v>
      </c>
      <c r="E1321" s="745">
        <v>8</v>
      </c>
      <c r="F1321" s="245" t="s">
        <v>90</v>
      </c>
      <c r="G1321" s="245"/>
      <c r="H1321" s="173">
        <v>1.8</v>
      </c>
      <c r="I1321">
        <v>5225</v>
      </c>
      <c r="J1321" s="173">
        <v>3700</v>
      </c>
      <c r="K1321" s="402">
        <f t="shared" si="228"/>
        <v>1.2746411483253588</v>
      </c>
      <c r="L1321" s="173">
        <f t="shared" si="229"/>
        <v>3.0746411483253588</v>
      </c>
      <c r="N1321" s="173">
        <f t="shared" si="230"/>
        <v>4.6119617224880383</v>
      </c>
      <c r="O1321" s="173">
        <v>5</v>
      </c>
      <c r="P1321" s="173"/>
    </row>
    <row r="1322" spans="1:20" customFormat="1" ht="14.5" x14ac:dyDescent="0.35">
      <c r="A1322" s="594"/>
      <c r="B1322" s="597" t="s">
        <v>833</v>
      </c>
      <c r="C1322" s="597"/>
      <c r="D1322" s="92" t="s">
        <v>760</v>
      </c>
      <c r="E1322" s="745">
        <v>8</v>
      </c>
      <c r="F1322" s="245" t="s">
        <v>90</v>
      </c>
      <c r="G1322" s="245"/>
      <c r="H1322" s="173">
        <v>1.8</v>
      </c>
      <c r="I1322">
        <v>5225</v>
      </c>
      <c r="J1322" s="173">
        <v>3700</v>
      </c>
      <c r="K1322" s="402">
        <f t="shared" si="228"/>
        <v>1.2746411483253588</v>
      </c>
      <c r="L1322" s="173">
        <f t="shared" si="229"/>
        <v>3.0746411483253588</v>
      </c>
      <c r="N1322" s="173">
        <f t="shared" si="230"/>
        <v>4.6119617224880383</v>
      </c>
      <c r="O1322" s="173">
        <v>5</v>
      </c>
      <c r="P1322" s="173"/>
    </row>
    <row r="1323" spans="1:20" customFormat="1" ht="14.5" x14ac:dyDescent="0.35">
      <c r="A1323" s="594"/>
      <c r="B1323" s="597" t="s">
        <v>833</v>
      </c>
      <c r="C1323" s="597"/>
      <c r="D1323" s="92" t="s">
        <v>760</v>
      </c>
      <c r="E1323" s="745">
        <v>8</v>
      </c>
      <c r="F1323" s="245" t="s">
        <v>90</v>
      </c>
      <c r="G1323" s="245"/>
      <c r="H1323" s="173">
        <v>1.8</v>
      </c>
      <c r="I1323">
        <v>5225</v>
      </c>
      <c r="J1323" s="173">
        <v>3700</v>
      </c>
      <c r="K1323" s="402">
        <f t="shared" si="228"/>
        <v>1.2746411483253588</v>
      </c>
      <c r="L1323" s="173">
        <f t="shared" si="229"/>
        <v>3.0746411483253588</v>
      </c>
      <c r="N1323" s="173">
        <f t="shared" si="230"/>
        <v>4.6119617224880383</v>
      </c>
      <c r="O1323" s="173">
        <v>5</v>
      </c>
      <c r="P1323" s="173"/>
    </row>
    <row r="1324" spans="1:20" customFormat="1" ht="14.5" x14ac:dyDescent="0.35">
      <c r="A1324" s="594"/>
      <c r="B1324" s="597" t="s">
        <v>833</v>
      </c>
      <c r="C1324" s="597"/>
      <c r="D1324" s="92" t="s">
        <v>760</v>
      </c>
      <c r="E1324" s="745">
        <v>8</v>
      </c>
      <c r="F1324" s="245" t="s">
        <v>90</v>
      </c>
      <c r="G1324" s="245"/>
      <c r="H1324" s="173">
        <v>1.8</v>
      </c>
      <c r="I1324">
        <v>5225</v>
      </c>
      <c r="J1324" s="173">
        <v>3700</v>
      </c>
      <c r="K1324" s="402">
        <f t="shared" si="228"/>
        <v>1.2746411483253588</v>
      </c>
      <c r="L1324" s="173">
        <f t="shared" si="229"/>
        <v>3.0746411483253588</v>
      </c>
      <c r="N1324" s="173">
        <f t="shared" si="230"/>
        <v>4.6119617224880383</v>
      </c>
      <c r="O1324" s="173">
        <v>5</v>
      </c>
      <c r="P1324" s="173"/>
    </row>
    <row r="1325" spans="1:20" customFormat="1" ht="14.5" x14ac:dyDescent="0.35">
      <c r="A1325" s="594"/>
      <c r="B1325" s="597" t="s">
        <v>833</v>
      </c>
      <c r="C1325" s="597"/>
      <c r="D1325" s="92" t="s">
        <v>760</v>
      </c>
      <c r="E1325" s="745">
        <v>8</v>
      </c>
      <c r="F1325" s="371" t="s">
        <v>1885</v>
      </c>
      <c r="G1325" s="371"/>
      <c r="H1325" s="176">
        <v>1.8</v>
      </c>
      <c r="I1325" s="12">
        <v>5225</v>
      </c>
      <c r="J1325" s="176">
        <v>3700</v>
      </c>
      <c r="K1325" s="410">
        <f t="shared" si="228"/>
        <v>1.2746411483253588</v>
      </c>
      <c r="L1325" s="176">
        <f t="shared" si="229"/>
        <v>3.0746411483253588</v>
      </c>
      <c r="M1325" s="12"/>
      <c r="N1325" s="176">
        <f t="shared" si="230"/>
        <v>4.6119617224880383</v>
      </c>
      <c r="O1325" s="176">
        <v>5</v>
      </c>
      <c r="P1325" s="173"/>
      <c r="S1325" t="s">
        <v>12</v>
      </c>
      <c r="T1325" s="6">
        <v>46123</v>
      </c>
    </row>
    <row r="1326" spans="1:20" customFormat="1" ht="14.5" x14ac:dyDescent="0.35">
      <c r="A1326" s="594"/>
      <c r="B1326" s="597" t="s">
        <v>833</v>
      </c>
      <c r="C1326" s="597"/>
      <c r="D1326" s="92" t="s">
        <v>760</v>
      </c>
      <c r="E1326" s="745">
        <v>8</v>
      </c>
      <c r="F1326" s="245" t="s">
        <v>1885</v>
      </c>
      <c r="G1326" s="245"/>
      <c r="H1326" s="173">
        <v>1.8</v>
      </c>
      <c r="I1326">
        <v>5225</v>
      </c>
      <c r="J1326" s="173">
        <v>3700</v>
      </c>
      <c r="K1326" s="402">
        <f t="shared" si="228"/>
        <v>1.2746411483253588</v>
      </c>
      <c r="L1326" s="173">
        <f t="shared" si="229"/>
        <v>3.0746411483253588</v>
      </c>
      <c r="N1326" s="173">
        <f t="shared" si="230"/>
        <v>4.6119617224880383</v>
      </c>
      <c r="O1326" s="173">
        <v>5</v>
      </c>
      <c r="P1326" s="173"/>
    </row>
    <row r="1327" spans="1:20" customFormat="1" ht="14.5" x14ac:dyDescent="0.35">
      <c r="A1327" s="594"/>
      <c r="B1327" s="597" t="s">
        <v>833</v>
      </c>
      <c r="C1327" s="597"/>
      <c r="D1327" s="92" t="s">
        <v>760</v>
      </c>
      <c r="E1327" s="745">
        <v>8</v>
      </c>
      <c r="F1327" s="245" t="s">
        <v>1885</v>
      </c>
      <c r="G1327" s="245"/>
      <c r="H1327" s="173">
        <v>1.8</v>
      </c>
      <c r="I1327">
        <v>5225</v>
      </c>
      <c r="J1327" s="173">
        <v>3700</v>
      </c>
      <c r="K1327" s="402">
        <f t="shared" si="228"/>
        <v>1.2746411483253588</v>
      </c>
      <c r="L1327" s="173">
        <f t="shared" si="229"/>
        <v>3.0746411483253588</v>
      </c>
      <c r="N1327" s="173">
        <f t="shared" si="230"/>
        <v>4.6119617224880383</v>
      </c>
      <c r="O1327" s="173">
        <v>5</v>
      </c>
      <c r="P1327" s="173"/>
    </row>
    <row r="1328" spans="1:20" customFormat="1" ht="14.5" x14ac:dyDescent="0.35">
      <c r="A1328" s="594"/>
      <c r="B1328" s="597" t="s">
        <v>833</v>
      </c>
      <c r="C1328" s="597"/>
      <c r="D1328" s="92" t="s">
        <v>760</v>
      </c>
      <c r="E1328" s="745">
        <v>8</v>
      </c>
      <c r="F1328" s="245" t="s">
        <v>1885</v>
      </c>
      <c r="G1328" s="245"/>
      <c r="H1328" s="173">
        <v>1.8</v>
      </c>
      <c r="I1328">
        <v>5225</v>
      </c>
      <c r="J1328" s="173">
        <v>3700</v>
      </c>
      <c r="K1328" s="402">
        <f t="shared" ref="K1328:K1335" si="231">+H1328/I1328*J1328</f>
        <v>1.2746411483253588</v>
      </c>
      <c r="L1328" s="173">
        <f t="shared" ref="L1328:L1335" si="232">+H1328+K1328</f>
        <v>3.0746411483253588</v>
      </c>
      <c r="N1328" s="173">
        <f t="shared" ref="N1328:N1335" si="233">+L1328*1.5</f>
        <v>4.6119617224880383</v>
      </c>
      <c r="O1328" s="173">
        <v>5</v>
      </c>
      <c r="P1328" s="173"/>
    </row>
    <row r="1329" spans="1:20" customFormat="1" ht="14.5" x14ac:dyDescent="0.35">
      <c r="A1329" s="594"/>
      <c r="B1329" s="597" t="s">
        <v>833</v>
      </c>
      <c r="C1329" s="597"/>
      <c r="D1329" s="92" t="s">
        <v>760</v>
      </c>
      <c r="E1329" s="745">
        <v>8</v>
      </c>
      <c r="F1329" s="245" t="s">
        <v>1885</v>
      </c>
      <c r="G1329" s="245"/>
      <c r="H1329" s="173">
        <v>1.8</v>
      </c>
      <c r="I1329">
        <v>5225</v>
      </c>
      <c r="J1329" s="173">
        <v>3700</v>
      </c>
      <c r="K1329" s="402">
        <f t="shared" si="231"/>
        <v>1.2746411483253588</v>
      </c>
      <c r="L1329" s="173">
        <f t="shared" si="232"/>
        <v>3.0746411483253588</v>
      </c>
      <c r="N1329" s="173">
        <f t="shared" si="233"/>
        <v>4.6119617224880383</v>
      </c>
      <c r="O1329" s="173">
        <v>5</v>
      </c>
      <c r="P1329" s="173"/>
    </row>
    <row r="1330" spans="1:20" s="13" customFormat="1" ht="14.5" x14ac:dyDescent="0.35">
      <c r="A1330" s="369"/>
      <c r="B1330" s="368" t="s">
        <v>833</v>
      </c>
      <c r="C1330" s="368"/>
      <c r="D1330" s="13" t="s">
        <v>760</v>
      </c>
      <c r="E1330" s="399">
        <v>8</v>
      </c>
      <c r="F1330" s="435" t="s">
        <v>1885</v>
      </c>
      <c r="G1330" s="435"/>
      <c r="H1330" s="344">
        <v>1.8</v>
      </c>
      <c r="I1330" s="13">
        <v>5225</v>
      </c>
      <c r="J1330" s="344">
        <v>3700</v>
      </c>
      <c r="K1330" s="443">
        <f t="shared" si="231"/>
        <v>1.2746411483253588</v>
      </c>
      <c r="L1330" s="344">
        <f t="shared" si="232"/>
        <v>3.0746411483253588</v>
      </c>
      <c r="N1330" s="344">
        <f t="shared" si="233"/>
        <v>4.6119617224880383</v>
      </c>
      <c r="O1330" s="344">
        <v>5</v>
      </c>
      <c r="P1330" s="344"/>
    </row>
    <row r="1331" spans="1:20" s="13" customFormat="1" ht="14.5" x14ac:dyDescent="0.35">
      <c r="A1331" s="369"/>
      <c r="B1331" s="368" t="s">
        <v>833</v>
      </c>
      <c r="C1331" s="368"/>
      <c r="D1331" s="13" t="s">
        <v>760</v>
      </c>
      <c r="E1331" s="399">
        <v>8</v>
      </c>
      <c r="F1331" s="435" t="s">
        <v>1885</v>
      </c>
      <c r="G1331" s="435"/>
      <c r="H1331" s="344">
        <v>1.8</v>
      </c>
      <c r="I1331" s="13">
        <v>5225</v>
      </c>
      <c r="J1331" s="344">
        <v>3700</v>
      </c>
      <c r="K1331" s="443">
        <f t="shared" si="231"/>
        <v>1.2746411483253588</v>
      </c>
      <c r="L1331" s="344">
        <f t="shared" si="232"/>
        <v>3.0746411483253588</v>
      </c>
      <c r="N1331" s="344">
        <f t="shared" si="233"/>
        <v>4.6119617224880383</v>
      </c>
      <c r="O1331" s="344">
        <v>5</v>
      </c>
      <c r="P1331" s="344"/>
    </row>
    <row r="1332" spans="1:20" s="13" customFormat="1" ht="14.5" x14ac:dyDescent="0.35">
      <c r="A1332" s="369"/>
      <c r="B1332" s="368" t="s">
        <v>833</v>
      </c>
      <c r="C1332" s="368"/>
      <c r="D1332" s="13" t="s">
        <v>760</v>
      </c>
      <c r="E1332" s="399">
        <v>8</v>
      </c>
      <c r="F1332" s="435" t="s">
        <v>1885</v>
      </c>
      <c r="G1332" s="435"/>
      <c r="H1332" s="344">
        <v>1.8</v>
      </c>
      <c r="I1332" s="13">
        <v>5225</v>
      </c>
      <c r="J1332" s="344">
        <v>3700</v>
      </c>
      <c r="K1332" s="443">
        <f t="shared" si="231"/>
        <v>1.2746411483253588</v>
      </c>
      <c r="L1332" s="344">
        <f t="shared" si="232"/>
        <v>3.0746411483253588</v>
      </c>
      <c r="N1332" s="344">
        <f t="shared" si="233"/>
        <v>4.6119617224880383</v>
      </c>
      <c r="O1332" s="344">
        <v>5</v>
      </c>
      <c r="P1332" s="344"/>
    </row>
    <row r="1333" spans="1:20" s="13" customFormat="1" ht="14.5" x14ac:dyDescent="0.35">
      <c r="A1333" s="369"/>
      <c r="B1333" s="368" t="s">
        <v>833</v>
      </c>
      <c r="C1333" s="368"/>
      <c r="D1333" s="13" t="s">
        <v>598</v>
      </c>
      <c r="E1333" s="399">
        <v>10</v>
      </c>
      <c r="F1333" s="435" t="s">
        <v>505</v>
      </c>
      <c r="G1333" s="435"/>
      <c r="H1333" s="344">
        <v>2.2000000000000002</v>
      </c>
      <c r="I1333" s="13">
        <v>5225</v>
      </c>
      <c r="J1333" s="344">
        <v>3700</v>
      </c>
      <c r="K1333" s="443">
        <f t="shared" si="231"/>
        <v>1.5578947368421054</v>
      </c>
      <c r="L1333" s="344">
        <f t="shared" si="232"/>
        <v>3.7578947368421058</v>
      </c>
      <c r="N1333" s="344">
        <f t="shared" si="233"/>
        <v>5.6368421052631588</v>
      </c>
      <c r="O1333" s="344">
        <v>6</v>
      </c>
      <c r="P1333" s="344"/>
    </row>
    <row r="1334" spans="1:20" s="13" customFormat="1" ht="14.5" x14ac:dyDescent="0.35">
      <c r="A1334" s="369"/>
      <c r="B1334" s="368" t="s">
        <v>833</v>
      </c>
      <c r="C1334" s="368"/>
      <c r="D1334" s="13" t="s">
        <v>598</v>
      </c>
      <c r="E1334" s="399">
        <v>10</v>
      </c>
      <c r="F1334" s="435" t="s">
        <v>505</v>
      </c>
      <c r="G1334" s="435"/>
      <c r="H1334" s="344">
        <v>2.2000000000000002</v>
      </c>
      <c r="I1334" s="13">
        <v>5225</v>
      </c>
      <c r="J1334" s="344">
        <v>3700</v>
      </c>
      <c r="K1334" s="443">
        <f t="shared" si="231"/>
        <v>1.5578947368421054</v>
      </c>
      <c r="L1334" s="344">
        <f t="shared" si="232"/>
        <v>3.7578947368421058</v>
      </c>
      <c r="N1334" s="344">
        <f t="shared" si="233"/>
        <v>5.6368421052631588</v>
      </c>
      <c r="O1334" s="344">
        <v>6</v>
      </c>
      <c r="P1334" s="344"/>
    </row>
    <row r="1335" spans="1:20" s="13" customFormat="1" ht="14.5" x14ac:dyDescent="0.35">
      <c r="A1335" s="369"/>
      <c r="B1335" s="368" t="s">
        <v>833</v>
      </c>
      <c r="C1335" s="368"/>
      <c r="D1335" s="13" t="s">
        <v>598</v>
      </c>
      <c r="E1335" s="399">
        <v>10</v>
      </c>
      <c r="F1335" s="435" t="s">
        <v>505</v>
      </c>
      <c r="G1335" s="435"/>
      <c r="H1335" s="344">
        <v>2.2000000000000002</v>
      </c>
      <c r="I1335" s="13">
        <v>5225</v>
      </c>
      <c r="J1335" s="344">
        <v>3700</v>
      </c>
      <c r="K1335" s="443">
        <f t="shared" si="231"/>
        <v>1.5578947368421054</v>
      </c>
      <c r="L1335" s="344">
        <f t="shared" si="232"/>
        <v>3.7578947368421058</v>
      </c>
      <c r="N1335" s="344">
        <f t="shared" si="233"/>
        <v>5.6368421052631588</v>
      </c>
      <c r="O1335" s="344">
        <v>6</v>
      </c>
      <c r="P1335" s="344"/>
    </row>
    <row r="1336" spans="1:20" customFormat="1" ht="15.5" x14ac:dyDescent="0.35">
      <c r="A1336" s="3"/>
      <c r="B1336" s="3"/>
      <c r="C1336" s="233"/>
      <c r="D1336" s="233"/>
      <c r="F1336" s="10"/>
      <c r="G1336" s="10"/>
      <c r="H1336" s="189"/>
      <c r="I1336" s="10"/>
      <c r="J1336" s="10"/>
      <c r="K1336" s="189"/>
      <c r="L1336" s="189"/>
      <c r="M1336" s="10"/>
      <c r="N1336" s="140"/>
      <c r="O1336" s="189"/>
      <c r="P1336" s="325"/>
    </row>
    <row r="1337" spans="1:20" customFormat="1" ht="15.5" x14ac:dyDescent="0.35">
      <c r="A1337" s="3"/>
      <c r="B1337" s="3"/>
      <c r="C1337" s="233" t="s">
        <v>561</v>
      </c>
      <c r="D1337" s="233"/>
      <c r="E1337" s="366" t="s">
        <v>2048</v>
      </c>
      <c r="F1337" s="245" t="s">
        <v>1982</v>
      </c>
      <c r="G1337" s="245">
        <v>8.5</v>
      </c>
      <c r="H1337" s="173">
        <f t="shared" ref="H1337:H1373" si="234">+G1337/7</f>
        <v>1.2142857142857142</v>
      </c>
      <c r="I1337">
        <v>4072</v>
      </c>
      <c r="J1337" s="173">
        <v>3073</v>
      </c>
      <c r="K1337" s="173">
        <f t="shared" ref="K1337:K1373" si="235">+H1337/I1337*J1337</f>
        <v>0.91638015717092325</v>
      </c>
      <c r="L1337" s="173">
        <f t="shared" ref="L1337:L1373" si="236">+H1337+K1337</f>
        <v>2.1306658714566376</v>
      </c>
      <c r="N1337" s="173">
        <f t="shared" ref="N1337:N1373" si="237">+L1337*1.5</f>
        <v>3.1959988071849565</v>
      </c>
      <c r="O1337" s="173">
        <v>5</v>
      </c>
      <c r="P1337" s="325"/>
      <c r="R1337" s="92"/>
    </row>
    <row r="1338" spans="1:20" customFormat="1" ht="15.5" x14ac:dyDescent="0.35">
      <c r="A1338" s="3"/>
      <c r="B1338" s="3"/>
      <c r="C1338" s="233" t="s">
        <v>561</v>
      </c>
      <c r="D1338" s="233"/>
      <c r="E1338" s="366" t="s">
        <v>2048</v>
      </c>
      <c r="F1338" s="245" t="s">
        <v>1982</v>
      </c>
      <c r="G1338" s="245">
        <v>8.5</v>
      </c>
      <c r="H1338" s="173">
        <f t="shared" si="234"/>
        <v>1.2142857142857142</v>
      </c>
      <c r="I1338">
        <v>4072</v>
      </c>
      <c r="J1338" s="173">
        <v>3073</v>
      </c>
      <c r="K1338" s="173">
        <f t="shared" si="235"/>
        <v>0.91638015717092325</v>
      </c>
      <c r="L1338" s="173">
        <f t="shared" si="236"/>
        <v>2.1306658714566376</v>
      </c>
      <c r="N1338" s="173">
        <f t="shared" si="237"/>
        <v>3.1959988071849565</v>
      </c>
      <c r="O1338" s="173">
        <v>5</v>
      </c>
      <c r="P1338" s="325"/>
      <c r="R1338" s="92"/>
    </row>
    <row r="1339" spans="1:20" customFormat="1" ht="15.5" x14ac:dyDescent="0.35">
      <c r="A1339" s="3"/>
      <c r="B1339" s="3"/>
      <c r="C1339" s="233" t="s">
        <v>561</v>
      </c>
      <c r="D1339" s="233"/>
      <c r="E1339" s="366" t="s">
        <v>405</v>
      </c>
      <c r="F1339" s="371" t="s">
        <v>1982</v>
      </c>
      <c r="G1339" s="371">
        <v>8.5</v>
      </c>
      <c r="H1339" s="176">
        <f t="shared" si="234"/>
        <v>1.2142857142857142</v>
      </c>
      <c r="I1339" s="12">
        <v>4072</v>
      </c>
      <c r="J1339" s="176">
        <v>3073</v>
      </c>
      <c r="K1339" s="176">
        <f t="shared" si="235"/>
        <v>0.91638015717092325</v>
      </c>
      <c r="L1339" s="176">
        <f t="shared" si="236"/>
        <v>2.1306658714566376</v>
      </c>
      <c r="M1339" s="12"/>
      <c r="N1339" s="176">
        <f t="shared" si="237"/>
        <v>3.1959988071849565</v>
      </c>
      <c r="O1339" s="176">
        <v>5</v>
      </c>
      <c r="P1339" s="325"/>
      <c r="R1339" s="92"/>
      <c r="S1339" t="s">
        <v>12</v>
      </c>
      <c r="T1339" s="6">
        <v>46113</v>
      </c>
    </row>
    <row r="1340" spans="1:20" customFormat="1" ht="15.5" x14ac:dyDescent="0.35">
      <c r="A1340" s="3"/>
      <c r="B1340" s="3"/>
      <c r="C1340" s="233" t="s">
        <v>561</v>
      </c>
      <c r="D1340" s="233"/>
      <c r="E1340" s="366" t="s">
        <v>405</v>
      </c>
      <c r="F1340" s="245" t="s">
        <v>1982</v>
      </c>
      <c r="G1340" s="245">
        <v>8.5</v>
      </c>
      <c r="H1340" s="173">
        <f t="shared" si="234"/>
        <v>1.2142857142857142</v>
      </c>
      <c r="I1340">
        <v>4072</v>
      </c>
      <c r="J1340" s="173">
        <v>3073</v>
      </c>
      <c r="K1340" s="173">
        <f t="shared" si="235"/>
        <v>0.91638015717092325</v>
      </c>
      <c r="L1340" s="173">
        <f t="shared" si="236"/>
        <v>2.1306658714566376</v>
      </c>
      <c r="N1340" s="173">
        <f t="shared" si="237"/>
        <v>3.1959988071849565</v>
      </c>
      <c r="O1340" s="173">
        <v>5</v>
      </c>
      <c r="P1340" s="325"/>
      <c r="R1340" s="92"/>
    </row>
    <row r="1341" spans="1:20" customFormat="1" ht="15.5" x14ac:dyDescent="0.35">
      <c r="A1341" s="3"/>
      <c r="B1341" s="3"/>
      <c r="C1341" s="233" t="s">
        <v>561</v>
      </c>
      <c r="D1341" s="233"/>
      <c r="E1341" s="366" t="s">
        <v>589</v>
      </c>
      <c r="F1341" s="245" t="s">
        <v>1982</v>
      </c>
      <c r="G1341" s="245">
        <v>8.5</v>
      </c>
      <c r="H1341" s="173">
        <f t="shared" si="234"/>
        <v>1.2142857142857142</v>
      </c>
      <c r="I1341">
        <v>4072</v>
      </c>
      <c r="J1341" s="173">
        <v>3073</v>
      </c>
      <c r="K1341" s="173">
        <f t="shared" si="235"/>
        <v>0.91638015717092325</v>
      </c>
      <c r="L1341" s="173">
        <f t="shared" si="236"/>
        <v>2.1306658714566376</v>
      </c>
      <c r="N1341" s="173">
        <f t="shared" si="237"/>
        <v>3.1959988071849565</v>
      </c>
      <c r="O1341" s="173">
        <v>5</v>
      </c>
      <c r="P1341" s="325"/>
      <c r="R1341" s="92"/>
    </row>
    <row r="1342" spans="1:20" customFormat="1" ht="15.5" x14ac:dyDescent="0.35">
      <c r="A1342" s="3"/>
      <c r="B1342" s="3"/>
      <c r="C1342" s="233" t="s">
        <v>561</v>
      </c>
      <c r="D1342" s="233"/>
      <c r="E1342" s="366" t="s">
        <v>627</v>
      </c>
      <c r="F1342" s="245" t="s">
        <v>1982</v>
      </c>
      <c r="G1342" s="245">
        <v>8.5</v>
      </c>
      <c r="H1342" s="173">
        <f t="shared" si="234"/>
        <v>1.2142857142857142</v>
      </c>
      <c r="I1342">
        <v>4072</v>
      </c>
      <c r="J1342" s="173">
        <v>3073</v>
      </c>
      <c r="K1342" s="173">
        <f t="shared" si="235"/>
        <v>0.91638015717092325</v>
      </c>
      <c r="L1342" s="173">
        <f t="shared" si="236"/>
        <v>2.1306658714566376</v>
      </c>
      <c r="N1342" s="173">
        <f t="shared" si="237"/>
        <v>3.1959988071849565</v>
      </c>
      <c r="O1342" s="173">
        <v>5</v>
      </c>
      <c r="P1342" s="325"/>
      <c r="R1342" s="92"/>
    </row>
    <row r="1343" spans="1:20" customFormat="1" ht="15.5" x14ac:dyDescent="0.35">
      <c r="A1343" s="3"/>
      <c r="B1343" s="3"/>
      <c r="C1343" s="233" t="s">
        <v>561</v>
      </c>
      <c r="D1343" s="233"/>
      <c r="E1343" s="366" t="s">
        <v>2048</v>
      </c>
      <c r="F1343" s="245" t="s">
        <v>2049</v>
      </c>
      <c r="G1343" s="245">
        <v>8.5</v>
      </c>
      <c r="H1343" s="173">
        <f t="shared" si="234"/>
        <v>1.2142857142857142</v>
      </c>
      <c r="I1343">
        <v>4072</v>
      </c>
      <c r="J1343" s="173">
        <v>3073</v>
      </c>
      <c r="K1343" s="173">
        <f t="shared" si="235"/>
        <v>0.91638015717092325</v>
      </c>
      <c r="L1343" s="173">
        <f t="shared" si="236"/>
        <v>2.1306658714566376</v>
      </c>
      <c r="N1343" s="173">
        <f t="shared" si="237"/>
        <v>3.1959988071849565</v>
      </c>
      <c r="O1343" s="173">
        <v>5</v>
      </c>
      <c r="P1343" s="325"/>
      <c r="R1343" s="92"/>
    </row>
    <row r="1344" spans="1:20" customFormat="1" ht="15.5" x14ac:dyDescent="0.35">
      <c r="A1344" s="3"/>
      <c r="B1344" s="3"/>
      <c r="C1344" s="233" t="s">
        <v>561</v>
      </c>
      <c r="D1344" s="233"/>
      <c r="E1344" s="366" t="s">
        <v>2048</v>
      </c>
      <c r="F1344" s="245" t="s">
        <v>2049</v>
      </c>
      <c r="G1344" s="245">
        <v>8.5</v>
      </c>
      <c r="H1344" s="173">
        <f t="shared" si="234"/>
        <v>1.2142857142857142</v>
      </c>
      <c r="I1344">
        <v>4072</v>
      </c>
      <c r="J1344" s="173">
        <v>3073</v>
      </c>
      <c r="K1344" s="173">
        <f t="shared" si="235"/>
        <v>0.91638015717092325</v>
      </c>
      <c r="L1344" s="173">
        <f t="shared" si="236"/>
        <v>2.1306658714566376</v>
      </c>
      <c r="N1344" s="173">
        <f t="shared" si="237"/>
        <v>3.1959988071849565</v>
      </c>
      <c r="O1344" s="173">
        <v>5</v>
      </c>
      <c r="P1344" s="325"/>
      <c r="R1344" s="92"/>
    </row>
    <row r="1345" spans="1:20" customFormat="1" ht="15.5" x14ac:dyDescent="0.35">
      <c r="A1345" s="3"/>
      <c r="B1345" s="3"/>
      <c r="C1345" s="233" t="s">
        <v>561</v>
      </c>
      <c r="D1345" s="233"/>
      <c r="E1345" s="366" t="s">
        <v>405</v>
      </c>
      <c r="F1345" s="371" t="s">
        <v>2049</v>
      </c>
      <c r="G1345" s="371">
        <v>8.5</v>
      </c>
      <c r="H1345" s="176">
        <f t="shared" si="234"/>
        <v>1.2142857142857142</v>
      </c>
      <c r="I1345" s="12">
        <v>4072</v>
      </c>
      <c r="J1345" s="176">
        <v>3073</v>
      </c>
      <c r="K1345" s="176">
        <f t="shared" si="235"/>
        <v>0.91638015717092325</v>
      </c>
      <c r="L1345" s="176">
        <f t="shared" si="236"/>
        <v>2.1306658714566376</v>
      </c>
      <c r="M1345" s="12"/>
      <c r="N1345" s="176">
        <f t="shared" si="237"/>
        <v>3.1959988071849565</v>
      </c>
      <c r="O1345" s="176">
        <v>5</v>
      </c>
      <c r="P1345" s="325"/>
      <c r="S1345" t="s">
        <v>2189</v>
      </c>
      <c r="T1345" s="6">
        <v>46030</v>
      </c>
    </row>
    <row r="1346" spans="1:20" customFormat="1" ht="15.5" x14ac:dyDescent="0.35">
      <c r="A1346" s="3"/>
      <c r="B1346" s="3"/>
      <c r="C1346" s="233" t="s">
        <v>561</v>
      </c>
      <c r="D1346" s="233"/>
      <c r="E1346" s="366" t="s">
        <v>405</v>
      </c>
      <c r="F1346" s="245" t="s">
        <v>2049</v>
      </c>
      <c r="G1346" s="245">
        <v>8.5</v>
      </c>
      <c r="H1346" s="173">
        <f t="shared" si="234"/>
        <v>1.2142857142857142</v>
      </c>
      <c r="I1346">
        <v>4072</v>
      </c>
      <c r="J1346" s="173">
        <v>3073</v>
      </c>
      <c r="K1346" s="173">
        <f t="shared" si="235"/>
        <v>0.91638015717092325</v>
      </c>
      <c r="L1346" s="173">
        <f t="shared" si="236"/>
        <v>2.1306658714566376</v>
      </c>
      <c r="N1346" s="173">
        <f t="shared" si="237"/>
        <v>3.1959988071849565</v>
      </c>
      <c r="O1346" s="173">
        <v>5</v>
      </c>
      <c r="P1346" s="325"/>
      <c r="R1346" s="92"/>
    </row>
    <row r="1347" spans="1:20" customFormat="1" ht="15.5" x14ac:dyDescent="0.35">
      <c r="A1347" s="3"/>
      <c r="B1347" s="3"/>
      <c r="C1347" s="233" t="s">
        <v>561</v>
      </c>
      <c r="D1347" s="233"/>
      <c r="E1347" s="366" t="s">
        <v>589</v>
      </c>
      <c r="F1347" s="245" t="s">
        <v>2049</v>
      </c>
      <c r="G1347" s="245">
        <v>8.5</v>
      </c>
      <c r="H1347" s="173">
        <f t="shared" si="234"/>
        <v>1.2142857142857142</v>
      </c>
      <c r="I1347">
        <v>4072</v>
      </c>
      <c r="J1347" s="173">
        <v>3073</v>
      </c>
      <c r="K1347" s="173">
        <f t="shared" si="235"/>
        <v>0.91638015717092325</v>
      </c>
      <c r="L1347" s="173">
        <f t="shared" si="236"/>
        <v>2.1306658714566376</v>
      </c>
      <c r="N1347" s="173">
        <f t="shared" si="237"/>
        <v>3.1959988071849565</v>
      </c>
      <c r="O1347" s="173">
        <v>5</v>
      </c>
      <c r="P1347" s="325"/>
      <c r="R1347" s="92"/>
    </row>
    <row r="1348" spans="1:20" customFormat="1" ht="15.5" x14ac:dyDescent="0.35">
      <c r="A1348" s="3"/>
      <c r="B1348" s="3"/>
      <c r="C1348" s="233" t="s">
        <v>561</v>
      </c>
      <c r="D1348" s="233"/>
      <c r="E1348" s="366" t="s">
        <v>627</v>
      </c>
      <c r="F1348" s="245" t="s">
        <v>2049</v>
      </c>
      <c r="G1348" s="245">
        <v>8.5</v>
      </c>
      <c r="H1348" s="173">
        <f t="shared" si="234"/>
        <v>1.2142857142857142</v>
      </c>
      <c r="I1348">
        <v>4072</v>
      </c>
      <c r="J1348" s="173">
        <v>3073</v>
      </c>
      <c r="K1348" s="173">
        <f t="shared" si="235"/>
        <v>0.91638015717092325</v>
      </c>
      <c r="L1348" s="173">
        <f t="shared" si="236"/>
        <v>2.1306658714566376</v>
      </c>
      <c r="N1348" s="173">
        <f t="shared" si="237"/>
        <v>3.1959988071849565</v>
      </c>
      <c r="O1348" s="173">
        <v>5</v>
      </c>
      <c r="P1348" s="325"/>
      <c r="R1348" s="92"/>
    </row>
    <row r="1349" spans="1:20" customFormat="1" ht="15.5" x14ac:dyDescent="0.35">
      <c r="A1349" s="3"/>
      <c r="B1349" s="3"/>
      <c r="C1349" s="233" t="s">
        <v>561</v>
      </c>
      <c r="D1349" s="233"/>
      <c r="E1349" s="366" t="s">
        <v>408</v>
      </c>
      <c r="F1349" s="245" t="s">
        <v>2050</v>
      </c>
      <c r="G1349" s="245">
        <v>12</v>
      </c>
      <c r="H1349" s="173">
        <f t="shared" si="234"/>
        <v>1.7142857142857142</v>
      </c>
      <c r="I1349">
        <v>4072</v>
      </c>
      <c r="J1349" s="173">
        <v>3073</v>
      </c>
      <c r="K1349" s="173">
        <f t="shared" si="235"/>
        <v>1.2937131630648329</v>
      </c>
      <c r="L1349" s="173">
        <f t="shared" si="236"/>
        <v>3.0079988773505471</v>
      </c>
      <c r="N1349" s="173">
        <f t="shared" si="237"/>
        <v>4.5119983160258208</v>
      </c>
      <c r="O1349" s="173">
        <v>5</v>
      </c>
      <c r="P1349" s="325"/>
      <c r="R1349" s="92"/>
    </row>
    <row r="1350" spans="1:20" customFormat="1" ht="15.5" x14ac:dyDescent="0.35">
      <c r="A1350" s="3"/>
      <c r="B1350" s="3"/>
      <c r="C1350" s="233" t="s">
        <v>561</v>
      </c>
      <c r="D1350" s="233"/>
      <c r="E1350" s="366" t="s">
        <v>408</v>
      </c>
      <c r="F1350" s="245" t="s">
        <v>2050</v>
      </c>
      <c r="G1350" s="245">
        <v>12</v>
      </c>
      <c r="H1350" s="173">
        <f t="shared" si="234"/>
        <v>1.7142857142857142</v>
      </c>
      <c r="I1350">
        <v>4072</v>
      </c>
      <c r="J1350" s="173">
        <v>3073</v>
      </c>
      <c r="K1350" s="173">
        <f t="shared" si="235"/>
        <v>1.2937131630648329</v>
      </c>
      <c r="L1350" s="173">
        <f t="shared" si="236"/>
        <v>3.0079988773505471</v>
      </c>
      <c r="N1350" s="173">
        <f t="shared" si="237"/>
        <v>4.5119983160258208</v>
      </c>
      <c r="O1350" s="173">
        <v>5</v>
      </c>
      <c r="P1350" s="325"/>
      <c r="R1350" s="92"/>
    </row>
    <row r="1351" spans="1:20" customFormat="1" ht="15.5" x14ac:dyDescent="0.35">
      <c r="A1351" s="3"/>
      <c r="B1351" s="3"/>
      <c r="C1351" s="233" t="s">
        <v>561</v>
      </c>
      <c r="D1351" s="233"/>
      <c r="E1351" s="366" t="s">
        <v>408</v>
      </c>
      <c r="F1351" s="245" t="s">
        <v>2050</v>
      </c>
      <c r="G1351" s="245">
        <v>12</v>
      </c>
      <c r="H1351" s="173">
        <f t="shared" si="234"/>
        <v>1.7142857142857142</v>
      </c>
      <c r="I1351">
        <v>4072</v>
      </c>
      <c r="J1351" s="173">
        <v>3073</v>
      </c>
      <c r="K1351" s="173">
        <f t="shared" si="235"/>
        <v>1.2937131630648329</v>
      </c>
      <c r="L1351" s="173">
        <f t="shared" si="236"/>
        <v>3.0079988773505471</v>
      </c>
      <c r="N1351" s="173">
        <f t="shared" si="237"/>
        <v>4.5119983160258208</v>
      </c>
      <c r="O1351" s="173">
        <v>5</v>
      </c>
      <c r="P1351" s="325"/>
      <c r="R1351" s="92"/>
    </row>
    <row r="1352" spans="1:20" customFormat="1" ht="15.5" x14ac:dyDescent="0.35">
      <c r="A1352" s="3"/>
      <c r="B1352" s="3"/>
      <c r="C1352" s="233" t="s">
        <v>561</v>
      </c>
      <c r="D1352" s="233"/>
      <c r="E1352" s="366" t="s">
        <v>408</v>
      </c>
      <c r="F1352" s="245" t="s">
        <v>2050</v>
      </c>
      <c r="G1352" s="245">
        <v>12</v>
      </c>
      <c r="H1352" s="173">
        <f t="shared" si="234"/>
        <v>1.7142857142857142</v>
      </c>
      <c r="I1352">
        <v>4072</v>
      </c>
      <c r="J1352" s="173">
        <v>3073</v>
      </c>
      <c r="K1352" s="173">
        <f t="shared" si="235"/>
        <v>1.2937131630648329</v>
      </c>
      <c r="L1352" s="173">
        <f t="shared" si="236"/>
        <v>3.0079988773505471</v>
      </c>
      <c r="N1352" s="173">
        <f t="shared" si="237"/>
        <v>4.5119983160258208</v>
      </c>
      <c r="O1352" s="173">
        <v>5</v>
      </c>
      <c r="P1352" s="325"/>
      <c r="R1352" s="92"/>
    </row>
    <row r="1353" spans="1:20" customFormat="1" ht="15.5" x14ac:dyDescent="0.35">
      <c r="A1353" s="3"/>
      <c r="B1353" s="3"/>
      <c r="C1353" s="233" t="s">
        <v>561</v>
      </c>
      <c r="D1353" s="233"/>
      <c r="E1353" s="366" t="s">
        <v>408</v>
      </c>
      <c r="F1353" s="245" t="s">
        <v>2050</v>
      </c>
      <c r="G1353" s="245">
        <v>12</v>
      </c>
      <c r="H1353" s="173">
        <f>+G1353/7</f>
        <v>1.7142857142857142</v>
      </c>
      <c r="I1353">
        <v>4072</v>
      </c>
      <c r="J1353" s="173">
        <v>3073</v>
      </c>
      <c r="K1353" s="173">
        <f>+H1353/I1353*J1353</f>
        <v>1.2937131630648329</v>
      </c>
      <c r="L1353" s="173">
        <f>+H1353+K1353</f>
        <v>3.0079988773505471</v>
      </c>
      <c r="N1353" s="173">
        <f>+L1353*1.5</f>
        <v>4.5119983160258208</v>
      </c>
      <c r="O1353" s="173">
        <v>5</v>
      </c>
      <c r="P1353" s="325"/>
      <c r="R1353" s="92"/>
    </row>
    <row r="1354" spans="1:20" customFormat="1" ht="15.5" x14ac:dyDescent="0.35">
      <c r="A1354" s="3"/>
      <c r="B1354" s="3"/>
      <c r="C1354" s="233" t="s">
        <v>561</v>
      </c>
      <c r="D1354" s="233"/>
      <c r="E1354" s="366" t="s">
        <v>407</v>
      </c>
      <c r="F1354" s="245" t="s">
        <v>2050</v>
      </c>
      <c r="G1354" s="245">
        <v>12</v>
      </c>
      <c r="H1354" s="173">
        <f t="shared" si="234"/>
        <v>1.7142857142857142</v>
      </c>
      <c r="I1354">
        <v>4072</v>
      </c>
      <c r="J1354" s="173">
        <v>3073</v>
      </c>
      <c r="K1354" s="173">
        <f t="shared" si="235"/>
        <v>1.2937131630648329</v>
      </c>
      <c r="L1354" s="173">
        <f t="shared" si="236"/>
        <v>3.0079988773505471</v>
      </c>
      <c r="N1354" s="173">
        <f t="shared" si="237"/>
        <v>4.5119983160258208</v>
      </c>
      <c r="O1354" s="173">
        <v>5</v>
      </c>
      <c r="P1354" s="325"/>
      <c r="R1354" s="92"/>
    </row>
    <row r="1355" spans="1:20" customFormat="1" ht="15.5" x14ac:dyDescent="0.35">
      <c r="A1355" s="3"/>
      <c r="B1355" s="3"/>
      <c r="C1355" s="233" t="s">
        <v>561</v>
      </c>
      <c r="D1355" s="233"/>
      <c r="E1355" s="366" t="s">
        <v>407</v>
      </c>
      <c r="F1355" s="245" t="s">
        <v>2050</v>
      </c>
      <c r="G1355" s="245">
        <v>12</v>
      </c>
      <c r="H1355" s="173">
        <f t="shared" si="234"/>
        <v>1.7142857142857142</v>
      </c>
      <c r="I1355">
        <v>4072</v>
      </c>
      <c r="J1355" s="173">
        <v>3073</v>
      </c>
      <c r="K1355" s="173">
        <f t="shared" si="235"/>
        <v>1.2937131630648329</v>
      </c>
      <c r="L1355" s="173">
        <f t="shared" si="236"/>
        <v>3.0079988773505471</v>
      </c>
      <c r="N1355" s="173">
        <f t="shared" si="237"/>
        <v>4.5119983160258208</v>
      </c>
      <c r="O1355" s="173">
        <v>5</v>
      </c>
      <c r="P1355" s="325"/>
      <c r="R1355" s="92"/>
    </row>
    <row r="1356" spans="1:20" customFormat="1" ht="15.5" x14ac:dyDescent="0.35">
      <c r="A1356" s="3"/>
      <c r="B1356" s="3"/>
      <c r="C1356" s="233" t="s">
        <v>561</v>
      </c>
      <c r="D1356" s="233"/>
      <c r="E1356" s="366" t="s">
        <v>407</v>
      </c>
      <c r="F1356" s="245" t="s">
        <v>2050</v>
      </c>
      <c r="G1356" s="245">
        <v>12</v>
      </c>
      <c r="H1356" s="173">
        <f t="shared" si="234"/>
        <v>1.7142857142857142</v>
      </c>
      <c r="I1356">
        <v>4072</v>
      </c>
      <c r="J1356" s="173">
        <v>3073</v>
      </c>
      <c r="K1356" s="173">
        <f t="shared" si="235"/>
        <v>1.2937131630648329</v>
      </c>
      <c r="L1356" s="173">
        <f t="shared" si="236"/>
        <v>3.0079988773505471</v>
      </c>
      <c r="N1356" s="173">
        <f t="shared" si="237"/>
        <v>4.5119983160258208</v>
      </c>
      <c r="O1356" s="173">
        <v>5</v>
      </c>
      <c r="P1356" s="325"/>
      <c r="R1356" s="92"/>
    </row>
    <row r="1357" spans="1:20" customFormat="1" ht="15.5" x14ac:dyDescent="0.35">
      <c r="A1357" s="3"/>
      <c r="B1357" s="3"/>
      <c r="C1357" s="233" t="s">
        <v>561</v>
      </c>
      <c r="D1357" s="233"/>
      <c r="E1357" s="366" t="s">
        <v>407</v>
      </c>
      <c r="F1357" s="245" t="s">
        <v>2050</v>
      </c>
      <c r="G1357" s="245">
        <v>12</v>
      </c>
      <c r="H1357" s="173">
        <f t="shared" si="234"/>
        <v>1.7142857142857142</v>
      </c>
      <c r="I1357">
        <v>4072</v>
      </c>
      <c r="J1357" s="173">
        <v>3073</v>
      </c>
      <c r="K1357" s="173">
        <f t="shared" si="235"/>
        <v>1.2937131630648329</v>
      </c>
      <c r="L1357" s="173">
        <f t="shared" si="236"/>
        <v>3.0079988773505471</v>
      </c>
      <c r="N1357" s="173">
        <f t="shared" si="237"/>
        <v>4.5119983160258208</v>
      </c>
      <c r="O1357" s="173">
        <v>5</v>
      </c>
      <c r="P1357" s="325"/>
      <c r="R1357" s="92"/>
    </row>
    <row r="1358" spans="1:20" customFormat="1" ht="15.5" x14ac:dyDescent="0.35">
      <c r="A1358" s="3"/>
      <c r="B1358" s="3"/>
      <c r="C1358" s="233" t="s">
        <v>561</v>
      </c>
      <c r="D1358" s="233"/>
      <c r="E1358" s="366" t="s">
        <v>407</v>
      </c>
      <c r="F1358" s="245" t="s">
        <v>2050</v>
      </c>
      <c r="G1358" s="245">
        <v>12</v>
      </c>
      <c r="H1358" s="173">
        <f t="shared" si="234"/>
        <v>1.7142857142857142</v>
      </c>
      <c r="I1358">
        <v>4072</v>
      </c>
      <c r="J1358" s="173">
        <v>3073</v>
      </c>
      <c r="K1358" s="173">
        <f t="shared" si="235"/>
        <v>1.2937131630648329</v>
      </c>
      <c r="L1358" s="173">
        <f t="shared" si="236"/>
        <v>3.0079988773505471</v>
      </c>
      <c r="N1358" s="173">
        <f t="shared" si="237"/>
        <v>4.5119983160258208</v>
      </c>
      <c r="O1358" s="173">
        <v>5</v>
      </c>
      <c r="P1358" s="325"/>
      <c r="R1358" s="92"/>
    </row>
    <row r="1359" spans="1:20" customFormat="1" ht="15.5" x14ac:dyDescent="0.35">
      <c r="A1359" s="3"/>
      <c r="B1359" s="3"/>
      <c r="C1359" s="233" t="s">
        <v>561</v>
      </c>
      <c r="D1359" s="233"/>
      <c r="E1359" s="366" t="s">
        <v>407</v>
      </c>
      <c r="F1359" s="245" t="s">
        <v>2050</v>
      </c>
      <c r="G1359" s="245">
        <v>12</v>
      </c>
      <c r="H1359" s="173">
        <f t="shared" si="234"/>
        <v>1.7142857142857142</v>
      </c>
      <c r="I1359">
        <v>4072</v>
      </c>
      <c r="J1359" s="173">
        <v>3073</v>
      </c>
      <c r="K1359" s="173">
        <f t="shared" si="235"/>
        <v>1.2937131630648329</v>
      </c>
      <c r="L1359" s="173">
        <f t="shared" si="236"/>
        <v>3.0079988773505471</v>
      </c>
      <c r="N1359" s="173">
        <f t="shared" si="237"/>
        <v>4.5119983160258208</v>
      </c>
      <c r="O1359" s="173">
        <v>5</v>
      </c>
      <c r="P1359" s="325"/>
      <c r="R1359" s="92"/>
    </row>
    <row r="1360" spans="1:20" customFormat="1" ht="15.5" x14ac:dyDescent="0.35">
      <c r="A1360" s="3"/>
      <c r="B1360" s="3"/>
      <c r="C1360" s="233" t="s">
        <v>561</v>
      </c>
      <c r="D1360" s="233"/>
      <c r="E1360" s="366" t="s">
        <v>409</v>
      </c>
      <c r="F1360" s="371" t="s">
        <v>2050</v>
      </c>
      <c r="G1360" s="371">
        <v>12</v>
      </c>
      <c r="H1360" s="176">
        <f t="shared" si="234"/>
        <v>1.7142857142857142</v>
      </c>
      <c r="I1360" s="12">
        <v>4072</v>
      </c>
      <c r="J1360" s="176">
        <v>3073</v>
      </c>
      <c r="K1360" s="176">
        <f t="shared" si="235"/>
        <v>1.2937131630648329</v>
      </c>
      <c r="L1360" s="176">
        <f t="shared" si="236"/>
        <v>3.0079988773505471</v>
      </c>
      <c r="M1360" s="12"/>
      <c r="N1360" s="176">
        <f t="shared" si="237"/>
        <v>4.5119983160258208</v>
      </c>
      <c r="O1360" s="176">
        <v>5</v>
      </c>
      <c r="P1360" s="325"/>
      <c r="S1360" t="s">
        <v>2189</v>
      </c>
      <c r="T1360" s="6">
        <v>46030</v>
      </c>
    </row>
    <row r="1361" spans="1:21" customFormat="1" ht="15.5" x14ac:dyDescent="0.35">
      <c r="A1361" s="3"/>
      <c r="B1361" s="3"/>
      <c r="C1361" s="233" t="s">
        <v>561</v>
      </c>
      <c r="D1361" s="233"/>
      <c r="E1361" s="366" t="s">
        <v>409</v>
      </c>
      <c r="F1361" s="371" t="s">
        <v>2050</v>
      </c>
      <c r="G1361" s="371">
        <v>12</v>
      </c>
      <c r="H1361" s="176">
        <f t="shared" si="234"/>
        <v>1.7142857142857142</v>
      </c>
      <c r="I1361" s="12">
        <v>4072</v>
      </c>
      <c r="J1361" s="176">
        <v>3073</v>
      </c>
      <c r="K1361" s="176">
        <f t="shared" si="235"/>
        <v>1.2937131630648329</v>
      </c>
      <c r="L1361" s="176">
        <f t="shared" si="236"/>
        <v>3.0079988773505471</v>
      </c>
      <c r="M1361" s="12"/>
      <c r="N1361" s="176">
        <f t="shared" si="237"/>
        <v>4.5119983160258208</v>
      </c>
      <c r="O1361" s="176">
        <v>5</v>
      </c>
      <c r="P1361" s="325"/>
      <c r="S1361" t="s">
        <v>2189</v>
      </c>
      <c r="T1361" s="6">
        <v>46030</v>
      </c>
    </row>
    <row r="1362" spans="1:21" customFormat="1" ht="15.5" x14ac:dyDescent="0.35">
      <c r="A1362" s="3"/>
      <c r="B1362" s="3"/>
      <c r="C1362" s="233" t="s">
        <v>561</v>
      </c>
      <c r="D1362" s="233"/>
      <c r="E1362" s="366" t="s">
        <v>409</v>
      </c>
      <c r="F1362" s="245" t="s">
        <v>2050</v>
      </c>
      <c r="G1362" s="245">
        <v>12</v>
      </c>
      <c r="H1362" s="173">
        <f t="shared" si="234"/>
        <v>1.7142857142857142</v>
      </c>
      <c r="I1362">
        <v>4072</v>
      </c>
      <c r="J1362" s="173">
        <v>3073</v>
      </c>
      <c r="K1362" s="173">
        <f t="shared" si="235"/>
        <v>1.2937131630648329</v>
      </c>
      <c r="L1362" s="173">
        <f t="shared" si="236"/>
        <v>3.0079988773505471</v>
      </c>
      <c r="N1362" s="173">
        <f t="shared" si="237"/>
        <v>4.5119983160258208</v>
      </c>
      <c r="O1362" s="173">
        <v>5</v>
      </c>
      <c r="P1362" s="325"/>
      <c r="R1362" s="92"/>
    </row>
    <row r="1363" spans="1:21" customFormat="1" ht="15.5" x14ac:dyDescent="0.35">
      <c r="A1363" s="3"/>
      <c r="B1363" s="3"/>
      <c r="C1363" s="233" t="s">
        <v>561</v>
      </c>
      <c r="D1363" s="233"/>
      <c r="E1363" s="366" t="s">
        <v>410</v>
      </c>
      <c r="F1363" s="372" t="s">
        <v>2050</v>
      </c>
      <c r="G1363" s="372">
        <v>12</v>
      </c>
      <c r="H1363" s="373">
        <f t="shared" si="234"/>
        <v>1.7142857142857142</v>
      </c>
      <c r="I1363" s="343">
        <v>4072</v>
      </c>
      <c r="J1363" s="373">
        <v>3073</v>
      </c>
      <c r="K1363" s="373">
        <f t="shared" si="235"/>
        <v>1.2937131630648329</v>
      </c>
      <c r="L1363" s="373">
        <f t="shared" si="236"/>
        <v>3.0079988773505471</v>
      </c>
      <c r="M1363" s="343"/>
      <c r="N1363" s="373">
        <f t="shared" si="237"/>
        <v>4.5119983160258208</v>
      </c>
      <c r="O1363" s="373">
        <v>5</v>
      </c>
      <c r="P1363" s="325"/>
      <c r="S1363" t="s">
        <v>2108</v>
      </c>
      <c r="T1363" s="6">
        <v>46387</v>
      </c>
    </row>
    <row r="1364" spans="1:21" customFormat="1" ht="15.5" x14ac:dyDescent="0.35">
      <c r="A1364" s="3"/>
      <c r="B1364" s="3"/>
      <c r="C1364" s="233" t="s">
        <v>561</v>
      </c>
      <c r="D1364" s="233"/>
      <c r="E1364" s="366" t="s">
        <v>410</v>
      </c>
      <c r="F1364" s="245" t="s">
        <v>2050</v>
      </c>
      <c r="G1364" s="245">
        <v>12</v>
      </c>
      <c r="H1364" s="173">
        <f t="shared" si="234"/>
        <v>1.7142857142857142</v>
      </c>
      <c r="I1364">
        <v>4072</v>
      </c>
      <c r="J1364" s="173">
        <v>3073</v>
      </c>
      <c r="K1364" s="173">
        <f t="shared" si="235"/>
        <v>1.2937131630648329</v>
      </c>
      <c r="L1364" s="173">
        <f t="shared" si="236"/>
        <v>3.0079988773505471</v>
      </c>
      <c r="N1364" s="173">
        <f t="shared" si="237"/>
        <v>4.5119983160258208</v>
      </c>
      <c r="O1364" s="173">
        <v>5</v>
      </c>
      <c r="P1364" s="325"/>
      <c r="R1364" s="92"/>
    </row>
    <row r="1365" spans="1:21" customFormat="1" ht="15.5" x14ac:dyDescent="0.35">
      <c r="A1365" s="3"/>
      <c r="B1365" s="3"/>
      <c r="C1365" s="233" t="s">
        <v>561</v>
      </c>
      <c r="D1365" s="233"/>
      <c r="E1365" s="366" t="s">
        <v>410</v>
      </c>
      <c r="F1365" s="245" t="s">
        <v>2050</v>
      </c>
      <c r="G1365" s="245">
        <v>12</v>
      </c>
      <c r="H1365" s="173">
        <f t="shared" si="234"/>
        <v>1.7142857142857142</v>
      </c>
      <c r="I1365">
        <v>4072</v>
      </c>
      <c r="J1365" s="173">
        <v>3073</v>
      </c>
      <c r="K1365" s="173">
        <f t="shared" si="235"/>
        <v>1.2937131630648329</v>
      </c>
      <c r="L1365" s="173">
        <f t="shared" si="236"/>
        <v>3.0079988773505471</v>
      </c>
      <c r="N1365" s="173">
        <f t="shared" si="237"/>
        <v>4.5119983160258208</v>
      </c>
      <c r="O1365" s="173">
        <v>5</v>
      </c>
      <c r="P1365" s="325"/>
      <c r="R1365" s="92"/>
    </row>
    <row r="1366" spans="1:21" customFormat="1" ht="15.5" x14ac:dyDescent="0.35">
      <c r="A1366" s="3"/>
      <c r="B1366" s="3"/>
      <c r="C1366" s="233" t="s">
        <v>561</v>
      </c>
      <c r="D1366" s="233"/>
      <c r="E1366" s="366" t="s">
        <v>410</v>
      </c>
      <c r="F1366" s="245" t="s">
        <v>2050</v>
      </c>
      <c r="G1366" s="245">
        <v>12</v>
      </c>
      <c r="H1366" s="173">
        <f t="shared" si="234"/>
        <v>1.7142857142857142</v>
      </c>
      <c r="I1366">
        <v>4072</v>
      </c>
      <c r="J1366" s="173">
        <v>3073</v>
      </c>
      <c r="K1366" s="173">
        <f t="shared" si="235"/>
        <v>1.2937131630648329</v>
      </c>
      <c r="L1366" s="173">
        <f t="shared" si="236"/>
        <v>3.0079988773505471</v>
      </c>
      <c r="N1366" s="173">
        <f t="shared" si="237"/>
        <v>4.5119983160258208</v>
      </c>
      <c r="O1366" s="173">
        <v>5</v>
      </c>
      <c r="P1366" s="325"/>
      <c r="R1366" s="92"/>
    </row>
    <row r="1367" spans="1:21" customFormat="1" ht="15.5" x14ac:dyDescent="0.35">
      <c r="A1367" s="3"/>
      <c r="B1367" s="3"/>
      <c r="C1367" s="233" t="s">
        <v>561</v>
      </c>
      <c r="D1367" s="233"/>
      <c r="E1367" s="366" t="s">
        <v>410</v>
      </c>
      <c r="F1367" s="245" t="s">
        <v>2050</v>
      </c>
      <c r="G1367" s="245">
        <v>12</v>
      </c>
      <c r="H1367" s="173">
        <f t="shared" si="234"/>
        <v>1.7142857142857142</v>
      </c>
      <c r="I1367">
        <v>4072</v>
      </c>
      <c r="J1367" s="173">
        <v>3073</v>
      </c>
      <c r="K1367" s="173">
        <f t="shared" si="235"/>
        <v>1.2937131630648329</v>
      </c>
      <c r="L1367" s="173">
        <f t="shared" si="236"/>
        <v>3.0079988773505471</v>
      </c>
      <c r="N1367" s="173">
        <f t="shared" si="237"/>
        <v>4.5119983160258208</v>
      </c>
      <c r="O1367" s="173">
        <v>5</v>
      </c>
      <c r="P1367" s="325"/>
      <c r="R1367" s="92"/>
    </row>
    <row r="1368" spans="1:21" customFormat="1" ht="15.5" x14ac:dyDescent="0.35">
      <c r="A1368" s="3"/>
      <c r="B1368" s="3"/>
      <c r="C1368" s="233" t="s">
        <v>561</v>
      </c>
      <c r="D1368" s="233"/>
      <c r="E1368" s="366" t="s">
        <v>410</v>
      </c>
      <c r="F1368" s="245" t="s">
        <v>2050</v>
      </c>
      <c r="G1368" s="245">
        <v>12</v>
      </c>
      <c r="H1368" s="173">
        <f t="shared" si="234"/>
        <v>1.7142857142857142</v>
      </c>
      <c r="I1368">
        <v>4072</v>
      </c>
      <c r="J1368" s="173">
        <v>3073</v>
      </c>
      <c r="K1368" s="173">
        <f t="shared" si="235"/>
        <v>1.2937131630648329</v>
      </c>
      <c r="L1368" s="173">
        <f t="shared" si="236"/>
        <v>3.0079988773505471</v>
      </c>
      <c r="N1368" s="173">
        <f t="shared" si="237"/>
        <v>4.5119983160258208</v>
      </c>
      <c r="O1368" s="173">
        <v>5</v>
      </c>
      <c r="P1368" s="325"/>
      <c r="R1368" s="92"/>
    </row>
    <row r="1369" spans="1:21" customFormat="1" ht="15.5" x14ac:dyDescent="0.35">
      <c r="A1369" s="3"/>
      <c r="B1369" s="3"/>
      <c r="C1369" s="233" t="s">
        <v>561</v>
      </c>
      <c r="D1369" s="233"/>
      <c r="E1369" s="366" t="s">
        <v>410</v>
      </c>
      <c r="F1369" s="245" t="s">
        <v>2050</v>
      </c>
      <c r="G1369" s="245">
        <v>12</v>
      </c>
      <c r="H1369" s="173">
        <f t="shared" si="234"/>
        <v>1.7142857142857142</v>
      </c>
      <c r="I1369">
        <v>4072</v>
      </c>
      <c r="J1369" s="173">
        <v>3073</v>
      </c>
      <c r="K1369" s="173">
        <f t="shared" si="235"/>
        <v>1.2937131630648329</v>
      </c>
      <c r="L1369" s="173">
        <f t="shared" si="236"/>
        <v>3.0079988773505471</v>
      </c>
      <c r="N1369" s="173">
        <f t="shared" si="237"/>
        <v>4.5119983160258208</v>
      </c>
      <c r="O1369" s="173">
        <v>5</v>
      </c>
      <c r="P1369" s="325"/>
      <c r="R1369" s="92"/>
    </row>
    <row r="1370" spans="1:21" customFormat="1" ht="15.5" x14ac:dyDescent="0.35">
      <c r="A1370" s="3"/>
      <c r="B1370" s="3"/>
      <c r="C1370" s="233" t="s">
        <v>561</v>
      </c>
      <c r="D1370" s="233"/>
      <c r="E1370" s="366" t="s">
        <v>410</v>
      </c>
      <c r="F1370" s="245" t="s">
        <v>2050</v>
      </c>
      <c r="G1370" s="245">
        <v>12</v>
      </c>
      <c r="H1370" s="173">
        <f t="shared" si="234"/>
        <v>1.7142857142857142</v>
      </c>
      <c r="I1370">
        <v>4072</v>
      </c>
      <c r="J1370" s="173">
        <v>3073</v>
      </c>
      <c r="K1370" s="173">
        <f t="shared" si="235"/>
        <v>1.2937131630648329</v>
      </c>
      <c r="L1370" s="173">
        <f t="shared" si="236"/>
        <v>3.0079988773505471</v>
      </c>
      <c r="N1370" s="173">
        <f t="shared" si="237"/>
        <v>4.5119983160258208</v>
      </c>
      <c r="O1370" s="173">
        <v>5</v>
      </c>
      <c r="P1370" s="325"/>
      <c r="R1370" s="92"/>
    </row>
    <row r="1371" spans="1:21" customFormat="1" ht="15.5" x14ac:dyDescent="0.35">
      <c r="A1371" s="3"/>
      <c r="B1371" s="3"/>
      <c r="C1371" s="233" t="s">
        <v>561</v>
      </c>
      <c r="D1371" s="233"/>
      <c r="E1371" s="366" t="s">
        <v>410</v>
      </c>
      <c r="F1371" s="245" t="s">
        <v>2050</v>
      </c>
      <c r="G1371" s="245">
        <v>12</v>
      </c>
      <c r="H1371" s="173">
        <f t="shared" si="234"/>
        <v>1.7142857142857142</v>
      </c>
      <c r="I1371">
        <v>4072</v>
      </c>
      <c r="J1371" s="173">
        <v>3073</v>
      </c>
      <c r="K1371" s="173">
        <f t="shared" si="235"/>
        <v>1.2937131630648329</v>
      </c>
      <c r="L1371" s="173">
        <f t="shared" si="236"/>
        <v>3.0079988773505471</v>
      </c>
      <c r="N1371" s="173">
        <f t="shared" si="237"/>
        <v>4.5119983160258208</v>
      </c>
      <c r="O1371" s="173">
        <v>5</v>
      </c>
      <c r="P1371" s="325"/>
      <c r="R1371" s="92"/>
    </row>
    <row r="1372" spans="1:21" customFormat="1" ht="15.5" x14ac:dyDescent="0.35">
      <c r="A1372" s="3"/>
      <c r="B1372" s="3"/>
      <c r="C1372" s="233" t="s">
        <v>561</v>
      </c>
      <c r="D1372" s="233"/>
      <c r="E1372" s="366" t="s">
        <v>410</v>
      </c>
      <c r="F1372" s="245" t="s">
        <v>2050</v>
      </c>
      <c r="G1372" s="245">
        <v>12</v>
      </c>
      <c r="H1372" s="173">
        <f t="shared" si="234"/>
        <v>1.7142857142857142</v>
      </c>
      <c r="I1372">
        <v>4072</v>
      </c>
      <c r="J1372" s="173">
        <v>3073</v>
      </c>
      <c r="K1372" s="173">
        <f t="shared" si="235"/>
        <v>1.2937131630648329</v>
      </c>
      <c r="L1372" s="173">
        <f t="shared" si="236"/>
        <v>3.0079988773505471</v>
      </c>
      <c r="N1372" s="173">
        <f t="shared" si="237"/>
        <v>4.5119983160258208</v>
      </c>
      <c r="O1372" s="173">
        <v>5</v>
      </c>
      <c r="P1372" s="325"/>
      <c r="R1372" s="92"/>
    </row>
    <row r="1373" spans="1:21" customFormat="1" ht="15.5" x14ac:dyDescent="0.35">
      <c r="A1373" s="3"/>
      <c r="B1373" s="3"/>
      <c r="C1373" s="233" t="s">
        <v>561</v>
      </c>
      <c r="D1373" s="233"/>
      <c r="E1373" s="366" t="s">
        <v>410</v>
      </c>
      <c r="F1373" s="245" t="s">
        <v>2050</v>
      </c>
      <c r="G1373" s="245">
        <v>12</v>
      </c>
      <c r="H1373" s="173">
        <f t="shared" si="234"/>
        <v>1.7142857142857142</v>
      </c>
      <c r="I1373">
        <v>4072</v>
      </c>
      <c r="J1373" s="173">
        <v>3073</v>
      </c>
      <c r="K1373" s="173">
        <f t="shared" si="235"/>
        <v>1.2937131630648329</v>
      </c>
      <c r="L1373" s="173">
        <f t="shared" si="236"/>
        <v>3.0079988773505471</v>
      </c>
      <c r="N1373" s="173">
        <f t="shared" si="237"/>
        <v>4.5119983160258208</v>
      </c>
      <c r="O1373" s="173">
        <v>5</v>
      </c>
      <c r="P1373" s="325"/>
      <c r="R1373" s="92"/>
    </row>
    <row r="1374" spans="1:21" ht="15" customHeight="1" outlineLevel="1" x14ac:dyDescent="0.35">
      <c r="H1374" s="136"/>
      <c r="I1374" s="136"/>
      <c r="J1374" s="136"/>
      <c r="K1374" s="136"/>
      <c r="L1374" s="136"/>
      <c r="M1374" s="136"/>
      <c r="O1374" s="173"/>
      <c r="P1374" s="474"/>
    </row>
    <row r="1375" spans="1:21" ht="15" customHeight="1" outlineLevel="1" x14ac:dyDescent="0.35">
      <c r="F1375" s="11" t="s">
        <v>535</v>
      </c>
      <c r="G1375" s="11"/>
      <c r="H1375" s="136"/>
      <c r="I1375" s="136"/>
      <c r="J1375" s="136"/>
      <c r="K1375" s="136"/>
      <c r="L1375" s="136"/>
      <c r="M1375" s="136"/>
      <c r="N1375" s="140">
        <f t="shared" ref="N1375:N1384" si="238">+L1375*M1375+L1375</f>
        <v>0</v>
      </c>
      <c r="O1375" s="136"/>
      <c r="P1375" s="474"/>
    </row>
    <row r="1376" spans="1:21" ht="15" customHeight="1" x14ac:dyDescent="0.35">
      <c r="C1376" s="10" t="s">
        <v>413</v>
      </c>
      <c r="D1376" s="454">
        <v>1</v>
      </c>
      <c r="F1376" s="10" t="s">
        <v>414</v>
      </c>
      <c r="H1376" s="140">
        <v>2</v>
      </c>
      <c r="K1376" s="140"/>
      <c r="L1376" s="140"/>
      <c r="M1376" s="453"/>
      <c r="N1376" s="140">
        <f t="shared" si="238"/>
        <v>0</v>
      </c>
      <c r="O1376" s="10">
        <v>7</v>
      </c>
      <c r="P1376" s="109"/>
      <c r="U1376" s="418"/>
    </row>
    <row r="1377" spans="2:23" ht="15" customHeight="1" x14ac:dyDescent="0.35">
      <c r="D1377" s="454">
        <v>2</v>
      </c>
      <c r="F1377" s="10" t="s">
        <v>414</v>
      </c>
      <c r="H1377" s="140">
        <v>2</v>
      </c>
      <c r="K1377" s="140"/>
      <c r="L1377" s="140"/>
      <c r="M1377" s="453"/>
      <c r="N1377" s="140">
        <f t="shared" si="238"/>
        <v>0</v>
      </c>
      <c r="O1377" s="10">
        <v>5</v>
      </c>
      <c r="P1377" s="109"/>
      <c r="U1377" s="418"/>
    </row>
    <row r="1378" spans="2:23" ht="15" customHeight="1" outlineLevel="1" x14ac:dyDescent="0.35">
      <c r="D1378" s="454">
        <v>3</v>
      </c>
      <c r="F1378" s="10" t="s">
        <v>414</v>
      </c>
      <c r="H1378" s="140">
        <v>2</v>
      </c>
      <c r="K1378" s="140"/>
      <c r="L1378" s="140"/>
      <c r="M1378" s="453"/>
      <c r="N1378" s="140">
        <f t="shared" si="238"/>
        <v>0</v>
      </c>
      <c r="O1378" s="10">
        <v>5</v>
      </c>
      <c r="P1378" s="109"/>
      <c r="U1378" s="418"/>
    </row>
    <row r="1379" spans="2:23" ht="15" customHeight="1" outlineLevel="1" x14ac:dyDescent="0.35">
      <c r="D1379" s="454">
        <v>4</v>
      </c>
      <c r="F1379" s="10" t="s">
        <v>414</v>
      </c>
      <c r="H1379" s="140">
        <v>2</v>
      </c>
      <c r="K1379" s="140"/>
      <c r="L1379" s="140"/>
      <c r="M1379" s="453"/>
      <c r="N1379" s="140">
        <f t="shared" si="238"/>
        <v>0</v>
      </c>
      <c r="O1379" s="10">
        <v>5</v>
      </c>
      <c r="P1379" s="109"/>
      <c r="U1379" s="418"/>
    </row>
    <row r="1380" spans="2:23" ht="15" customHeight="1" outlineLevel="1" x14ac:dyDescent="0.35">
      <c r="D1380" s="454">
        <v>5</v>
      </c>
      <c r="F1380" s="10" t="s">
        <v>415</v>
      </c>
      <c r="H1380" s="189">
        <v>1</v>
      </c>
      <c r="M1380" s="452"/>
      <c r="N1380" s="140">
        <f t="shared" si="238"/>
        <v>0</v>
      </c>
      <c r="O1380" s="10">
        <v>2</v>
      </c>
      <c r="P1380" s="109"/>
    </row>
    <row r="1381" spans="2:23" s="11" customFormat="1" ht="15" customHeight="1" outlineLevel="1" x14ac:dyDescent="0.35">
      <c r="C1381" s="10"/>
      <c r="D1381" s="454">
        <v>6</v>
      </c>
      <c r="E1381" s="454"/>
      <c r="F1381" s="10" t="s">
        <v>689</v>
      </c>
      <c r="G1381" s="10"/>
      <c r="H1381" s="189">
        <v>1</v>
      </c>
      <c r="I1381" s="10"/>
      <c r="J1381" s="10"/>
      <c r="K1381" s="189"/>
      <c r="L1381" s="189"/>
      <c r="M1381" s="452"/>
      <c r="N1381" s="140">
        <f t="shared" si="238"/>
        <v>0</v>
      </c>
      <c r="O1381" s="10">
        <v>2</v>
      </c>
      <c r="P1381" s="109"/>
      <c r="Q1381" s="10"/>
      <c r="R1381" s="10"/>
      <c r="S1381" s="10"/>
      <c r="T1381" s="404"/>
      <c r="U1381" s="419"/>
      <c r="V1381" s="10"/>
      <c r="W1381" s="10"/>
    </row>
    <row r="1382" spans="2:23" s="11" customFormat="1" ht="15" customHeight="1" outlineLevel="1" x14ac:dyDescent="0.35">
      <c r="C1382" s="10"/>
      <c r="D1382" s="454">
        <v>7</v>
      </c>
      <c r="E1382" s="454"/>
      <c r="F1382" s="10" t="s">
        <v>416</v>
      </c>
      <c r="G1382" s="10"/>
      <c r="H1382" s="189">
        <v>0.5</v>
      </c>
      <c r="I1382" s="10">
        <v>5500</v>
      </c>
      <c r="J1382" s="10">
        <v>11950</v>
      </c>
      <c r="K1382" s="189">
        <f>+H1382/I1382*J1382</f>
        <v>1.0863636363636362</v>
      </c>
      <c r="L1382" s="189"/>
      <c r="M1382" s="455">
        <v>0.3</v>
      </c>
      <c r="N1382" s="140">
        <f t="shared" si="238"/>
        <v>0</v>
      </c>
      <c r="O1382" s="10">
        <v>2</v>
      </c>
      <c r="P1382" s="109"/>
      <c r="Q1382" s="10"/>
      <c r="R1382" s="10"/>
      <c r="S1382" s="10"/>
      <c r="T1382" s="404"/>
      <c r="U1382" s="419"/>
      <c r="V1382" s="10"/>
      <c r="W1382" s="10"/>
    </row>
    <row r="1383" spans="2:23" ht="15" customHeight="1" outlineLevel="1" x14ac:dyDescent="0.35">
      <c r="D1383" s="454">
        <v>8</v>
      </c>
      <c r="F1383" s="10" t="s">
        <v>417</v>
      </c>
      <c r="H1383" s="189">
        <v>0.5</v>
      </c>
      <c r="I1383" s="10">
        <v>5500</v>
      </c>
      <c r="J1383" s="10">
        <v>11950</v>
      </c>
      <c r="K1383" s="189">
        <f>+H1383/I1383*J1383</f>
        <v>1.0863636363636362</v>
      </c>
      <c r="M1383" s="455">
        <v>0.3</v>
      </c>
      <c r="N1383" s="140">
        <f t="shared" si="238"/>
        <v>0</v>
      </c>
      <c r="O1383" s="10">
        <v>2</v>
      </c>
      <c r="P1383" s="109"/>
    </row>
    <row r="1384" spans="2:23" ht="15.5" x14ac:dyDescent="0.35">
      <c r="D1384" s="454">
        <v>9</v>
      </c>
      <c r="F1384" s="10" t="s">
        <v>418</v>
      </c>
      <c r="H1384" s="189">
        <v>0.5</v>
      </c>
      <c r="I1384" s="10">
        <v>5500</v>
      </c>
      <c r="J1384" s="10">
        <v>11950</v>
      </c>
      <c r="K1384" s="189">
        <f>+H1384/I1384*J1384</f>
        <v>1.0863636363636362</v>
      </c>
      <c r="M1384" s="455">
        <v>0.3</v>
      </c>
      <c r="N1384" s="140">
        <f t="shared" si="238"/>
        <v>0</v>
      </c>
      <c r="O1384" s="10">
        <v>2</v>
      </c>
      <c r="P1384" s="109"/>
    </row>
    <row r="1385" spans="2:23" ht="15.5" x14ac:dyDescent="0.35">
      <c r="F1385" s="11" t="s">
        <v>296</v>
      </c>
      <c r="G1385" s="11"/>
      <c r="H1385" s="136">
        <f t="shared" ref="H1385:M1385" si="239">SUM(H1376:H1384)</f>
        <v>11.5</v>
      </c>
      <c r="I1385" s="136">
        <f t="shared" si="239"/>
        <v>16500</v>
      </c>
      <c r="J1385" s="136">
        <f t="shared" si="239"/>
        <v>35850</v>
      </c>
      <c r="K1385" s="136">
        <f t="shared" si="239"/>
        <v>3.2590909090909088</v>
      </c>
      <c r="L1385" s="136">
        <f t="shared" si="239"/>
        <v>0</v>
      </c>
      <c r="M1385" s="136">
        <f t="shared" si="239"/>
        <v>0.89999999999999991</v>
      </c>
      <c r="N1385" s="136"/>
      <c r="O1385" s="136">
        <f>SUM(O1376:O1384)</f>
        <v>32</v>
      </c>
      <c r="P1385" s="474"/>
    </row>
    <row r="1386" spans="2:23" ht="15.5" x14ac:dyDescent="0.35">
      <c r="B1386" s="11" t="s">
        <v>139</v>
      </c>
      <c r="D1386" s="454">
        <v>49</v>
      </c>
      <c r="E1386" s="454">
        <v>-24</v>
      </c>
      <c r="H1386" s="136"/>
      <c r="I1386" s="136"/>
      <c r="J1386" s="136"/>
      <c r="K1386" s="136"/>
      <c r="L1386" s="136"/>
      <c r="M1386" s="136"/>
      <c r="N1386" s="140">
        <f>+L1386*M1386+L1386</f>
        <v>0</v>
      </c>
      <c r="O1386" s="136"/>
      <c r="P1386" s="474"/>
    </row>
    <row r="1388" spans="2:23" s="244" customFormat="1" ht="15.5" x14ac:dyDescent="0.35">
      <c r="B1388" s="11"/>
      <c r="C1388" s="10"/>
      <c r="D1388" s="454"/>
      <c r="E1388" s="454"/>
      <c r="F1388" s="10"/>
      <c r="G1388" s="10"/>
      <c r="H1388" s="189"/>
      <c r="I1388" s="10"/>
      <c r="J1388" s="10"/>
      <c r="K1388" s="189"/>
      <c r="L1388" s="189"/>
      <c r="M1388" s="452"/>
      <c r="N1388" s="140"/>
      <c r="O1388" s="189"/>
      <c r="P1388" s="325"/>
      <c r="Q1388" s="10"/>
      <c r="R1388" s="10"/>
      <c r="S1388" s="10"/>
      <c r="T1388" s="404"/>
      <c r="U1388" s="419"/>
      <c r="V1388" s="10"/>
      <c r="W1388" s="10"/>
    </row>
    <row r="1389" spans="2:23" s="244" customFormat="1" ht="21" x14ac:dyDescent="0.5">
      <c r="B1389" s="33"/>
      <c r="D1389" s="535"/>
      <c r="E1389" s="535"/>
      <c r="F1389" s="502" t="s">
        <v>980</v>
      </c>
      <c r="G1389" s="502"/>
      <c r="H1389" s="186"/>
      <c r="I1389" s="33"/>
      <c r="J1389" s="33"/>
      <c r="K1389" s="186"/>
      <c r="L1389" s="186"/>
      <c r="M1389" s="33"/>
      <c r="N1389" s="140">
        <f>+L1389*M1389+L1389</f>
        <v>0</v>
      </c>
      <c r="O1389" s="186"/>
      <c r="P1389" s="479"/>
      <c r="Q1389" s="143"/>
      <c r="R1389" s="143"/>
      <c r="S1389" s="186"/>
      <c r="T1389" s="536"/>
      <c r="U1389" s="426"/>
      <c r="V1389" s="186"/>
      <c r="W1389" s="33"/>
    </row>
    <row r="1390" spans="2:23" customFormat="1" ht="14.5" x14ac:dyDescent="0.35">
      <c r="B1390" s="3"/>
      <c r="C1390" s="3"/>
      <c r="D1390" s="232"/>
      <c r="F1390" s="330" t="s">
        <v>844</v>
      </c>
      <c r="G1390" s="330"/>
      <c r="I1390" s="173"/>
      <c r="K1390" s="173"/>
      <c r="L1390" s="145"/>
      <c r="M1390" s="145"/>
      <c r="N1390" s="468"/>
      <c r="O1390" s="145"/>
      <c r="P1390" s="469"/>
      <c r="T1390" s="467"/>
      <c r="U1390" s="420"/>
    </row>
    <row r="1391" spans="2:23" customFormat="1" ht="14.5" x14ac:dyDescent="0.35">
      <c r="B1391" s="3"/>
      <c r="C1391" s="3" t="s">
        <v>1648</v>
      </c>
      <c r="D1391" s="232">
        <v>3</v>
      </c>
      <c r="E1391" t="s">
        <v>409</v>
      </c>
      <c r="F1391" t="s">
        <v>835</v>
      </c>
      <c r="H1391" s="173">
        <v>8</v>
      </c>
      <c r="I1391" s="4">
        <v>9682</v>
      </c>
      <c r="J1391" s="173">
        <v>7766</v>
      </c>
      <c r="K1391" s="145">
        <f>+H1391/I1391*J1391</f>
        <v>6.4168560214831647</v>
      </c>
      <c r="L1391" s="145">
        <f>+H1391+K1391</f>
        <v>14.416856021483165</v>
      </c>
      <c r="M1391" s="468">
        <v>0.4</v>
      </c>
      <c r="N1391" s="145">
        <f>+L1391*1.4</f>
        <v>20.18359843007643</v>
      </c>
      <c r="O1391" s="173">
        <v>25</v>
      </c>
      <c r="P1391" s="344"/>
      <c r="T1391" s="467"/>
      <c r="U1391" s="420"/>
    </row>
    <row r="1392" spans="2:23" ht="15.5" outlineLevel="1" x14ac:dyDescent="0.35">
      <c r="C1392" s="11" t="s">
        <v>1692</v>
      </c>
      <c r="M1392" s="452"/>
      <c r="N1392" s="140">
        <f>+L1392*M1392+L1392</f>
        <v>0</v>
      </c>
      <c r="O1392" s="10"/>
      <c r="P1392" s="109"/>
    </row>
    <row r="1393" spans="1:23" customFormat="1" ht="14.5" x14ac:dyDescent="0.35">
      <c r="A1393" s="3"/>
      <c r="B1393" s="3"/>
      <c r="C1393" s="233" t="s">
        <v>1637</v>
      </c>
      <c r="E1393" s="366" t="s">
        <v>598</v>
      </c>
      <c r="F1393" s="371" t="s">
        <v>1633</v>
      </c>
      <c r="G1393" s="371"/>
      <c r="H1393" s="176">
        <v>8</v>
      </c>
      <c r="I1393" s="12">
        <v>6149</v>
      </c>
      <c r="J1393" s="176">
        <f t="shared" ref="J1393:J1402" si="240">5832-600</f>
        <v>5232</v>
      </c>
      <c r="K1393" s="410">
        <f t="shared" ref="K1393:K1402" si="241">+H1393/I1393*J1393</f>
        <v>6.8069604813790869</v>
      </c>
      <c r="L1393" s="176">
        <f t="shared" ref="L1393:L1402" si="242">+H1393+K1393</f>
        <v>14.806960481379086</v>
      </c>
      <c r="M1393" s="411"/>
      <c r="N1393" s="176">
        <f t="shared" ref="N1393:N1402" si="243">+L1393*1.4</f>
        <v>20.729744673930718</v>
      </c>
      <c r="O1393" s="176">
        <v>25</v>
      </c>
      <c r="P1393" s="13"/>
      <c r="S1393" t="s">
        <v>12</v>
      </c>
      <c r="T1393" s="6">
        <v>46130</v>
      </c>
    </row>
    <row r="1394" spans="1:23" customFormat="1" ht="14.5" x14ac:dyDescent="0.35">
      <c r="A1394" s="3"/>
      <c r="B1394" s="3"/>
      <c r="C1394" s="233" t="s">
        <v>1637</v>
      </c>
      <c r="E1394" s="366" t="s">
        <v>408</v>
      </c>
      <c r="F1394" s="245" t="s">
        <v>1634</v>
      </c>
      <c r="G1394" s="245"/>
      <c r="H1394" s="173">
        <v>8</v>
      </c>
      <c r="I1394">
        <v>6149</v>
      </c>
      <c r="J1394" s="173">
        <f t="shared" si="240"/>
        <v>5232</v>
      </c>
      <c r="K1394" s="402">
        <f t="shared" si="241"/>
        <v>6.8069604813790869</v>
      </c>
      <c r="L1394" s="173">
        <f t="shared" si="242"/>
        <v>14.806960481379086</v>
      </c>
      <c r="M1394" s="174"/>
      <c r="N1394" s="173">
        <f t="shared" si="243"/>
        <v>20.729744673930718</v>
      </c>
      <c r="O1394" s="173">
        <v>25</v>
      </c>
      <c r="P1394" s="13"/>
    </row>
    <row r="1395" spans="1:23" customFormat="1" ht="14.5" x14ac:dyDescent="0.35">
      <c r="A1395" s="3"/>
      <c r="B1395" s="3"/>
      <c r="C1395" s="233" t="s">
        <v>1637</v>
      </c>
      <c r="E1395" s="366" t="s">
        <v>409</v>
      </c>
      <c r="F1395" s="245" t="s">
        <v>1634</v>
      </c>
      <c r="G1395" s="245"/>
      <c r="H1395" s="173">
        <v>8</v>
      </c>
      <c r="I1395">
        <v>6149</v>
      </c>
      <c r="J1395" s="173">
        <f t="shared" si="240"/>
        <v>5232</v>
      </c>
      <c r="K1395" s="402">
        <f t="shared" si="241"/>
        <v>6.8069604813790869</v>
      </c>
      <c r="L1395" s="173">
        <f t="shared" si="242"/>
        <v>14.806960481379086</v>
      </c>
      <c r="M1395" s="174"/>
      <c r="N1395" s="173">
        <f t="shared" si="243"/>
        <v>20.729744673930718</v>
      </c>
      <c r="O1395" s="173">
        <v>25</v>
      </c>
      <c r="P1395" s="13"/>
    </row>
    <row r="1396" spans="1:23" customFormat="1" ht="14.5" x14ac:dyDescent="0.35">
      <c r="A1396" s="3"/>
      <c r="B1396" s="3"/>
      <c r="C1396" s="233" t="s">
        <v>1637</v>
      </c>
      <c r="E1396" s="366" t="s">
        <v>760</v>
      </c>
      <c r="F1396" s="245" t="s">
        <v>1634</v>
      </c>
      <c r="G1396" s="245"/>
      <c r="H1396" s="173">
        <v>8</v>
      </c>
      <c r="I1396">
        <v>6149</v>
      </c>
      <c r="J1396" s="173">
        <f t="shared" si="240"/>
        <v>5232</v>
      </c>
      <c r="K1396" s="402">
        <f t="shared" si="241"/>
        <v>6.8069604813790869</v>
      </c>
      <c r="L1396" s="173">
        <f t="shared" si="242"/>
        <v>14.806960481379086</v>
      </c>
      <c r="M1396" s="174"/>
      <c r="N1396" s="173">
        <f t="shared" si="243"/>
        <v>20.729744673930718</v>
      </c>
      <c r="O1396" s="173">
        <v>25</v>
      </c>
      <c r="P1396" s="13"/>
    </row>
    <row r="1397" spans="1:23" customFormat="1" ht="14.5" x14ac:dyDescent="0.35">
      <c r="A1397" s="3"/>
      <c r="B1397" s="3"/>
      <c r="C1397" s="233" t="s">
        <v>1637</v>
      </c>
      <c r="E1397" s="366" t="s">
        <v>409</v>
      </c>
      <c r="F1397" s="245" t="s">
        <v>1635</v>
      </c>
      <c r="G1397" s="245"/>
      <c r="H1397" s="173">
        <v>8</v>
      </c>
      <c r="I1397">
        <v>6149</v>
      </c>
      <c r="J1397" s="173">
        <f t="shared" si="240"/>
        <v>5232</v>
      </c>
      <c r="K1397" s="402">
        <f t="shared" si="241"/>
        <v>6.8069604813790869</v>
      </c>
      <c r="L1397" s="173">
        <f t="shared" si="242"/>
        <v>14.806960481379086</v>
      </c>
      <c r="M1397" s="174"/>
      <c r="N1397" s="173">
        <f t="shared" si="243"/>
        <v>20.729744673930718</v>
      </c>
      <c r="O1397" s="173">
        <v>25</v>
      </c>
      <c r="P1397" s="13"/>
    </row>
    <row r="1398" spans="1:23" customFormat="1" ht="14.5" x14ac:dyDescent="0.35">
      <c r="A1398" s="3"/>
      <c r="B1398" s="3"/>
      <c r="C1398" s="233" t="s">
        <v>1637</v>
      </c>
      <c r="E1398" s="366" t="s">
        <v>410</v>
      </c>
      <c r="F1398" s="245" t="s">
        <v>1635</v>
      </c>
      <c r="G1398" s="245"/>
      <c r="H1398" s="173">
        <v>7.5</v>
      </c>
      <c r="I1398">
        <v>6149</v>
      </c>
      <c r="J1398" s="173">
        <f t="shared" si="240"/>
        <v>5232</v>
      </c>
      <c r="K1398" s="402">
        <f t="shared" si="241"/>
        <v>6.3815254512928936</v>
      </c>
      <c r="L1398" s="173">
        <f t="shared" si="242"/>
        <v>13.881525451292895</v>
      </c>
      <c r="M1398" s="174"/>
      <c r="N1398" s="173">
        <f t="shared" si="243"/>
        <v>19.434135631810051</v>
      </c>
      <c r="O1398" s="173">
        <v>25</v>
      </c>
      <c r="P1398" s="13"/>
    </row>
    <row r="1399" spans="1:23" customFormat="1" ht="14.5" x14ac:dyDescent="0.35">
      <c r="A1399" s="3"/>
      <c r="B1399" s="3"/>
      <c r="C1399" s="233" t="s">
        <v>1637</v>
      </c>
      <c r="E1399" s="366" t="s">
        <v>410</v>
      </c>
      <c r="F1399" s="245" t="s">
        <v>1635</v>
      </c>
      <c r="G1399" s="245"/>
      <c r="H1399" s="173">
        <v>8</v>
      </c>
      <c r="I1399">
        <v>6149</v>
      </c>
      <c r="J1399" s="173">
        <f t="shared" si="240"/>
        <v>5232</v>
      </c>
      <c r="K1399" s="402">
        <f t="shared" si="241"/>
        <v>6.8069604813790869</v>
      </c>
      <c r="L1399" s="173">
        <f t="shared" si="242"/>
        <v>14.806960481379086</v>
      </c>
      <c r="M1399" s="174"/>
      <c r="N1399" s="173">
        <f t="shared" si="243"/>
        <v>20.729744673930718</v>
      </c>
      <c r="O1399" s="173">
        <v>25</v>
      </c>
      <c r="P1399" s="13"/>
    </row>
    <row r="1400" spans="1:23" customFormat="1" ht="14.5" x14ac:dyDescent="0.35">
      <c r="A1400" s="3"/>
      <c r="B1400" s="3"/>
      <c r="C1400" s="233" t="s">
        <v>1637</v>
      </c>
      <c r="E1400" s="366" t="s">
        <v>409</v>
      </c>
      <c r="F1400" s="245" t="s">
        <v>1636</v>
      </c>
      <c r="G1400" s="245"/>
      <c r="H1400" s="173">
        <v>8</v>
      </c>
      <c r="I1400">
        <v>6149</v>
      </c>
      <c r="J1400" s="173">
        <f t="shared" si="240"/>
        <v>5232</v>
      </c>
      <c r="K1400" s="402">
        <f t="shared" si="241"/>
        <v>6.8069604813790869</v>
      </c>
      <c r="L1400" s="173">
        <f t="shared" si="242"/>
        <v>14.806960481379086</v>
      </c>
      <c r="M1400" s="174"/>
      <c r="N1400" s="173">
        <f t="shared" si="243"/>
        <v>20.729744673930718</v>
      </c>
      <c r="O1400" s="173">
        <v>25</v>
      </c>
      <c r="P1400" s="13"/>
    </row>
    <row r="1401" spans="1:23" customFormat="1" ht="14.5" x14ac:dyDescent="0.35">
      <c r="A1401" s="3"/>
      <c r="B1401" s="3"/>
      <c r="C1401" s="233" t="s">
        <v>1637</v>
      </c>
      <c r="E1401" s="366" t="s">
        <v>409</v>
      </c>
      <c r="F1401" s="245" t="s">
        <v>1636</v>
      </c>
      <c r="G1401" s="245"/>
      <c r="H1401" s="146">
        <v>11</v>
      </c>
      <c r="I1401">
        <v>6149</v>
      </c>
      <c r="J1401" s="173">
        <f t="shared" si="240"/>
        <v>5232</v>
      </c>
      <c r="K1401" s="402">
        <f t="shared" si="241"/>
        <v>9.3595706618962442</v>
      </c>
      <c r="L1401" s="173">
        <f t="shared" si="242"/>
        <v>20.359570661896242</v>
      </c>
      <c r="M1401" s="174"/>
      <c r="N1401" s="173">
        <f t="shared" si="243"/>
        <v>28.503398926654736</v>
      </c>
      <c r="O1401" s="173">
        <v>25</v>
      </c>
      <c r="P1401" s="13"/>
    </row>
    <row r="1402" spans="1:23" customFormat="1" ht="14.5" x14ac:dyDescent="0.35">
      <c r="A1402" s="3"/>
      <c r="B1402" s="3"/>
      <c r="C1402" s="233" t="s">
        <v>1637</v>
      </c>
      <c r="E1402" s="366" t="s">
        <v>410</v>
      </c>
      <c r="F1402" s="245" t="s">
        <v>1636</v>
      </c>
      <c r="G1402" s="245"/>
      <c r="H1402" s="145">
        <v>11</v>
      </c>
      <c r="I1402">
        <v>6149</v>
      </c>
      <c r="J1402" s="173">
        <f t="shared" si="240"/>
        <v>5232</v>
      </c>
      <c r="K1402" s="402">
        <f t="shared" si="241"/>
        <v>9.3595706618962442</v>
      </c>
      <c r="L1402" s="173">
        <f t="shared" si="242"/>
        <v>20.359570661896242</v>
      </c>
      <c r="M1402" s="174"/>
      <c r="N1402" s="173">
        <f t="shared" si="243"/>
        <v>28.503398926654736</v>
      </c>
      <c r="O1402" s="173">
        <v>25</v>
      </c>
      <c r="P1402" s="13"/>
    </row>
    <row r="1403" spans="1:23" ht="15.5" outlineLevel="1" x14ac:dyDescent="0.35">
      <c r="H1403" s="136" t="e">
        <f>SUM(#REF!)</f>
        <v>#REF!</v>
      </c>
      <c r="I1403" s="136" t="e">
        <f>SUM(#REF!)</f>
        <v>#REF!</v>
      </c>
      <c r="K1403" s="136" t="e">
        <f>SUM(#REF!)</f>
        <v>#REF!</v>
      </c>
      <c r="L1403" s="136"/>
      <c r="M1403" s="136" t="e">
        <f>SUM(#REF!)</f>
        <v>#REF!</v>
      </c>
      <c r="N1403" s="140" t="e">
        <f>+L1403*M1403+L1403</f>
        <v>#REF!</v>
      </c>
      <c r="O1403" s="136">
        <f>SUM(O1390:O1392)</f>
        <v>25</v>
      </c>
      <c r="P1403" s="474"/>
    </row>
    <row r="1404" spans="1:23" ht="15.5" outlineLevel="1" x14ac:dyDescent="0.35">
      <c r="H1404" s="136"/>
      <c r="I1404" s="136"/>
      <c r="K1404" s="136"/>
      <c r="L1404" s="136"/>
      <c r="M1404" s="136"/>
      <c r="O1404" s="136"/>
      <c r="P1404" s="474"/>
    </row>
    <row r="1405" spans="1:23" ht="18.5" outlineLevel="1" x14ac:dyDescent="0.45">
      <c r="F1405" s="89" t="s">
        <v>979</v>
      </c>
      <c r="G1405" s="89"/>
      <c r="H1405" s="136"/>
      <c r="I1405" s="136"/>
      <c r="K1405" s="136"/>
      <c r="L1405" s="136"/>
      <c r="M1405" s="136"/>
      <c r="O1405" s="136"/>
      <c r="P1405" s="474"/>
    </row>
    <row r="1406" spans="1:23" ht="15.5" outlineLevel="1" x14ac:dyDescent="0.35">
      <c r="C1406" s="476">
        <v>44501</v>
      </c>
      <c r="H1406" s="136"/>
      <c r="I1406" s="11"/>
      <c r="J1406" s="11"/>
      <c r="K1406" s="11"/>
      <c r="L1406" s="136"/>
      <c r="M1406" s="11"/>
      <c r="N1406" s="140">
        <f>+L1406*M1406+L1406</f>
        <v>0</v>
      </c>
      <c r="O1406" s="136"/>
      <c r="P1406" s="474"/>
      <c r="U1406" s="138"/>
    </row>
    <row r="1407" spans="1:23" s="244" customFormat="1" ht="15.5" x14ac:dyDescent="0.35">
      <c r="B1407" s="11"/>
      <c r="C1407" s="10" t="s">
        <v>506</v>
      </c>
      <c r="D1407" s="10">
        <v>2</v>
      </c>
      <c r="E1407" s="10"/>
      <c r="F1407" s="397" t="s">
        <v>507</v>
      </c>
      <c r="G1407" s="397"/>
      <c r="H1407" s="593">
        <v>2.5</v>
      </c>
      <c r="I1407" s="397">
        <v>6556</v>
      </c>
      <c r="J1407" s="450">
        <v>9750</v>
      </c>
      <c r="K1407" s="450">
        <f>+H1407/I1407*J1407</f>
        <v>3.7179682733374011</v>
      </c>
      <c r="L1407" s="450">
        <f>+H1407+K1407</f>
        <v>6.2179682733374015</v>
      </c>
      <c r="M1407" s="584">
        <v>0.3</v>
      </c>
      <c r="N1407" s="450">
        <f>+L1407*M1407+L1407</f>
        <v>8.0833587553386224</v>
      </c>
      <c r="O1407" s="450">
        <v>10</v>
      </c>
      <c r="P1407" s="325"/>
      <c r="Q1407" s="10"/>
      <c r="R1407" s="10"/>
      <c r="S1407" s="10" t="s">
        <v>12</v>
      </c>
      <c r="T1407" s="404">
        <v>46080</v>
      </c>
      <c r="U1407" s="138"/>
      <c r="V1407" s="10"/>
      <c r="W1407" s="10"/>
    </row>
    <row r="1408" spans="1:23" s="244" customFormat="1" ht="15.5" x14ac:dyDescent="0.35">
      <c r="B1408" s="11"/>
      <c r="C1408" s="10" t="s">
        <v>506</v>
      </c>
      <c r="D1408" s="10">
        <v>3</v>
      </c>
      <c r="E1408" s="10"/>
      <c r="F1408" s="10" t="s">
        <v>507</v>
      </c>
      <c r="G1408" s="10"/>
      <c r="H1408" s="458">
        <v>2.5</v>
      </c>
      <c r="I1408" s="10">
        <v>6556</v>
      </c>
      <c r="J1408" s="140">
        <v>9750</v>
      </c>
      <c r="K1408" s="140">
        <f>+H1408/I1408*J1408</f>
        <v>3.7179682733374011</v>
      </c>
      <c r="L1408" s="140">
        <f>+H1408+K1408</f>
        <v>6.2179682733374015</v>
      </c>
      <c r="M1408" s="453">
        <v>0.3</v>
      </c>
      <c r="N1408" s="140">
        <f>+L1408*M1408+L1408</f>
        <v>8.0833587553386224</v>
      </c>
      <c r="O1408" s="140">
        <v>10</v>
      </c>
      <c r="P1408" s="325"/>
      <c r="Q1408" s="10"/>
      <c r="R1408" s="10"/>
      <c r="S1408" s="10"/>
      <c r="T1408" s="404"/>
      <c r="U1408" s="138"/>
      <c r="V1408" s="10"/>
      <c r="W1408" s="10"/>
    </row>
    <row r="1409" spans="1:21" customFormat="1" ht="15.5" x14ac:dyDescent="0.35">
      <c r="B1409" s="233"/>
      <c r="C1409" s="233"/>
      <c r="D1409" s="233"/>
      <c r="F1409" s="330" t="s">
        <v>841</v>
      </c>
      <c r="G1409" s="330"/>
      <c r="H1409" s="330"/>
      <c r="I1409" s="173"/>
      <c r="J1409" s="4"/>
      <c r="K1409" s="173"/>
      <c r="L1409" s="145"/>
      <c r="M1409" s="145"/>
      <c r="N1409" s="468"/>
      <c r="O1409" s="145"/>
      <c r="P1409" s="469"/>
      <c r="S1409" s="10"/>
      <c r="T1409" s="404"/>
      <c r="U1409" s="420"/>
    </row>
    <row r="1410" spans="1:21" customFormat="1" ht="15.5" x14ac:dyDescent="0.35">
      <c r="B1410" s="233"/>
      <c r="C1410" s="233"/>
      <c r="D1410">
        <v>4</v>
      </c>
      <c r="F1410" s="244" t="s">
        <v>831</v>
      </c>
      <c r="G1410" s="244"/>
      <c r="H1410" s="173">
        <v>7</v>
      </c>
      <c r="I1410" s="4">
        <v>9682</v>
      </c>
      <c r="J1410" s="173">
        <v>7766</v>
      </c>
      <c r="K1410" s="145">
        <f>+H1410/I1410*J1410</f>
        <v>5.6147490187977693</v>
      </c>
      <c r="L1410" s="145">
        <f>+H1410+K1410</f>
        <v>12.61474901879777</v>
      </c>
      <c r="M1410" s="468">
        <v>0.4</v>
      </c>
      <c r="N1410" s="145">
        <f>+L1410*1.4</f>
        <v>17.660648626316878</v>
      </c>
      <c r="O1410" s="146">
        <v>25</v>
      </c>
      <c r="P1410" s="466"/>
      <c r="S1410" s="10"/>
      <c r="T1410" s="404"/>
      <c r="U1410" s="420"/>
    </row>
    <row r="1411" spans="1:21" customFormat="1" ht="14.5" x14ac:dyDescent="0.35">
      <c r="A1411" s="3"/>
      <c r="B1411" s="3"/>
      <c r="C1411" s="233" t="s">
        <v>1162</v>
      </c>
      <c r="E1411" s="366"/>
      <c r="F1411" s="371" t="s">
        <v>1749</v>
      </c>
      <c r="G1411" s="371"/>
      <c r="H1411" s="176">
        <v>8</v>
      </c>
      <c r="I1411" s="12"/>
      <c r="J1411" s="176"/>
      <c r="K1411" s="176"/>
      <c r="L1411" s="176"/>
      <c r="M1411" s="12"/>
      <c r="N1411" s="176">
        <f t="shared" ref="N1411:N1416" si="244">+H1411*1.4</f>
        <v>11.2</v>
      </c>
      <c r="O1411" s="176">
        <v>15</v>
      </c>
      <c r="P1411" s="13"/>
      <c r="S1411" t="s">
        <v>12</v>
      </c>
      <c r="T1411" s="6">
        <v>46136</v>
      </c>
    </row>
    <row r="1412" spans="1:21" customFormat="1" ht="14.5" x14ac:dyDescent="0.35">
      <c r="A1412" s="3"/>
      <c r="B1412" s="3"/>
      <c r="C1412" s="233" t="s">
        <v>1162</v>
      </c>
      <c r="E1412" s="366"/>
      <c r="F1412" s="245" t="s">
        <v>1749</v>
      </c>
      <c r="G1412" s="245"/>
      <c r="H1412" s="173">
        <v>8</v>
      </c>
      <c r="J1412" s="173"/>
      <c r="K1412" s="173"/>
      <c r="L1412" s="173"/>
      <c r="N1412" s="173">
        <f t="shared" si="244"/>
        <v>11.2</v>
      </c>
      <c r="O1412" s="173">
        <v>15</v>
      </c>
      <c r="P1412" s="13"/>
    </row>
    <row r="1413" spans="1:21" customFormat="1" ht="14.5" x14ac:dyDescent="0.35">
      <c r="A1413" s="3"/>
      <c r="B1413" s="3"/>
      <c r="C1413" s="233" t="s">
        <v>1162</v>
      </c>
      <c r="E1413" s="366"/>
      <c r="F1413" s="245" t="s">
        <v>1749</v>
      </c>
      <c r="G1413" s="245"/>
      <c r="H1413" s="173">
        <v>8</v>
      </c>
      <c r="J1413" s="173"/>
      <c r="K1413" s="173"/>
      <c r="L1413" s="173"/>
      <c r="N1413" s="173">
        <f t="shared" si="244"/>
        <v>11.2</v>
      </c>
      <c r="O1413" s="173">
        <v>15</v>
      </c>
      <c r="P1413" s="13"/>
    </row>
    <row r="1414" spans="1:21" customFormat="1" ht="14.5" x14ac:dyDescent="0.35">
      <c r="A1414" s="3"/>
      <c r="B1414" s="3"/>
      <c r="C1414" s="233" t="s">
        <v>1162</v>
      </c>
      <c r="E1414" s="366"/>
      <c r="F1414" s="245" t="s">
        <v>1749</v>
      </c>
      <c r="G1414" s="245"/>
      <c r="H1414" s="173">
        <v>8</v>
      </c>
      <c r="J1414" s="173"/>
      <c r="K1414" s="173"/>
      <c r="L1414" s="173"/>
      <c r="N1414" s="173">
        <f t="shared" si="244"/>
        <v>11.2</v>
      </c>
      <c r="O1414" s="173">
        <v>15</v>
      </c>
      <c r="P1414" s="13"/>
    </row>
    <row r="1415" spans="1:21" customFormat="1" ht="14.5" x14ac:dyDescent="0.35">
      <c r="A1415" s="3"/>
      <c r="B1415" s="3"/>
      <c r="C1415" s="233" t="s">
        <v>1162</v>
      </c>
      <c r="E1415" s="366"/>
      <c r="F1415" s="245" t="s">
        <v>1749</v>
      </c>
      <c r="G1415" s="245"/>
      <c r="H1415" s="173">
        <v>8</v>
      </c>
      <c r="J1415" s="173"/>
      <c r="K1415" s="173"/>
      <c r="L1415" s="173"/>
      <c r="N1415" s="173">
        <f t="shared" si="244"/>
        <v>11.2</v>
      </c>
      <c r="O1415" s="173">
        <v>15</v>
      </c>
      <c r="P1415" s="13"/>
    </row>
    <row r="1416" spans="1:21" customFormat="1" ht="14.5" x14ac:dyDescent="0.35">
      <c r="A1416" s="3"/>
      <c r="B1416" s="3"/>
      <c r="C1416" s="233" t="s">
        <v>1162</v>
      </c>
      <c r="E1416" s="366"/>
      <c r="F1416" s="245" t="s">
        <v>1749</v>
      </c>
      <c r="G1416" s="245"/>
      <c r="H1416" s="173">
        <v>8</v>
      </c>
      <c r="J1416" s="173"/>
      <c r="K1416" s="173"/>
      <c r="L1416" s="173"/>
      <c r="N1416" s="173">
        <f t="shared" si="244"/>
        <v>11.2</v>
      </c>
      <c r="O1416" s="173">
        <v>15</v>
      </c>
      <c r="P1416" s="13"/>
    </row>
    <row r="1417" spans="1:21" ht="15" customHeight="1" x14ac:dyDescent="0.35">
      <c r="C1417" s="11" t="s">
        <v>2073</v>
      </c>
    </row>
    <row r="1418" spans="1:21" customFormat="1" ht="15.5" x14ac:dyDescent="0.35">
      <c r="A1418" s="3"/>
      <c r="B1418" s="3"/>
      <c r="C1418" s="233" t="s">
        <v>1985</v>
      </c>
      <c r="D1418" s="233"/>
      <c r="E1418" s="366">
        <v>12</v>
      </c>
      <c r="F1418" s="372" t="s">
        <v>2072</v>
      </c>
      <c r="G1418" s="372">
        <v>11</v>
      </c>
      <c r="H1418" s="373">
        <f>+G1418/7</f>
        <v>1.5714285714285714</v>
      </c>
      <c r="I1418" s="343">
        <v>4072</v>
      </c>
      <c r="J1418" s="373">
        <v>3073</v>
      </c>
      <c r="K1418" s="373">
        <f>+H1418/I1418*J1418</f>
        <v>1.1859037328094302</v>
      </c>
      <c r="L1418" s="373">
        <f>+H1418+K1418</f>
        <v>2.7573323042380018</v>
      </c>
      <c r="M1418" s="343"/>
      <c r="N1418" s="373">
        <f>+L1418*1.5</f>
        <v>4.1359984563570027</v>
      </c>
      <c r="O1418" s="373">
        <v>10</v>
      </c>
      <c r="P1418" s="325"/>
      <c r="S1418" t="s">
        <v>2286</v>
      </c>
    </row>
    <row r="1419" spans="1:21" customFormat="1" ht="15.5" x14ac:dyDescent="0.35">
      <c r="A1419" s="3"/>
      <c r="B1419" s="3"/>
      <c r="C1419" s="233" t="s">
        <v>1985</v>
      </c>
      <c r="D1419" s="233"/>
      <c r="E1419" s="366">
        <v>13</v>
      </c>
      <c r="F1419" s="245" t="s">
        <v>2072</v>
      </c>
      <c r="G1419" s="245">
        <v>11</v>
      </c>
      <c r="H1419" s="173">
        <f>+G1419/7</f>
        <v>1.5714285714285714</v>
      </c>
      <c r="I1419">
        <v>4072</v>
      </c>
      <c r="J1419" s="173">
        <v>3073</v>
      </c>
      <c r="K1419" s="173">
        <f>+H1419/I1419*J1419</f>
        <v>1.1859037328094302</v>
      </c>
      <c r="L1419" s="173">
        <f>+H1419+K1419</f>
        <v>2.7573323042380018</v>
      </c>
      <c r="N1419" s="173">
        <f>+L1419*1.5</f>
        <v>4.1359984563570027</v>
      </c>
      <c r="O1419" s="173">
        <v>10</v>
      </c>
      <c r="P1419" s="325"/>
    </row>
    <row r="1420" spans="1:21" ht="15" customHeight="1" x14ac:dyDescent="0.35">
      <c r="F1420" s="11" t="s">
        <v>536</v>
      </c>
      <c r="G1420" s="11"/>
      <c r="H1420" s="136">
        <f t="shared" ref="H1420:O1420" si="245">SUM(H1407:H1408)</f>
        <v>5</v>
      </c>
      <c r="I1420" s="136">
        <f t="shared" si="245"/>
        <v>13112</v>
      </c>
      <c r="J1420" s="136">
        <f t="shared" si="245"/>
        <v>19500</v>
      </c>
      <c r="K1420" s="136">
        <f t="shared" si="245"/>
        <v>7.4359365466748022</v>
      </c>
      <c r="L1420" s="136">
        <f t="shared" si="245"/>
        <v>12.435936546674803</v>
      </c>
      <c r="M1420" s="136">
        <f t="shared" si="245"/>
        <v>0.6</v>
      </c>
      <c r="N1420" s="136">
        <f t="shared" si="245"/>
        <v>16.166717510677245</v>
      </c>
      <c r="O1420" s="136">
        <f t="shared" si="245"/>
        <v>20</v>
      </c>
      <c r="P1420" s="474"/>
      <c r="U1420" s="138"/>
    </row>
    <row r="1421" spans="1:21" ht="15" customHeight="1" x14ac:dyDescent="0.35">
      <c r="D1421" s="454">
        <v>24</v>
      </c>
      <c r="E1421" s="454">
        <v>-14</v>
      </c>
    </row>
    <row r="1422" spans="1:21" ht="15" customHeight="1" x14ac:dyDescent="0.35">
      <c r="O1422" s="140"/>
    </row>
  </sheetData>
  <printOptions headings="1" gridLines="1"/>
  <pageMargins left="0" right="0" top="0" bottom="0" header="0" footer="0"/>
  <pageSetup paperSize="9" fitToHeight="0" orientation="landscape" r:id="rId1"/>
  <headerFooter>
    <oddFooter>Page &amp;P of &amp;N</oddFooter>
  </headerFooter>
  <rowBreaks count="5" manualBreakCount="5">
    <brk id="30" max="18" man="1"/>
    <brk id="52" max="18" man="1"/>
    <brk id="126" max="18" man="1"/>
    <brk id="191" max="18" man="1"/>
    <brk id="1421" min="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338"/>
  <sheetViews>
    <sheetView topLeftCell="A79" zoomScale="90" zoomScaleNormal="90" workbookViewId="0">
      <selection activeCell="F56" sqref="F56"/>
    </sheetView>
  </sheetViews>
  <sheetFormatPr defaultRowHeight="14.5" outlineLevelRow="1" x14ac:dyDescent="0.35"/>
  <cols>
    <col min="2" max="2" width="13.453125" hidden="1" customWidth="1"/>
    <col min="4" max="4" width="0" hidden="1" customWidth="1"/>
    <col min="6" max="6" width="45.1796875" customWidth="1"/>
    <col min="7" max="7" width="9.1796875" customWidth="1"/>
    <col min="8" max="8" width="9.1796875" hidden="1" customWidth="1"/>
    <col min="9" max="9" width="11.81640625" hidden="1" customWidth="1"/>
    <col min="10" max="10" width="10.54296875" hidden="1" customWidth="1"/>
    <col min="11" max="12" width="9.1796875" hidden="1" customWidth="1"/>
    <col min="13" max="13" width="9.1796875" customWidth="1"/>
    <col min="14" max="16" width="8.7265625" customWidth="1"/>
    <col min="17" max="17" width="36.54296875" customWidth="1"/>
    <col min="18" max="18" width="10.54296875" customWidth="1"/>
  </cols>
  <sheetData>
    <row r="1" spans="1:21" s="63" customFormat="1" ht="30.75" customHeight="1" thickBot="1" x14ac:dyDescent="0.4">
      <c r="A1" s="621"/>
      <c r="B1" s="622" t="s">
        <v>546</v>
      </c>
      <c r="C1" s="622" t="s">
        <v>342</v>
      </c>
      <c r="D1" s="623" t="s">
        <v>988</v>
      </c>
      <c r="E1" s="624" t="s">
        <v>402</v>
      </c>
      <c r="F1" s="622" t="s">
        <v>1</v>
      </c>
      <c r="G1" s="625" t="s">
        <v>1438</v>
      </c>
      <c r="H1" s="625" t="s">
        <v>3</v>
      </c>
      <c r="I1" s="622" t="s">
        <v>4</v>
      </c>
      <c r="J1" s="625" t="s">
        <v>5</v>
      </c>
      <c r="K1" s="625" t="s">
        <v>6</v>
      </c>
      <c r="L1" s="626" t="s">
        <v>7</v>
      </c>
      <c r="M1" s="627" t="s">
        <v>567</v>
      </c>
      <c r="N1" s="625" t="s">
        <v>9</v>
      </c>
      <c r="O1" s="628" t="s">
        <v>993</v>
      </c>
      <c r="P1" s="627" t="s">
        <v>1466</v>
      </c>
      <c r="Q1" s="625" t="s">
        <v>10</v>
      </c>
      <c r="R1" s="629" t="s">
        <v>22</v>
      </c>
      <c r="S1" s="630" t="s">
        <v>21</v>
      </c>
      <c r="U1" s="169"/>
    </row>
    <row r="2" spans="1:21" s="10" customFormat="1" ht="20.25" customHeight="1" outlineLevel="1" x14ac:dyDescent="0.5">
      <c r="B2" s="11"/>
      <c r="D2" s="454"/>
      <c r="E2" s="454"/>
      <c r="F2" s="502" t="s">
        <v>247</v>
      </c>
      <c r="G2" s="140"/>
      <c r="J2" s="140"/>
      <c r="K2" s="140"/>
      <c r="L2" s="452"/>
      <c r="M2" s="140">
        <f>+K2*L2+K2</f>
        <v>0</v>
      </c>
      <c r="O2" s="109"/>
      <c r="R2" s="404"/>
      <c r="S2" s="418"/>
    </row>
    <row r="3" spans="1:21" s="11" customFormat="1" ht="15.5" outlineLevel="1" x14ac:dyDescent="0.35">
      <c r="C3" s="11" t="s">
        <v>244</v>
      </c>
      <c r="D3" s="454"/>
      <c r="E3" s="454"/>
      <c r="F3" s="10"/>
      <c r="G3" s="141"/>
      <c r="H3" s="10"/>
      <c r="I3" s="10"/>
      <c r="J3" s="140"/>
      <c r="K3" s="140"/>
      <c r="L3" s="452"/>
      <c r="M3" s="140">
        <f>+K3*L3+K3</f>
        <v>0</v>
      </c>
      <c r="N3" s="141"/>
      <c r="O3" s="474"/>
      <c r="P3" s="10"/>
      <c r="Q3" s="10"/>
      <c r="R3" s="404"/>
      <c r="S3" s="418"/>
      <c r="T3" s="10"/>
      <c r="U3" s="10"/>
    </row>
    <row r="4" spans="1:21" s="10" customFormat="1" ht="15.5" outlineLevel="1" x14ac:dyDescent="0.35">
      <c r="B4" s="11"/>
      <c r="C4" s="10" t="s">
        <v>259</v>
      </c>
      <c r="D4" s="10">
        <v>5</v>
      </c>
      <c r="E4" s="10">
        <v>40</v>
      </c>
      <c r="F4" s="10" t="s">
        <v>248</v>
      </c>
      <c r="G4" s="140">
        <v>12</v>
      </c>
      <c r="H4" s="10">
        <v>8277</v>
      </c>
      <c r="I4" s="10">
        <v>15182</v>
      </c>
      <c r="J4" s="140">
        <f>+G4/H4*I4</f>
        <v>22.010873504893077</v>
      </c>
      <c r="K4" s="140">
        <f>+G4+J4</f>
        <v>34.010873504893077</v>
      </c>
      <c r="L4" s="453">
        <v>0.3</v>
      </c>
      <c r="M4" s="140">
        <f>+K4*L4+K4</f>
        <v>44.214135556361001</v>
      </c>
      <c r="N4" s="140">
        <v>65</v>
      </c>
      <c r="O4" s="325"/>
      <c r="Q4" s="492" t="s">
        <v>881</v>
      </c>
      <c r="R4" s="404"/>
      <c r="S4" s="138"/>
    </row>
    <row r="5" spans="1:21" s="10" customFormat="1" ht="15.5" outlineLevel="1" x14ac:dyDescent="0.35">
      <c r="B5" s="11"/>
      <c r="C5" s="10" t="s">
        <v>259</v>
      </c>
      <c r="D5" s="10">
        <v>6</v>
      </c>
      <c r="E5" s="10">
        <v>46</v>
      </c>
      <c r="F5" s="10" t="s">
        <v>248</v>
      </c>
      <c r="G5" s="140">
        <v>12</v>
      </c>
      <c r="H5" s="10">
        <v>8277</v>
      </c>
      <c r="I5" s="10">
        <v>15182</v>
      </c>
      <c r="J5" s="140">
        <f>+G5/H5*I5</f>
        <v>22.010873504893077</v>
      </c>
      <c r="K5" s="140">
        <f>+G5+J5</f>
        <v>34.010873504893077</v>
      </c>
      <c r="L5" s="453">
        <v>0.3</v>
      </c>
      <c r="M5" s="140">
        <f>+K5*L5+K5</f>
        <v>44.214135556361001</v>
      </c>
      <c r="N5" s="140">
        <v>65</v>
      </c>
      <c r="O5" s="325"/>
      <c r="Q5" s="492" t="s">
        <v>881</v>
      </c>
      <c r="R5" s="404"/>
      <c r="S5" s="138"/>
    </row>
    <row r="6" spans="1:21" s="10" customFormat="1" ht="15.5" outlineLevel="1" x14ac:dyDescent="0.35">
      <c r="B6" s="11"/>
      <c r="C6" s="10" t="s">
        <v>539</v>
      </c>
      <c r="D6" s="10">
        <v>7</v>
      </c>
      <c r="E6" s="10">
        <v>52</v>
      </c>
      <c r="F6" s="10" t="s">
        <v>455</v>
      </c>
      <c r="G6" s="140">
        <v>20</v>
      </c>
      <c r="H6" s="56">
        <v>787</v>
      </c>
      <c r="I6" s="140">
        <f>787+388+40+47</f>
        <v>1262</v>
      </c>
      <c r="J6" s="140">
        <f>+G6/H6*I6</f>
        <v>32.071156289707751</v>
      </c>
      <c r="K6" s="140">
        <f>+G6+J6</f>
        <v>52.071156289707751</v>
      </c>
      <c r="L6" s="453">
        <v>0.3</v>
      </c>
      <c r="M6" s="140">
        <f>+K6*L6+K6</f>
        <v>67.692503176620079</v>
      </c>
      <c r="N6" s="140">
        <v>65</v>
      </c>
      <c r="O6" s="325"/>
      <c r="P6" s="451"/>
      <c r="R6" s="404"/>
      <c r="S6" s="138"/>
    </row>
    <row r="7" spans="1:21" s="10" customFormat="1" ht="15.5" outlineLevel="1" x14ac:dyDescent="0.35">
      <c r="F7" s="339" t="s">
        <v>843</v>
      </c>
      <c r="G7" s="140"/>
      <c r="H7" s="56"/>
      <c r="I7" s="140"/>
      <c r="J7" s="140"/>
      <c r="K7" s="140"/>
      <c r="L7" s="453"/>
      <c r="M7" s="140"/>
      <c r="N7" s="140"/>
      <c r="O7" s="325"/>
      <c r="R7" s="404"/>
      <c r="S7" s="138"/>
    </row>
    <row r="8" spans="1:21" s="523" customFormat="1" ht="15.5" x14ac:dyDescent="0.35">
      <c r="B8" s="522" t="s">
        <v>469</v>
      </c>
      <c r="C8" s="522" t="s">
        <v>826</v>
      </c>
      <c r="D8" s="523">
        <v>10</v>
      </c>
      <c r="E8" s="523">
        <v>40</v>
      </c>
      <c r="F8" s="524" t="s">
        <v>811</v>
      </c>
      <c r="G8" s="616">
        <v>25</v>
      </c>
      <c r="H8" s="644">
        <v>9682</v>
      </c>
      <c r="I8" s="616">
        <v>7766</v>
      </c>
      <c r="J8" s="620">
        <f t="shared" ref="J8:J13" si="0">+G8/H8*I8</f>
        <v>20.052675067134889</v>
      </c>
      <c r="K8" s="620">
        <f t="shared" ref="K8:K13" si="1">+G8+J8</f>
        <v>45.052675067134885</v>
      </c>
      <c r="L8" s="619">
        <v>0.4</v>
      </c>
      <c r="M8" s="620">
        <f t="shared" ref="M8:M13" si="2">+K8*1.4</f>
        <v>63.073745093988833</v>
      </c>
      <c r="N8" s="645">
        <v>100</v>
      </c>
      <c r="O8" s="645"/>
      <c r="P8" s="491"/>
      <c r="Q8" s="491" t="s">
        <v>990</v>
      </c>
      <c r="R8" s="647"/>
      <c r="S8" s="648"/>
    </row>
    <row r="9" spans="1:21" ht="15.5" x14ac:dyDescent="0.35">
      <c r="B9" s="233" t="s">
        <v>469</v>
      </c>
      <c r="C9" s="233" t="s">
        <v>826</v>
      </c>
      <c r="D9" s="10">
        <v>11</v>
      </c>
      <c r="E9">
        <v>42</v>
      </c>
      <c r="F9" s="244" t="s">
        <v>811</v>
      </c>
      <c r="G9" s="173">
        <v>25</v>
      </c>
      <c r="H9" s="4">
        <v>9682</v>
      </c>
      <c r="I9" s="173">
        <v>7766</v>
      </c>
      <c r="J9" s="145">
        <f t="shared" si="0"/>
        <v>20.052675067134889</v>
      </c>
      <c r="K9" s="145">
        <f t="shared" si="1"/>
        <v>45.052675067134885</v>
      </c>
      <c r="L9" s="468">
        <v>0.4</v>
      </c>
      <c r="M9" s="145">
        <f t="shared" si="2"/>
        <v>63.073745093988833</v>
      </c>
      <c r="N9" s="146">
        <v>100</v>
      </c>
      <c r="O9" s="466"/>
      <c r="P9" s="10"/>
      <c r="Q9" s="10"/>
      <c r="R9" s="467"/>
      <c r="S9" s="420"/>
    </row>
    <row r="10" spans="1:21" ht="15.5" x14ac:dyDescent="0.35">
      <c r="B10" s="233" t="s">
        <v>469</v>
      </c>
      <c r="C10" s="233" t="s">
        <v>826</v>
      </c>
      <c r="D10">
        <v>13</v>
      </c>
      <c r="E10">
        <v>38</v>
      </c>
      <c r="F10" s="244" t="s">
        <v>836</v>
      </c>
      <c r="G10" s="173">
        <v>25</v>
      </c>
      <c r="H10" s="4">
        <v>9682</v>
      </c>
      <c r="I10" s="173">
        <v>7766</v>
      </c>
      <c r="J10" s="145">
        <f t="shared" si="0"/>
        <v>20.052675067134889</v>
      </c>
      <c r="K10" s="145">
        <f t="shared" si="1"/>
        <v>45.052675067134885</v>
      </c>
      <c r="L10" s="468">
        <v>0.4</v>
      </c>
      <c r="M10" s="145">
        <f t="shared" si="2"/>
        <v>63.073745093988833</v>
      </c>
      <c r="N10" s="146">
        <v>100</v>
      </c>
      <c r="O10" s="466"/>
      <c r="P10" s="10"/>
      <c r="Q10" s="528" t="s">
        <v>1112</v>
      </c>
      <c r="R10" s="467"/>
      <c r="S10" s="420"/>
    </row>
    <row r="11" spans="1:21" ht="15.5" x14ac:dyDescent="0.35">
      <c r="B11" s="233" t="s">
        <v>469</v>
      </c>
      <c r="C11" s="233" t="s">
        <v>826</v>
      </c>
      <c r="D11" s="10">
        <v>14</v>
      </c>
      <c r="E11">
        <v>42</v>
      </c>
      <c r="F11" s="244" t="s">
        <v>836</v>
      </c>
      <c r="G11" s="173">
        <v>25</v>
      </c>
      <c r="H11" s="4">
        <v>9682</v>
      </c>
      <c r="I11" s="173">
        <v>7766</v>
      </c>
      <c r="J11" s="145">
        <f t="shared" si="0"/>
        <v>20.052675067134889</v>
      </c>
      <c r="K11" s="145">
        <f t="shared" si="1"/>
        <v>45.052675067134885</v>
      </c>
      <c r="L11" s="468">
        <v>0.4</v>
      </c>
      <c r="M11" s="145">
        <f t="shared" si="2"/>
        <v>63.073745093988833</v>
      </c>
      <c r="N11" s="146">
        <v>100</v>
      </c>
      <c r="O11" s="466"/>
      <c r="P11" s="10"/>
      <c r="Q11" s="215"/>
      <c r="R11" s="467"/>
      <c r="S11" s="420"/>
    </row>
    <row r="12" spans="1:21" s="523" customFormat="1" ht="15.5" x14ac:dyDescent="0.35">
      <c r="B12" s="522" t="s">
        <v>616</v>
      </c>
      <c r="C12" s="522" t="s">
        <v>616</v>
      </c>
      <c r="D12" s="523">
        <v>18</v>
      </c>
      <c r="E12" s="523">
        <v>42</v>
      </c>
      <c r="F12" s="524" t="s">
        <v>812</v>
      </c>
      <c r="G12" s="616">
        <v>35</v>
      </c>
      <c r="H12" s="644">
        <v>9682</v>
      </c>
      <c r="I12" s="616">
        <v>7766</v>
      </c>
      <c r="J12" s="620">
        <f t="shared" si="0"/>
        <v>28.073745093988848</v>
      </c>
      <c r="K12" s="620">
        <f t="shared" si="1"/>
        <v>63.073745093988848</v>
      </c>
      <c r="L12" s="619">
        <v>0.4</v>
      </c>
      <c r="M12" s="620">
        <f t="shared" si="2"/>
        <v>88.303243131584381</v>
      </c>
      <c r="N12" s="645">
        <v>125</v>
      </c>
      <c r="O12" s="645"/>
      <c r="P12" s="491"/>
      <c r="Q12" s="646" t="s">
        <v>990</v>
      </c>
      <c r="R12" s="647"/>
      <c r="S12" s="648"/>
    </row>
    <row r="13" spans="1:21" s="523" customFormat="1" ht="15.5" x14ac:dyDescent="0.35">
      <c r="B13" s="522" t="s">
        <v>616</v>
      </c>
      <c r="C13" s="522" t="s">
        <v>616</v>
      </c>
      <c r="D13" s="491">
        <v>20</v>
      </c>
      <c r="E13" s="523">
        <v>50</v>
      </c>
      <c r="F13" s="524" t="s">
        <v>812</v>
      </c>
      <c r="G13" s="616">
        <v>35</v>
      </c>
      <c r="H13" s="644">
        <v>9682</v>
      </c>
      <c r="I13" s="616">
        <v>7766</v>
      </c>
      <c r="J13" s="620">
        <f t="shared" si="0"/>
        <v>28.073745093988848</v>
      </c>
      <c r="K13" s="620">
        <f t="shared" si="1"/>
        <v>63.073745093988848</v>
      </c>
      <c r="L13" s="619">
        <v>0.4</v>
      </c>
      <c r="M13" s="620">
        <f t="shared" si="2"/>
        <v>88.303243131584381</v>
      </c>
      <c r="N13" s="645">
        <v>125</v>
      </c>
      <c r="O13" s="645"/>
      <c r="P13" s="491"/>
      <c r="Q13" s="646" t="s">
        <v>990</v>
      </c>
      <c r="R13" s="647"/>
      <c r="S13" s="648"/>
    </row>
    <row r="14" spans="1:21" s="11" customFormat="1" ht="15.5" x14ac:dyDescent="0.35">
      <c r="C14" s="11" t="s">
        <v>1643</v>
      </c>
      <c r="E14" s="473"/>
      <c r="F14" s="141" t="s">
        <v>1726</v>
      </c>
      <c r="G14" s="141"/>
      <c r="I14" s="141"/>
      <c r="J14" s="141"/>
      <c r="K14" s="141"/>
      <c r="M14" s="141"/>
      <c r="N14" s="141"/>
    </row>
    <row r="15" spans="1:21" s="523" customFormat="1" x14ac:dyDescent="0.35">
      <c r="A15" s="521"/>
      <c r="B15" s="521"/>
      <c r="C15" s="522" t="s">
        <v>1742</v>
      </c>
      <c r="E15" s="526">
        <v>46</v>
      </c>
      <c r="F15" s="527" t="s">
        <v>1618</v>
      </c>
      <c r="G15" s="616">
        <v>23</v>
      </c>
      <c r="H15" s="523">
        <v>814</v>
      </c>
      <c r="I15" s="616">
        <v>584</v>
      </c>
      <c r="J15" s="641">
        <f t="shared" ref="J15:J54" si="3">+G15/H15*I15</f>
        <v>16.501228501228503</v>
      </c>
      <c r="K15" s="616">
        <f t="shared" ref="K15:K54" si="4">+G15+J15</f>
        <v>39.501228501228503</v>
      </c>
      <c r="L15" s="642"/>
      <c r="M15" s="616">
        <f t="shared" ref="M15:M53" si="5">+K15*1.4</f>
        <v>55.301719901719899</v>
      </c>
      <c r="N15" s="616">
        <v>65</v>
      </c>
      <c r="Q15" s="523" t="s">
        <v>990</v>
      </c>
    </row>
    <row r="16" spans="1:21" s="523" customFormat="1" x14ac:dyDescent="0.35">
      <c r="A16" s="521"/>
      <c r="B16" s="521"/>
      <c r="C16" s="522" t="s">
        <v>1742</v>
      </c>
      <c r="E16" s="526">
        <v>50</v>
      </c>
      <c r="F16" s="527" t="s">
        <v>1618</v>
      </c>
      <c r="G16" s="616">
        <v>23</v>
      </c>
      <c r="H16" s="523">
        <v>814</v>
      </c>
      <c r="I16" s="616">
        <v>584</v>
      </c>
      <c r="J16" s="641">
        <f t="shared" si="3"/>
        <v>16.501228501228503</v>
      </c>
      <c r="K16" s="616">
        <f t="shared" si="4"/>
        <v>39.501228501228503</v>
      </c>
      <c r="L16" s="642"/>
      <c r="M16" s="616">
        <f t="shared" si="5"/>
        <v>55.301719901719899</v>
      </c>
      <c r="N16" s="616">
        <v>65</v>
      </c>
      <c r="Q16" s="523" t="s">
        <v>990</v>
      </c>
    </row>
    <row r="17" spans="1:18" x14ac:dyDescent="0.35">
      <c r="A17" s="3"/>
      <c r="B17" s="3"/>
      <c r="C17" s="233" t="s">
        <v>1742</v>
      </c>
      <c r="E17" s="366">
        <v>52</v>
      </c>
      <c r="F17" s="371" t="s">
        <v>1618</v>
      </c>
      <c r="G17" s="176">
        <v>23</v>
      </c>
      <c r="H17" s="12">
        <v>814</v>
      </c>
      <c r="I17" s="176">
        <v>584</v>
      </c>
      <c r="J17" s="410">
        <f t="shared" si="3"/>
        <v>16.501228501228503</v>
      </c>
      <c r="K17" s="176">
        <f t="shared" si="4"/>
        <v>39.501228501228503</v>
      </c>
      <c r="L17" s="411"/>
      <c r="M17" s="176">
        <f t="shared" si="5"/>
        <v>55.301719901719899</v>
      </c>
      <c r="N17" s="176">
        <v>65</v>
      </c>
      <c r="O17" s="12"/>
      <c r="P17" s="12"/>
      <c r="Q17" t="s">
        <v>3161</v>
      </c>
      <c r="R17" s="6">
        <v>46104</v>
      </c>
    </row>
    <row r="18" spans="1:18" s="523" customFormat="1" x14ac:dyDescent="0.35">
      <c r="A18" s="521"/>
      <c r="B18" s="521"/>
      <c r="C18" s="522" t="s">
        <v>1742</v>
      </c>
      <c r="E18" s="526">
        <v>42</v>
      </c>
      <c r="F18" s="527" t="s">
        <v>1618</v>
      </c>
      <c r="G18" s="616">
        <v>23</v>
      </c>
      <c r="H18" s="523">
        <v>814</v>
      </c>
      <c r="I18" s="616">
        <v>584</v>
      </c>
      <c r="J18" s="641">
        <f t="shared" si="3"/>
        <v>16.501228501228503</v>
      </c>
      <c r="K18" s="616">
        <f t="shared" si="4"/>
        <v>39.501228501228503</v>
      </c>
      <c r="L18" s="642"/>
      <c r="M18" s="616">
        <f t="shared" si="5"/>
        <v>55.301719901719899</v>
      </c>
      <c r="N18" s="616">
        <v>65</v>
      </c>
      <c r="Q18" s="523" t="s">
        <v>990</v>
      </c>
    </row>
    <row r="19" spans="1:18" s="523" customFormat="1" x14ac:dyDescent="0.35">
      <c r="A19" s="521"/>
      <c r="B19" s="521"/>
      <c r="C19" s="522" t="s">
        <v>1742</v>
      </c>
      <c r="E19" s="526">
        <v>44</v>
      </c>
      <c r="F19" s="527" t="s">
        <v>1618</v>
      </c>
      <c r="G19" s="616">
        <v>23</v>
      </c>
      <c r="H19" s="523">
        <v>814</v>
      </c>
      <c r="I19" s="616">
        <v>584</v>
      </c>
      <c r="J19" s="641">
        <f t="shared" si="3"/>
        <v>16.501228501228503</v>
      </c>
      <c r="K19" s="616">
        <f t="shared" si="4"/>
        <v>39.501228501228503</v>
      </c>
      <c r="L19" s="642"/>
      <c r="M19" s="616">
        <f t="shared" si="5"/>
        <v>55.301719901719899</v>
      </c>
      <c r="N19" s="616">
        <v>65</v>
      </c>
      <c r="Q19" s="523" t="s">
        <v>990</v>
      </c>
    </row>
    <row r="20" spans="1:18" s="523" customFormat="1" x14ac:dyDescent="0.35">
      <c r="A20" s="521"/>
      <c r="B20" s="521"/>
      <c r="C20" s="522" t="s">
        <v>1742</v>
      </c>
      <c r="E20" s="526">
        <v>46</v>
      </c>
      <c r="F20" s="527" t="s">
        <v>1618</v>
      </c>
      <c r="G20" s="616">
        <v>23</v>
      </c>
      <c r="H20" s="523">
        <v>814</v>
      </c>
      <c r="I20" s="616">
        <v>584</v>
      </c>
      <c r="J20" s="641">
        <f t="shared" si="3"/>
        <v>16.501228501228503</v>
      </c>
      <c r="K20" s="616">
        <f t="shared" si="4"/>
        <v>39.501228501228503</v>
      </c>
      <c r="L20" s="642"/>
      <c r="M20" s="616">
        <f t="shared" si="5"/>
        <v>55.301719901719899</v>
      </c>
      <c r="N20" s="616">
        <v>65</v>
      </c>
      <c r="Q20" s="523" t="s">
        <v>990</v>
      </c>
    </row>
    <row r="21" spans="1:18" s="523" customFormat="1" x14ac:dyDescent="0.35">
      <c r="A21" s="521"/>
      <c r="B21" s="521"/>
      <c r="C21" s="522" t="s">
        <v>1742</v>
      </c>
      <c r="E21" s="526">
        <v>48</v>
      </c>
      <c r="F21" s="527" t="s">
        <v>1618</v>
      </c>
      <c r="G21" s="616">
        <v>23</v>
      </c>
      <c r="H21" s="523">
        <v>814</v>
      </c>
      <c r="I21" s="616">
        <v>584</v>
      </c>
      <c r="J21" s="641">
        <f t="shared" si="3"/>
        <v>16.501228501228503</v>
      </c>
      <c r="K21" s="616">
        <f t="shared" si="4"/>
        <v>39.501228501228503</v>
      </c>
      <c r="L21" s="642"/>
      <c r="M21" s="616">
        <f t="shared" si="5"/>
        <v>55.301719901719899</v>
      </c>
      <c r="N21" s="616">
        <v>65</v>
      </c>
      <c r="Q21" s="523" t="s">
        <v>990</v>
      </c>
    </row>
    <row r="22" spans="1:18" x14ac:dyDescent="0.35">
      <c r="A22" s="3"/>
      <c r="B22" s="3"/>
      <c r="C22" s="233" t="s">
        <v>1742</v>
      </c>
      <c r="E22" s="366">
        <v>50</v>
      </c>
      <c r="F22" s="371" t="s">
        <v>1618</v>
      </c>
      <c r="G22" s="176">
        <v>23</v>
      </c>
      <c r="H22" s="12">
        <v>814</v>
      </c>
      <c r="I22" s="176">
        <v>584</v>
      </c>
      <c r="J22" s="410">
        <f t="shared" si="3"/>
        <v>16.501228501228503</v>
      </c>
      <c r="K22" s="176">
        <f t="shared" si="4"/>
        <v>39.501228501228503</v>
      </c>
      <c r="L22" s="411"/>
      <c r="M22" s="176">
        <f t="shared" si="5"/>
        <v>55.301719901719899</v>
      </c>
      <c r="N22" s="176">
        <v>65</v>
      </c>
      <c r="O22" s="12"/>
      <c r="Q22" t="s">
        <v>3005</v>
      </c>
      <c r="R22" s="6">
        <v>46119</v>
      </c>
    </row>
    <row r="23" spans="1:18" s="523" customFormat="1" x14ac:dyDescent="0.35">
      <c r="A23" s="521"/>
      <c r="B23" s="521"/>
      <c r="C23" s="522" t="s">
        <v>1742</v>
      </c>
      <c r="E23" s="526">
        <v>52</v>
      </c>
      <c r="F23" s="527" t="s">
        <v>1618</v>
      </c>
      <c r="G23" s="616">
        <v>23</v>
      </c>
      <c r="H23" s="523">
        <v>814</v>
      </c>
      <c r="I23" s="616">
        <v>584</v>
      </c>
      <c r="J23" s="641">
        <f t="shared" si="3"/>
        <v>16.501228501228503</v>
      </c>
      <c r="K23" s="616">
        <f t="shared" si="4"/>
        <v>39.501228501228503</v>
      </c>
      <c r="L23" s="642"/>
      <c r="M23" s="616">
        <f t="shared" si="5"/>
        <v>55.301719901719899</v>
      </c>
      <c r="N23" s="616">
        <v>65</v>
      </c>
      <c r="Q23" s="523" t="s">
        <v>990</v>
      </c>
    </row>
    <row r="24" spans="1:18" s="523" customFormat="1" x14ac:dyDescent="0.35">
      <c r="A24" s="521"/>
      <c r="B24" s="521"/>
      <c r="C24" s="522" t="s">
        <v>1742</v>
      </c>
      <c r="E24" s="526">
        <v>50</v>
      </c>
      <c r="F24" s="527" t="s">
        <v>1727</v>
      </c>
      <c r="G24" s="616">
        <v>23</v>
      </c>
      <c r="H24" s="523">
        <v>814</v>
      </c>
      <c r="I24" s="616">
        <v>584</v>
      </c>
      <c r="J24" s="641">
        <f t="shared" si="3"/>
        <v>16.501228501228503</v>
      </c>
      <c r="K24" s="616">
        <f t="shared" si="4"/>
        <v>39.501228501228503</v>
      </c>
      <c r="L24" s="642"/>
      <c r="M24" s="616">
        <f t="shared" si="5"/>
        <v>55.301719901719899</v>
      </c>
      <c r="N24" s="616">
        <v>125</v>
      </c>
      <c r="Q24" s="523" t="s">
        <v>990</v>
      </c>
    </row>
    <row r="25" spans="1:18" s="523" customFormat="1" x14ac:dyDescent="0.35">
      <c r="A25" s="521"/>
      <c r="B25" s="521"/>
      <c r="C25" s="522" t="s">
        <v>1742</v>
      </c>
      <c r="E25" s="526">
        <v>52</v>
      </c>
      <c r="F25" s="527" t="s">
        <v>1727</v>
      </c>
      <c r="G25" s="616">
        <v>23</v>
      </c>
      <c r="H25" s="523">
        <v>814</v>
      </c>
      <c r="I25" s="616">
        <v>584</v>
      </c>
      <c r="J25" s="641">
        <f t="shared" si="3"/>
        <v>16.501228501228503</v>
      </c>
      <c r="K25" s="616">
        <f t="shared" si="4"/>
        <v>39.501228501228503</v>
      </c>
      <c r="L25" s="642"/>
      <c r="M25" s="616">
        <f t="shared" si="5"/>
        <v>55.301719901719899</v>
      </c>
      <c r="N25" s="616">
        <v>125</v>
      </c>
      <c r="Q25" s="523" t="s">
        <v>990</v>
      </c>
    </row>
    <row r="26" spans="1:18" s="523" customFormat="1" x14ac:dyDescent="0.35">
      <c r="A26" s="521"/>
      <c r="B26" s="521"/>
      <c r="C26" s="522" t="s">
        <v>1742</v>
      </c>
      <c r="E26" s="526">
        <v>54</v>
      </c>
      <c r="F26" s="527" t="s">
        <v>1727</v>
      </c>
      <c r="G26" s="616">
        <v>23</v>
      </c>
      <c r="H26" s="523">
        <v>814</v>
      </c>
      <c r="I26" s="616">
        <v>584</v>
      </c>
      <c r="J26" s="641">
        <f t="shared" si="3"/>
        <v>16.501228501228503</v>
      </c>
      <c r="K26" s="616">
        <f t="shared" si="4"/>
        <v>39.501228501228503</v>
      </c>
      <c r="L26" s="642"/>
      <c r="M26" s="616">
        <f t="shared" si="5"/>
        <v>55.301719901719899</v>
      </c>
      <c r="N26" s="616">
        <v>125</v>
      </c>
      <c r="Q26" s="523" t="s">
        <v>990</v>
      </c>
    </row>
    <row r="27" spans="1:18" s="523" customFormat="1" x14ac:dyDescent="0.35">
      <c r="A27" s="521"/>
      <c r="B27" s="521"/>
      <c r="C27" s="522" t="s">
        <v>1742</v>
      </c>
      <c r="E27" s="526">
        <v>56</v>
      </c>
      <c r="F27" s="527" t="s">
        <v>1727</v>
      </c>
      <c r="G27" s="616">
        <v>23</v>
      </c>
      <c r="H27" s="523">
        <v>814</v>
      </c>
      <c r="I27" s="616">
        <v>584</v>
      </c>
      <c r="J27" s="641">
        <f t="shared" si="3"/>
        <v>16.501228501228503</v>
      </c>
      <c r="K27" s="616">
        <f t="shared" si="4"/>
        <v>39.501228501228503</v>
      </c>
      <c r="L27" s="642"/>
      <c r="M27" s="616">
        <f t="shared" si="5"/>
        <v>55.301719901719899</v>
      </c>
      <c r="N27" s="616">
        <v>125</v>
      </c>
      <c r="Q27" s="523" t="s">
        <v>990</v>
      </c>
    </row>
    <row r="28" spans="1:18" s="523" customFormat="1" x14ac:dyDescent="0.35">
      <c r="A28" s="521"/>
      <c r="B28" s="521"/>
      <c r="C28" s="522" t="s">
        <v>1742</v>
      </c>
      <c r="E28" s="526">
        <v>50</v>
      </c>
      <c r="F28" s="527" t="s">
        <v>1728</v>
      </c>
      <c r="G28" s="616">
        <v>23</v>
      </c>
      <c r="H28" s="523">
        <v>814</v>
      </c>
      <c r="I28" s="616">
        <v>584</v>
      </c>
      <c r="J28" s="641">
        <f t="shared" si="3"/>
        <v>16.501228501228503</v>
      </c>
      <c r="K28" s="616">
        <f t="shared" si="4"/>
        <v>39.501228501228503</v>
      </c>
      <c r="L28" s="642"/>
      <c r="M28" s="616">
        <f t="shared" si="5"/>
        <v>55.301719901719899</v>
      </c>
      <c r="N28" s="616">
        <v>125</v>
      </c>
      <c r="Q28" s="523" t="s">
        <v>990</v>
      </c>
    </row>
    <row r="29" spans="1:18" s="523" customFormat="1" x14ac:dyDescent="0.35">
      <c r="A29" s="521"/>
      <c r="B29" s="521"/>
      <c r="C29" s="522" t="s">
        <v>1742</v>
      </c>
      <c r="E29" s="526">
        <v>52</v>
      </c>
      <c r="F29" s="527" t="s">
        <v>1728</v>
      </c>
      <c r="G29" s="616">
        <v>23</v>
      </c>
      <c r="H29" s="523">
        <v>814</v>
      </c>
      <c r="I29" s="616">
        <v>584</v>
      </c>
      <c r="J29" s="641">
        <f t="shared" si="3"/>
        <v>16.501228501228503</v>
      </c>
      <c r="K29" s="616">
        <f t="shared" si="4"/>
        <v>39.501228501228503</v>
      </c>
      <c r="L29" s="642"/>
      <c r="M29" s="616">
        <f t="shared" si="5"/>
        <v>55.301719901719899</v>
      </c>
      <c r="N29" s="616">
        <v>125</v>
      </c>
      <c r="Q29" s="523" t="s">
        <v>990</v>
      </c>
    </row>
    <row r="30" spans="1:18" s="523" customFormat="1" x14ac:dyDescent="0.35">
      <c r="A30" s="521"/>
      <c r="B30" s="521"/>
      <c r="C30" s="522" t="s">
        <v>1742</v>
      </c>
      <c r="E30" s="526">
        <v>54</v>
      </c>
      <c r="F30" s="527" t="s">
        <v>1728</v>
      </c>
      <c r="G30" s="616">
        <v>23</v>
      </c>
      <c r="H30" s="523">
        <v>814</v>
      </c>
      <c r="I30" s="616">
        <v>584</v>
      </c>
      <c r="J30" s="641">
        <f t="shared" si="3"/>
        <v>16.501228501228503</v>
      </c>
      <c r="K30" s="616">
        <f t="shared" si="4"/>
        <v>39.501228501228503</v>
      </c>
      <c r="L30" s="642"/>
      <c r="M30" s="616">
        <f t="shared" si="5"/>
        <v>55.301719901719899</v>
      </c>
      <c r="N30" s="616">
        <v>125</v>
      </c>
      <c r="Q30" s="523" t="s">
        <v>990</v>
      </c>
    </row>
    <row r="31" spans="1:18" s="523" customFormat="1" x14ac:dyDescent="0.35">
      <c r="A31" s="521"/>
      <c r="B31" s="521"/>
      <c r="C31" s="522" t="s">
        <v>1742</v>
      </c>
      <c r="E31" s="526">
        <v>52</v>
      </c>
      <c r="F31" s="527" t="s">
        <v>1729</v>
      </c>
      <c r="G31" s="616">
        <v>23</v>
      </c>
      <c r="H31" s="523">
        <v>814</v>
      </c>
      <c r="I31" s="616">
        <v>584</v>
      </c>
      <c r="J31" s="641">
        <f t="shared" si="3"/>
        <v>16.501228501228503</v>
      </c>
      <c r="K31" s="616">
        <f t="shared" si="4"/>
        <v>39.501228501228503</v>
      </c>
      <c r="L31" s="642"/>
      <c r="M31" s="616">
        <f t="shared" si="5"/>
        <v>55.301719901719899</v>
      </c>
      <c r="N31" s="616">
        <v>125</v>
      </c>
      <c r="Q31" s="523" t="s">
        <v>990</v>
      </c>
    </row>
    <row r="32" spans="1:18" s="523" customFormat="1" x14ac:dyDescent="0.35">
      <c r="A32" s="521"/>
      <c r="B32" s="521"/>
      <c r="C32" s="522" t="s">
        <v>1742</v>
      </c>
      <c r="E32" s="526">
        <v>52</v>
      </c>
      <c r="F32" s="527" t="s">
        <v>1729</v>
      </c>
      <c r="G32" s="616">
        <v>23</v>
      </c>
      <c r="H32" s="523">
        <v>814</v>
      </c>
      <c r="I32" s="616">
        <v>584</v>
      </c>
      <c r="J32" s="641">
        <f t="shared" si="3"/>
        <v>16.501228501228503</v>
      </c>
      <c r="K32" s="616">
        <f t="shared" si="4"/>
        <v>39.501228501228503</v>
      </c>
      <c r="L32" s="642"/>
      <c r="M32" s="616">
        <f t="shared" si="5"/>
        <v>55.301719901719899</v>
      </c>
      <c r="N32" s="616">
        <v>125</v>
      </c>
      <c r="Q32" s="523" t="s">
        <v>990</v>
      </c>
    </row>
    <row r="33" spans="1:18" s="523" customFormat="1" x14ac:dyDescent="0.35">
      <c r="A33" s="521"/>
      <c r="B33" s="521"/>
      <c r="C33" s="522" t="s">
        <v>1742</v>
      </c>
      <c r="E33" s="526">
        <v>52</v>
      </c>
      <c r="F33" s="527" t="s">
        <v>1730</v>
      </c>
      <c r="G33" s="616">
        <v>40</v>
      </c>
      <c r="H33" s="523">
        <v>814</v>
      </c>
      <c r="I33" s="616">
        <v>584</v>
      </c>
      <c r="J33" s="641">
        <f t="shared" si="3"/>
        <v>28.697788697788695</v>
      </c>
      <c r="K33" s="616">
        <f t="shared" si="4"/>
        <v>68.697788697788695</v>
      </c>
      <c r="L33" s="642"/>
      <c r="M33" s="616">
        <f t="shared" si="5"/>
        <v>96.176904176904173</v>
      </c>
      <c r="N33" s="616">
        <v>125</v>
      </c>
      <c r="Q33" s="523" t="s">
        <v>990</v>
      </c>
    </row>
    <row r="34" spans="1:18" s="523" customFormat="1" x14ac:dyDescent="0.35">
      <c r="A34" s="521"/>
      <c r="B34" s="521"/>
      <c r="C34" s="522" t="s">
        <v>1742</v>
      </c>
      <c r="E34" s="526">
        <v>54</v>
      </c>
      <c r="F34" s="527" t="s">
        <v>1730</v>
      </c>
      <c r="G34" s="616">
        <v>40</v>
      </c>
      <c r="H34" s="523">
        <v>814</v>
      </c>
      <c r="I34" s="616">
        <v>584</v>
      </c>
      <c r="J34" s="641">
        <f t="shared" si="3"/>
        <v>28.697788697788695</v>
      </c>
      <c r="K34" s="616">
        <f t="shared" si="4"/>
        <v>68.697788697788695</v>
      </c>
      <c r="L34" s="642"/>
      <c r="M34" s="616">
        <f t="shared" si="5"/>
        <v>96.176904176904173</v>
      </c>
      <c r="N34" s="616">
        <v>125</v>
      </c>
      <c r="Q34" s="523" t="s">
        <v>990</v>
      </c>
    </row>
    <row r="35" spans="1:18" s="523" customFormat="1" x14ac:dyDescent="0.35">
      <c r="A35" s="521"/>
      <c r="B35" s="521"/>
      <c r="C35" s="522" t="s">
        <v>1742</v>
      </c>
      <c r="E35" s="526">
        <v>56</v>
      </c>
      <c r="F35" s="527" t="s">
        <v>1730</v>
      </c>
      <c r="G35" s="616">
        <v>40</v>
      </c>
      <c r="H35" s="523">
        <v>814</v>
      </c>
      <c r="I35" s="616">
        <v>584</v>
      </c>
      <c r="J35" s="641">
        <f t="shared" si="3"/>
        <v>28.697788697788695</v>
      </c>
      <c r="K35" s="616">
        <f t="shared" si="4"/>
        <v>68.697788697788695</v>
      </c>
      <c r="L35" s="642"/>
      <c r="M35" s="616">
        <f t="shared" si="5"/>
        <v>96.176904176904173</v>
      </c>
      <c r="N35" s="616">
        <v>125</v>
      </c>
      <c r="Q35" s="523" t="s">
        <v>990</v>
      </c>
    </row>
    <row r="36" spans="1:18" s="523" customFormat="1" x14ac:dyDescent="0.35">
      <c r="A36" s="521"/>
      <c r="B36" s="521"/>
      <c r="C36" s="522" t="s">
        <v>1627</v>
      </c>
      <c r="E36" s="526" t="s">
        <v>407</v>
      </c>
      <c r="F36" s="527" t="s">
        <v>1731</v>
      </c>
      <c r="G36" s="616">
        <v>35</v>
      </c>
      <c r="H36" s="523">
        <v>1304</v>
      </c>
      <c r="I36" s="616">
        <v>580</v>
      </c>
      <c r="J36" s="641">
        <f t="shared" si="3"/>
        <v>15.567484662576687</v>
      </c>
      <c r="K36" s="616">
        <f t="shared" si="4"/>
        <v>50.567484662576689</v>
      </c>
      <c r="L36" s="642"/>
      <c r="M36" s="616">
        <f t="shared" si="5"/>
        <v>70.794478527607353</v>
      </c>
      <c r="N36" s="616">
        <v>120</v>
      </c>
      <c r="Q36" s="523" t="s">
        <v>990</v>
      </c>
    </row>
    <row r="37" spans="1:18" s="523" customFormat="1" x14ac:dyDescent="0.35">
      <c r="A37" s="521"/>
      <c r="B37" s="521"/>
      <c r="C37" s="522" t="s">
        <v>1627</v>
      </c>
      <c r="E37" s="526" t="s">
        <v>409</v>
      </c>
      <c r="F37" s="527" t="s">
        <v>1731</v>
      </c>
      <c r="G37" s="616">
        <v>35</v>
      </c>
      <c r="H37" s="523">
        <v>1304</v>
      </c>
      <c r="I37" s="616">
        <v>580</v>
      </c>
      <c r="J37" s="641">
        <f t="shared" si="3"/>
        <v>15.567484662576687</v>
      </c>
      <c r="K37" s="616">
        <f t="shared" si="4"/>
        <v>50.567484662576689</v>
      </c>
      <c r="L37" s="642"/>
      <c r="M37" s="616">
        <f t="shared" si="5"/>
        <v>70.794478527607353</v>
      </c>
      <c r="N37" s="616">
        <v>120</v>
      </c>
      <c r="Q37" s="523" t="s">
        <v>990</v>
      </c>
    </row>
    <row r="38" spans="1:18" s="523" customFormat="1" x14ac:dyDescent="0.35">
      <c r="A38" s="521"/>
      <c r="B38" s="521"/>
      <c r="C38" s="522" t="s">
        <v>1627</v>
      </c>
      <c r="E38" s="526" t="s">
        <v>407</v>
      </c>
      <c r="F38" s="527" t="s">
        <v>1733</v>
      </c>
      <c r="G38" s="616">
        <v>25</v>
      </c>
      <c r="H38" s="523">
        <v>1304</v>
      </c>
      <c r="I38" s="616">
        <v>580</v>
      </c>
      <c r="J38" s="641">
        <f t="shared" si="3"/>
        <v>11.11963190184049</v>
      </c>
      <c r="K38" s="616">
        <f t="shared" si="4"/>
        <v>36.119631901840492</v>
      </c>
      <c r="L38" s="642"/>
      <c r="M38" s="616">
        <f t="shared" si="5"/>
        <v>50.567484662576689</v>
      </c>
      <c r="N38" s="616">
        <v>100</v>
      </c>
      <c r="Q38" s="523" t="s">
        <v>990</v>
      </c>
    </row>
    <row r="39" spans="1:18" s="523" customFormat="1" x14ac:dyDescent="0.35">
      <c r="A39" s="521"/>
      <c r="B39" s="521"/>
      <c r="C39" s="522" t="s">
        <v>1627</v>
      </c>
      <c r="E39" s="526" t="s">
        <v>409</v>
      </c>
      <c r="F39" s="527" t="s">
        <v>1733</v>
      </c>
      <c r="G39" s="616">
        <v>25</v>
      </c>
      <c r="H39" s="523">
        <v>1304</v>
      </c>
      <c r="I39" s="616">
        <v>580</v>
      </c>
      <c r="J39" s="641">
        <f t="shared" si="3"/>
        <v>11.11963190184049</v>
      </c>
      <c r="K39" s="616">
        <f t="shared" si="4"/>
        <v>36.119631901840492</v>
      </c>
      <c r="L39" s="642"/>
      <c r="M39" s="616">
        <f t="shared" si="5"/>
        <v>50.567484662576689</v>
      </c>
      <c r="N39" s="616">
        <v>100</v>
      </c>
      <c r="Q39" s="523" t="s">
        <v>990</v>
      </c>
    </row>
    <row r="40" spans="1:18" s="523" customFormat="1" x14ac:dyDescent="0.35">
      <c r="A40" s="521"/>
      <c r="B40" s="521"/>
      <c r="C40" s="522" t="s">
        <v>1627</v>
      </c>
      <c r="E40" s="526" t="s">
        <v>410</v>
      </c>
      <c r="F40" s="527" t="s">
        <v>1733</v>
      </c>
      <c r="G40" s="616">
        <v>25</v>
      </c>
      <c r="H40" s="523">
        <v>1304</v>
      </c>
      <c r="I40" s="616">
        <v>580</v>
      </c>
      <c r="J40" s="641">
        <f t="shared" si="3"/>
        <v>11.11963190184049</v>
      </c>
      <c r="K40" s="616">
        <f t="shared" si="4"/>
        <v>36.119631901840492</v>
      </c>
      <c r="L40" s="642"/>
      <c r="M40" s="616">
        <f t="shared" si="5"/>
        <v>50.567484662576689</v>
      </c>
      <c r="N40" s="616">
        <v>100</v>
      </c>
      <c r="Q40" s="523" t="s">
        <v>990</v>
      </c>
    </row>
    <row r="41" spans="1:18" s="523" customFormat="1" x14ac:dyDescent="0.35">
      <c r="A41" s="521"/>
      <c r="B41" s="521"/>
      <c r="C41" s="522" t="s">
        <v>1627</v>
      </c>
      <c r="E41" s="526" t="s">
        <v>760</v>
      </c>
      <c r="F41" s="527" t="s">
        <v>1733</v>
      </c>
      <c r="G41" s="616">
        <v>25</v>
      </c>
      <c r="H41" s="523">
        <v>1304</v>
      </c>
      <c r="I41" s="616">
        <v>580</v>
      </c>
      <c r="J41" s="641">
        <f t="shared" si="3"/>
        <v>11.11963190184049</v>
      </c>
      <c r="K41" s="616">
        <f t="shared" si="4"/>
        <v>36.119631901840492</v>
      </c>
      <c r="L41" s="642"/>
      <c r="M41" s="616">
        <f t="shared" si="5"/>
        <v>50.567484662576689</v>
      </c>
      <c r="N41" s="616">
        <v>100</v>
      </c>
      <c r="Q41" s="523" t="s">
        <v>990</v>
      </c>
    </row>
    <row r="42" spans="1:18" s="523" customFormat="1" x14ac:dyDescent="0.35">
      <c r="A42" s="521"/>
      <c r="B42" s="521"/>
      <c r="C42" s="522" t="s">
        <v>1627</v>
      </c>
      <c r="E42" s="526" t="s">
        <v>597</v>
      </c>
      <c r="F42" s="527" t="s">
        <v>1733</v>
      </c>
      <c r="G42" s="616">
        <v>25</v>
      </c>
      <c r="H42" s="523">
        <v>1304</v>
      </c>
      <c r="I42" s="616">
        <v>580</v>
      </c>
      <c r="J42" s="641">
        <f t="shared" si="3"/>
        <v>11.11963190184049</v>
      </c>
      <c r="K42" s="616">
        <f t="shared" si="4"/>
        <v>36.119631901840492</v>
      </c>
      <c r="L42" s="642"/>
      <c r="M42" s="616">
        <f t="shared" si="5"/>
        <v>50.567484662576689</v>
      </c>
      <c r="N42" s="616">
        <v>100</v>
      </c>
      <c r="Q42" s="523" t="s">
        <v>990</v>
      </c>
    </row>
    <row r="43" spans="1:18" s="523" customFormat="1" x14ac:dyDescent="0.35">
      <c r="A43" s="521"/>
      <c r="B43" s="521"/>
      <c r="C43" s="522" t="s">
        <v>1627</v>
      </c>
      <c r="E43" s="526" t="s">
        <v>407</v>
      </c>
      <c r="F43" s="527" t="s">
        <v>1734</v>
      </c>
      <c r="G43" s="616">
        <v>25</v>
      </c>
      <c r="H43" s="523">
        <v>1304</v>
      </c>
      <c r="I43" s="616">
        <v>580</v>
      </c>
      <c r="J43" s="641">
        <f t="shared" si="3"/>
        <v>11.11963190184049</v>
      </c>
      <c r="K43" s="616">
        <f t="shared" si="4"/>
        <v>36.119631901840492</v>
      </c>
      <c r="L43" s="642"/>
      <c r="M43" s="616">
        <f t="shared" si="5"/>
        <v>50.567484662576689</v>
      </c>
      <c r="N43" s="616">
        <v>100</v>
      </c>
      <c r="Q43" s="523" t="s">
        <v>1797</v>
      </c>
      <c r="R43" s="643">
        <v>45827</v>
      </c>
    </row>
    <row r="44" spans="1:18" s="523" customFormat="1" x14ac:dyDescent="0.35">
      <c r="A44" s="521"/>
      <c r="B44" s="521"/>
      <c r="C44" s="522" t="s">
        <v>1627</v>
      </c>
      <c r="E44" s="526" t="s">
        <v>409</v>
      </c>
      <c r="F44" s="527" t="s">
        <v>1734</v>
      </c>
      <c r="G44" s="616">
        <v>25</v>
      </c>
      <c r="H44" s="523">
        <v>1304</v>
      </c>
      <c r="I44" s="616">
        <v>580</v>
      </c>
      <c r="J44" s="641">
        <f t="shared" si="3"/>
        <v>11.11963190184049</v>
      </c>
      <c r="K44" s="616">
        <f t="shared" si="4"/>
        <v>36.119631901840492</v>
      </c>
      <c r="L44" s="642"/>
      <c r="M44" s="616">
        <f t="shared" si="5"/>
        <v>50.567484662576689</v>
      </c>
      <c r="N44" s="616">
        <v>100</v>
      </c>
      <c r="Q44" s="523" t="s">
        <v>990</v>
      </c>
    </row>
    <row r="45" spans="1:18" s="523" customFormat="1" x14ac:dyDescent="0.35">
      <c r="A45" s="521"/>
      <c r="B45" s="521"/>
      <c r="C45" s="522" t="s">
        <v>1627</v>
      </c>
      <c r="E45" s="526" t="s">
        <v>410</v>
      </c>
      <c r="F45" s="527" t="s">
        <v>1734</v>
      </c>
      <c r="G45" s="616">
        <v>25</v>
      </c>
      <c r="H45" s="523">
        <v>1304</v>
      </c>
      <c r="I45" s="616">
        <v>580</v>
      </c>
      <c r="J45" s="641">
        <f t="shared" si="3"/>
        <v>11.11963190184049</v>
      </c>
      <c r="K45" s="616">
        <f t="shared" si="4"/>
        <v>36.119631901840492</v>
      </c>
      <c r="L45" s="642"/>
      <c r="M45" s="616">
        <f t="shared" si="5"/>
        <v>50.567484662576689</v>
      </c>
      <c r="N45" s="616">
        <v>100</v>
      </c>
      <c r="Q45" s="523" t="s">
        <v>990</v>
      </c>
    </row>
    <row r="46" spans="1:18" s="523" customFormat="1" x14ac:dyDescent="0.35">
      <c r="A46" s="521"/>
      <c r="B46" s="521"/>
      <c r="C46" s="522" t="s">
        <v>1627</v>
      </c>
      <c r="E46" s="526" t="s">
        <v>760</v>
      </c>
      <c r="F46" s="527" t="s">
        <v>1734</v>
      </c>
      <c r="G46" s="616">
        <v>25</v>
      </c>
      <c r="H46" s="523">
        <v>1304</v>
      </c>
      <c r="I46" s="616">
        <v>580</v>
      </c>
      <c r="J46" s="641">
        <f t="shared" si="3"/>
        <v>11.11963190184049</v>
      </c>
      <c r="K46" s="616">
        <f t="shared" si="4"/>
        <v>36.119631901840492</v>
      </c>
      <c r="L46" s="642"/>
      <c r="M46" s="616">
        <f t="shared" si="5"/>
        <v>50.567484662576689</v>
      </c>
      <c r="N46" s="616">
        <v>100</v>
      </c>
      <c r="Q46" s="523" t="s">
        <v>990</v>
      </c>
    </row>
    <row r="47" spans="1:18" s="523" customFormat="1" x14ac:dyDescent="0.35">
      <c r="A47" s="521"/>
      <c r="B47" s="521"/>
      <c r="C47" s="522" t="s">
        <v>1627</v>
      </c>
      <c r="E47" s="526" t="s">
        <v>597</v>
      </c>
      <c r="F47" s="527" t="s">
        <v>1734</v>
      </c>
      <c r="G47" s="616">
        <v>25</v>
      </c>
      <c r="H47" s="523">
        <v>1304</v>
      </c>
      <c r="I47" s="616">
        <v>580</v>
      </c>
      <c r="J47" s="641">
        <f t="shared" si="3"/>
        <v>11.11963190184049</v>
      </c>
      <c r="K47" s="616">
        <f t="shared" si="4"/>
        <v>36.119631901840492</v>
      </c>
      <c r="L47" s="642"/>
      <c r="M47" s="616">
        <f t="shared" si="5"/>
        <v>50.567484662576689</v>
      </c>
      <c r="N47" s="616">
        <v>100</v>
      </c>
      <c r="Q47" s="523" t="s">
        <v>990</v>
      </c>
    </row>
    <row r="48" spans="1:18" s="523" customFormat="1" x14ac:dyDescent="0.35">
      <c r="A48" s="521"/>
      <c r="B48" s="521"/>
      <c r="C48" s="522" t="s">
        <v>1627</v>
      </c>
      <c r="E48" s="526" t="s">
        <v>598</v>
      </c>
      <c r="F48" s="527" t="s">
        <v>1734</v>
      </c>
      <c r="G48" s="616">
        <v>25</v>
      </c>
      <c r="H48" s="523">
        <v>1304</v>
      </c>
      <c r="I48" s="616">
        <v>580</v>
      </c>
      <c r="J48" s="641">
        <f t="shared" si="3"/>
        <v>11.11963190184049</v>
      </c>
      <c r="K48" s="616">
        <f t="shared" si="4"/>
        <v>36.119631901840492</v>
      </c>
      <c r="L48" s="642"/>
      <c r="M48" s="616">
        <f t="shared" si="5"/>
        <v>50.567484662576689</v>
      </c>
      <c r="N48" s="616">
        <v>100</v>
      </c>
      <c r="Q48" s="523" t="s">
        <v>990</v>
      </c>
    </row>
    <row r="49" spans="1:18" s="523" customFormat="1" x14ac:dyDescent="0.35">
      <c r="A49" s="521"/>
      <c r="B49" s="521"/>
      <c r="C49" s="522" t="s">
        <v>1065</v>
      </c>
      <c r="E49" s="526" t="s">
        <v>407</v>
      </c>
      <c r="F49" s="527" t="s">
        <v>1735</v>
      </c>
      <c r="G49" s="616">
        <v>22</v>
      </c>
      <c r="H49" s="523">
        <v>1304</v>
      </c>
      <c r="I49" s="616">
        <v>580</v>
      </c>
      <c r="J49" s="641">
        <f t="shared" si="3"/>
        <v>9.7852760736196309</v>
      </c>
      <c r="K49" s="616">
        <f t="shared" si="4"/>
        <v>31.785276073619631</v>
      </c>
      <c r="L49" s="642"/>
      <c r="M49" s="616">
        <f t="shared" si="5"/>
        <v>44.499386503067484</v>
      </c>
      <c r="N49" s="616">
        <v>75</v>
      </c>
      <c r="Q49" s="523" t="s">
        <v>990</v>
      </c>
    </row>
    <row r="50" spans="1:18" x14ac:dyDescent="0.35">
      <c r="A50" s="3"/>
      <c r="B50" s="3"/>
      <c r="C50" s="233" t="s">
        <v>1065</v>
      </c>
      <c r="E50" s="366" t="s">
        <v>410</v>
      </c>
      <c r="F50" s="371" t="s">
        <v>1735</v>
      </c>
      <c r="G50" s="176">
        <v>22</v>
      </c>
      <c r="H50" s="12">
        <v>1304</v>
      </c>
      <c r="I50" s="176">
        <v>580</v>
      </c>
      <c r="J50" s="410">
        <f t="shared" si="3"/>
        <v>9.7852760736196309</v>
      </c>
      <c r="K50" s="176">
        <f t="shared" si="4"/>
        <v>31.785276073619631</v>
      </c>
      <c r="L50" s="411"/>
      <c r="M50" s="176">
        <f t="shared" si="5"/>
        <v>44.499386503067484</v>
      </c>
      <c r="N50" s="176">
        <v>75</v>
      </c>
      <c r="Q50" t="s">
        <v>3005</v>
      </c>
      <c r="R50" s="6">
        <v>46112</v>
      </c>
    </row>
    <row r="51" spans="1:18" s="523" customFormat="1" x14ac:dyDescent="0.35">
      <c r="A51" s="521"/>
      <c r="B51" s="521"/>
      <c r="C51" s="522" t="s">
        <v>1065</v>
      </c>
      <c r="E51" s="526" t="s">
        <v>760</v>
      </c>
      <c r="F51" s="527" t="s">
        <v>1735</v>
      </c>
      <c r="G51" s="616">
        <v>22</v>
      </c>
      <c r="H51" s="523">
        <v>1304</v>
      </c>
      <c r="I51" s="616">
        <v>580</v>
      </c>
      <c r="J51" s="641">
        <f t="shared" si="3"/>
        <v>9.7852760736196309</v>
      </c>
      <c r="K51" s="616">
        <f t="shared" si="4"/>
        <v>31.785276073619631</v>
      </c>
      <c r="L51" s="642"/>
      <c r="M51" s="616">
        <f t="shared" si="5"/>
        <v>44.499386503067484</v>
      </c>
      <c r="N51" s="616">
        <v>75</v>
      </c>
      <c r="Q51" s="523" t="s">
        <v>990</v>
      </c>
    </row>
    <row r="52" spans="1:18" s="523" customFormat="1" x14ac:dyDescent="0.35">
      <c r="A52" s="521"/>
      <c r="B52" s="521"/>
      <c r="C52" s="522" t="s">
        <v>1065</v>
      </c>
      <c r="E52" s="526" t="s">
        <v>597</v>
      </c>
      <c r="F52" s="527" t="s">
        <v>1735</v>
      </c>
      <c r="G52" s="616">
        <v>22</v>
      </c>
      <c r="H52" s="523">
        <v>1304</v>
      </c>
      <c r="I52" s="616">
        <v>580</v>
      </c>
      <c r="J52" s="641">
        <f t="shared" si="3"/>
        <v>9.7852760736196309</v>
      </c>
      <c r="K52" s="616">
        <f t="shared" si="4"/>
        <v>31.785276073619631</v>
      </c>
      <c r="L52" s="642"/>
      <c r="M52" s="616">
        <f t="shared" si="5"/>
        <v>44.499386503067484</v>
      </c>
      <c r="N52" s="616">
        <v>75</v>
      </c>
      <c r="Q52" s="523" t="s">
        <v>990</v>
      </c>
    </row>
    <row r="53" spans="1:18" s="523" customFormat="1" x14ac:dyDescent="0.35">
      <c r="A53" s="521"/>
      <c r="B53" s="521"/>
      <c r="C53" s="522" t="s">
        <v>1065</v>
      </c>
      <c r="E53" s="526">
        <v>48</v>
      </c>
      <c r="F53" s="527" t="s">
        <v>1736</v>
      </c>
      <c r="G53" s="616">
        <v>40</v>
      </c>
      <c r="H53" s="523">
        <v>1304</v>
      </c>
      <c r="I53" s="616">
        <v>580</v>
      </c>
      <c r="J53" s="641">
        <f t="shared" si="3"/>
        <v>17.791411042944784</v>
      </c>
      <c r="K53" s="616">
        <f t="shared" si="4"/>
        <v>57.791411042944787</v>
      </c>
      <c r="L53" s="642"/>
      <c r="M53" s="616">
        <f t="shared" si="5"/>
        <v>80.907975460122699</v>
      </c>
      <c r="N53" s="616">
        <v>120</v>
      </c>
      <c r="Q53" s="523" t="s">
        <v>990</v>
      </c>
    </row>
    <row r="54" spans="1:18" s="523" customFormat="1" x14ac:dyDescent="0.35">
      <c r="A54" s="521"/>
      <c r="B54" s="521"/>
      <c r="C54" s="522" t="s">
        <v>1065</v>
      </c>
      <c r="E54" s="526">
        <v>50</v>
      </c>
      <c r="F54" s="527" t="s">
        <v>1736</v>
      </c>
      <c r="G54" s="616">
        <v>40</v>
      </c>
      <c r="H54" s="523">
        <v>1304</v>
      </c>
      <c r="I54" s="616">
        <v>580</v>
      </c>
      <c r="J54" s="641">
        <f t="shared" si="3"/>
        <v>17.791411042944784</v>
      </c>
      <c r="K54" s="616">
        <f t="shared" si="4"/>
        <v>57.791411042944787</v>
      </c>
      <c r="L54" s="642"/>
      <c r="M54" s="616">
        <f>+K54*1.4</f>
        <v>80.907975460122699</v>
      </c>
      <c r="N54" s="616">
        <v>120</v>
      </c>
      <c r="Q54" s="523" t="s">
        <v>990</v>
      </c>
    </row>
    <row r="55" spans="1:18" s="523" customFormat="1" x14ac:dyDescent="0.35">
      <c r="A55" s="521"/>
      <c r="B55" s="521"/>
      <c r="C55" s="522" t="s">
        <v>1065</v>
      </c>
      <c r="E55" s="526">
        <v>50</v>
      </c>
      <c r="F55" s="527" t="s">
        <v>1737</v>
      </c>
      <c r="G55" s="616">
        <v>40</v>
      </c>
      <c r="H55" s="523">
        <v>1304</v>
      </c>
      <c r="I55" s="616">
        <v>580</v>
      </c>
      <c r="J55" s="641">
        <f>+G55/H55*I55</f>
        <v>17.791411042944784</v>
      </c>
      <c r="K55" s="616">
        <f>+G55+J55</f>
        <v>57.791411042944787</v>
      </c>
      <c r="L55" s="642"/>
      <c r="M55" s="616">
        <f>+K55*1.4</f>
        <v>80.907975460122699</v>
      </c>
      <c r="N55" s="616">
        <v>120</v>
      </c>
      <c r="Q55" s="523" t="s">
        <v>990</v>
      </c>
      <c r="R55" s="643"/>
    </row>
    <row r="56" spans="1:18" x14ac:dyDescent="0.35">
      <c r="A56" s="3"/>
      <c r="B56" s="3"/>
      <c r="C56" s="233"/>
      <c r="E56" s="366"/>
      <c r="F56" s="256" t="s">
        <v>2905</v>
      </c>
      <c r="G56" s="173"/>
      <c r="I56" s="173"/>
      <c r="J56" s="402"/>
      <c r="K56" s="173"/>
      <c r="L56" s="174"/>
      <c r="M56" s="173"/>
      <c r="N56" s="173"/>
      <c r="R56" s="6"/>
    </row>
    <row r="57" spans="1:18" hidden="1" x14ac:dyDescent="0.35">
      <c r="A57" s="3"/>
      <c r="B57" s="3"/>
      <c r="C57" s="233" t="s">
        <v>561</v>
      </c>
      <c r="D57" s="233" t="s">
        <v>561</v>
      </c>
      <c r="E57" s="366" t="s">
        <v>405</v>
      </c>
      <c r="F57" s="371" t="s">
        <v>2898</v>
      </c>
      <c r="G57" s="371">
        <v>15</v>
      </c>
      <c r="H57" s="176">
        <v>15</v>
      </c>
      <c r="I57" s="12">
        <v>680</v>
      </c>
      <c r="J57" s="176">
        <v>160</v>
      </c>
      <c r="K57" s="176">
        <f t="shared" ref="K57:K101" si="6">+H57/I57*J57</f>
        <v>3.5294117647058827</v>
      </c>
      <c r="L57" s="176">
        <f t="shared" ref="L57:L101" si="7">+H57+K57</f>
        <v>18.529411764705884</v>
      </c>
      <c r="M57" s="12"/>
      <c r="N57" s="12"/>
      <c r="O57" s="176">
        <f t="shared" ref="O57:O101" si="8">+L57*1.5</f>
        <v>27.794117647058826</v>
      </c>
      <c r="P57" s="176">
        <v>60</v>
      </c>
      <c r="Q57" t="s">
        <v>3174</v>
      </c>
      <c r="R57" s="6">
        <v>46141</v>
      </c>
    </row>
    <row r="58" spans="1:18" x14ac:dyDescent="0.35">
      <c r="A58" s="3"/>
      <c r="B58" s="3"/>
      <c r="C58" s="233" t="s">
        <v>561</v>
      </c>
      <c r="D58" s="233" t="s">
        <v>561</v>
      </c>
      <c r="E58" s="366" t="s">
        <v>405</v>
      </c>
      <c r="F58" s="245" t="s">
        <v>2898</v>
      </c>
      <c r="G58" s="245"/>
      <c r="H58" s="173">
        <v>15</v>
      </c>
      <c r="I58">
        <v>680</v>
      </c>
      <c r="J58" s="173">
        <v>160</v>
      </c>
      <c r="K58" s="173">
        <f t="shared" si="6"/>
        <v>3.5294117647058827</v>
      </c>
      <c r="L58" s="173">
        <f t="shared" si="7"/>
        <v>18.529411764705884</v>
      </c>
      <c r="O58" s="173">
        <f t="shared" si="8"/>
        <v>27.794117647058826</v>
      </c>
      <c r="P58" s="173">
        <v>60</v>
      </c>
    </row>
    <row r="59" spans="1:18" x14ac:dyDescent="0.35">
      <c r="A59" s="3"/>
      <c r="B59" s="3"/>
      <c r="C59" s="233" t="s">
        <v>561</v>
      </c>
      <c r="D59" s="233" t="s">
        <v>561</v>
      </c>
      <c r="E59" s="366" t="s">
        <v>405</v>
      </c>
      <c r="F59" s="245" t="s">
        <v>2898</v>
      </c>
      <c r="G59" s="245"/>
      <c r="H59" s="173">
        <v>15</v>
      </c>
      <c r="I59">
        <v>680</v>
      </c>
      <c r="J59" s="173">
        <v>160</v>
      </c>
      <c r="K59" s="173">
        <f t="shared" si="6"/>
        <v>3.5294117647058827</v>
      </c>
      <c r="L59" s="173">
        <f t="shared" si="7"/>
        <v>18.529411764705884</v>
      </c>
      <c r="O59" s="173">
        <f t="shared" si="8"/>
        <v>27.794117647058826</v>
      </c>
      <c r="P59" s="173">
        <v>60</v>
      </c>
    </row>
    <row r="60" spans="1:18" x14ac:dyDescent="0.35">
      <c r="A60" s="3"/>
      <c r="B60" s="3"/>
      <c r="C60" s="233" t="s">
        <v>561</v>
      </c>
      <c r="D60" s="233" t="s">
        <v>561</v>
      </c>
      <c r="E60" s="366" t="s">
        <v>589</v>
      </c>
      <c r="F60" s="245" t="s">
        <v>2898</v>
      </c>
      <c r="G60" s="245"/>
      <c r="H60" s="173">
        <v>15</v>
      </c>
      <c r="I60">
        <v>680</v>
      </c>
      <c r="J60" s="173">
        <v>160</v>
      </c>
      <c r="K60" s="173">
        <f t="shared" si="6"/>
        <v>3.5294117647058827</v>
      </c>
      <c r="L60" s="173">
        <f t="shared" si="7"/>
        <v>18.529411764705884</v>
      </c>
      <c r="O60" s="173">
        <f t="shared" si="8"/>
        <v>27.794117647058826</v>
      </c>
      <c r="P60" s="173">
        <v>60</v>
      </c>
    </row>
    <row r="61" spans="1:18" x14ac:dyDescent="0.35">
      <c r="A61" s="3"/>
      <c r="B61" s="3"/>
      <c r="C61" s="233" t="s">
        <v>561</v>
      </c>
      <c r="D61" s="233" t="s">
        <v>561</v>
      </c>
      <c r="E61" s="366" t="s">
        <v>589</v>
      </c>
      <c r="F61" s="245" t="s">
        <v>2898</v>
      </c>
      <c r="G61" s="245"/>
      <c r="H61" s="173">
        <v>15</v>
      </c>
      <c r="I61">
        <v>680</v>
      </c>
      <c r="J61" s="173">
        <v>160</v>
      </c>
      <c r="K61" s="173">
        <f t="shared" si="6"/>
        <v>3.5294117647058827</v>
      </c>
      <c r="L61" s="173">
        <f t="shared" si="7"/>
        <v>18.529411764705884</v>
      </c>
      <c r="O61" s="173">
        <f t="shared" si="8"/>
        <v>27.794117647058826</v>
      </c>
      <c r="P61" s="173">
        <v>60</v>
      </c>
    </row>
    <row r="62" spans="1:18" x14ac:dyDescent="0.35">
      <c r="A62" s="3"/>
      <c r="B62" s="3"/>
      <c r="C62" s="233" t="s">
        <v>561</v>
      </c>
      <c r="D62" s="233" t="s">
        <v>561</v>
      </c>
      <c r="E62" s="366" t="s">
        <v>589</v>
      </c>
      <c r="F62" s="245" t="s">
        <v>2898</v>
      </c>
      <c r="G62" s="245"/>
      <c r="H62" s="173">
        <v>15</v>
      </c>
      <c r="I62">
        <v>680</v>
      </c>
      <c r="J62" s="173">
        <v>160</v>
      </c>
      <c r="K62" s="173">
        <f t="shared" si="6"/>
        <v>3.5294117647058827</v>
      </c>
      <c r="L62" s="173">
        <f t="shared" si="7"/>
        <v>18.529411764705884</v>
      </c>
      <c r="O62" s="173">
        <f t="shared" si="8"/>
        <v>27.794117647058826</v>
      </c>
      <c r="P62" s="173">
        <v>60</v>
      </c>
    </row>
    <row r="63" spans="1:18" hidden="1" x14ac:dyDescent="0.35">
      <c r="A63" s="3"/>
      <c r="B63" s="3"/>
      <c r="C63" s="233" t="s">
        <v>561</v>
      </c>
      <c r="D63" s="233" t="s">
        <v>561</v>
      </c>
      <c r="E63" s="366" t="s">
        <v>628</v>
      </c>
      <c r="F63" s="371" t="s">
        <v>2898</v>
      </c>
      <c r="G63" s="371"/>
      <c r="H63" s="176">
        <v>15</v>
      </c>
      <c r="I63" s="12">
        <v>680</v>
      </c>
      <c r="J63" s="176">
        <v>160</v>
      </c>
      <c r="K63" s="176">
        <f t="shared" si="6"/>
        <v>3.5294117647058827</v>
      </c>
      <c r="L63" s="176">
        <f t="shared" si="7"/>
        <v>18.529411764705884</v>
      </c>
      <c r="M63" s="12"/>
      <c r="N63" s="12"/>
      <c r="O63" s="176">
        <f t="shared" si="8"/>
        <v>27.794117647058826</v>
      </c>
      <c r="P63" s="176">
        <v>60</v>
      </c>
      <c r="Q63" t="s">
        <v>12</v>
      </c>
      <c r="R63" s="6">
        <v>46139</v>
      </c>
    </row>
    <row r="64" spans="1:18" x14ac:dyDescent="0.35">
      <c r="A64" s="3"/>
      <c r="B64" s="3"/>
      <c r="C64" s="233" t="s">
        <v>561</v>
      </c>
      <c r="D64" s="233" t="s">
        <v>561</v>
      </c>
      <c r="E64" s="366" t="s">
        <v>628</v>
      </c>
      <c r="F64" s="245" t="s">
        <v>2898</v>
      </c>
      <c r="G64" s="245"/>
      <c r="H64" s="173">
        <v>15</v>
      </c>
      <c r="I64">
        <v>680</v>
      </c>
      <c r="J64" s="173">
        <v>160</v>
      </c>
      <c r="K64" s="173">
        <f t="shared" si="6"/>
        <v>3.5294117647058827</v>
      </c>
      <c r="L64" s="173">
        <f t="shared" si="7"/>
        <v>18.529411764705884</v>
      </c>
      <c r="O64" s="173">
        <f t="shared" si="8"/>
        <v>27.794117647058826</v>
      </c>
      <c r="P64" s="173">
        <v>60</v>
      </c>
    </row>
    <row r="65" spans="1:18" x14ac:dyDescent="0.35">
      <c r="A65" s="3"/>
      <c r="B65" s="3"/>
      <c r="C65" s="233" t="s">
        <v>561</v>
      </c>
      <c r="D65" s="233" t="s">
        <v>561</v>
      </c>
      <c r="E65" s="366" t="s">
        <v>628</v>
      </c>
      <c r="F65" s="245" t="s">
        <v>2898</v>
      </c>
      <c r="G65" s="245"/>
      <c r="H65" s="173">
        <v>15</v>
      </c>
      <c r="I65">
        <v>680</v>
      </c>
      <c r="J65" s="173">
        <v>160</v>
      </c>
      <c r="K65" s="173">
        <f t="shared" si="6"/>
        <v>3.5294117647058827</v>
      </c>
      <c r="L65" s="173">
        <f t="shared" si="7"/>
        <v>18.529411764705884</v>
      </c>
      <c r="O65" s="173">
        <f t="shared" si="8"/>
        <v>27.794117647058826</v>
      </c>
      <c r="P65" s="173">
        <v>60</v>
      </c>
    </row>
    <row r="66" spans="1:18" hidden="1" x14ac:dyDescent="0.35">
      <c r="A66" s="3"/>
      <c r="B66" s="3"/>
      <c r="C66" s="233" t="s">
        <v>561</v>
      </c>
      <c r="D66" s="233" t="s">
        <v>561</v>
      </c>
      <c r="E66" s="366" t="s">
        <v>590</v>
      </c>
      <c r="F66" s="371" t="s">
        <v>2898</v>
      </c>
      <c r="G66" s="371"/>
      <c r="H66" s="176">
        <v>15</v>
      </c>
      <c r="I66" s="12">
        <v>680</v>
      </c>
      <c r="J66" s="176">
        <v>160</v>
      </c>
      <c r="K66" s="176">
        <f t="shared" si="6"/>
        <v>3.5294117647058827</v>
      </c>
      <c r="L66" s="176">
        <f t="shared" si="7"/>
        <v>18.529411764705884</v>
      </c>
      <c r="M66" s="12"/>
      <c r="N66" s="12"/>
      <c r="O66" s="176">
        <f t="shared" si="8"/>
        <v>27.794117647058826</v>
      </c>
      <c r="P66" s="176">
        <v>60</v>
      </c>
      <c r="Q66" t="s">
        <v>12</v>
      </c>
      <c r="R66" s="6">
        <v>46119</v>
      </c>
    </row>
    <row r="67" spans="1:18" x14ac:dyDescent="0.35">
      <c r="A67" s="3"/>
      <c r="B67" s="3"/>
      <c r="C67" s="233" t="s">
        <v>561</v>
      </c>
      <c r="D67" s="233" t="s">
        <v>561</v>
      </c>
      <c r="E67" s="366" t="s">
        <v>590</v>
      </c>
      <c r="F67" s="245" t="s">
        <v>2898</v>
      </c>
      <c r="G67" s="245"/>
      <c r="H67" s="173">
        <v>15</v>
      </c>
      <c r="I67">
        <v>680</v>
      </c>
      <c r="J67" s="173">
        <v>160</v>
      </c>
      <c r="K67" s="173">
        <f t="shared" si="6"/>
        <v>3.5294117647058827</v>
      </c>
      <c r="L67" s="173">
        <f t="shared" si="7"/>
        <v>18.529411764705884</v>
      </c>
      <c r="O67" s="173">
        <f t="shared" si="8"/>
        <v>27.794117647058826</v>
      </c>
      <c r="P67" s="173">
        <v>60</v>
      </c>
    </row>
    <row r="68" spans="1:18" x14ac:dyDescent="0.35">
      <c r="A68" s="3"/>
      <c r="B68" s="3"/>
      <c r="C68" s="233" t="s">
        <v>561</v>
      </c>
      <c r="D68" s="233" t="s">
        <v>561</v>
      </c>
      <c r="E68" s="366" t="s">
        <v>590</v>
      </c>
      <c r="F68" s="245" t="s">
        <v>2898</v>
      </c>
      <c r="G68" s="245"/>
      <c r="H68" s="173">
        <v>15</v>
      </c>
      <c r="I68">
        <v>680</v>
      </c>
      <c r="J68" s="173">
        <v>160</v>
      </c>
      <c r="K68" s="173">
        <f t="shared" si="6"/>
        <v>3.5294117647058827</v>
      </c>
      <c r="L68" s="173">
        <f t="shared" si="7"/>
        <v>18.529411764705884</v>
      </c>
      <c r="O68" s="173">
        <f t="shared" si="8"/>
        <v>27.794117647058826</v>
      </c>
      <c r="P68" s="173">
        <v>60</v>
      </c>
    </row>
    <row r="69" spans="1:18" x14ac:dyDescent="0.35">
      <c r="A69" s="3"/>
      <c r="B69" s="3"/>
      <c r="C69" s="233" t="s">
        <v>561</v>
      </c>
      <c r="D69" s="233" t="s">
        <v>561</v>
      </c>
      <c r="E69" s="366" t="s">
        <v>2897</v>
      </c>
      <c r="F69" s="245" t="s">
        <v>2898</v>
      </c>
      <c r="G69" s="245"/>
      <c r="H69" s="173">
        <v>15</v>
      </c>
      <c r="I69">
        <v>680</v>
      </c>
      <c r="J69" s="173">
        <v>160</v>
      </c>
      <c r="K69" s="173">
        <f t="shared" si="6"/>
        <v>3.5294117647058827</v>
      </c>
      <c r="L69" s="173">
        <f t="shared" si="7"/>
        <v>18.529411764705884</v>
      </c>
      <c r="O69" s="173">
        <f t="shared" si="8"/>
        <v>27.794117647058826</v>
      </c>
      <c r="P69" s="173">
        <v>60</v>
      </c>
    </row>
    <row r="70" spans="1:18" x14ac:dyDescent="0.35">
      <c r="A70" s="3"/>
      <c r="B70" s="3"/>
      <c r="C70" s="233" t="s">
        <v>561</v>
      </c>
      <c r="D70" s="233" t="s">
        <v>561</v>
      </c>
      <c r="E70" s="366" t="s">
        <v>2897</v>
      </c>
      <c r="F70" s="245" t="s">
        <v>2898</v>
      </c>
      <c r="G70" s="245"/>
      <c r="H70" s="173">
        <v>15</v>
      </c>
      <c r="I70">
        <v>680</v>
      </c>
      <c r="J70" s="173">
        <v>160</v>
      </c>
      <c r="K70" s="173">
        <f t="shared" si="6"/>
        <v>3.5294117647058827</v>
      </c>
      <c r="L70" s="173">
        <f t="shared" si="7"/>
        <v>18.529411764705884</v>
      </c>
      <c r="O70" s="173">
        <f t="shared" si="8"/>
        <v>27.794117647058826</v>
      </c>
      <c r="P70" s="173">
        <v>60</v>
      </c>
    </row>
    <row r="71" spans="1:18" x14ac:dyDescent="0.35">
      <c r="A71" s="3"/>
      <c r="B71" s="3"/>
      <c r="C71" s="233" t="s">
        <v>561</v>
      </c>
      <c r="D71" s="233" t="s">
        <v>561</v>
      </c>
      <c r="E71" s="366" t="s">
        <v>2897</v>
      </c>
      <c r="F71" s="245" t="s">
        <v>2898</v>
      </c>
      <c r="G71" s="245"/>
      <c r="H71" s="173">
        <v>15</v>
      </c>
      <c r="I71">
        <v>680</v>
      </c>
      <c r="J71" s="173">
        <v>160</v>
      </c>
      <c r="K71" s="173">
        <f t="shared" si="6"/>
        <v>3.5294117647058827</v>
      </c>
      <c r="L71" s="173">
        <f t="shared" si="7"/>
        <v>18.529411764705884</v>
      </c>
      <c r="O71" s="173">
        <f t="shared" si="8"/>
        <v>27.794117647058826</v>
      </c>
      <c r="P71" s="173">
        <v>60</v>
      </c>
    </row>
    <row r="72" spans="1:18" hidden="1" x14ac:dyDescent="0.35">
      <c r="A72" s="3"/>
      <c r="B72" s="3"/>
      <c r="C72" s="233" t="s">
        <v>561</v>
      </c>
      <c r="D72" s="233" t="s">
        <v>561</v>
      </c>
      <c r="E72" s="366" t="s">
        <v>405</v>
      </c>
      <c r="F72" s="371" t="s">
        <v>2899</v>
      </c>
      <c r="G72" s="371"/>
      <c r="H72" s="176">
        <v>11</v>
      </c>
      <c r="I72" s="12">
        <v>680</v>
      </c>
      <c r="J72" s="176">
        <v>160</v>
      </c>
      <c r="K72" s="176">
        <f t="shared" si="6"/>
        <v>2.5882352941176472</v>
      </c>
      <c r="L72" s="176">
        <f t="shared" si="7"/>
        <v>13.588235294117647</v>
      </c>
      <c r="M72" s="12"/>
      <c r="N72" s="12"/>
      <c r="O72" s="176">
        <f t="shared" si="8"/>
        <v>20.382352941176471</v>
      </c>
      <c r="P72" s="176">
        <v>50</v>
      </c>
      <c r="Q72" t="s">
        <v>12</v>
      </c>
      <c r="R72" s="6">
        <v>46113</v>
      </c>
    </row>
    <row r="73" spans="1:18" x14ac:dyDescent="0.35">
      <c r="A73" s="3"/>
      <c r="B73" s="3"/>
      <c r="C73" s="233" t="s">
        <v>561</v>
      </c>
      <c r="D73" s="233" t="s">
        <v>561</v>
      </c>
      <c r="E73" s="366" t="s">
        <v>405</v>
      </c>
      <c r="F73" s="245" t="s">
        <v>2899</v>
      </c>
      <c r="G73" s="245"/>
      <c r="H73" s="173">
        <v>11</v>
      </c>
      <c r="I73">
        <v>680</v>
      </c>
      <c r="J73" s="173">
        <v>160</v>
      </c>
      <c r="K73" s="173">
        <f t="shared" si="6"/>
        <v>2.5882352941176472</v>
      </c>
      <c r="L73" s="173">
        <f t="shared" si="7"/>
        <v>13.588235294117647</v>
      </c>
      <c r="O73" s="173">
        <f t="shared" si="8"/>
        <v>20.382352941176471</v>
      </c>
      <c r="P73" s="173">
        <v>50</v>
      </c>
    </row>
    <row r="74" spans="1:18" x14ac:dyDescent="0.35">
      <c r="A74" s="3"/>
      <c r="B74" s="3"/>
      <c r="C74" s="233" t="s">
        <v>561</v>
      </c>
      <c r="D74" s="233" t="s">
        <v>561</v>
      </c>
      <c r="E74" s="366" t="s">
        <v>405</v>
      </c>
      <c r="F74" s="245" t="s">
        <v>2899</v>
      </c>
      <c r="G74" s="245"/>
      <c r="H74" s="173">
        <v>11</v>
      </c>
      <c r="I74">
        <v>680</v>
      </c>
      <c r="J74" s="173">
        <v>160</v>
      </c>
      <c r="K74" s="173">
        <f t="shared" si="6"/>
        <v>2.5882352941176472</v>
      </c>
      <c r="L74" s="173">
        <f t="shared" si="7"/>
        <v>13.588235294117647</v>
      </c>
      <c r="O74" s="173">
        <f t="shared" si="8"/>
        <v>20.382352941176471</v>
      </c>
      <c r="P74" s="173">
        <v>50</v>
      </c>
    </row>
    <row r="75" spans="1:18" hidden="1" x14ac:dyDescent="0.35">
      <c r="A75" s="3"/>
      <c r="B75" s="3"/>
      <c r="C75" s="233" t="s">
        <v>561</v>
      </c>
      <c r="D75" s="233" t="s">
        <v>561</v>
      </c>
      <c r="E75" s="366" t="s">
        <v>589</v>
      </c>
      <c r="F75" s="371" t="s">
        <v>2899</v>
      </c>
      <c r="G75" s="371"/>
      <c r="H75" s="176">
        <v>11</v>
      </c>
      <c r="I75" s="12">
        <v>680</v>
      </c>
      <c r="J75" s="176">
        <v>160</v>
      </c>
      <c r="K75" s="176">
        <f t="shared" si="6"/>
        <v>2.5882352941176472</v>
      </c>
      <c r="L75" s="176">
        <f t="shared" si="7"/>
        <v>13.588235294117647</v>
      </c>
      <c r="M75" s="12"/>
      <c r="N75" s="12"/>
      <c r="O75" s="176">
        <f t="shared" si="8"/>
        <v>20.382352941176471</v>
      </c>
      <c r="P75" s="176">
        <v>50</v>
      </c>
      <c r="Q75" t="s">
        <v>12</v>
      </c>
      <c r="R75" s="6">
        <v>46114</v>
      </c>
    </row>
    <row r="76" spans="1:18" hidden="1" x14ac:dyDescent="0.35">
      <c r="A76" s="3"/>
      <c r="B76" s="3"/>
      <c r="C76" s="233" t="s">
        <v>561</v>
      </c>
      <c r="D76" s="233" t="s">
        <v>561</v>
      </c>
      <c r="E76" s="366" t="s">
        <v>589</v>
      </c>
      <c r="F76" s="371" t="s">
        <v>2899</v>
      </c>
      <c r="G76" s="371"/>
      <c r="H76" s="176">
        <v>11</v>
      </c>
      <c r="I76" s="12">
        <v>680</v>
      </c>
      <c r="J76" s="176">
        <v>160</v>
      </c>
      <c r="K76" s="176">
        <f t="shared" si="6"/>
        <v>2.5882352941176472</v>
      </c>
      <c r="L76" s="176">
        <f t="shared" si="7"/>
        <v>13.588235294117647</v>
      </c>
      <c r="M76" s="12"/>
      <c r="N76" s="12"/>
      <c r="O76" s="176">
        <f t="shared" si="8"/>
        <v>20.382352941176471</v>
      </c>
      <c r="P76" s="176">
        <v>50</v>
      </c>
      <c r="Q76" t="s">
        <v>3165</v>
      </c>
      <c r="R76" s="6">
        <v>46140</v>
      </c>
    </row>
    <row r="77" spans="1:18" x14ac:dyDescent="0.35">
      <c r="A77" s="3"/>
      <c r="B77" s="3"/>
      <c r="C77" s="233" t="s">
        <v>561</v>
      </c>
      <c r="D77" s="233" t="s">
        <v>561</v>
      </c>
      <c r="E77" s="366" t="s">
        <v>589</v>
      </c>
      <c r="F77" s="245" t="s">
        <v>2899</v>
      </c>
      <c r="G77" s="245"/>
      <c r="H77" s="173">
        <v>11</v>
      </c>
      <c r="I77">
        <v>680</v>
      </c>
      <c r="J77" s="173">
        <v>160</v>
      </c>
      <c r="K77" s="173">
        <f t="shared" si="6"/>
        <v>2.5882352941176472</v>
      </c>
      <c r="L77" s="173">
        <f t="shared" si="7"/>
        <v>13.588235294117647</v>
      </c>
      <c r="O77" s="173">
        <f t="shared" si="8"/>
        <v>20.382352941176471</v>
      </c>
      <c r="P77" s="173">
        <v>50</v>
      </c>
    </row>
    <row r="78" spans="1:18" x14ac:dyDescent="0.35">
      <c r="A78" s="3"/>
      <c r="B78" s="3"/>
      <c r="C78" s="233" t="s">
        <v>561</v>
      </c>
      <c r="D78" s="233" t="s">
        <v>561</v>
      </c>
      <c r="E78" s="366" t="s">
        <v>628</v>
      </c>
      <c r="F78" s="245" t="s">
        <v>2899</v>
      </c>
      <c r="G78" s="245"/>
      <c r="H78" s="173">
        <v>11</v>
      </c>
      <c r="I78">
        <v>680</v>
      </c>
      <c r="J78" s="173">
        <v>160</v>
      </c>
      <c r="K78" s="173">
        <f t="shared" si="6"/>
        <v>2.5882352941176472</v>
      </c>
      <c r="L78" s="173">
        <f t="shared" si="7"/>
        <v>13.588235294117647</v>
      </c>
      <c r="O78" s="173">
        <f t="shared" si="8"/>
        <v>20.382352941176471</v>
      </c>
      <c r="P78" s="173">
        <v>50</v>
      </c>
    </row>
    <row r="79" spans="1:18" x14ac:dyDescent="0.35">
      <c r="A79" s="3"/>
      <c r="B79" s="3"/>
      <c r="C79" s="233" t="s">
        <v>561</v>
      </c>
      <c r="D79" s="233" t="s">
        <v>561</v>
      </c>
      <c r="E79" s="366" t="s">
        <v>628</v>
      </c>
      <c r="F79" s="245" t="s">
        <v>2899</v>
      </c>
      <c r="G79" s="245"/>
      <c r="H79" s="173">
        <v>11</v>
      </c>
      <c r="I79">
        <v>680</v>
      </c>
      <c r="J79" s="173">
        <v>160</v>
      </c>
      <c r="K79" s="173">
        <f t="shared" si="6"/>
        <v>2.5882352941176472</v>
      </c>
      <c r="L79" s="173">
        <f t="shared" si="7"/>
        <v>13.588235294117647</v>
      </c>
      <c r="O79" s="173">
        <f t="shared" si="8"/>
        <v>20.382352941176471</v>
      </c>
      <c r="P79" s="173">
        <v>50</v>
      </c>
    </row>
    <row r="80" spans="1:18" x14ac:dyDescent="0.35">
      <c r="A80" s="3"/>
      <c r="B80" s="3"/>
      <c r="C80" s="233" t="s">
        <v>561</v>
      </c>
      <c r="D80" s="233" t="s">
        <v>561</v>
      </c>
      <c r="E80" s="366" t="s">
        <v>628</v>
      </c>
      <c r="F80" s="245" t="s">
        <v>2899</v>
      </c>
      <c r="G80" s="245"/>
      <c r="H80" s="173">
        <v>11</v>
      </c>
      <c r="I80">
        <v>680</v>
      </c>
      <c r="J80" s="173">
        <v>160</v>
      </c>
      <c r="K80" s="173">
        <f t="shared" si="6"/>
        <v>2.5882352941176472</v>
      </c>
      <c r="L80" s="173">
        <f t="shared" si="7"/>
        <v>13.588235294117647</v>
      </c>
      <c r="O80" s="173">
        <f t="shared" si="8"/>
        <v>20.382352941176471</v>
      </c>
      <c r="P80" s="173">
        <v>50</v>
      </c>
    </row>
    <row r="81" spans="1:18" x14ac:dyDescent="0.35">
      <c r="A81" s="3"/>
      <c r="B81" s="3"/>
      <c r="C81" s="233" t="s">
        <v>561</v>
      </c>
      <c r="D81" s="233" t="s">
        <v>561</v>
      </c>
      <c r="E81" s="366" t="s">
        <v>590</v>
      </c>
      <c r="F81" s="245" t="s">
        <v>2899</v>
      </c>
      <c r="G81" s="245"/>
      <c r="H81" s="173">
        <v>11</v>
      </c>
      <c r="I81">
        <v>680</v>
      </c>
      <c r="J81" s="173">
        <v>160</v>
      </c>
      <c r="K81" s="173">
        <f t="shared" si="6"/>
        <v>2.5882352941176472</v>
      </c>
      <c r="L81" s="173">
        <f t="shared" si="7"/>
        <v>13.588235294117647</v>
      </c>
      <c r="O81" s="173">
        <f t="shared" si="8"/>
        <v>20.382352941176471</v>
      </c>
      <c r="P81" s="173">
        <v>50</v>
      </c>
    </row>
    <row r="82" spans="1:18" x14ac:dyDescent="0.35">
      <c r="A82" s="3"/>
      <c r="B82" s="3"/>
      <c r="C82" s="233" t="s">
        <v>561</v>
      </c>
      <c r="D82" s="233" t="s">
        <v>561</v>
      </c>
      <c r="E82" s="366" t="s">
        <v>590</v>
      </c>
      <c r="F82" s="245" t="s">
        <v>2899</v>
      </c>
      <c r="G82" s="245"/>
      <c r="H82" s="173">
        <v>11</v>
      </c>
      <c r="I82">
        <v>680</v>
      </c>
      <c r="J82" s="173">
        <v>160</v>
      </c>
      <c r="K82" s="173">
        <f t="shared" si="6"/>
        <v>2.5882352941176472</v>
      </c>
      <c r="L82" s="173">
        <f t="shared" si="7"/>
        <v>13.588235294117647</v>
      </c>
      <c r="O82" s="173">
        <f t="shared" si="8"/>
        <v>20.382352941176471</v>
      </c>
      <c r="P82" s="173">
        <v>50</v>
      </c>
    </row>
    <row r="83" spans="1:18" x14ac:dyDescent="0.35">
      <c r="A83" s="3"/>
      <c r="B83" s="3"/>
      <c r="C83" s="233" t="s">
        <v>561</v>
      </c>
      <c r="D83" s="233" t="s">
        <v>561</v>
      </c>
      <c r="E83" s="366" t="s">
        <v>590</v>
      </c>
      <c r="F83" s="245" t="s">
        <v>2899</v>
      </c>
      <c r="G83" s="245"/>
      <c r="H83" s="173">
        <v>11</v>
      </c>
      <c r="I83">
        <v>680</v>
      </c>
      <c r="J83" s="173">
        <v>160</v>
      </c>
      <c r="K83" s="173">
        <f t="shared" si="6"/>
        <v>2.5882352941176472</v>
      </c>
      <c r="L83" s="173">
        <f t="shared" si="7"/>
        <v>13.588235294117647</v>
      </c>
      <c r="O83" s="173">
        <f t="shared" si="8"/>
        <v>20.382352941176471</v>
      </c>
      <c r="P83" s="173">
        <v>50</v>
      </c>
    </row>
    <row r="84" spans="1:18" hidden="1" x14ac:dyDescent="0.35">
      <c r="A84" s="3"/>
      <c r="B84" s="3"/>
      <c r="C84" s="233" t="s">
        <v>561</v>
      </c>
      <c r="D84" s="233" t="s">
        <v>561</v>
      </c>
      <c r="E84" s="366" t="s">
        <v>2897</v>
      </c>
      <c r="F84" s="371" t="s">
        <v>2899</v>
      </c>
      <c r="G84" s="371"/>
      <c r="H84" s="176">
        <v>11</v>
      </c>
      <c r="I84" s="12">
        <v>680</v>
      </c>
      <c r="J84" s="176">
        <v>160</v>
      </c>
      <c r="K84" s="176">
        <f t="shared" si="6"/>
        <v>2.5882352941176472</v>
      </c>
      <c r="L84" s="176">
        <f t="shared" si="7"/>
        <v>13.588235294117647</v>
      </c>
      <c r="M84" s="12"/>
      <c r="N84" s="12"/>
      <c r="O84" s="176">
        <f t="shared" si="8"/>
        <v>20.382352941176471</v>
      </c>
      <c r="P84" s="176">
        <v>50</v>
      </c>
      <c r="Q84" t="s">
        <v>12</v>
      </c>
      <c r="R84" s="6">
        <v>46114</v>
      </c>
    </row>
    <row r="85" spans="1:18" x14ac:dyDescent="0.35">
      <c r="A85" s="3"/>
      <c r="B85" s="3"/>
      <c r="C85" s="233" t="s">
        <v>561</v>
      </c>
      <c r="D85" s="233" t="s">
        <v>561</v>
      </c>
      <c r="E85" s="366" t="s">
        <v>2897</v>
      </c>
      <c r="F85" s="245" t="s">
        <v>2899</v>
      </c>
      <c r="G85" s="245"/>
      <c r="H85" s="173">
        <v>11</v>
      </c>
      <c r="I85">
        <v>680</v>
      </c>
      <c r="J85" s="173">
        <v>160</v>
      </c>
      <c r="K85" s="173">
        <f t="shared" si="6"/>
        <v>2.5882352941176472</v>
      </c>
      <c r="L85" s="173">
        <f t="shared" si="7"/>
        <v>13.588235294117647</v>
      </c>
      <c r="O85" s="173">
        <f t="shared" si="8"/>
        <v>20.382352941176471</v>
      </c>
      <c r="P85" s="173">
        <v>50</v>
      </c>
    </row>
    <row r="86" spans="1:18" x14ac:dyDescent="0.35">
      <c r="A86" s="3"/>
      <c r="B86" s="3"/>
      <c r="C86" s="233" t="s">
        <v>561</v>
      </c>
      <c r="D86" s="233" t="s">
        <v>561</v>
      </c>
      <c r="E86" s="366" t="s">
        <v>2897</v>
      </c>
      <c r="F86" s="245" t="s">
        <v>2899</v>
      </c>
      <c r="G86" s="245"/>
      <c r="H86" s="173">
        <v>11</v>
      </c>
      <c r="I86">
        <v>680</v>
      </c>
      <c r="J86" s="173">
        <v>160</v>
      </c>
      <c r="K86" s="173">
        <f t="shared" si="6"/>
        <v>2.5882352941176472</v>
      </c>
      <c r="L86" s="173">
        <f t="shared" si="7"/>
        <v>13.588235294117647</v>
      </c>
      <c r="O86" s="173">
        <f t="shared" si="8"/>
        <v>20.382352941176471</v>
      </c>
      <c r="P86" s="173">
        <v>50</v>
      </c>
    </row>
    <row r="87" spans="1:18" x14ac:dyDescent="0.35">
      <c r="A87" s="3"/>
      <c r="B87" s="3"/>
      <c r="C87" s="233" t="s">
        <v>561</v>
      </c>
      <c r="D87" s="233" t="s">
        <v>561</v>
      </c>
      <c r="E87" s="366" t="s">
        <v>405</v>
      </c>
      <c r="F87" s="245" t="s">
        <v>2900</v>
      </c>
      <c r="G87" s="245"/>
      <c r="H87" s="173">
        <v>15</v>
      </c>
      <c r="I87">
        <v>680</v>
      </c>
      <c r="J87" s="173">
        <v>160</v>
      </c>
      <c r="K87" s="173">
        <f t="shared" si="6"/>
        <v>3.5294117647058827</v>
      </c>
      <c r="L87" s="173">
        <f t="shared" si="7"/>
        <v>18.529411764705884</v>
      </c>
      <c r="O87" s="173">
        <f t="shared" si="8"/>
        <v>27.794117647058826</v>
      </c>
      <c r="P87" s="173">
        <v>60</v>
      </c>
    </row>
    <row r="88" spans="1:18" x14ac:dyDescent="0.35">
      <c r="A88" s="3"/>
      <c r="B88" s="3"/>
      <c r="C88" s="233" t="s">
        <v>561</v>
      </c>
      <c r="D88" s="233" t="s">
        <v>561</v>
      </c>
      <c r="E88" s="366" t="s">
        <v>405</v>
      </c>
      <c r="F88" s="245" t="s">
        <v>2900</v>
      </c>
      <c r="G88" s="245"/>
      <c r="H88" s="173">
        <v>15</v>
      </c>
      <c r="I88">
        <v>680</v>
      </c>
      <c r="J88" s="173">
        <v>160</v>
      </c>
      <c r="K88" s="173">
        <f t="shared" si="6"/>
        <v>3.5294117647058827</v>
      </c>
      <c r="L88" s="173">
        <f t="shared" si="7"/>
        <v>18.529411764705884</v>
      </c>
      <c r="O88" s="173">
        <f t="shared" si="8"/>
        <v>27.794117647058826</v>
      </c>
      <c r="P88" s="173">
        <v>60</v>
      </c>
    </row>
    <row r="89" spans="1:18" x14ac:dyDescent="0.35">
      <c r="A89" s="3"/>
      <c r="B89" s="3"/>
      <c r="C89" s="233" t="s">
        <v>561</v>
      </c>
      <c r="D89" s="233" t="s">
        <v>561</v>
      </c>
      <c r="E89" s="366" t="s">
        <v>405</v>
      </c>
      <c r="F89" s="245" t="s">
        <v>2900</v>
      </c>
      <c r="G89" s="245"/>
      <c r="H89" s="173">
        <v>15</v>
      </c>
      <c r="I89">
        <v>680</v>
      </c>
      <c r="J89" s="173">
        <v>160</v>
      </c>
      <c r="K89" s="173">
        <f t="shared" si="6"/>
        <v>3.5294117647058827</v>
      </c>
      <c r="L89" s="173">
        <f t="shared" si="7"/>
        <v>18.529411764705884</v>
      </c>
      <c r="O89" s="173">
        <f t="shared" si="8"/>
        <v>27.794117647058826</v>
      </c>
      <c r="P89" s="173">
        <v>60</v>
      </c>
    </row>
    <row r="90" spans="1:18" x14ac:dyDescent="0.35">
      <c r="A90" s="3"/>
      <c r="B90" s="3"/>
      <c r="C90" s="233" t="s">
        <v>561</v>
      </c>
      <c r="D90" s="233" t="s">
        <v>561</v>
      </c>
      <c r="E90" s="366" t="s">
        <v>589</v>
      </c>
      <c r="F90" s="245" t="s">
        <v>2900</v>
      </c>
      <c r="G90" s="245"/>
      <c r="H90" s="173">
        <v>15</v>
      </c>
      <c r="I90">
        <v>680</v>
      </c>
      <c r="J90" s="173">
        <v>160</v>
      </c>
      <c r="K90" s="173">
        <f t="shared" si="6"/>
        <v>3.5294117647058827</v>
      </c>
      <c r="L90" s="173">
        <f t="shared" si="7"/>
        <v>18.529411764705884</v>
      </c>
      <c r="O90" s="173">
        <f t="shared" si="8"/>
        <v>27.794117647058826</v>
      </c>
      <c r="P90" s="173">
        <v>60</v>
      </c>
    </row>
    <row r="91" spans="1:18" x14ac:dyDescent="0.35">
      <c r="A91" s="3"/>
      <c r="B91" s="3"/>
      <c r="C91" s="233" t="s">
        <v>561</v>
      </c>
      <c r="D91" s="233" t="s">
        <v>561</v>
      </c>
      <c r="E91" s="366" t="s">
        <v>589</v>
      </c>
      <c r="F91" s="245" t="s">
        <v>2900</v>
      </c>
      <c r="G91" s="245"/>
      <c r="H91" s="173">
        <v>15</v>
      </c>
      <c r="I91">
        <v>680</v>
      </c>
      <c r="J91" s="173">
        <v>160</v>
      </c>
      <c r="K91" s="173">
        <f t="shared" si="6"/>
        <v>3.5294117647058827</v>
      </c>
      <c r="L91" s="173">
        <f t="shared" si="7"/>
        <v>18.529411764705884</v>
      </c>
      <c r="O91" s="173">
        <f t="shared" si="8"/>
        <v>27.794117647058826</v>
      </c>
      <c r="P91" s="173">
        <v>60</v>
      </c>
    </row>
    <row r="92" spans="1:18" x14ac:dyDescent="0.35">
      <c r="A92" s="3"/>
      <c r="B92" s="3"/>
      <c r="C92" s="233" t="s">
        <v>561</v>
      </c>
      <c r="D92" s="233" t="s">
        <v>561</v>
      </c>
      <c r="E92" s="366" t="s">
        <v>589</v>
      </c>
      <c r="F92" s="245" t="s">
        <v>2900</v>
      </c>
      <c r="G92" s="245"/>
      <c r="H92" s="173">
        <v>15</v>
      </c>
      <c r="I92">
        <v>680</v>
      </c>
      <c r="J92" s="173">
        <v>160</v>
      </c>
      <c r="K92" s="173">
        <f t="shared" si="6"/>
        <v>3.5294117647058827</v>
      </c>
      <c r="L92" s="173">
        <f t="shared" si="7"/>
        <v>18.529411764705884</v>
      </c>
      <c r="O92" s="173">
        <f t="shared" si="8"/>
        <v>27.794117647058826</v>
      </c>
      <c r="P92" s="173">
        <v>60</v>
      </c>
    </row>
    <row r="93" spans="1:18" hidden="1" x14ac:dyDescent="0.35">
      <c r="A93" s="3"/>
      <c r="B93" s="3"/>
      <c r="C93" s="233" t="s">
        <v>561</v>
      </c>
      <c r="D93" s="233" t="s">
        <v>561</v>
      </c>
      <c r="E93" s="366" t="s">
        <v>628</v>
      </c>
      <c r="F93" s="371" t="s">
        <v>2900</v>
      </c>
      <c r="G93" s="371"/>
      <c r="H93" s="176">
        <v>15</v>
      </c>
      <c r="I93" s="12">
        <v>680</v>
      </c>
      <c r="J93" s="176">
        <v>160</v>
      </c>
      <c r="K93" s="176">
        <f t="shared" si="6"/>
        <v>3.5294117647058827</v>
      </c>
      <c r="L93" s="176">
        <f t="shared" si="7"/>
        <v>18.529411764705884</v>
      </c>
      <c r="M93" s="12"/>
      <c r="N93" s="12"/>
      <c r="O93" s="176">
        <f t="shared" si="8"/>
        <v>27.794117647058826</v>
      </c>
      <c r="P93" s="176">
        <v>60</v>
      </c>
      <c r="Q93" t="s">
        <v>12</v>
      </c>
      <c r="R93" s="6">
        <v>46114</v>
      </c>
    </row>
    <row r="94" spans="1:18" hidden="1" x14ac:dyDescent="0.35">
      <c r="A94" s="3"/>
      <c r="B94" s="3"/>
      <c r="C94" s="233" t="s">
        <v>561</v>
      </c>
      <c r="D94" s="233" t="s">
        <v>561</v>
      </c>
      <c r="E94" s="366" t="s">
        <v>628</v>
      </c>
      <c r="F94" s="371" t="s">
        <v>2900</v>
      </c>
      <c r="G94" s="371"/>
      <c r="H94" s="176">
        <v>15</v>
      </c>
      <c r="I94" s="12">
        <v>680</v>
      </c>
      <c r="J94" s="176">
        <v>160</v>
      </c>
      <c r="K94" s="176">
        <f t="shared" si="6"/>
        <v>3.5294117647058827</v>
      </c>
      <c r="L94" s="176">
        <f t="shared" si="7"/>
        <v>18.529411764705884</v>
      </c>
      <c r="M94" s="12"/>
      <c r="N94" s="12"/>
      <c r="O94" s="176">
        <f t="shared" si="8"/>
        <v>27.794117647058826</v>
      </c>
      <c r="P94" s="176">
        <v>60</v>
      </c>
      <c r="Q94" t="s">
        <v>12</v>
      </c>
      <c r="R94" s="6">
        <v>46119</v>
      </c>
    </row>
    <row r="95" spans="1:18" x14ac:dyDescent="0.35">
      <c r="A95" s="3"/>
      <c r="B95" s="3"/>
      <c r="C95" s="233" t="s">
        <v>561</v>
      </c>
      <c r="D95" s="233" t="s">
        <v>561</v>
      </c>
      <c r="E95" s="366" t="s">
        <v>628</v>
      </c>
      <c r="F95" s="245" t="s">
        <v>2900</v>
      </c>
      <c r="G95" s="245"/>
      <c r="H95" s="173">
        <v>15</v>
      </c>
      <c r="I95">
        <v>680</v>
      </c>
      <c r="J95" s="173">
        <v>160</v>
      </c>
      <c r="K95" s="173">
        <f t="shared" si="6"/>
        <v>3.5294117647058827</v>
      </c>
      <c r="L95" s="173">
        <f t="shared" si="7"/>
        <v>18.529411764705884</v>
      </c>
      <c r="O95" s="173">
        <f t="shared" si="8"/>
        <v>27.794117647058826</v>
      </c>
      <c r="P95" s="173">
        <v>60</v>
      </c>
    </row>
    <row r="96" spans="1:18" hidden="1" x14ac:dyDescent="0.35">
      <c r="A96" s="3"/>
      <c r="B96" s="3"/>
      <c r="C96" s="233" t="s">
        <v>561</v>
      </c>
      <c r="D96" s="233" t="s">
        <v>561</v>
      </c>
      <c r="E96" s="366" t="s">
        <v>590</v>
      </c>
      <c r="F96" s="371" t="s">
        <v>2900</v>
      </c>
      <c r="G96" s="371"/>
      <c r="H96" s="176">
        <v>15</v>
      </c>
      <c r="I96" s="12">
        <v>680</v>
      </c>
      <c r="J96" s="176">
        <v>160</v>
      </c>
      <c r="K96" s="176">
        <f t="shared" si="6"/>
        <v>3.5294117647058827</v>
      </c>
      <c r="L96" s="176">
        <f t="shared" si="7"/>
        <v>18.529411764705884</v>
      </c>
      <c r="M96" s="12"/>
      <c r="N96" s="12"/>
      <c r="O96" s="176">
        <f t="shared" si="8"/>
        <v>27.794117647058826</v>
      </c>
      <c r="P96" s="176">
        <v>60</v>
      </c>
      <c r="Q96" t="s">
        <v>12</v>
      </c>
      <c r="R96" s="6">
        <v>46114</v>
      </c>
    </row>
    <row r="97" spans="1:19" hidden="1" x14ac:dyDescent="0.35">
      <c r="A97" s="3"/>
      <c r="B97" s="3"/>
      <c r="C97" s="233" t="s">
        <v>561</v>
      </c>
      <c r="D97" s="233" t="s">
        <v>561</v>
      </c>
      <c r="E97" s="366" t="s">
        <v>590</v>
      </c>
      <c r="F97" s="371" t="s">
        <v>2900</v>
      </c>
      <c r="G97" s="371"/>
      <c r="H97" s="176">
        <v>15</v>
      </c>
      <c r="I97" s="12">
        <v>680</v>
      </c>
      <c r="J97" s="176">
        <v>160</v>
      </c>
      <c r="K97" s="176">
        <f t="shared" si="6"/>
        <v>3.5294117647058827</v>
      </c>
      <c r="L97" s="176">
        <f t="shared" si="7"/>
        <v>18.529411764705884</v>
      </c>
      <c r="M97" s="12"/>
      <c r="N97" s="12"/>
      <c r="O97" s="176">
        <f t="shared" si="8"/>
        <v>27.794117647058826</v>
      </c>
      <c r="P97" s="176">
        <v>60</v>
      </c>
      <c r="Q97" t="s">
        <v>12</v>
      </c>
      <c r="R97" s="6">
        <v>46114</v>
      </c>
    </row>
    <row r="98" spans="1:19" hidden="1" x14ac:dyDescent="0.35">
      <c r="A98" s="3"/>
      <c r="B98" s="3"/>
      <c r="C98" s="233" t="s">
        <v>561</v>
      </c>
      <c r="D98" s="233" t="s">
        <v>561</v>
      </c>
      <c r="E98" s="366" t="s">
        <v>590</v>
      </c>
      <c r="F98" s="371" t="s">
        <v>2900</v>
      </c>
      <c r="G98" s="371"/>
      <c r="H98" s="176">
        <v>15</v>
      </c>
      <c r="I98" s="12">
        <v>680</v>
      </c>
      <c r="J98" s="176">
        <v>160</v>
      </c>
      <c r="K98" s="176">
        <f t="shared" si="6"/>
        <v>3.5294117647058827</v>
      </c>
      <c r="L98" s="176">
        <f t="shared" si="7"/>
        <v>18.529411764705884</v>
      </c>
      <c r="M98" s="12"/>
      <c r="N98" s="12"/>
      <c r="O98" s="176">
        <f t="shared" si="8"/>
        <v>27.794117647058826</v>
      </c>
      <c r="P98" s="176">
        <v>60</v>
      </c>
      <c r="Q98" t="s">
        <v>12</v>
      </c>
      <c r="R98" s="6">
        <v>46136</v>
      </c>
    </row>
    <row r="99" spans="1:19" hidden="1" x14ac:dyDescent="0.35">
      <c r="A99" s="3"/>
      <c r="B99" s="3"/>
      <c r="C99" s="233" t="s">
        <v>561</v>
      </c>
      <c r="D99" s="233" t="s">
        <v>561</v>
      </c>
      <c r="E99" s="366" t="s">
        <v>2897</v>
      </c>
      <c r="F99" s="371" t="s">
        <v>2900</v>
      </c>
      <c r="G99" s="371"/>
      <c r="H99" s="176">
        <v>15</v>
      </c>
      <c r="I99" s="12">
        <v>680</v>
      </c>
      <c r="J99" s="176">
        <v>160</v>
      </c>
      <c r="K99" s="176">
        <f t="shared" si="6"/>
        <v>3.5294117647058827</v>
      </c>
      <c r="L99" s="176">
        <f t="shared" si="7"/>
        <v>18.529411764705884</v>
      </c>
      <c r="M99" s="12"/>
      <c r="N99" s="12"/>
      <c r="O99" s="176">
        <f t="shared" si="8"/>
        <v>27.794117647058826</v>
      </c>
      <c r="P99" s="176">
        <v>60</v>
      </c>
      <c r="Q99" t="s">
        <v>12</v>
      </c>
      <c r="R99" s="6">
        <v>46115</v>
      </c>
    </row>
    <row r="100" spans="1:19" x14ac:dyDescent="0.35">
      <c r="A100" s="3"/>
      <c r="B100" s="3"/>
      <c r="C100" s="233" t="s">
        <v>561</v>
      </c>
      <c r="D100" s="233" t="s">
        <v>561</v>
      </c>
      <c r="E100" s="366" t="s">
        <v>2897</v>
      </c>
      <c r="F100" s="245" t="s">
        <v>2900</v>
      </c>
      <c r="G100" s="245"/>
      <c r="H100" s="173">
        <v>15</v>
      </c>
      <c r="I100">
        <v>680</v>
      </c>
      <c r="J100" s="173">
        <v>160</v>
      </c>
      <c r="K100" s="173">
        <f t="shared" si="6"/>
        <v>3.5294117647058827</v>
      </c>
      <c r="L100" s="173">
        <f t="shared" si="7"/>
        <v>18.529411764705884</v>
      </c>
      <c r="O100" s="173">
        <f t="shared" si="8"/>
        <v>27.794117647058826</v>
      </c>
      <c r="P100" s="173">
        <v>60</v>
      </c>
    </row>
    <row r="101" spans="1:19" x14ac:dyDescent="0.35">
      <c r="A101" s="3"/>
      <c r="B101" s="3"/>
      <c r="C101" s="233" t="s">
        <v>561</v>
      </c>
      <c r="D101" s="233" t="s">
        <v>561</v>
      </c>
      <c r="E101" s="366" t="s">
        <v>2897</v>
      </c>
      <c r="F101" s="245" t="s">
        <v>2900</v>
      </c>
      <c r="G101" s="245"/>
      <c r="H101" s="173">
        <v>15</v>
      </c>
      <c r="I101">
        <v>680</v>
      </c>
      <c r="J101" s="173">
        <v>160</v>
      </c>
      <c r="K101" s="173">
        <f t="shared" si="6"/>
        <v>3.5294117647058827</v>
      </c>
      <c r="L101" s="173">
        <f t="shared" si="7"/>
        <v>18.529411764705884</v>
      </c>
      <c r="O101" s="173">
        <f t="shared" si="8"/>
        <v>27.794117647058826</v>
      </c>
      <c r="P101" s="173">
        <v>60</v>
      </c>
    </row>
    <row r="102" spans="1:19" x14ac:dyDescent="0.35">
      <c r="A102" s="3"/>
      <c r="B102" s="3"/>
      <c r="C102" s="233"/>
      <c r="E102" s="366"/>
      <c r="F102" s="245"/>
      <c r="G102" s="173"/>
      <c r="I102" s="173"/>
      <c r="J102" s="402"/>
      <c r="K102" s="173"/>
      <c r="L102" s="174"/>
      <c r="M102" s="173"/>
      <c r="N102" s="173"/>
      <c r="R102" s="6"/>
    </row>
    <row r="103" spans="1:19" s="10" customFormat="1" ht="15.5" outlineLevel="1" x14ac:dyDescent="0.35">
      <c r="B103" s="11"/>
      <c r="D103" s="454"/>
      <c r="E103" s="454"/>
      <c r="F103" s="11" t="s">
        <v>263</v>
      </c>
      <c r="G103" s="141"/>
      <c r="H103" s="141"/>
      <c r="I103" s="141"/>
      <c r="J103" s="141"/>
      <c r="K103" s="141"/>
      <c r="L103" s="141"/>
      <c r="M103" s="141"/>
      <c r="N103" s="141"/>
      <c r="O103" s="474"/>
      <c r="P103" s="141"/>
      <c r="Q103" s="141"/>
      <c r="R103" s="529"/>
      <c r="S103" s="429"/>
    </row>
    <row r="104" spans="1:19" s="10" customFormat="1" ht="15.5" outlineLevel="1" x14ac:dyDescent="0.35">
      <c r="B104" s="11"/>
      <c r="D104" s="454">
        <v>48</v>
      </c>
      <c r="E104" s="454">
        <v>-26</v>
      </c>
      <c r="F104" s="11">
        <f>+D104+E104</f>
        <v>22</v>
      </c>
      <c r="G104" s="141"/>
      <c r="H104" s="141"/>
      <c r="I104" s="141"/>
      <c r="J104" s="141"/>
      <c r="K104" s="141"/>
      <c r="L104" s="141"/>
      <c r="M104" s="140">
        <f>+K104*L104+K104</f>
        <v>0</v>
      </c>
      <c r="N104" s="530" t="e">
        <f>+N103/G103</f>
        <v>#DIV/0!</v>
      </c>
      <c r="O104" s="516"/>
      <c r="P104" s="141"/>
      <c r="Q104" s="141"/>
      <c r="R104" s="529"/>
      <c r="S104" s="429"/>
    </row>
    <row r="105" spans="1:19" s="10" customFormat="1" ht="15.5" outlineLevel="1" x14ac:dyDescent="0.35">
      <c r="B105" s="11"/>
      <c r="D105" s="454"/>
      <c r="E105" s="454"/>
      <c r="F105" s="11"/>
      <c r="G105" s="141"/>
      <c r="H105" s="141"/>
      <c r="I105" s="141"/>
      <c r="J105" s="141"/>
      <c r="K105" s="141"/>
      <c r="L105" s="141"/>
      <c r="M105" s="140"/>
      <c r="N105" s="530"/>
      <c r="O105" s="516"/>
      <c r="P105" s="141"/>
      <c r="Q105" s="141"/>
      <c r="R105" s="529"/>
      <c r="S105" s="429"/>
    </row>
    <row r="106" spans="1:19" s="10" customFormat="1" ht="21" outlineLevel="1" x14ac:dyDescent="0.5">
      <c r="B106" s="11"/>
      <c r="F106" s="502" t="s">
        <v>233</v>
      </c>
      <c r="G106" s="141"/>
      <c r="J106" s="140"/>
      <c r="K106" s="140"/>
      <c r="M106" s="140">
        <f>+K106*L106+K106</f>
        <v>0</v>
      </c>
      <c r="N106" s="140"/>
      <c r="O106" s="325"/>
      <c r="P106" s="56"/>
      <c r="R106" s="404"/>
      <c r="S106" s="138"/>
    </row>
    <row r="107" spans="1:19" s="10" customFormat="1" ht="15" customHeight="1" outlineLevel="1" x14ac:dyDescent="0.35">
      <c r="B107" s="11"/>
      <c r="F107" s="11" t="s">
        <v>490</v>
      </c>
      <c r="G107" s="140"/>
      <c r="I107" s="140"/>
      <c r="J107" s="458"/>
      <c r="K107" s="140"/>
      <c r="L107" s="453"/>
      <c r="M107" s="140">
        <f>+K107*L107+K107</f>
        <v>0</v>
      </c>
      <c r="N107" s="140"/>
      <c r="O107" s="325"/>
      <c r="R107" s="404"/>
      <c r="S107" s="138"/>
    </row>
    <row r="108" spans="1:19" s="10" customFormat="1" ht="15" customHeight="1" outlineLevel="1" x14ac:dyDescent="0.35">
      <c r="B108" s="10" t="s">
        <v>186</v>
      </c>
      <c r="C108" s="10" t="s">
        <v>186</v>
      </c>
      <c r="D108" s="10">
        <v>4</v>
      </c>
      <c r="F108" s="10" t="s">
        <v>493</v>
      </c>
      <c r="G108" s="141">
        <v>25</v>
      </c>
      <c r="H108" s="56">
        <v>9148</v>
      </c>
      <c r="I108" s="140">
        <v>14368</v>
      </c>
      <c r="J108" s="140">
        <f>+G108/H108*I108</f>
        <v>39.26541320507215</v>
      </c>
      <c r="K108" s="140">
        <f>+G108+J108</f>
        <v>64.26541320507215</v>
      </c>
      <c r="L108" s="453">
        <v>0.3</v>
      </c>
      <c r="M108" s="140">
        <f>+K108*L108+K108</f>
        <v>83.545037166593801</v>
      </c>
      <c r="N108" s="140">
        <v>85</v>
      </c>
      <c r="O108" s="140"/>
      <c r="Q108" s="10" t="s">
        <v>1642</v>
      </c>
      <c r="R108" s="404"/>
      <c r="S108" s="138"/>
    </row>
    <row r="109" spans="1:19" s="491" customFormat="1" ht="15.5" outlineLevel="1" x14ac:dyDescent="0.35">
      <c r="B109" s="491" t="s">
        <v>186</v>
      </c>
      <c r="C109" s="491" t="s">
        <v>186</v>
      </c>
      <c r="D109" s="491">
        <v>7</v>
      </c>
      <c r="F109" s="491" t="s">
        <v>1803</v>
      </c>
      <c r="G109" s="654">
        <v>25</v>
      </c>
      <c r="H109" s="650">
        <v>9148</v>
      </c>
      <c r="I109" s="649">
        <v>14368</v>
      </c>
      <c r="J109" s="649">
        <f>+G109/H109*I109</f>
        <v>39.26541320507215</v>
      </c>
      <c r="K109" s="649">
        <f>+G109+J109</f>
        <v>64.26541320507215</v>
      </c>
      <c r="L109" s="651">
        <v>0.3</v>
      </c>
      <c r="M109" s="649">
        <f>+K109*L109+K109</f>
        <v>83.545037166593801</v>
      </c>
      <c r="N109" s="649">
        <v>85</v>
      </c>
      <c r="O109" s="649"/>
      <c r="Q109" s="655" t="s">
        <v>990</v>
      </c>
      <c r="R109" s="652">
        <v>45871</v>
      </c>
      <c r="S109" s="653"/>
    </row>
    <row r="110" spans="1:19" s="10" customFormat="1" ht="15.5" outlineLevel="1" x14ac:dyDescent="0.35">
      <c r="B110" s="11"/>
      <c r="C110" s="11" t="s">
        <v>596</v>
      </c>
      <c r="D110" s="454"/>
      <c r="G110" s="140"/>
      <c r="J110" s="140"/>
      <c r="K110" s="140"/>
      <c r="M110" s="140"/>
      <c r="N110" s="140"/>
      <c r="O110" s="325"/>
      <c r="R110" s="404"/>
      <c r="S110" s="138"/>
    </row>
    <row r="111" spans="1:19" s="491" customFormat="1" ht="15.5" outlineLevel="1" x14ac:dyDescent="0.35">
      <c r="D111" s="491">
        <v>9</v>
      </c>
      <c r="F111" s="531" t="s">
        <v>617</v>
      </c>
      <c r="G111" s="649">
        <v>26</v>
      </c>
      <c r="H111" s="650">
        <v>8183</v>
      </c>
      <c r="I111" s="649">
        <v>13183</v>
      </c>
      <c r="J111" s="649">
        <f>+G111/H111*I111</f>
        <v>41.886594158621527</v>
      </c>
      <c r="K111" s="649">
        <f>+G111+J111</f>
        <v>67.886594158621534</v>
      </c>
      <c r="L111" s="651">
        <v>0.3</v>
      </c>
      <c r="M111" s="649">
        <f>+K111*L111+K111</f>
        <v>88.252572406207989</v>
      </c>
      <c r="N111" s="649">
        <v>95</v>
      </c>
      <c r="O111" s="649"/>
      <c r="Q111" s="491" t="s">
        <v>990</v>
      </c>
      <c r="R111" s="652"/>
      <c r="S111" s="653"/>
    </row>
    <row r="112" spans="1:19" s="491" customFormat="1" ht="15.5" outlineLevel="1" x14ac:dyDescent="0.35">
      <c r="D112" s="491">
        <v>11</v>
      </c>
      <c r="E112" s="491" t="s">
        <v>409</v>
      </c>
      <c r="F112" s="531" t="s">
        <v>695</v>
      </c>
      <c r="G112" s="649">
        <v>26</v>
      </c>
      <c r="H112" s="650">
        <v>8183</v>
      </c>
      <c r="I112" s="649">
        <v>13183</v>
      </c>
      <c r="J112" s="649">
        <f>+G112/H112*I112</f>
        <v>41.886594158621527</v>
      </c>
      <c r="K112" s="649">
        <f>+G112+J112</f>
        <v>67.886594158621534</v>
      </c>
      <c r="L112" s="651">
        <v>0.3</v>
      </c>
      <c r="M112" s="649">
        <f>+K112*L112+K112</f>
        <v>88.252572406207989</v>
      </c>
      <c r="N112" s="649">
        <v>90</v>
      </c>
      <c r="O112" s="649"/>
      <c r="Q112" s="491" t="s">
        <v>990</v>
      </c>
      <c r="R112" s="652"/>
      <c r="S112" s="653"/>
    </row>
    <row r="113" spans="2:19" s="10" customFormat="1" ht="15.5" outlineLevel="1" x14ac:dyDescent="0.35">
      <c r="D113" s="10">
        <v>12</v>
      </c>
      <c r="E113" s="10" t="s">
        <v>412</v>
      </c>
      <c r="F113" s="206" t="s">
        <v>695</v>
      </c>
      <c r="G113" s="140">
        <v>26</v>
      </c>
      <c r="H113" s="56">
        <v>8183</v>
      </c>
      <c r="I113" s="140">
        <v>13183</v>
      </c>
      <c r="J113" s="140">
        <f>+G113/H113*I113</f>
        <v>41.886594158621527</v>
      </c>
      <c r="K113" s="140">
        <f>+G113+J113</f>
        <v>67.886594158621534</v>
      </c>
      <c r="L113" s="453">
        <v>0.3</v>
      </c>
      <c r="M113" s="140">
        <f>+K113*L113+K113</f>
        <v>88.252572406207989</v>
      </c>
      <c r="N113" s="140">
        <v>90</v>
      </c>
      <c r="O113" s="325"/>
      <c r="R113" s="404"/>
      <c r="S113" s="138"/>
    </row>
    <row r="114" spans="2:19" s="10" customFormat="1" ht="15" customHeight="1" outlineLevel="1" x14ac:dyDescent="0.35">
      <c r="B114" s="11"/>
      <c r="C114" s="11" t="s">
        <v>624</v>
      </c>
      <c r="G114" s="140"/>
      <c r="H114" s="56"/>
      <c r="I114" s="140"/>
      <c r="J114" s="140"/>
      <c r="K114" s="140"/>
      <c r="L114" s="452"/>
      <c r="M114" s="140"/>
      <c r="N114" s="140"/>
      <c r="O114" s="325"/>
      <c r="R114" s="404"/>
      <c r="S114" s="138"/>
    </row>
    <row r="115" spans="2:19" x14ac:dyDescent="0.35">
      <c r="B115" s="3"/>
      <c r="C115" s="233"/>
      <c r="F115" s="330" t="s">
        <v>871</v>
      </c>
      <c r="G115" s="146"/>
      <c r="H115" s="4"/>
      <c r="I115" s="173"/>
      <c r="J115" s="145"/>
      <c r="K115" s="145"/>
      <c r="L115" s="468"/>
      <c r="M115" s="145"/>
      <c r="N115" s="173"/>
      <c r="O115" s="344"/>
      <c r="R115" s="467"/>
      <c r="S115" s="420"/>
    </row>
    <row r="116" spans="2:19" s="523" customFormat="1" x14ac:dyDescent="0.35">
      <c r="B116" s="521" t="s">
        <v>861</v>
      </c>
      <c r="C116" s="522"/>
      <c r="D116" s="523">
        <v>15</v>
      </c>
      <c r="E116" s="523" t="s">
        <v>409</v>
      </c>
      <c r="F116" s="523" t="s">
        <v>1801</v>
      </c>
      <c r="G116" s="616">
        <v>28</v>
      </c>
      <c r="H116" s="523">
        <v>6066</v>
      </c>
      <c r="I116" s="616">
        <v>6015</v>
      </c>
      <c r="J116" s="617">
        <f>+G116/H116*I116</f>
        <v>27.764589515331355</v>
      </c>
      <c r="K116" s="618">
        <f>+G116+J116</f>
        <v>55.764589515331352</v>
      </c>
      <c r="L116" s="619">
        <v>0.4</v>
      </c>
      <c r="M116" s="620">
        <f>+K116*1.4</f>
        <v>78.070425321463887</v>
      </c>
      <c r="N116" s="616">
        <v>75</v>
      </c>
      <c r="O116" s="616"/>
      <c r="Q116" s="523" t="s">
        <v>990</v>
      </c>
      <c r="R116" s="647"/>
      <c r="S116" s="648"/>
    </row>
    <row r="117" spans="2:19" s="523" customFormat="1" x14ac:dyDescent="0.35">
      <c r="B117" s="521" t="s">
        <v>861</v>
      </c>
      <c r="C117" s="522"/>
      <c r="D117" s="523">
        <v>16</v>
      </c>
      <c r="E117" s="523" t="s">
        <v>412</v>
      </c>
      <c r="F117" s="523" t="s">
        <v>859</v>
      </c>
      <c r="G117" s="616">
        <v>28</v>
      </c>
      <c r="H117" s="523">
        <v>6066</v>
      </c>
      <c r="I117" s="616">
        <v>6015</v>
      </c>
      <c r="J117" s="617">
        <f>+G117/H117*I117</f>
        <v>27.764589515331355</v>
      </c>
      <c r="K117" s="618">
        <f>+G117+J117</f>
        <v>55.764589515331352</v>
      </c>
      <c r="L117" s="619">
        <v>0.4</v>
      </c>
      <c r="M117" s="620">
        <f>+K117*1.4</f>
        <v>78.070425321463887</v>
      </c>
      <c r="N117" s="616">
        <v>75</v>
      </c>
      <c r="O117" s="616"/>
      <c r="Q117" s="523" t="s">
        <v>990</v>
      </c>
      <c r="R117" s="647"/>
      <c r="S117" s="648"/>
    </row>
    <row r="118" spans="2:19" x14ac:dyDescent="0.35">
      <c r="B118" s="3" t="s">
        <v>861</v>
      </c>
      <c r="C118" s="233"/>
      <c r="D118">
        <v>17</v>
      </c>
      <c r="E118" t="s">
        <v>407</v>
      </c>
      <c r="F118" t="s">
        <v>860</v>
      </c>
      <c r="G118" s="173">
        <v>28</v>
      </c>
      <c r="H118">
        <v>6066</v>
      </c>
      <c r="I118" s="173">
        <v>6015</v>
      </c>
      <c r="J118" s="459">
        <f>+G118/H118*I118</f>
        <v>27.764589515331355</v>
      </c>
      <c r="K118" s="471">
        <f>+G118+J118</f>
        <v>55.764589515331352</v>
      </c>
      <c r="L118" s="468">
        <v>0.4</v>
      </c>
      <c r="M118" s="145">
        <f>+K118*1.4</f>
        <v>78.070425321463887</v>
      </c>
      <c r="N118" s="173">
        <v>75</v>
      </c>
      <c r="O118" s="344"/>
      <c r="Q118" t="s">
        <v>991</v>
      </c>
      <c r="R118" s="467"/>
      <c r="S118" s="420"/>
    </row>
    <row r="119" spans="2:19" s="523" customFormat="1" x14ac:dyDescent="0.35">
      <c r="B119" s="532" t="s">
        <v>880</v>
      </c>
      <c r="C119" s="522"/>
      <c r="D119" s="523">
        <v>18</v>
      </c>
      <c r="F119" s="523" t="s">
        <v>1798</v>
      </c>
      <c r="G119" s="616"/>
      <c r="I119" s="616"/>
      <c r="J119" s="617"/>
      <c r="K119" s="618"/>
      <c r="L119" s="619"/>
      <c r="M119" s="620"/>
      <c r="N119" s="616"/>
      <c r="O119" s="616"/>
      <c r="Q119" s="523" t="s">
        <v>990</v>
      </c>
      <c r="R119" s="647"/>
      <c r="S119" s="648"/>
    </row>
    <row r="120" spans="2:19" x14ac:dyDescent="0.35">
      <c r="B120" s="533">
        <v>45191</v>
      </c>
      <c r="C120" s="233"/>
      <c r="D120">
        <v>19</v>
      </c>
      <c r="F120" t="s">
        <v>879</v>
      </c>
      <c r="G120" s="173"/>
      <c r="I120" s="173"/>
      <c r="J120" s="459"/>
      <c r="K120" s="471"/>
      <c r="L120" s="468"/>
      <c r="M120" s="145"/>
      <c r="N120" s="173"/>
      <c r="O120" s="344"/>
      <c r="Q120" s="92" t="s">
        <v>1112</v>
      </c>
      <c r="R120" s="467"/>
      <c r="S120" s="420"/>
    </row>
    <row r="121" spans="2:19" x14ac:dyDescent="0.35">
      <c r="C121" s="256" t="s">
        <v>1142</v>
      </c>
      <c r="E121" s="366"/>
      <c r="G121" s="173"/>
      <c r="I121" s="173"/>
      <c r="J121" s="402"/>
      <c r="K121" s="402"/>
      <c r="L121" s="174"/>
      <c r="M121" s="173"/>
      <c r="N121" s="173"/>
      <c r="O121" s="13"/>
      <c r="S121" s="420"/>
    </row>
    <row r="122" spans="2:19" s="523" customFormat="1" x14ac:dyDescent="0.35">
      <c r="C122" s="522" t="s">
        <v>186</v>
      </c>
      <c r="D122" s="523">
        <v>20</v>
      </c>
      <c r="E122" s="526" t="s">
        <v>407</v>
      </c>
      <c r="F122" s="527" t="s">
        <v>1145</v>
      </c>
      <c r="G122" s="616">
        <v>28</v>
      </c>
      <c r="H122" s="523">
        <v>1120</v>
      </c>
      <c r="I122" s="616">
        <f t="shared" ref="I122:I127" si="9">16*40</f>
        <v>640</v>
      </c>
      <c r="J122" s="641">
        <f t="shared" ref="J122:J127" si="10">+G122/H122*I122</f>
        <v>16</v>
      </c>
      <c r="K122" s="641">
        <f t="shared" ref="K122:K127" si="11">+G122+J122</f>
        <v>44</v>
      </c>
      <c r="L122" s="642"/>
      <c r="M122" s="616">
        <f t="shared" ref="M122:M127" si="12">+K122*1.4</f>
        <v>61.599999999999994</v>
      </c>
      <c r="N122" s="616">
        <v>75</v>
      </c>
      <c r="Q122" s="523" t="s">
        <v>990</v>
      </c>
      <c r="S122" s="648"/>
    </row>
    <row r="123" spans="2:19" x14ac:dyDescent="0.35">
      <c r="C123" s="233" t="s">
        <v>186</v>
      </c>
      <c r="D123">
        <v>21</v>
      </c>
      <c r="E123" s="366" t="s">
        <v>408</v>
      </c>
      <c r="F123" s="245" t="s">
        <v>1146</v>
      </c>
      <c r="G123" s="173">
        <v>28</v>
      </c>
      <c r="H123">
        <v>1120</v>
      </c>
      <c r="I123" s="173">
        <f t="shared" si="9"/>
        <v>640</v>
      </c>
      <c r="J123" s="402">
        <f t="shared" si="10"/>
        <v>16</v>
      </c>
      <c r="K123" s="402">
        <f t="shared" si="11"/>
        <v>44</v>
      </c>
      <c r="L123" s="174"/>
      <c r="M123" s="173">
        <f t="shared" si="12"/>
        <v>61.599999999999994</v>
      </c>
      <c r="N123" s="173">
        <v>75</v>
      </c>
      <c r="Q123" t="s">
        <v>1644</v>
      </c>
      <c r="S123" s="420"/>
    </row>
    <row r="124" spans="2:19" s="523" customFormat="1" x14ac:dyDescent="0.35">
      <c r="C124" s="522" t="s">
        <v>186</v>
      </c>
      <c r="D124" s="523">
        <v>22</v>
      </c>
      <c r="E124" s="526" t="s">
        <v>412</v>
      </c>
      <c r="F124" s="527" t="s">
        <v>1150</v>
      </c>
      <c r="G124" s="616">
        <v>28</v>
      </c>
      <c r="H124" s="523">
        <v>1120</v>
      </c>
      <c r="I124" s="616">
        <f t="shared" si="9"/>
        <v>640</v>
      </c>
      <c r="J124" s="641">
        <f t="shared" si="10"/>
        <v>16</v>
      </c>
      <c r="K124" s="641">
        <f t="shared" si="11"/>
        <v>44</v>
      </c>
      <c r="L124" s="642"/>
      <c r="M124" s="616">
        <f t="shared" si="12"/>
        <v>61.599999999999994</v>
      </c>
      <c r="N124" s="616">
        <v>75</v>
      </c>
      <c r="Q124" s="523" t="s">
        <v>990</v>
      </c>
      <c r="S124" s="648"/>
    </row>
    <row r="125" spans="2:19" s="523" customFormat="1" x14ac:dyDescent="0.35">
      <c r="C125" s="522" t="s">
        <v>186</v>
      </c>
      <c r="D125" s="523">
        <v>23</v>
      </c>
      <c r="E125" s="526" t="s">
        <v>408</v>
      </c>
      <c r="F125" s="527" t="s">
        <v>1147</v>
      </c>
      <c r="G125" s="616">
        <v>28</v>
      </c>
      <c r="H125" s="523">
        <v>1120</v>
      </c>
      <c r="I125" s="616">
        <f t="shared" si="9"/>
        <v>640</v>
      </c>
      <c r="J125" s="641">
        <f t="shared" si="10"/>
        <v>16</v>
      </c>
      <c r="K125" s="641">
        <f t="shared" si="11"/>
        <v>44</v>
      </c>
      <c r="L125" s="642"/>
      <c r="M125" s="616">
        <f t="shared" si="12"/>
        <v>61.599999999999994</v>
      </c>
      <c r="N125" s="616">
        <v>75</v>
      </c>
      <c r="Q125" s="523" t="s">
        <v>990</v>
      </c>
      <c r="S125" s="648"/>
    </row>
    <row r="126" spans="2:19" s="523" customFormat="1" x14ac:dyDescent="0.35">
      <c r="C126" s="522" t="s">
        <v>186</v>
      </c>
      <c r="D126" s="523">
        <v>24</v>
      </c>
      <c r="E126" s="526" t="s">
        <v>407</v>
      </c>
      <c r="F126" s="527" t="s">
        <v>1147</v>
      </c>
      <c r="G126" s="616">
        <v>28</v>
      </c>
      <c r="H126" s="523">
        <v>1120</v>
      </c>
      <c r="I126" s="616">
        <f t="shared" si="9"/>
        <v>640</v>
      </c>
      <c r="J126" s="641">
        <f t="shared" si="10"/>
        <v>16</v>
      </c>
      <c r="K126" s="641">
        <f t="shared" si="11"/>
        <v>44</v>
      </c>
      <c r="L126" s="642"/>
      <c r="M126" s="616">
        <f t="shared" si="12"/>
        <v>61.599999999999994</v>
      </c>
      <c r="N126" s="616">
        <v>75</v>
      </c>
      <c r="Q126" s="523" t="s">
        <v>1697</v>
      </c>
      <c r="R126" s="643">
        <v>45793</v>
      </c>
      <c r="S126" s="648"/>
    </row>
    <row r="127" spans="2:19" s="523" customFormat="1" x14ac:dyDescent="0.35">
      <c r="C127" s="522" t="s">
        <v>186</v>
      </c>
      <c r="D127" s="523">
        <v>25</v>
      </c>
      <c r="E127" s="526" t="s">
        <v>409</v>
      </c>
      <c r="F127" s="527" t="s">
        <v>1147</v>
      </c>
      <c r="G127" s="616">
        <v>28</v>
      </c>
      <c r="H127" s="523">
        <v>1120</v>
      </c>
      <c r="I127" s="616">
        <f t="shared" si="9"/>
        <v>640</v>
      </c>
      <c r="J127" s="641">
        <f t="shared" si="10"/>
        <v>16</v>
      </c>
      <c r="K127" s="641">
        <f t="shared" si="11"/>
        <v>44</v>
      </c>
      <c r="L127" s="642"/>
      <c r="M127" s="616">
        <f t="shared" si="12"/>
        <v>61.599999999999994</v>
      </c>
      <c r="N127" s="616">
        <v>75</v>
      </c>
      <c r="Q127" s="523" t="s">
        <v>990</v>
      </c>
      <c r="S127" s="648"/>
    </row>
    <row r="128" spans="2:19" x14ac:dyDescent="0.35">
      <c r="C128" s="232" t="s">
        <v>1692</v>
      </c>
      <c r="E128" s="366"/>
      <c r="F128" s="245"/>
      <c r="G128" s="173"/>
      <c r="I128" s="173"/>
      <c r="J128" s="402"/>
      <c r="K128" s="402"/>
      <c r="L128" s="174"/>
      <c r="M128" s="173"/>
      <c r="N128" s="173"/>
      <c r="S128" s="420"/>
    </row>
    <row r="129" spans="1:18" s="523" customFormat="1" x14ac:dyDescent="0.35">
      <c r="A129" s="521"/>
      <c r="B129" s="522" t="s">
        <v>179</v>
      </c>
      <c r="C129" s="522" t="s">
        <v>179</v>
      </c>
      <c r="E129" s="526"/>
      <c r="F129" s="527" t="s">
        <v>1662</v>
      </c>
      <c r="G129" s="620">
        <v>27</v>
      </c>
      <c r="H129" s="523">
        <v>6149</v>
      </c>
      <c r="I129" s="616">
        <f t="shared" ref="I129:I141" si="13">5832-600</f>
        <v>5232</v>
      </c>
      <c r="J129" s="641">
        <f t="shared" ref="J129:J141" si="14">+G129/H129*I129</f>
        <v>22.973491624654418</v>
      </c>
      <c r="K129" s="616">
        <f t="shared" ref="K129:K141" si="15">+G129+J129</f>
        <v>49.973491624654415</v>
      </c>
      <c r="L129" s="642"/>
      <c r="M129" s="616">
        <f t="shared" ref="M129:M141" si="16">+K129*1.4</f>
        <v>69.962888274516175</v>
      </c>
      <c r="N129" s="616">
        <v>75</v>
      </c>
      <c r="Q129" s="523" t="s">
        <v>1799</v>
      </c>
    </row>
    <row r="130" spans="1:18" s="523" customFormat="1" x14ac:dyDescent="0.35">
      <c r="A130" s="521"/>
      <c r="B130" s="522" t="s">
        <v>179</v>
      </c>
      <c r="C130" s="522" t="s">
        <v>179</v>
      </c>
      <c r="E130" s="526"/>
      <c r="F130" s="527" t="s">
        <v>1663</v>
      </c>
      <c r="G130" s="620">
        <v>27</v>
      </c>
      <c r="H130" s="523">
        <v>6149</v>
      </c>
      <c r="I130" s="616">
        <f t="shared" si="13"/>
        <v>5232</v>
      </c>
      <c r="J130" s="641">
        <f t="shared" si="14"/>
        <v>22.973491624654418</v>
      </c>
      <c r="K130" s="616">
        <f t="shared" si="15"/>
        <v>49.973491624654415</v>
      </c>
      <c r="L130" s="642"/>
      <c r="M130" s="616">
        <f t="shared" si="16"/>
        <v>69.962888274516175</v>
      </c>
      <c r="N130" s="616">
        <v>75</v>
      </c>
      <c r="Q130" s="523" t="s">
        <v>1799</v>
      </c>
    </row>
    <row r="131" spans="1:18" s="523" customFormat="1" x14ac:dyDescent="0.35">
      <c r="A131" s="521"/>
      <c r="B131" s="522" t="s">
        <v>179</v>
      </c>
      <c r="C131" s="522" t="s">
        <v>179</v>
      </c>
      <c r="E131" s="526"/>
      <c r="F131" s="527" t="s">
        <v>1664</v>
      </c>
      <c r="G131" s="620">
        <v>27</v>
      </c>
      <c r="H131" s="523">
        <v>6149</v>
      </c>
      <c r="I131" s="616">
        <f t="shared" si="13"/>
        <v>5232</v>
      </c>
      <c r="J131" s="641">
        <f t="shared" si="14"/>
        <v>22.973491624654418</v>
      </c>
      <c r="K131" s="616">
        <f t="shared" si="15"/>
        <v>49.973491624654415</v>
      </c>
      <c r="L131" s="642"/>
      <c r="M131" s="616">
        <f t="shared" si="16"/>
        <v>69.962888274516175</v>
      </c>
      <c r="N131" s="616">
        <v>75</v>
      </c>
      <c r="Q131" s="523" t="s">
        <v>1799</v>
      </c>
    </row>
    <row r="132" spans="1:18" s="523" customFormat="1" x14ac:dyDescent="0.35">
      <c r="A132" s="521"/>
      <c r="B132" s="522" t="s">
        <v>179</v>
      </c>
      <c r="C132" s="522" t="s">
        <v>179</v>
      </c>
      <c r="E132" s="526"/>
      <c r="F132" s="527" t="s">
        <v>1665</v>
      </c>
      <c r="G132" s="620">
        <v>28</v>
      </c>
      <c r="H132" s="523">
        <v>6149</v>
      </c>
      <c r="I132" s="616">
        <f t="shared" si="13"/>
        <v>5232</v>
      </c>
      <c r="J132" s="641">
        <f t="shared" si="14"/>
        <v>23.824361684826801</v>
      </c>
      <c r="K132" s="616">
        <f t="shared" si="15"/>
        <v>51.824361684826798</v>
      </c>
      <c r="L132" s="642"/>
      <c r="M132" s="616">
        <f t="shared" si="16"/>
        <v>72.554106358757508</v>
      </c>
      <c r="N132" s="616">
        <v>85</v>
      </c>
      <c r="Q132" s="523" t="s">
        <v>990</v>
      </c>
    </row>
    <row r="133" spans="1:18" s="523" customFormat="1" x14ac:dyDescent="0.35">
      <c r="A133" s="521"/>
      <c r="B133" s="522" t="s">
        <v>179</v>
      </c>
      <c r="C133" s="522" t="s">
        <v>179</v>
      </c>
      <c r="E133" s="526"/>
      <c r="F133" s="527" t="s">
        <v>1800</v>
      </c>
      <c r="G133" s="620">
        <v>28</v>
      </c>
      <c r="H133" s="523">
        <v>6149</v>
      </c>
      <c r="I133" s="616">
        <f t="shared" si="13"/>
        <v>5232</v>
      </c>
      <c r="J133" s="641">
        <f t="shared" si="14"/>
        <v>23.824361684826801</v>
      </c>
      <c r="K133" s="616">
        <f t="shared" si="15"/>
        <v>51.824361684826798</v>
      </c>
      <c r="L133" s="642"/>
      <c r="M133" s="616">
        <f t="shared" si="16"/>
        <v>72.554106358757508</v>
      </c>
      <c r="N133" s="616">
        <v>85</v>
      </c>
      <c r="Q133" s="523" t="s">
        <v>990</v>
      </c>
    </row>
    <row r="134" spans="1:18" s="523" customFormat="1" x14ac:dyDescent="0.35">
      <c r="A134" s="521"/>
      <c r="B134" s="522" t="s">
        <v>179</v>
      </c>
      <c r="C134" s="522" t="s">
        <v>179</v>
      </c>
      <c r="E134" s="526"/>
      <c r="F134" s="527" t="s">
        <v>1667</v>
      </c>
      <c r="G134" s="620">
        <v>28</v>
      </c>
      <c r="H134" s="523">
        <v>6149</v>
      </c>
      <c r="I134" s="616">
        <f t="shared" si="13"/>
        <v>5232</v>
      </c>
      <c r="J134" s="641">
        <f t="shared" si="14"/>
        <v>23.824361684826801</v>
      </c>
      <c r="K134" s="616">
        <f t="shared" si="15"/>
        <v>51.824361684826798</v>
      </c>
      <c r="L134" s="642"/>
      <c r="M134" s="616">
        <f t="shared" si="16"/>
        <v>72.554106358757508</v>
      </c>
      <c r="N134" s="616">
        <v>85</v>
      </c>
      <c r="Q134" s="523" t="s">
        <v>990</v>
      </c>
    </row>
    <row r="135" spans="1:18" s="523" customFormat="1" x14ac:dyDescent="0.35">
      <c r="A135" s="521"/>
      <c r="B135" s="522" t="s">
        <v>179</v>
      </c>
      <c r="C135" s="522" t="s">
        <v>179</v>
      </c>
      <c r="E135" s="526"/>
      <c r="F135" s="527" t="s">
        <v>1667</v>
      </c>
      <c r="G135" s="620">
        <v>28</v>
      </c>
      <c r="H135" s="523">
        <v>6149</v>
      </c>
      <c r="I135" s="616">
        <f t="shared" si="13"/>
        <v>5232</v>
      </c>
      <c r="J135" s="641">
        <f t="shared" si="14"/>
        <v>23.824361684826801</v>
      </c>
      <c r="K135" s="616">
        <f t="shared" si="15"/>
        <v>51.824361684826798</v>
      </c>
      <c r="L135" s="642"/>
      <c r="M135" s="616">
        <f t="shared" si="16"/>
        <v>72.554106358757508</v>
      </c>
      <c r="N135" s="616">
        <v>85</v>
      </c>
      <c r="Q135" s="523" t="s">
        <v>990</v>
      </c>
    </row>
    <row r="136" spans="1:18" s="523" customFormat="1" x14ac:dyDescent="0.35">
      <c r="A136" s="521"/>
      <c r="B136" s="522" t="s">
        <v>179</v>
      </c>
      <c r="C136" s="522" t="s">
        <v>179</v>
      </c>
      <c r="E136" s="526"/>
      <c r="F136" s="527" t="s">
        <v>1667</v>
      </c>
      <c r="G136" s="620">
        <v>28</v>
      </c>
      <c r="H136" s="523">
        <v>6149</v>
      </c>
      <c r="I136" s="616">
        <f t="shared" si="13"/>
        <v>5232</v>
      </c>
      <c r="J136" s="641">
        <f t="shared" si="14"/>
        <v>23.824361684826801</v>
      </c>
      <c r="K136" s="616">
        <f t="shared" si="15"/>
        <v>51.824361684826798</v>
      </c>
      <c r="L136" s="642"/>
      <c r="M136" s="616">
        <f t="shared" si="16"/>
        <v>72.554106358757508</v>
      </c>
      <c r="N136" s="616">
        <v>85</v>
      </c>
    </row>
    <row r="137" spans="1:18" x14ac:dyDescent="0.35">
      <c r="A137" s="3"/>
      <c r="B137" s="233" t="s">
        <v>179</v>
      </c>
      <c r="C137" s="233" t="s">
        <v>179</v>
      </c>
      <c r="E137" s="366"/>
      <c r="F137" s="371" t="s">
        <v>1668</v>
      </c>
      <c r="G137" s="342">
        <v>28</v>
      </c>
      <c r="H137" s="12">
        <v>6149</v>
      </c>
      <c r="I137" s="176">
        <f t="shared" si="13"/>
        <v>5232</v>
      </c>
      <c r="J137" s="410">
        <f t="shared" si="14"/>
        <v>23.824361684826801</v>
      </c>
      <c r="K137" s="176">
        <f t="shared" si="15"/>
        <v>51.824361684826798</v>
      </c>
      <c r="L137" s="411"/>
      <c r="M137" s="176">
        <f t="shared" si="16"/>
        <v>72.554106358757508</v>
      </c>
      <c r="N137" s="176">
        <v>85</v>
      </c>
      <c r="Q137" t="s">
        <v>2475</v>
      </c>
      <c r="R137" s="6">
        <v>46059</v>
      </c>
    </row>
    <row r="138" spans="1:18" s="523" customFormat="1" x14ac:dyDescent="0.35">
      <c r="A138" s="521"/>
      <c r="B138" s="522" t="s">
        <v>179</v>
      </c>
      <c r="C138" s="522" t="s">
        <v>179</v>
      </c>
      <c r="E138" s="526"/>
      <c r="F138" s="527" t="s">
        <v>1668</v>
      </c>
      <c r="G138" s="620">
        <v>28</v>
      </c>
      <c r="H138" s="523">
        <v>6149</v>
      </c>
      <c r="I138" s="616">
        <f t="shared" si="13"/>
        <v>5232</v>
      </c>
      <c r="J138" s="641">
        <f t="shared" si="14"/>
        <v>23.824361684826801</v>
      </c>
      <c r="K138" s="616">
        <f t="shared" si="15"/>
        <v>51.824361684826798</v>
      </c>
      <c r="L138" s="642"/>
      <c r="M138" s="616">
        <f t="shared" si="16"/>
        <v>72.554106358757508</v>
      </c>
      <c r="N138" s="616">
        <v>85</v>
      </c>
      <c r="Q138" s="523" t="s">
        <v>990</v>
      </c>
    </row>
    <row r="139" spans="1:18" x14ac:dyDescent="0.35">
      <c r="A139" s="3"/>
      <c r="B139" s="233" t="s">
        <v>179</v>
      </c>
      <c r="C139" s="233" t="s">
        <v>179</v>
      </c>
      <c r="E139" s="366"/>
      <c r="F139" s="372" t="s">
        <v>1669</v>
      </c>
      <c r="G139" s="866">
        <v>35</v>
      </c>
      <c r="H139" s="343">
        <v>6149</v>
      </c>
      <c r="I139" s="373">
        <f t="shared" si="13"/>
        <v>5232</v>
      </c>
      <c r="J139" s="407">
        <f t="shared" si="14"/>
        <v>29.780452106033501</v>
      </c>
      <c r="K139" s="373">
        <f t="shared" si="15"/>
        <v>64.780452106033493</v>
      </c>
      <c r="L139" s="408"/>
      <c r="M139" s="373">
        <f t="shared" si="16"/>
        <v>90.692632948446885</v>
      </c>
      <c r="N139" s="373">
        <v>100</v>
      </c>
      <c r="Q139" t="s">
        <v>2760</v>
      </c>
      <c r="R139" s="6">
        <v>46087</v>
      </c>
    </row>
    <row r="140" spans="1:18" s="523" customFormat="1" x14ac:dyDescent="0.35">
      <c r="A140" s="521"/>
      <c r="B140" s="522" t="s">
        <v>179</v>
      </c>
      <c r="C140" s="522" t="s">
        <v>179</v>
      </c>
      <c r="E140" s="526"/>
      <c r="F140" s="527" t="s">
        <v>1669</v>
      </c>
      <c r="G140" s="620">
        <v>35</v>
      </c>
      <c r="H140" s="523">
        <v>6149</v>
      </c>
      <c r="I140" s="616">
        <f t="shared" si="13"/>
        <v>5232</v>
      </c>
      <c r="J140" s="641">
        <f t="shared" si="14"/>
        <v>29.780452106033501</v>
      </c>
      <c r="K140" s="616">
        <f t="shared" si="15"/>
        <v>64.780452106033493</v>
      </c>
      <c r="L140" s="642"/>
      <c r="M140" s="616">
        <f t="shared" si="16"/>
        <v>90.692632948446885</v>
      </c>
      <c r="N140" s="616">
        <v>100</v>
      </c>
      <c r="Q140" s="523" t="s">
        <v>990</v>
      </c>
    </row>
    <row r="141" spans="1:18" s="523" customFormat="1" x14ac:dyDescent="0.35">
      <c r="A141" s="521"/>
      <c r="B141" s="522" t="s">
        <v>179</v>
      </c>
      <c r="C141" s="522" t="s">
        <v>179</v>
      </c>
      <c r="E141" s="526"/>
      <c r="F141" s="527" t="s">
        <v>1669</v>
      </c>
      <c r="G141" s="620">
        <v>35</v>
      </c>
      <c r="H141" s="523">
        <v>6149</v>
      </c>
      <c r="I141" s="616">
        <f t="shared" si="13"/>
        <v>5232</v>
      </c>
      <c r="J141" s="641">
        <f t="shared" si="14"/>
        <v>29.780452106033501</v>
      </c>
      <c r="K141" s="616">
        <f t="shared" si="15"/>
        <v>64.780452106033493</v>
      </c>
      <c r="L141" s="642"/>
      <c r="M141" s="616">
        <f t="shared" si="16"/>
        <v>90.692632948446885</v>
      </c>
      <c r="N141" s="616">
        <v>100</v>
      </c>
      <c r="Q141" s="523" t="s">
        <v>990</v>
      </c>
    </row>
    <row r="142" spans="1:18" s="523" customFormat="1" x14ac:dyDescent="0.35">
      <c r="A142" s="521"/>
      <c r="B142" s="522" t="s">
        <v>179</v>
      </c>
      <c r="C142" s="522" t="s">
        <v>179</v>
      </c>
      <c r="E142" s="526"/>
      <c r="F142" s="527" t="s">
        <v>1674</v>
      </c>
      <c r="G142" s="620">
        <v>19</v>
      </c>
      <c r="H142" s="523">
        <v>6149</v>
      </c>
      <c r="I142" s="616">
        <f t="shared" ref="I142:I147" si="17">5832-600</f>
        <v>5232</v>
      </c>
      <c r="J142" s="641">
        <f t="shared" ref="J142:J147" si="18">+G142/H142*I142</f>
        <v>16.166531143275328</v>
      </c>
      <c r="K142" s="616">
        <f t="shared" ref="K142:K147" si="19">+G142+J142</f>
        <v>35.166531143275328</v>
      </c>
      <c r="L142" s="642"/>
      <c r="M142" s="616">
        <f t="shared" ref="M142:M147" si="20">+K142*1.4</f>
        <v>49.233143600585457</v>
      </c>
      <c r="N142" s="616">
        <v>65</v>
      </c>
      <c r="Q142" s="523" t="s">
        <v>990</v>
      </c>
    </row>
    <row r="143" spans="1:18" s="523" customFormat="1" x14ac:dyDescent="0.35">
      <c r="A143" s="521"/>
      <c r="B143" s="522" t="s">
        <v>179</v>
      </c>
      <c r="C143" s="522" t="s">
        <v>179</v>
      </c>
      <c r="E143" s="526"/>
      <c r="F143" s="527" t="s">
        <v>1674</v>
      </c>
      <c r="G143" s="620">
        <v>19</v>
      </c>
      <c r="H143" s="523">
        <v>6149</v>
      </c>
      <c r="I143" s="616">
        <f t="shared" si="17"/>
        <v>5232</v>
      </c>
      <c r="J143" s="641">
        <f t="shared" si="18"/>
        <v>16.166531143275328</v>
      </c>
      <c r="K143" s="616">
        <f t="shared" si="19"/>
        <v>35.166531143275328</v>
      </c>
      <c r="L143" s="642"/>
      <c r="M143" s="616">
        <f t="shared" si="20"/>
        <v>49.233143600585457</v>
      </c>
      <c r="N143" s="616">
        <v>65</v>
      </c>
      <c r="Q143" s="523" t="s">
        <v>990</v>
      </c>
    </row>
    <row r="144" spans="1:18" s="523" customFormat="1" x14ac:dyDescent="0.35">
      <c r="A144" s="521"/>
      <c r="B144" s="522" t="s">
        <v>179</v>
      </c>
      <c r="C144" s="522" t="s">
        <v>179</v>
      </c>
      <c r="E144" s="526"/>
      <c r="F144" s="527" t="s">
        <v>1674</v>
      </c>
      <c r="G144" s="620">
        <v>19</v>
      </c>
      <c r="H144" s="523">
        <v>6149</v>
      </c>
      <c r="I144" s="616">
        <f t="shared" si="17"/>
        <v>5232</v>
      </c>
      <c r="J144" s="641">
        <f t="shared" si="18"/>
        <v>16.166531143275328</v>
      </c>
      <c r="K144" s="616">
        <f t="shared" si="19"/>
        <v>35.166531143275328</v>
      </c>
      <c r="L144" s="642"/>
      <c r="M144" s="616">
        <f t="shared" si="20"/>
        <v>49.233143600585457</v>
      </c>
      <c r="N144" s="616">
        <v>65</v>
      </c>
      <c r="Q144" s="523" t="s">
        <v>990</v>
      </c>
    </row>
    <row r="145" spans="1:18" s="523" customFormat="1" x14ac:dyDescent="0.35">
      <c r="A145" s="521"/>
      <c r="B145" s="522" t="s">
        <v>179</v>
      </c>
      <c r="C145" s="522" t="s">
        <v>179</v>
      </c>
      <c r="E145" s="526"/>
      <c r="F145" s="527" t="s">
        <v>1686</v>
      </c>
      <c r="G145" s="620">
        <v>27</v>
      </c>
      <c r="H145" s="523">
        <v>6149</v>
      </c>
      <c r="I145" s="616">
        <f t="shared" si="17"/>
        <v>5232</v>
      </c>
      <c r="J145" s="641">
        <f t="shared" si="18"/>
        <v>22.973491624654418</v>
      </c>
      <c r="K145" s="616">
        <f t="shared" si="19"/>
        <v>49.973491624654415</v>
      </c>
      <c r="L145" s="642"/>
      <c r="M145" s="616">
        <f t="shared" si="20"/>
        <v>69.962888274516175</v>
      </c>
      <c r="N145" s="616">
        <v>75</v>
      </c>
      <c r="Q145" s="523" t="s">
        <v>990</v>
      </c>
    </row>
    <row r="146" spans="1:18" s="523" customFormat="1" x14ac:dyDescent="0.35">
      <c r="A146" s="521"/>
      <c r="B146" s="522" t="s">
        <v>179</v>
      </c>
      <c r="C146" s="522" t="s">
        <v>179</v>
      </c>
      <c r="E146" s="526"/>
      <c r="F146" s="527" t="s">
        <v>1687</v>
      </c>
      <c r="G146" s="620">
        <v>27</v>
      </c>
      <c r="H146" s="523">
        <v>6149</v>
      </c>
      <c r="I146" s="616">
        <f t="shared" si="17"/>
        <v>5232</v>
      </c>
      <c r="J146" s="641">
        <f t="shared" si="18"/>
        <v>22.973491624654418</v>
      </c>
      <c r="K146" s="616">
        <f t="shared" si="19"/>
        <v>49.973491624654415</v>
      </c>
      <c r="L146" s="642"/>
      <c r="M146" s="616">
        <f t="shared" si="20"/>
        <v>69.962888274516175</v>
      </c>
      <c r="N146" s="616">
        <v>75</v>
      </c>
      <c r="Q146" s="523" t="s">
        <v>990</v>
      </c>
    </row>
    <row r="147" spans="1:18" s="523" customFormat="1" x14ac:dyDescent="0.35">
      <c r="A147" s="521"/>
      <c r="B147" s="522" t="s">
        <v>179</v>
      </c>
      <c r="C147" s="522" t="s">
        <v>179</v>
      </c>
      <c r="E147" s="526"/>
      <c r="F147" s="527" t="s">
        <v>1687</v>
      </c>
      <c r="G147" s="620">
        <v>27</v>
      </c>
      <c r="H147" s="523">
        <v>6149</v>
      </c>
      <c r="I147" s="616">
        <f t="shared" si="17"/>
        <v>5232</v>
      </c>
      <c r="J147" s="641">
        <f t="shared" si="18"/>
        <v>22.973491624654418</v>
      </c>
      <c r="K147" s="616">
        <f t="shared" si="19"/>
        <v>49.973491624654415</v>
      </c>
      <c r="L147" s="642"/>
      <c r="M147" s="616">
        <f t="shared" si="20"/>
        <v>69.962888274516175</v>
      </c>
      <c r="N147" s="616">
        <v>75</v>
      </c>
      <c r="Q147" s="523" t="s">
        <v>990</v>
      </c>
    </row>
    <row r="148" spans="1:18" x14ac:dyDescent="0.35">
      <c r="A148" s="3"/>
      <c r="B148" s="233"/>
      <c r="C148" s="233"/>
      <c r="E148" s="366"/>
      <c r="F148" s="245" t="s">
        <v>2906</v>
      </c>
      <c r="G148" s="145"/>
      <c r="I148" s="173"/>
      <c r="J148" s="402"/>
      <c r="K148" s="173"/>
      <c r="L148" s="174"/>
      <c r="M148" s="173"/>
      <c r="N148" s="173"/>
    </row>
    <row r="149" spans="1:18" hidden="1" x14ac:dyDescent="0.35">
      <c r="A149" s="3"/>
      <c r="B149" s="3"/>
      <c r="C149" s="233"/>
      <c r="D149" s="233" t="s">
        <v>561</v>
      </c>
      <c r="E149" s="886" t="s">
        <v>2904</v>
      </c>
      <c r="F149" s="371" t="s">
        <v>2901</v>
      </c>
      <c r="G149" s="371"/>
      <c r="H149" s="176">
        <v>7</v>
      </c>
      <c r="I149" s="12">
        <v>680</v>
      </c>
      <c r="J149" s="176">
        <v>160</v>
      </c>
      <c r="K149" s="176">
        <f t="shared" ref="K149:K171" si="21">+H149/I149*J149</f>
        <v>1.6470588235294117</v>
      </c>
      <c r="L149" s="176">
        <f t="shared" ref="L149:L171" si="22">+H149+K149</f>
        <v>8.6470588235294112</v>
      </c>
      <c r="M149" s="12"/>
      <c r="N149" s="176">
        <f t="shared" ref="N149:N171" si="23">+L149*1.5</f>
        <v>12.970588235294116</v>
      </c>
      <c r="O149" s="176">
        <v>25</v>
      </c>
      <c r="Q149" t="s">
        <v>12</v>
      </c>
      <c r="R149" s="6">
        <v>46114</v>
      </c>
    </row>
    <row r="150" spans="1:18" hidden="1" x14ac:dyDescent="0.35">
      <c r="A150" s="3"/>
      <c r="B150" s="3"/>
      <c r="C150" s="233"/>
      <c r="D150" s="233" t="s">
        <v>561</v>
      </c>
      <c r="E150" s="886" t="s">
        <v>2904</v>
      </c>
      <c r="F150" s="371" t="s">
        <v>2901</v>
      </c>
      <c r="G150" s="371"/>
      <c r="H150" s="176">
        <v>7</v>
      </c>
      <c r="I150" s="12">
        <v>680</v>
      </c>
      <c r="J150" s="176">
        <v>160</v>
      </c>
      <c r="K150" s="176">
        <f t="shared" si="21"/>
        <v>1.6470588235294117</v>
      </c>
      <c r="L150" s="176">
        <f t="shared" si="22"/>
        <v>8.6470588235294112</v>
      </c>
      <c r="M150" s="12"/>
      <c r="N150" s="176">
        <f t="shared" si="23"/>
        <v>12.970588235294116</v>
      </c>
      <c r="O150" s="176">
        <v>25</v>
      </c>
      <c r="Q150" t="s">
        <v>12</v>
      </c>
      <c r="R150" s="6">
        <v>46114</v>
      </c>
    </row>
    <row r="151" spans="1:18" hidden="1" x14ac:dyDescent="0.35">
      <c r="A151" s="3"/>
      <c r="B151" s="3"/>
      <c r="C151" s="233"/>
      <c r="D151" s="233" t="s">
        <v>561</v>
      </c>
      <c r="E151" s="886" t="s">
        <v>2904</v>
      </c>
      <c r="F151" s="371" t="s">
        <v>2901</v>
      </c>
      <c r="G151" s="371"/>
      <c r="H151" s="176">
        <v>7</v>
      </c>
      <c r="I151" s="12">
        <v>680</v>
      </c>
      <c r="J151" s="176">
        <v>160</v>
      </c>
      <c r="K151" s="176">
        <f t="shared" si="21"/>
        <v>1.6470588235294117</v>
      </c>
      <c r="L151" s="176">
        <f t="shared" si="22"/>
        <v>8.6470588235294112</v>
      </c>
      <c r="M151" s="12"/>
      <c r="N151" s="176">
        <f t="shared" si="23"/>
        <v>12.970588235294116</v>
      </c>
      <c r="O151" s="176">
        <v>25</v>
      </c>
      <c r="Q151" t="s">
        <v>12</v>
      </c>
      <c r="R151" s="6">
        <v>46115</v>
      </c>
    </row>
    <row r="152" spans="1:18" hidden="1" x14ac:dyDescent="0.35">
      <c r="A152" s="3"/>
      <c r="B152" s="3"/>
      <c r="C152" s="233"/>
      <c r="D152" s="233" t="s">
        <v>561</v>
      </c>
      <c r="E152" s="886" t="s">
        <v>2904</v>
      </c>
      <c r="F152" s="371" t="s">
        <v>2901</v>
      </c>
      <c r="G152" s="371"/>
      <c r="H152" s="176">
        <v>7</v>
      </c>
      <c r="I152" s="12">
        <v>680</v>
      </c>
      <c r="J152" s="176">
        <v>160</v>
      </c>
      <c r="K152" s="176">
        <f t="shared" si="21"/>
        <v>1.6470588235294117</v>
      </c>
      <c r="L152" s="176">
        <f t="shared" si="22"/>
        <v>8.6470588235294112</v>
      </c>
      <c r="M152" s="12"/>
      <c r="N152" s="176">
        <f t="shared" si="23"/>
        <v>12.970588235294116</v>
      </c>
      <c r="O152" s="176">
        <v>25</v>
      </c>
      <c r="Q152" t="s">
        <v>12</v>
      </c>
      <c r="R152" s="6">
        <v>46113</v>
      </c>
    </row>
    <row r="153" spans="1:18" x14ac:dyDescent="0.35">
      <c r="A153" s="3"/>
      <c r="B153" s="3"/>
      <c r="C153" s="233"/>
      <c r="D153" s="233" t="s">
        <v>561</v>
      </c>
      <c r="E153" s="886" t="s">
        <v>2904</v>
      </c>
      <c r="F153" s="245" t="s">
        <v>2901</v>
      </c>
      <c r="G153" s="245"/>
      <c r="H153" s="173">
        <v>7</v>
      </c>
      <c r="I153">
        <v>680</v>
      </c>
      <c r="J153" s="173">
        <v>160</v>
      </c>
      <c r="K153" s="173">
        <f t="shared" si="21"/>
        <v>1.6470588235294117</v>
      </c>
      <c r="L153" s="173">
        <f t="shared" si="22"/>
        <v>8.6470588235294112</v>
      </c>
      <c r="N153" s="173">
        <f t="shared" si="23"/>
        <v>12.970588235294116</v>
      </c>
      <c r="O153" s="173">
        <v>25</v>
      </c>
    </row>
    <row r="154" spans="1:18" x14ac:dyDescent="0.35">
      <c r="A154" s="3"/>
      <c r="B154" s="3"/>
      <c r="C154" s="233"/>
      <c r="D154" s="233" t="s">
        <v>561</v>
      </c>
      <c r="E154" s="886" t="s">
        <v>2904</v>
      </c>
      <c r="F154" s="245" t="s">
        <v>2901</v>
      </c>
      <c r="G154" s="245"/>
      <c r="H154" s="173">
        <v>7</v>
      </c>
      <c r="I154">
        <v>680</v>
      </c>
      <c r="J154" s="173">
        <v>160</v>
      </c>
      <c r="K154" s="173">
        <f t="shared" si="21"/>
        <v>1.6470588235294117</v>
      </c>
      <c r="L154" s="173">
        <f t="shared" si="22"/>
        <v>8.6470588235294112</v>
      </c>
      <c r="N154" s="173">
        <f t="shared" si="23"/>
        <v>12.970588235294116</v>
      </c>
      <c r="O154" s="173">
        <v>25</v>
      </c>
    </row>
    <row r="155" spans="1:18" x14ac:dyDescent="0.35">
      <c r="A155" s="3"/>
      <c r="B155" s="3"/>
      <c r="C155" s="596" t="s">
        <v>2960</v>
      </c>
      <c r="D155" s="233" t="s">
        <v>561</v>
      </c>
      <c r="E155" s="886" t="s">
        <v>2904</v>
      </c>
      <c r="F155" s="245" t="s">
        <v>2901</v>
      </c>
      <c r="G155" s="245"/>
      <c r="H155" s="173">
        <v>7</v>
      </c>
      <c r="I155">
        <v>680</v>
      </c>
      <c r="J155" s="173">
        <v>160</v>
      </c>
      <c r="K155" s="173">
        <f t="shared" ref="K155" si="24">+H155/I155*J155</f>
        <v>1.6470588235294117</v>
      </c>
      <c r="L155" s="173">
        <f t="shared" ref="L155" si="25">+H155+K155</f>
        <v>8.6470588235294112</v>
      </c>
      <c r="N155" s="173">
        <f t="shared" ref="N155" si="26">+L155*1.5</f>
        <v>12.970588235294116</v>
      </c>
      <c r="O155" s="173">
        <v>25</v>
      </c>
    </row>
    <row r="156" spans="1:18" hidden="1" x14ac:dyDescent="0.35">
      <c r="A156" s="3"/>
      <c r="B156" s="3"/>
      <c r="C156" s="233"/>
      <c r="D156" s="233" t="s">
        <v>561</v>
      </c>
      <c r="E156" s="886" t="s">
        <v>2904</v>
      </c>
      <c r="F156" s="371" t="s">
        <v>2902</v>
      </c>
      <c r="G156" s="371"/>
      <c r="H156" s="176">
        <v>7</v>
      </c>
      <c r="I156" s="12">
        <v>680</v>
      </c>
      <c r="J156" s="176">
        <v>160</v>
      </c>
      <c r="K156" s="176">
        <f t="shared" si="21"/>
        <v>1.6470588235294117</v>
      </c>
      <c r="L156" s="176">
        <f t="shared" si="22"/>
        <v>8.6470588235294112</v>
      </c>
      <c r="M156" s="12"/>
      <c r="N156" s="176">
        <f t="shared" si="23"/>
        <v>12.970588235294116</v>
      </c>
      <c r="O156" s="176">
        <v>25</v>
      </c>
      <c r="Q156" t="s">
        <v>998</v>
      </c>
      <c r="R156" s="6">
        <v>46126</v>
      </c>
    </row>
    <row r="157" spans="1:18" x14ac:dyDescent="0.35">
      <c r="A157" s="3"/>
      <c r="B157" s="3"/>
      <c r="C157" s="233"/>
      <c r="D157" s="233" t="s">
        <v>561</v>
      </c>
      <c r="E157" s="886" t="s">
        <v>2904</v>
      </c>
      <c r="F157" s="245" t="s">
        <v>2902</v>
      </c>
      <c r="G157" s="245"/>
      <c r="H157" s="173">
        <v>7</v>
      </c>
      <c r="I157">
        <v>680</v>
      </c>
      <c r="J157" s="173">
        <v>160</v>
      </c>
      <c r="K157" s="173">
        <f t="shared" si="21"/>
        <v>1.6470588235294117</v>
      </c>
      <c r="L157" s="173">
        <f t="shared" si="22"/>
        <v>8.6470588235294112</v>
      </c>
      <c r="N157" s="173">
        <f t="shared" si="23"/>
        <v>12.970588235294116</v>
      </c>
      <c r="O157" s="173">
        <v>25</v>
      </c>
    </row>
    <row r="158" spans="1:18" x14ac:dyDescent="0.35">
      <c r="A158" s="3"/>
      <c r="B158" s="3"/>
      <c r="C158" s="233"/>
      <c r="D158" s="233" t="s">
        <v>561</v>
      </c>
      <c r="E158" s="886" t="s">
        <v>2904</v>
      </c>
      <c r="F158" s="245" t="s">
        <v>2902</v>
      </c>
      <c r="G158" s="245"/>
      <c r="H158" s="173">
        <v>7</v>
      </c>
      <c r="I158">
        <v>680</v>
      </c>
      <c r="J158" s="173">
        <v>160</v>
      </c>
      <c r="K158" s="173">
        <f t="shared" si="21"/>
        <v>1.6470588235294117</v>
      </c>
      <c r="L158" s="173">
        <f t="shared" si="22"/>
        <v>8.6470588235294112</v>
      </c>
      <c r="N158" s="173">
        <f t="shared" si="23"/>
        <v>12.970588235294116</v>
      </c>
      <c r="O158" s="173">
        <v>25</v>
      </c>
    </row>
    <row r="159" spans="1:18" x14ac:dyDescent="0.35">
      <c r="A159" s="3"/>
      <c r="B159" s="3"/>
      <c r="C159" s="233"/>
      <c r="D159" s="233" t="s">
        <v>561</v>
      </c>
      <c r="E159" s="886" t="s">
        <v>2904</v>
      </c>
      <c r="F159" s="245" t="s">
        <v>2902</v>
      </c>
      <c r="G159" s="245"/>
      <c r="H159" s="173">
        <v>7</v>
      </c>
      <c r="I159">
        <v>680</v>
      </c>
      <c r="J159" s="173">
        <v>160</v>
      </c>
      <c r="K159" s="173">
        <f t="shared" si="21"/>
        <v>1.6470588235294117</v>
      </c>
      <c r="L159" s="173">
        <f t="shared" si="22"/>
        <v>8.6470588235294112</v>
      </c>
      <c r="N159" s="173">
        <f t="shared" si="23"/>
        <v>12.970588235294116</v>
      </c>
      <c r="O159" s="173">
        <v>25</v>
      </c>
    </row>
    <row r="160" spans="1:18" x14ac:dyDescent="0.35">
      <c r="A160" s="3"/>
      <c r="B160" s="3"/>
      <c r="C160" s="233"/>
      <c r="D160" s="233" t="s">
        <v>561</v>
      </c>
      <c r="E160" s="886" t="s">
        <v>2904</v>
      </c>
      <c r="F160" s="245" t="s">
        <v>2902</v>
      </c>
      <c r="G160" s="245"/>
      <c r="H160" s="173">
        <v>7</v>
      </c>
      <c r="I160">
        <v>680</v>
      </c>
      <c r="J160" s="173">
        <v>160</v>
      </c>
      <c r="K160" s="173">
        <f t="shared" si="21"/>
        <v>1.6470588235294117</v>
      </c>
      <c r="L160" s="173">
        <f t="shared" si="22"/>
        <v>8.6470588235294112</v>
      </c>
      <c r="N160" s="173">
        <f t="shared" si="23"/>
        <v>12.970588235294116</v>
      </c>
      <c r="O160" s="173">
        <v>25</v>
      </c>
    </row>
    <row r="161" spans="1:18" x14ac:dyDescent="0.35">
      <c r="A161" s="3"/>
      <c r="B161" s="3"/>
      <c r="C161" s="233"/>
      <c r="D161" s="233" t="s">
        <v>561</v>
      </c>
      <c r="E161" s="886" t="s">
        <v>2904</v>
      </c>
      <c r="F161" s="245" t="s">
        <v>2902</v>
      </c>
      <c r="G161" s="245"/>
      <c r="H161" s="173">
        <v>7</v>
      </c>
      <c r="I161">
        <v>680</v>
      </c>
      <c r="J161" s="173">
        <v>160</v>
      </c>
      <c r="K161" s="173">
        <f t="shared" si="21"/>
        <v>1.6470588235294117</v>
      </c>
      <c r="L161" s="173">
        <f t="shared" si="22"/>
        <v>8.6470588235294112</v>
      </c>
      <c r="N161" s="173">
        <f t="shared" si="23"/>
        <v>12.970588235294116</v>
      </c>
      <c r="O161" s="173">
        <v>25</v>
      </c>
    </row>
    <row r="162" spans="1:18" x14ac:dyDescent="0.35">
      <c r="A162" s="3"/>
      <c r="B162" s="3"/>
      <c r="C162" s="596" t="s">
        <v>2960</v>
      </c>
      <c r="D162" s="233" t="s">
        <v>561</v>
      </c>
      <c r="E162" s="886" t="s">
        <v>2904</v>
      </c>
      <c r="F162" s="245" t="s">
        <v>2902</v>
      </c>
      <c r="G162" s="245"/>
      <c r="H162" s="173">
        <v>7</v>
      </c>
      <c r="I162">
        <v>680</v>
      </c>
      <c r="J162" s="173">
        <v>160</v>
      </c>
      <c r="K162" s="173">
        <f t="shared" ref="K162" si="27">+H162/I162*J162</f>
        <v>1.6470588235294117</v>
      </c>
      <c r="L162" s="173">
        <f t="shared" ref="L162" si="28">+H162+K162</f>
        <v>8.6470588235294112</v>
      </c>
      <c r="N162" s="173">
        <f t="shared" ref="N162" si="29">+L162*1.5</f>
        <v>12.970588235294116</v>
      </c>
      <c r="O162" s="173">
        <v>25</v>
      </c>
    </row>
    <row r="163" spans="1:18" hidden="1" x14ac:dyDescent="0.35">
      <c r="A163" s="3"/>
      <c r="B163" s="3"/>
      <c r="C163" s="233"/>
      <c r="D163" s="233" t="s">
        <v>561</v>
      </c>
      <c r="E163" s="886" t="s">
        <v>2904</v>
      </c>
      <c r="F163" s="371" t="s">
        <v>2903</v>
      </c>
      <c r="G163" s="371"/>
      <c r="H163" s="176">
        <v>7</v>
      </c>
      <c r="I163" s="12">
        <v>680</v>
      </c>
      <c r="J163" s="176">
        <v>160</v>
      </c>
      <c r="K163" s="176">
        <f t="shared" si="21"/>
        <v>1.6470588235294117</v>
      </c>
      <c r="L163" s="176">
        <f t="shared" si="22"/>
        <v>8.6470588235294112</v>
      </c>
      <c r="M163" s="12"/>
      <c r="N163" s="176">
        <f t="shared" si="23"/>
        <v>12.970588235294116</v>
      </c>
      <c r="O163" s="176">
        <v>25</v>
      </c>
      <c r="Q163" t="s">
        <v>12</v>
      </c>
      <c r="R163" s="6">
        <v>46114</v>
      </c>
    </row>
    <row r="164" spans="1:18" hidden="1" x14ac:dyDescent="0.35">
      <c r="A164" s="3"/>
      <c r="B164" s="3"/>
      <c r="C164" s="233"/>
      <c r="D164" s="233" t="s">
        <v>561</v>
      </c>
      <c r="E164" s="886" t="s">
        <v>2904</v>
      </c>
      <c r="F164" s="371" t="s">
        <v>2903</v>
      </c>
      <c r="G164" s="371"/>
      <c r="H164" s="176">
        <v>7</v>
      </c>
      <c r="I164" s="12">
        <v>680</v>
      </c>
      <c r="J164" s="176">
        <v>160</v>
      </c>
      <c r="K164" s="176">
        <f t="shared" si="21"/>
        <v>1.6470588235294117</v>
      </c>
      <c r="L164" s="176">
        <f t="shared" si="22"/>
        <v>8.6470588235294112</v>
      </c>
      <c r="M164" s="12"/>
      <c r="N164" s="176">
        <f t="shared" si="23"/>
        <v>12.970588235294116</v>
      </c>
      <c r="O164" s="176">
        <v>25</v>
      </c>
      <c r="Q164" t="s">
        <v>12</v>
      </c>
      <c r="R164" s="6">
        <v>46113</v>
      </c>
    </row>
    <row r="165" spans="1:18" x14ac:dyDescent="0.35">
      <c r="A165" s="3"/>
      <c r="B165" s="3"/>
      <c r="C165" s="233"/>
      <c r="D165" s="233" t="s">
        <v>561</v>
      </c>
      <c r="E165" s="886" t="s">
        <v>2904</v>
      </c>
      <c r="F165" s="245" t="s">
        <v>2903</v>
      </c>
      <c r="G165" s="245"/>
      <c r="H165" s="173">
        <v>7</v>
      </c>
      <c r="I165">
        <v>680</v>
      </c>
      <c r="J165" s="173">
        <v>160</v>
      </c>
      <c r="K165" s="173">
        <f t="shared" si="21"/>
        <v>1.6470588235294117</v>
      </c>
      <c r="L165" s="173">
        <f t="shared" si="22"/>
        <v>8.6470588235294112</v>
      </c>
      <c r="N165" s="173">
        <f t="shared" si="23"/>
        <v>12.970588235294116</v>
      </c>
      <c r="O165" s="173">
        <v>25</v>
      </c>
    </row>
    <row r="166" spans="1:18" x14ac:dyDescent="0.35">
      <c r="A166" s="3"/>
      <c r="B166" s="3"/>
      <c r="C166" s="233"/>
      <c r="D166" s="233" t="s">
        <v>561</v>
      </c>
      <c r="E166" s="886" t="s">
        <v>2904</v>
      </c>
      <c r="F166" s="245" t="s">
        <v>2903</v>
      </c>
      <c r="G166" s="245"/>
      <c r="H166" s="173">
        <v>7</v>
      </c>
      <c r="I166">
        <v>680</v>
      </c>
      <c r="J166" s="173">
        <v>160</v>
      </c>
      <c r="K166" s="173">
        <f t="shared" si="21"/>
        <v>1.6470588235294117</v>
      </c>
      <c r="L166" s="173">
        <f t="shared" si="22"/>
        <v>8.6470588235294112</v>
      </c>
      <c r="N166" s="173">
        <f t="shared" si="23"/>
        <v>12.970588235294116</v>
      </c>
      <c r="O166" s="173">
        <v>25</v>
      </c>
    </row>
    <row r="167" spans="1:18" x14ac:dyDescent="0.35">
      <c r="A167" s="3"/>
      <c r="B167" s="3"/>
      <c r="C167" s="233"/>
      <c r="D167" s="233" t="s">
        <v>561</v>
      </c>
      <c r="E167" s="886" t="s">
        <v>2904</v>
      </c>
      <c r="F167" s="245" t="s">
        <v>2903</v>
      </c>
      <c r="G167" s="245"/>
      <c r="H167" s="173">
        <v>7</v>
      </c>
      <c r="I167">
        <v>680</v>
      </c>
      <c r="J167" s="173">
        <v>160</v>
      </c>
      <c r="K167" s="173">
        <f t="shared" si="21"/>
        <v>1.6470588235294117</v>
      </c>
      <c r="L167" s="173">
        <f t="shared" si="22"/>
        <v>8.6470588235294112</v>
      </c>
      <c r="N167" s="173">
        <f t="shared" si="23"/>
        <v>12.970588235294116</v>
      </c>
      <c r="O167" s="173">
        <v>25</v>
      </c>
    </row>
    <row r="168" spans="1:18" x14ac:dyDescent="0.35">
      <c r="A168" s="3"/>
      <c r="B168" s="3"/>
      <c r="C168" s="233"/>
      <c r="D168" s="233" t="s">
        <v>561</v>
      </c>
      <c r="E168" s="886" t="s">
        <v>2904</v>
      </c>
      <c r="F168" s="245" t="s">
        <v>2903</v>
      </c>
      <c r="G168" s="245"/>
      <c r="H168" s="173">
        <v>7</v>
      </c>
      <c r="I168">
        <v>680</v>
      </c>
      <c r="J168" s="173">
        <v>160</v>
      </c>
      <c r="K168" s="173">
        <f t="shared" si="21"/>
        <v>1.6470588235294117</v>
      </c>
      <c r="L168" s="173">
        <f t="shared" si="22"/>
        <v>8.6470588235294112</v>
      </c>
      <c r="N168" s="173">
        <f t="shared" si="23"/>
        <v>12.970588235294116</v>
      </c>
      <c r="O168" s="173">
        <v>25</v>
      </c>
    </row>
    <row r="169" spans="1:18" x14ac:dyDescent="0.35">
      <c r="A169" s="3"/>
      <c r="B169" s="3"/>
      <c r="C169" s="233"/>
      <c r="D169" s="233" t="s">
        <v>561</v>
      </c>
      <c r="E169" s="886" t="s">
        <v>2904</v>
      </c>
      <c r="F169" s="245" t="s">
        <v>2903</v>
      </c>
      <c r="G169" s="245"/>
      <c r="H169" s="173">
        <v>7</v>
      </c>
      <c r="I169">
        <v>680</v>
      </c>
      <c r="J169" s="173">
        <v>160</v>
      </c>
      <c r="K169" s="173">
        <f t="shared" si="21"/>
        <v>1.6470588235294117</v>
      </c>
      <c r="L169" s="173">
        <f t="shared" si="22"/>
        <v>8.6470588235294112</v>
      </c>
      <c r="N169" s="173">
        <f t="shared" si="23"/>
        <v>12.970588235294116</v>
      </c>
      <c r="O169" s="173">
        <v>25</v>
      </c>
    </row>
    <row r="170" spans="1:18" x14ac:dyDescent="0.35">
      <c r="A170" s="3"/>
      <c r="B170" s="3"/>
      <c r="C170" s="233"/>
      <c r="D170" s="233" t="s">
        <v>561</v>
      </c>
      <c r="E170" s="886" t="s">
        <v>2904</v>
      </c>
      <c r="F170" s="245" t="s">
        <v>2903</v>
      </c>
      <c r="G170" s="245"/>
      <c r="H170" s="173">
        <v>7</v>
      </c>
      <c r="I170">
        <v>680</v>
      </c>
      <c r="J170" s="173">
        <v>160</v>
      </c>
      <c r="K170" s="173">
        <f t="shared" si="21"/>
        <v>1.6470588235294117</v>
      </c>
      <c r="L170" s="173">
        <f t="shared" si="22"/>
        <v>8.6470588235294112</v>
      </c>
      <c r="N170" s="173">
        <f t="shared" si="23"/>
        <v>12.970588235294116</v>
      </c>
      <c r="O170" s="173">
        <v>25</v>
      </c>
    </row>
    <row r="171" spans="1:18" x14ac:dyDescent="0.35">
      <c r="A171" s="3"/>
      <c r="B171" s="3"/>
      <c r="C171" s="233"/>
      <c r="D171" s="233" t="s">
        <v>561</v>
      </c>
      <c r="E171" s="886" t="s">
        <v>2904</v>
      </c>
      <c r="F171" s="245" t="s">
        <v>2903</v>
      </c>
      <c r="G171" s="245"/>
      <c r="H171" s="173">
        <v>7</v>
      </c>
      <c r="I171">
        <v>680</v>
      </c>
      <c r="J171" s="173">
        <v>160</v>
      </c>
      <c r="K171" s="173">
        <f t="shared" si="21"/>
        <v>1.6470588235294117</v>
      </c>
      <c r="L171" s="173">
        <f t="shared" si="22"/>
        <v>8.6470588235294112</v>
      </c>
      <c r="N171" s="173">
        <f t="shared" si="23"/>
        <v>12.970588235294116</v>
      </c>
      <c r="O171" s="173">
        <v>25</v>
      </c>
    </row>
    <row r="172" spans="1:18" x14ac:dyDescent="0.35">
      <c r="A172" s="3"/>
      <c r="B172" s="3"/>
      <c r="C172" s="596" t="s">
        <v>2960</v>
      </c>
      <c r="D172" s="233" t="s">
        <v>561</v>
      </c>
      <c r="E172" s="886" t="s">
        <v>2904</v>
      </c>
      <c r="F172" s="245" t="s">
        <v>2903</v>
      </c>
      <c r="G172" s="245"/>
      <c r="H172" s="173">
        <v>7</v>
      </c>
      <c r="I172">
        <v>680</v>
      </c>
      <c r="J172" s="173">
        <v>160</v>
      </c>
      <c r="K172" s="173">
        <f t="shared" ref="K172" si="30">+H172/I172*J172</f>
        <v>1.6470588235294117</v>
      </c>
      <c r="L172" s="173">
        <f t="shared" ref="L172" si="31">+H172+K172</f>
        <v>8.6470588235294112</v>
      </c>
      <c r="N172" s="173">
        <f t="shared" ref="N172" si="32">+L172*1.5</f>
        <v>12.970588235294116</v>
      </c>
      <c r="O172" s="173">
        <v>25</v>
      </c>
    </row>
    <row r="173" spans="1:18" x14ac:dyDescent="0.35">
      <c r="A173" s="3"/>
      <c r="B173" s="3"/>
      <c r="C173" s="233"/>
      <c r="D173" s="233"/>
      <c r="F173" s="256" t="s">
        <v>3054</v>
      </c>
      <c r="G173" s="245"/>
      <c r="H173" s="173"/>
      <c r="J173" s="173"/>
      <c r="K173" s="173"/>
      <c r="L173" s="173"/>
      <c r="N173" s="173"/>
      <c r="O173" s="173"/>
    </row>
    <row r="174" spans="1:18" x14ac:dyDescent="0.35">
      <c r="A174" s="3"/>
      <c r="B174" s="3"/>
      <c r="C174" s="233"/>
      <c r="D174" s="233" t="s">
        <v>561</v>
      </c>
      <c r="E174" s="886" t="s">
        <v>2904</v>
      </c>
      <c r="F174" s="245" t="s">
        <v>3055</v>
      </c>
      <c r="G174" s="245"/>
      <c r="H174" s="173">
        <v>12</v>
      </c>
      <c r="I174">
        <v>928</v>
      </c>
      <c r="J174" s="173">
        <v>400</v>
      </c>
      <c r="K174" s="173">
        <f t="shared" ref="K174:K237" si="33">+H174/I174*J174</f>
        <v>5.1724137931034484</v>
      </c>
      <c r="L174" s="173">
        <f t="shared" ref="L174:L237" si="34">+H174+K174</f>
        <v>17.172413793103448</v>
      </c>
      <c r="N174" s="173">
        <f>+L174*2</f>
        <v>34.344827586206897</v>
      </c>
      <c r="O174" s="173">
        <v>65</v>
      </c>
    </row>
    <row r="175" spans="1:18" x14ac:dyDescent="0.35">
      <c r="A175" s="3"/>
      <c r="B175" s="3"/>
      <c r="C175" s="233"/>
      <c r="D175" s="233"/>
      <c r="E175" s="886" t="s">
        <v>2904</v>
      </c>
      <c r="F175" s="245" t="s">
        <v>3055</v>
      </c>
      <c r="G175" s="245"/>
      <c r="H175" s="173">
        <v>12</v>
      </c>
      <c r="I175">
        <v>928</v>
      </c>
      <c r="J175" s="173">
        <v>400</v>
      </c>
      <c r="K175" s="173">
        <f t="shared" si="33"/>
        <v>5.1724137931034484</v>
      </c>
      <c r="L175" s="173">
        <f t="shared" si="34"/>
        <v>17.172413793103448</v>
      </c>
      <c r="N175" s="173">
        <f t="shared" ref="N175:N238" si="35">+L175*2</f>
        <v>34.344827586206897</v>
      </c>
      <c r="O175" s="173">
        <v>65</v>
      </c>
    </row>
    <row r="176" spans="1:18" x14ac:dyDescent="0.35">
      <c r="A176" s="3"/>
      <c r="B176" s="3"/>
      <c r="C176" s="233"/>
      <c r="D176" s="233"/>
      <c r="E176" s="886" t="s">
        <v>2904</v>
      </c>
      <c r="F176" s="245" t="s">
        <v>3055</v>
      </c>
      <c r="G176" s="245"/>
      <c r="H176" s="173">
        <v>12</v>
      </c>
      <c r="I176">
        <v>928</v>
      </c>
      <c r="J176" s="173">
        <v>400</v>
      </c>
      <c r="K176" s="173">
        <f t="shared" si="33"/>
        <v>5.1724137931034484</v>
      </c>
      <c r="L176" s="173">
        <f t="shared" si="34"/>
        <v>17.172413793103448</v>
      </c>
      <c r="N176" s="173">
        <f t="shared" si="35"/>
        <v>34.344827586206897</v>
      </c>
      <c r="O176" s="173">
        <v>65</v>
      </c>
    </row>
    <row r="177" spans="1:18" x14ac:dyDescent="0.35">
      <c r="A177" s="3"/>
      <c r="B177" s="3"/>
      <c r="C177" s="233"/>
      <c r="D177" s="233"/>
      <c r="E177" s="886" t="s">
        <v>2904</v>
      </c>
      <c r="F177" s="245" t="s">
        <v>3055</v>
      </c>
      <c r="G177" s="245"/>
      <c r="H177" s="173">
        <v>12</v>
      </c>
      <c r="I177">
        <v>928</v>
      </c>
      <c r="J177" s="173">
        <v>400</v>
      </c>
      <c r="K177" s="173">
        <f t="shared" si="33"/>
        <v>5.1724137931034484</v>
      </c>
      <c r="L177" s="173">
        <f t="shared" si="34"/>
        <v>17.172413793103448</v>
      </c>
      <c r="N177" s="173">
        <f t="shared" si="35"/>
        <v>34.344827586206897</v>
      </c>
      <c r="O177" s="173">
        <v>65</v>
      </c>
    </row>
    <row r="178" spans="1:18" x14ac:dyDescent="0.35">
      <c r="A178" s="3"/>
      <c r="B178" s="3"/>
      <c r="C178" s="233"/>
      <c r="D178" s="233"/>
      <c r="E178" s="886" t="s">
        <v>2904</v>
      </c>
      <c r="F178" s="245" t="s">
        <v>3055</v>
      </c>
      <c r="G178" s="245"/>
      <c r="H178" s="173">
        <v>12</v>
      </c>
      <c r="I178">
        <v>928</v>
      </c>
      <c r="J178" s="173">
        <v>400</v>
      </c>
      <c r="K178" s="173">
        <f t="shared" si="33"/>
        <v>5.1724137931034484</v>
      </c>
      <c r="L178" s="173">
        <f t="shared" si="34"/>
        <v>17.172413793103448</v>
      </c>
      <c r="N178" s="173">
        <f t="shared" si="35"/>
        <v>34.344827586206897</v>
      </c>
      <c r="O178" s="173">
        <v>65</v>
      </c>
    </row>
    <row r="179" spans="1:18" x14ac:dyDescent="0.35">
      <c r="A179" s="3"/>
      <c r="B179" s="3"/>
      <c r="C179" s="233"/>
      <c r="D179" s="233"/>
      <c r="E179" s="886" t="s">
        <v>2904</v>
      </c>
      <c r="F179" s="245" t="s">
        <v>3056</v>
      </c>
      <c r="G179" s="245"/>
      <c r="H179" s="173">
        <v>12</v>
      </c>
      <c r="I179">
        <v>928</v>
      </c>
      <c r="J179" s="173">
        <v>400</v>
      </c>
      <c r="K179" s="173">
        <f t="shared" si="33"/>
        <v>5.1724137931034484</v>
      </c>
      <c r="L179" s="173">
        <f t="shared" si="34"/>
        <v>17.172413793103448</v>
      </c>
      <c r="N179" s="173">
        <f t="shared" si="35"/>
        <v>34.344827586206897</v>
      </c>
      <c r="O179" s="173">
        <v>65</v>
      </c>
    </row>
    <row r="180" spans="1:18" x14ac:dyDescent="0.35">
      <c r="A180" s="3"/>
      <c r="B180" s="3"/>
      <c r="C180" s="233"/>
      <c r="D180" s="233"/>
      <c r="E180" s="886" t="s">
        <v>2904</v>
      </c>
      <c r="F180" s="371" t="s">
        <v>3056</v>
      </c>
      <c r="G180" s="371"/>
      <c r="H180" s="176">
        <v>12</v>
      </c>
      <c r="I180" s="12">
        <v>928</v>
      </c>
      <c r="J180" s="176">
        <v>400</v>
      </c>
      <c r="K180" s="176">
        <f t="shared" si="33"/>
        <v>5.1724137931034484</v>
      </c>
      <c r="L180" s="176">
        <f t="shared" si="34"/>
        <v>17.172413793103448</v>
      </c>
      <c r="M180" s="12"/>
      <c r="N180" s="176">
        <f t="shared" si="35"/>
        <v>34.344827586206897</v>
      </c>
      <c r="O180" s="176">
        <v>70</v>
      </c>
      <c r="Q180" t="s">
        <v>12</v>
      </c>
      <c r="R180" s="6">
        <v>46140</v>
      </c>
    </row>
    <row r="181" spans="1:18" x14ac:dyDescent="0.35">
      <c r="A181" s="3"/>
      <c r="B181" s="3"/>
      <c r="C181" s="233"/>
      <c r="D181" s="233"/>
      <c r="E181" s="886" t="s">
        <v>2904</v>
      </c>
      <c r="F181" s="245" t="s">
        <v>3056</v>
      </c>
      <c r="G181" s="245"/>
      <c r="H181" s="173">
        <v>12</v>
      </c>
      <c r="I181">
        <v>928</v>
      </c>
      <c r="J181" s="173">
        <v>400</v>
      </c>
      <c r="K181" s="173">
        <f t="shared" si="33"/>
        <v>5.1724137931034484</v>
      </c>
      <c r="L181" s="173">
        <f t="shared" si="34"/>
        <v>17.172413793103448</v>
      </c>
      <c r="N181" s="173">
        <f t="shared" si="35"/>
        <v>34.344827586206897</v>
      </c>
      <c r="O181" s="173">
        <v>65</v>
      </c>
    </row>
    <row r="182" spans="1:18" x14ac:dyDescent="0.35">
      <c r="A182" s="3"/>
      <c r="B182" s="3"/>
      <c r="C182" s="233"/>
      <c r="D182" s="233"/>
      <c r="E182" s="886" t="s">
        <v>2904</v>
      </c>
      <c r="F182" s="245" t="s">
        <v>3056</v>
      </c>
      <c r="G182" s="245"/>
      <c r="H182" s="173">
        <v>12</v>
      </c>
      <c r="I182">
        <v>928</v>
      </c>
      <c r="J182" s="173">
        <v>400</v>
      </c>
      <c r="K182" s="173">
        <f t="shared" si="33"/>
        <v>5.1724137931034484</v>
      </c>
      <c r="L182" s="173">
        <f t="shared" si="34"/>
        <v>17.172413793103448</v>
      </c>
      <c r="N182" s="173">
        <f t="shared" si="35"/>
        <v>34.344827586206897</v>
      </c>
      <c r="O182" s="173">
        <v>65</v>
      </c>
    </row>
    <row r="183" spans="1:18" x14ac:dyDescent="0.35">
      <c r="A183" s="3"/>
      <c r="B183" s="3"/>
      <c r="C183" s="233"/>
      <c r="D183" s="233"/>
      <c r="E183" s="886" t="s">
        <v>2904</v>
      </c>
      <c r="F183" s="245" t="s">
        <v>3056</v>
      </c>
      <c r="G183" s="245"/>
      <c r="H183" s="173">
        <v>12</v>
      </c>
      <c r="I183">
        <v>928</v>
      </c>
      <c r="J183" s="173">
        <v>400</v>
      </c>
      <c r="K183" s="173">
        <f t="shared" si="33"/>
        <v>5.1724137931034484</v>
      </c>
      <c r="L183" s="173">
        <f t="shared" si="34"/>
        <v>17.172413793103448</v>
      </c>
      <c r="N183" s="173">
        <f t="shared" si="35"/>
        <v>34.344827586206897</v>
      </c>
      <c r="O183" s="173">
        <v>65</v>
      </c>
    </row>
    <row r="184" spans="1:18" x14ac:dyDescent="0.35">
      <c r="A184" s="3"/>
      <c r="B184" s="3"/>
      <c r="C184" s="233"/>
      <c r="D184" s="233"/>
      <c r="E184" s="886" t="s">
        <v>2904</v>
      </c>
      <c r="F184" s="245" t="s">
        <v>3060</v>
      </c>
      <c r="G184" s="245"/>
      <c r="H184" s="173">
        <v>12</v>
      </c>
      <c r="I184">
        <v>928</v>
      </c>
      <c r="J184" s="173">
        <v>400</v>
      </c>
      <c r="K184" s="173">
        <f t="shared" si="33"/>
        <v>5.1724137931034484</v>
      </c>
      <c r="L184" s="173">
        <f t="shared" si="34"/>
        <v>17.172413793103448</v>
      </c>
      <c r="N184" s="173">
        <f t="shared" si="35"/>
        <v>34.344827586206897</v>
      </c>
      <c r="O184" s="173">
        <v>65</v>
      </c>
    </row>
    <row r="185" spans="1:18" x14ac:dyDescent="0.35">
      <c r="A185" s="3"/>
      <c r="B185" s="3"/>
      <c r="C185" s="233"/>
      <c r="D185" s="233"/>
      <c r="E185" s="886" t="s">
        <v>2904</v>
      </c>
      <c r="F185" s="245" t="s">
        <v>3060</v>
      </c>
      <c r="G185" s="245"/>
      <c r="H185" s="173">
        <v>12</v>
      </c>
      <c r="I185">
        <v>928</v>
      </c>
      <c r="J185" s="173">
        <v>400</v>
      </c>
      <c r="K185" s="173">
        <f t="shared" si="33"/>
        <v>5.1724137931034484</v>
      </c>
      <c r="L185" s="173">
        <f t="shared" si="34"/>
        <v>17.172413793103448</v>
      </c>
      <c r="N185" s="173">
        <f t="shared" si="35"/>
        <v>34.344827586206897</v>
      </c>
      <c r="O185" s="173">
        <v>65</v>
      </c>
    </row>
    <row r="186" spans="1:18" x14ac:dyDescent="0.35">
      <c r="A186" s="3"/>
      <c r="B186" s="3"/>
      <c r="C186" s="233"/>
      <c r="D186" s="233"/>
      <c r="E186" s="886" t="s">
        <v>2904</v>
      </c>
      <c r="F186" s="245" t="s">
        <v>3060</v>
      </c>
      <c r="G186" s="245"/>
      <c r="H186" s="173">
        <v>12</v>
      </c>
      <c r="I186">
        <v>928</v>
      </c>
      <c r="J186" s="173">
        <v>400</v>
      </c>
      <c r="K186" s="173">
        <f t="shared" si="33"/>
        <v>5.1724137931034484</v>
      </c>
      <c r="L186" s="173">
        <f t="shared" si="34"/>
        <v>17.172413793103448</v>
      </c>
      <c r="N186" s="173">
        <f t="shared" si="35"/>
        <v>34.344827586206897</v>
      </c>
      <c r="O186" s="173">
        <v>65</v>
      </c>
    </row>
    <row r="187" spans="1:18" x14ac:dyDescent="0.35">
      <c r="A187" s="3"/>
      <c r="B187" s="3"/>
      <c r="C187" s="233"/>
      <c r="D187" s="233"/>
      <c r="E187" s="886" t="s">
        <v>2904</v>
      </c>
      <c r="F187" s="245" t="s">
        <v>3060</v>
      </c>
      <c r="G187" s="245"/>
      <c r="H187" s="173">
        <v>12</v>
      </c>
      <c r="I187">
        <v>928</v>
      </c>
      <c r="J187" s="173">
        <v>400</v>
      </c>
      <c r="K187" s="173">
        <f t="shared" si="33"/>
        <v>5.1724137931034484</v>
      </c>
      <c r="L187" s="173">
        <f t="shared" si="34"/>
        <v>17.172413793103448</v>
      </c>
      <c r="N187" s="173">
        <f t="shared" si="35"/>
        <v>34.344827586206897</v>
      </c>
      <c r="O187" s="173">
        <v>65</v>
      </c>
    </row>
    <row r="188" spans="1:18" x14ac:dyDescent="0.35">
      <c r="A188" s="3"/>
      <c r="B188" s="3"/>
      <c r="C188" s="233"/>
      <c r="D188" s="233"/>
      <c r="E188" s="886" t="s">
        <v>2904</v>
      </c>
      <c r="F188" s="245" t="s">
        <v>3060</v>
      </c>
      <c r="G188" s="245"/>
      <c r="H188" s="173">
        <v>12</v>
      </c>
      <c r="I188">
        <v>928</v>
      </c>
      <c r="J188" s="173">
        <v>400</v>
      </c>
      <c r="K188" s="173">
        <f t="shared" si="33"/>
        <v>5.1724137931034484</v>
      </c>
      <c r="L188" s="173">
        <f t="shared" si="34"/>
        <v>17.172413793103448</v>
      </c>
      <c r="N188" s="173">
        <f t="shared" si="35"/>
        <v>34.344827586206897</v>
      </c>
      <c r="O188" s="173">
        <v>65</v>
      </c>
    </row>
    <row r="189" spans="1:18" x14ac:dyDescent="0.35">
      <c r="A189" s="3"/>
      <c r="B189" s="3"/>
      <c r="C189" s="233"/>
      <c r="D189" s="233"/>
      <c r="E189" s="886" t="s">
        <v>2904</v>
      </c>
      <c r="F189" s="245" t="s">
        <v>3057</v>
      </c>
      <c r="G189" s="245"/>
      <c r="H189" s="173">
        <v>12</v>
      </c>
      <c r="I189">
        <v>928</v>
      </c>
      <c r="J189" s="173">
        <v>400</v>
      </c>
      <c r="K189" s="173">
        <f t="shared" si="33"/>
        <v>5.1724137931034484</v>
      </c>
      <c r="L189" s="173">
        <f t="shared" si="34"/>
        <v>17.172413793103448</v>
      </c>
      <c r="N189" s="173">
        <f t="shared" si="35"/>
        <v>34.344827586206897</v>
      </c>
      <c r="O189" s="173">
        <v>70</v>
      </c>
    </row>
    <row r="190" spans="1:18" x14ac:dyDescent="0.35">
      <c r="A190" s="3"/>
      <c r="B190" s="3"/>
      <c r="C190" s="233"/>
      <c r="D190" s="233"/>
      <c r="E190" s="886" t="s">
        <v>2904</v>
      </c>
      <c r="F190" s="245" t="s">
        <v>3057</v>
      </c>
      <c r="G190" s="245"/>
      <c r="H190" s="173">
        <v>12</v>
      </c>
      <c r="I190">
        <v>928</v>
      </c>
      <c r="J190" s="173">
        <v>400</v>
      </c>
      <c r="K190" s="173">
        <f t="shared" si="33"/>
        <v>5.1724137931034484</v>
      </c>
      <c r="L190" s="173">
        <f t="shared" si="34"/>
        <v>17.172413793103448</v>
      </c>
      <c r="N190" s="173">
        <f t="shared" si="35"/>
        <v>34.344827586206897</v>
      </c>
      <c r="O190" s="173">
        <v>70</v>
      </c>
    </row>
    <row r="191" spans="1:18" x14ac:dyDescent="0.35">
      <c r="A191" s="3"/>
      <c r="B191" s="3"/>
      <c r="C191" s="233"/>
      <c r="D191" s="233"/>
      <c r="E191" s="886" t="s">
        <v>2904</v>
      </c>
      <c r="F191" s="245" t="s">
        <v>3057</v>
      </c>
      <c r="G191" s="245"/>
      <c r="H191" s="173">
        <v>12</v>
      </c>
      <c r="I191">
        <v>928</v>
      </c>
      <c r="J191" s="173">
        <v>400</v>
      </c>
      <c r="K191" s="173">
        <f t="shared" si="33"/>
        <v>5.1724137931034484</v>
      </c>
      <c r="L191" s="173">
        <f t="shared" si="34"/>
        <v>17.172413793103448</v>
      </c>
      <c r="N191" s="173">
        <f t="shared" si="35"/>
        <v>34.344827586206897</v>
      </c>
      <c r="O191" s="173">
        <v>70</v>
      </c>
    </row>
    <row r="192" spans="1:18" x14ac:dyDescent="0.35">
      <c r="A192" s="3"/>
      <c r="B192" s="3"/>
      <c r="C192" s="233"/>
      <c r="D192" s="233"/>
      <c r="E192" s="886" t="s">
        <v>2904</v>
      </c>
      <c r="F192" s="245" t="s">
        <v>3057</v>
      </c>
      <c r="G192" s="245"/>
      <c r="H192" s="173">
        <v>12</v>
      </c>
      <c r="I192">
        <v>928</v>
      </c>
      <c r="J192" s="173">
        <v>400</v>
      </c>
      <c r="K192" s="173">
        <f t="shared" si="33"/>
        <v>5.1724137931034484</v>
      </c>
      <c r="L192" s="173">
        <f t="shared" si="34"/>
        <v>17.172413793103448</v>
      </c>
      <c r="N192" s="173">
        <f t="shared" si="35"/>
        <v>34.344827586206897</v>
      </c>
      <c r="O192" s="173">
        <v>70</v>
      </c>
    </row>
    <row r="193" spans="1:18" x14ac:dyDescent="0.35">
      <c r="A193" s="3"/>
      <c r="B193" s="3"/>
      <c r="C193" s="233"/>
      <c r="D193" s="233"/>
      <c r="E193" s="886" t="s">
        <v>2904</v>
      </c>
      <c r="F193" s="245" t="s">
        <v>3057</v>
      </c>
      <c r="G193" s="245"/>
      <c r="H193" s="173">
        <v>12</v>
      </c>
      <c r="I193">
        <v>928</v>
      </c>
      <c r="J193" s="173">
        <v>400</v>
      </c>
      <c r="K193" s="173">
        <f t="shared" si="33"/>
        <v>5.1724137931034484</v>
      </c>
      <c r="L193" s="173">
        <f t="shared" si="34"/>
        <v>17.172413793103448</v>
      </c>
      <c r="N193" s="173">
        <f t="shared" si="35"/>
        <v>34.344827586206897</v>
      </c>
      <c r="O193" s="173">
        <v>70</v>
      </c>
    </row>
    <row r="194" spans="1:18" x14ac:dyDescent="0.35">
      <c r="A194" s="3"/>
      <c r="B194" s="3"/>
      <c r="C194" s="233"/>
      <c r="D194" s="233"/>
      <c r="E194" s="886" t="s">
        <v>2904</v>
      </c>
      <c r="F194" s="245" t="s">
        <v>3057</v>
      </c>
      <c r="G194" s="245"/>
      <c r="H194" s="173">
        <v>12</v>
      </c>
      <c r="I194">
        <v>928</v>
      </c>
      <c r="J194" s="173">
        <v>400</v>
      </c>
      <c r="K194" s="173">
        <f t="shared" si="33"/>
        <v>5.1724137931034484</v>
      </c>
      <c r="L194" s="173">
        <f t="shared" si="34"/>
        <v>17.172413793103448</v>
      </c>
      <c r="N194" s="173">
        <f t="shared" si="35"/>
        <v>34.344827586206897</v>
      </c>
      <c r="O194" s="173">
        <v>70</v>
      </c>
    </row>
    <row r="195" spans="1:18" x14ac:dyDescent="0.35">
      <c r="A195" s="3"/>
      <c r="B195" s="3"/>
      <c r="C195" s="233"/>
      <c r="D195" s="233"/>
      <c r="E195" s="886" t="s">
        <v>2904</v>
      </c>
      <c r="F195" s="245" t="s">
        <v>3057</v>
      </c>
      <c r="G195" s="245"/>
      <c r="H195" s="173">
        <v>12</v>
      </c>
      <c r="I195">
        <v>928</v>
      </c>
      <c r="J195" s="173">
        <v>400</v>
      </c>
      <c r="K195" s="173">
        <f t="shared" si="33"/>
        <v>5.1724137931034484</v>
      </c>
      <c r="L195" s="173">
        <f t="shared" si="34"/>
        <v>17.172413793103448</v>
      </c>
      <c r="N195" s="173">
        <f t="shared" si="35"/>
        <v>34.344827586206897</v>
      </c>
      <c r="O195" s="173">
        <v>70</v>
      </c>
    </row>
    <row r="196" spans="1:18" x14ac:dyDescent="0.35">
      <c r="A196" s="3"/>
      <c r="B196" s="3"/>
      <c r="C196" s="233"/>
      <c r="D196" s="233"/>
      <c r="E196" s="886" t="s">
        <v>2904</v>
      </c>
      <c r="F196" s="245" t="s">
        <v>3057</v>
      </c>
      <c r="G196" s="245"/>
      <c r="H196" s="173">
        <v>12</v>
      </c>
      <c r="I196">
        <v>928</v>
      </c>
      <c r="J196" s="173">
        <v>400</v>
      </c>
      <c r="K196" s="173">
        <f t="shared" si="33"/>
        <v>5.1724137931034484</v>
      </c>
      <c r="L196" s="173">
        <f t="shared" si="34"/>
        <v>17.172413793103448</v>
      </c>
      <c r="N196" s="173">
        <f t="shared" si="35"/>
        <v>34.344827586206897</v>
      </c>
      <c r="O196" s="173">
        <v>70</v>
      </c>
    </row>
    <row r="197" spans="1:18" x14ac:dyDescent="0.35">
      <c r="A197" s="3"/>
      <c r="B197" s="3"/>
      <c r="C197" s="233"/>
      <c r="D197" s="233"/>
      <c r="E197" s="886" t="s">
        <v>2904</v>
      </c>
      <c r="F197" s="245" t="s">
        <v>3057</v>
      </c>
      <c r="G197" s="245"/>
      <c r="H197" s="173">
        <v>12</v>
      </c>
      <c r="I197">
        <v>928</v>
      </c>
      <c r="J197" s="173">
        <v>400</v>
      </c>
      <c r="K197" s="173">
        <f t="shared" si="33"/>
        <v>5.1724137931034484</v>
      </c>
      <c r="L197" s="173">
        <f t="shared" si="34"/>
        <v>17.172413793103448</v>
      </c>
      <c r="N197" s="173">
        <f t="shared" si="35"/>
        <v>34.344827586206897</v>
      </c>
      <c r="O197" s="173">
        <v>70</v>
      </c>
    </row>
    <row r="198" spans="1:18" x14ac:dyDescent="0.35">
      <c r="A198" s="3"/>
      <c r="B198" s="3"/>
      <c r="C198" s="233"/>
      <c r="D198" s="233"/>
      <c r="E198" s="886" t="s">
        <v>2904</v>
      </c>
      <c r="F198" s="245" t="s">
        <v>3057</v>
      </c>
      <c r="G198" s="245"/>
      <c r="H198" s="173">
        <v>12</v>
      </c>
      <c r="I198">
        <v>928</v>
      </c>
      <c r="J198" s="173">
        <v>400</v>
      </c>
      <c r="K198" s="173">
        <f t="shared" si="33"/>
        <v>5.1724137931034484</v>
      </c>
      <c r="L198" s="173">
        <f t="shared" si="34"/>
        <v>17.172413793103448</v>
      </c>
      <c r="N198" s="173">
        <f t="shared" si="35"/>
        <v>34.344827586206897</v>
      </c>
      <c r="O198" s="173">
        <v>70</v>
      </c>
    </row>
    <row r="199" spans="1:18" x14ac:dyDescent="0.35">
      <c r="A199" s="3"/>
      <c r="B199" s="3"/>
      <c r="C199" s="233"/>
      <c r="D199" s="233"/>
      <c r="E199" s="886" t="s">
        <v>2904</v>
      </c>
      <c r="F199" s="245" t="s">
        <v>3058</v>
      </c>
      <c r="G199" s="245"/>
      <c r="H199" s="173">
        <v>12</v>
      </c>
      <c r="I199">
        <v>928</v>
      </c>
      <c r="J199" s="173">
        <v>400</v>
      </c>
      <c r="K199" s="173">
        <f t="shared" si="33"/>
        <v>5.1724137931034484</v>
      </c>
      <c r="L199" s="173">
        <f t="shared" si="34"/>
        <v>17.172413793103448</v>
      </c>
      <c r="N199" s="173">
        <f t="shared" si="35"/>
        <v>34.344827586206897</v>
      </c>
      <c r="O199" s="173">
        <v>70</v>
      </c>
    </row>
    <row r="200" spans="1:18" x14ac:dyDescent="0.35">
      <c r="A200" s="3"/>
      <c r="B200" s="3"/>
      <c r="C200" s="233"/>
      <c r="D200" s="233"/>
      <c r="E200" s="886" t="s">
        <v>2904</v>
      </c>
      <c r="F200" s="245" t="s">
        <v>3058</v>
      </c>
      <c r="G200" s="245"/>
      <c r="H200" s="173">
        <v>12</v>
      </c>
      <c r="I200">
        <v>928</v>
      </c>
      <c r="J200" s="173">
        <v>400</v>
      </c>
      <c r="K200" s="173">
        <f t="shared" si="33"/>
        <v>5.1724137931034484</v>
      </c>
      <c r="L200" s="173">
        <f t="shared" si="34"/>
        <v>17.172413793103448</v>
      </c>
      <c r="N200" s="173">
        <f t="shared" si="35"/>
        <v>34.344827586206897</v>
      </c>
      <c r="O200" s="173">
        <v>70</v>
      </c>
    </row>
    <row r="201" spans="1:18" x14ac:dyDescent="0.35">
      <c r="A201" s="3"/>
      <c r="B201" s="3"/>
      <c r="C201" s="233"/>
      <c r="D201" s="233"/>
      <c r="E201" s="886" t="s">
        <v>2904</v>
      </c>
      <c r="F201" s="245" t="s">
        <v>3058</v>
      </c>
      <c r="G201" s="245"/>
      <c r="H201" s="173">
        <v>12</v>
      </c>
      <c r="I201">
        <v>928</v>
      </c>
      <c r="J201" s="173">
        <v>400</v>
      </c>
      <c r="K201" s="173">
        <f t="shared" si="33"/>
        <v>5.1724137931034484</v>
      </c>
      <c r="L201" s="173">
        <f t="shared" si="34"/>
        <v>17.172413793103448</v>
      </c>
      <c r="N201" s="173">
        <f t="shared" si="35"/>
        <v>34.344827586206897</v>
      </c>
      <c r="O201" s="173">
        <v>70</v>
      </c>
    </row>
    <row r="202" spans="1:18" x14ac:dyDescent="0.35">
      <c r="A202" s="3"/>
      <c r="B202" s="3"/>
      <c r="C202" s="233"/>
      <c r="D202" s="233"/>
      <c r="E202" s="886" t="s">
        <v>2904</v>
      </c>
      <c r="F202" s="245" t="s">
        <v>3058</v>
      </c>
      <c r="G202" s="245"/>
      <c r="H202" s="173">
        <v>12</v>
      </c>
      <c r="I202">
        <v>928</v>
      </c>
      <c r="J202" s="173">
        <v>400</v>
      </c>
      <c r="K202" s="173">
        <f t="shared" si="33"/>
        <v>5.1724137931034484</v>
      </c>
      <c r="L202" s="173">
        <f t="shared" si="34"/>
        <v>17.172413793103448</v>
      </c>
      <c r="N202" s="173">
        <f t="shared" si="35"/>
        <v>34.344827586206897</v>
      </c>
      <c r="O202" s="173">
        <v>70</v>
      </c>
    </row>
    <row r="203" spans="1:18" x14ac:dyDescent="0.35">
      <c r="A203" s="3"/>
      <c r="B203" s="3"/>
      <c r="C203" s="233"/>
      <c r="D203" s="233"/>
      <c r="E203" s="886" t="s">
        <v>2904</v>
      </c>
      <c r="F203" s="245" t="s">
        <v>3058</v>
      </c>
      <c r="G203" s="245"/>
      <c r="H203" s="173">
        <v>12</v>
      </c>
      <c r="I203">
        <v>928</v>
      </c>
      <c r="J203" s="173">
        <v>400</v>
      </c>
      <c r="K203" s="173">
        <f t="shared" si="33"/>
        <v>5.1724137931034484</v>
      </c>
      <c r="L203" s="173">
        <f t="shared" si="34"/>
        <v>17.172413793103448</v>
      </c>
      <c r="N203" s="173">
        <f t="shared" si="35"/>
        <v>34.344827586206897</v>
      </c>
      <c r="O203" s="173">
        <v>70</v>
      </c>
    </row>
    <row r="204" spans="1:18" x14ac:dyDescent="0.35">
      <c r="A204" s="3"/>
      <c r="B204" s="3"/>
      <c r="C204" s="233"/>
      <c r="D204" s="233"/>
      <c r="E204" s="886" t="s">
        <v>2904</v>
      </c>
      <c r="F204" s="371" t="s">
        <v>3059</v>
      </c>
      <c r="G204" s="371"/>
      <c r="H204" s="176">
        <v>12</v>
      </c>
      <c r="I204" s="12">
        <v>928</v>
      </c>
      <c r="J204" s="176">
        <v>400</v>
      </c>
      <c r="K204" s="176">
        <f t="shared" si="33"/>
        <v>5.1724137931034484</v>
      </c>
      <c r="L204" s="176">
        <f t="shared" si="34"/>
        <v>17.172413793103448</v>
      </c>
      <c r="M204" s="12"/>
      <c r="N204" s="176">
        <f t="shared" si="35"/>
        <v>34.344827586206897</v>
      </c>
      <c r="O204" s="176">
        <v>70</v>
      </c>
      <c r="Q204" t="s">
        <v>3165</v>
      </c>
      <c r="R204" s="6">
        <v>46140</v>
      </c>
    </row>
    <row r="205" spans="1:18" x14ac:dyDescent="0.35">
      <c r="A205" s="3"/>
      <c r="B205" s="3"/>
      <c r="C205" s="233"/>
      <c r="D205" s="233"/>
      <c r="E205" s="886" t="s">
        <v>2904</v>
      </c>
      <c r="F205" s="371" t="s">
        <v>3059</v>
      </c>
      <c r="G205" s="371"/>
      <c r="H205" s="176">
        <v>12</v>
      </c>
      <c r="I205" s="12">
        <v>928</v>
      </c>
      <c r="J205" s="176">
        <v>400</v>
      </c>
      <c r="K205" s="176">
        <f t="shared" si="33"/>
        <v>5.1724137931034484</v>
      </c>
      <c r="L205" s="176">
        <f t="shared" si="34"/>
        <v>17.172413793103448</v>
      </c>
      <c r="M205" s="12"/>
      <c r="N205" s="176">
        <f t="shared" si="35"/>
        <v>34.344827586206897</v>
      </c>
      <c r="O205" s="176">
        <v>70</v>
      </c>
      <c r="Q205" t="s">
        <v>12</v>
      </c>
      <c r="R205" s="6">
        <v>46130</v>
      </c>
    </row>
    <row r="206" spans="1:18" x14ac:dyDescent="0.35">
      <c r="A206" s="3"/>
      <c r="B206" s="3"/>
      <c r="C206" s="233"/>
      <c r="D206" s="233"/>
      <c r="E206" s="886" t="s">
        <v>2904</v>
      </c>
      <c r="F206" s="245" t="s">
        <v>3059</v>
      </c>
      <c r="G206" s="245"/>
      <c r="H206" s="173">
        <v>12</v>
      </c>
      <c r="I206">
        <v>928</v>
      </c>
      <c r="J206" s="173">
        <v>400</v>
      </c>
      <c r="K206" s="173">
        <f t="shared" si="33"/>
        <v>5.1724137931034484</v>
      </c>
      <c r="L206" s="173">
        <f t="shared" si="34"/>
        <v>17.172413793103448</v>
      </c>
      <c r="N206" s="173">
        <f t="shared" si="35"/>
        <v>34.344827586206897</v>
      </c>
      <c r="O206" s="173">
        <v>70</v>
      </c>
    </row>
    <row r="207" spans="1:18" x14ac:dyDescent="0.35">
      <c r="A207" s="3"/>
      <c r="B207" s="3"/>
      <c r="C207" s="233"/>
      <c r="D207" s="233"/>
      <c r="E207" s="886" t="s">
        <v>2904</v>
      </c>
      <c r="F207" s="245" t="s">
        <v>3059</v>
      </c>
      <c r="G207" s="245"/>
      <c r="H207" s="173">
        <v>12</v>
      </c>
      <c r="I207">
        <v>928</v>
      </c>
      <c r="J207" s="173">
        <v>400</v>
      </c>
      <c r="K207" s="173">
        <f t="shared" si="33"/>
        <v>5.1724137931034484</v>
      </c>
      <c r="L207" s="173">
        <f t="shared" si="34"/>
        <v>17.172413793103448</v>
      </c>
      <c r="N207" s="173">
        <f t="shared" si="35"/>
        <v>34.344827586206897</v>
      </c>
      <c r="O207" s="173">
        <v>70</v>
      </c>
    </row>
    <row r="208" spans="1:18" x14ac:dyDescent="0.35">
      <c r="A208" s="3"/>
      <c r="B208" s="3"/>
      <c r="C208" s="233"/>
      <c r="D208" s="233"/>
      <c r="E208" s="886" t="s">
        <v>2904</v>
      </c>
      <c r="F208" s="245" t="s">
        <v>3059</v>
      </c>
      <c r="G208" s="245"/>
      <c r="H208" s="173">
        <v>12</v>
      </c>
      <c r="I208">
        <v>928</v>
      </c>
      <c r="J208" s="173">
        <v>400</v>
      </c>
      <c r="K208" s="173">
        <f t="shared" si="33"/>
        <v>5.1724137931034484</v>
      </c>
      <c r="L208" s="173">
        <f t="shared" si="34"/>
        <v>17.172413793103448</v>
      </c>
      <c r="N208" s="173">
        <f t="shared" si="35"/>
        <v>34.344827586206897</v>
      </c>
      <c r="O208" s="173">
        <v>70</v>
      </c>
    </row>
    <row r="209" spans="1:18" x14ac:dyDescent="0.35">
      <c r="A209" s="3"/>
      <c r="B209" s="3"/>
      <c r="C209" s="233"/>
      <c r="D209" s="233"/>
      <c r="E209" s="886" t="s">
        <v>2904</v>
      </c>
      <c r="F209" s="245" t="s">
        <v>3061</v>
      </c>
      <c r="G209" s="245"/>
      <c r="H209" s="173">
        <v>12</v>
      </c>
      <c r="I209">
        <v>928</v>
      </c>
      <c r="J209" s="173">
        <v>400</v>
      </c>
      <c r="K209" s="173">
        <f t="shared" si="33"/>
        <v>5.1724137931034484</v>
      </c>
      <c r="L209" s="173">
        <f t="shared" si="34"/>
        <v>17.172413793103448</v>
      </c>
      <c r="N209" s="173">
        <f t="shared" si="35"/>
        <v>34.344827586206897</v>
      </c>
      <c r="O209" s="173">
        <v>65</v>
      </c>
    </row>
    <row r="210" spans="1:18" x14ac:dyDescent="0.35">
      <c r="A210" s="3"/>
      <c r="B210" s="3"/>
      <c r="C210" s="233"/>
      <c r="D210" s="233"/>
      <c r="E210" s="886" t="s">
        <v>2904</v>
      </c>
      <c r="F210" s="245" t="s">
        <v>3061</v>
      </c>
      <c r="G210" s="245"/>
      <c r="H210" s="173">
        <v>12</v>
      </c>
      <c r="I210">
        <v>928</v>
      </c>
      <c r="J210" s="173">
        <v>400</v>
      </c>
      <c r="K210" s="173">
        <f t="shared" si="33"/>
        <v>5.1724137931034484</v>
      </c>
      <c r="L210" s="173">
        <f t="shared" si="34"/>
        <v>17.172413793103448</v>
      </c>
      <c r="N210" s="173">
        <f t="shared" si="35"/>
        <v>34.344827586206897</v>
      </c>
      <c r="O210" s="173">
        <v>65</v>
      </c>
    </row>
    <row r="211" spans="1:18" x14ac:dyDescent="0.35">
      <c r="A211" s="3"/>
      <c r="B211" s="3"/>
      <c r="C211" s="233"/>
      <c r="D211" s="233"/>
      <c r="E211" s="886" t="s">
        <v>2904</v>
      </c>
      <c r="F211" s="245" t="s">
        <v>3061</v>
      </c>
      <c r="G211" s="245"/>
      <c r="H211" s="173">
        <v>12</v>
      </c>
      <c r="I211">
        <v>928</v>
      </c>
      <c r="J211" s="173">
        <v>400</v>
      </c>
      <c r="K211" s="173">
        <f t="shared" si="33"/>
        <v>5.1724137931034484</v>
      </c>
      <c r="L211" s="173">
        <f t="shared" si="34"/>
        <v>17.172413793103448</v>
      </c>
      <c r="N211" s="173">
        <f t="shared" si="35"/>
        <v>34.344827586206897</v>
      </c>
      <c r="O211" s="173">
        <v>65</v>
      </c>
    </row>
    <row r="212" spans="1:18" x14ac:dyDescent="0.35">
      <c r="A212" s="3"/>
      <c r="B212" s="3"/>
      <c r="C212" s="233"/>
      <c r="D212" s="233"/>
      <c r="E212" s="886" t="s">
        <v>2904</v>
      </c>
      <c r="F212" s="245" t="s">
        <v>3061</v>
      </c>
      <c r="G212" s="245"/>
      <c r="H212" s="173">
        <v>12</v>
      </c>
      <c r="I212">
        <v>928</v>
      </c>
      <c r="J212" s="173">
        <v>400</v>
      </c>
      <c r="K212" s="173">
        <f t="shared" si="33"/>
        <v>5.1724137931034484</v>
      </c>
      <c r="L212" s="173">
        <f t="shared" si="34"/>
        <v>17.172413793103448</v>
      </c>
      <c r="N212" s="173">
        <f t="shared" si="35"/>
        <v>34.344827586206897</v>
      </c>
      <c r="O212" s="173">
        <v>65</v>
      </c>
    </row>
    <row r="213" spans="1:18" x14ac:dyDescent="0.35">
      <c r="A213" s="3"/>
      <c r="B213" s="3"/>
      <c r="C213" s="233"/>
      <c r="D213" s="233"/>
      <c r="E213" s="886" t="s">
        <v>2904</v>
      </c>
      <c r="F213" s="245" t="s">
        <v>3061</v>
      </c>
      <c r="G213" s="245"/>
      <c r="H213" s="173">
        <v>12</v>
      </c>
      <c r="I213">
        <v>928</v>
      </c>
      <c r="J213" s="173">
        <v>400</v>
      </c>
      <c r="K213" s="173">
        <f t="shared" si="33"/>
        <v>5.1724137931034484</v>
      </c>
      <c r="L213" s="173">
        <f t="shared" si="34"/>
        <v>17.172413793103448</v>
      </c>
      <c r="N213" s="173">
        <f t="shared" si="35"/>
        <v>34.344827586206897</v>
      </c>
      <c r="O213" s="173">
        <v>65</v>
      </c>
    </row>
    <row r="214" spans="1:18" x14ac:dyDescent="0.35">
      <c r="A214" s="3"/>
      <c r="B214" s="3"/>
      <c r="C214" s="233"/>
      <c r="D214" s="233"/>
      <c r="E214" s="886" t="s">
        <v>2904</v>
      </c>
      <c r="F214" s="371" t="s">
        <v>3062</v>
      </c>
      <c r="G214" s="371"/>
      <c r="H214" s="176">
        <v>12</v>
      </c>
      <c r="I214" s="12">
        <v>928</v>
      </c>
      <c r="J214" s="176">
        <v>400</v>
      </c>
      <c r="K214" s="176">
        <f t="shared" si="33"/>
        <v>5.1724137931034484</v>
      </c>
      <c r="L214" s="176">
        <f t="shared" si="34"/>
        <v>17.172413793103448</v>
      </c>
      <c r="M214" s="12"/>
      <c r="N214" s="176">
        <f t="shared" si="35"/>
        <v>34.344827586206897</v>
      </c>
      <c r="O214" s="176">
        <v>65</v>
      </c>
      <c r="Q214" t="s">
        <v>12</v>
      </c>
      <c r="R214" s="6">
        <v>46136</v>
      </c>
    </row>
    <row r="215" spans="1:18" x14ac:dyDescent="0.35">
      <c r="A215" s="3"/>
      <c r="B215" s="3"/>
      <c r="C215" s="233"/>
      <c r="D215" s="233"/>
      <c r="E215" s="886" t="s">
        <v>2904</v>
      </c>
      <c r="F215" s="245" t="s">
        <v>3062</v>
      </c>
      <c r="G215" s="245"/>
      <c r="H215" s="173">
        <v>12</v>
      </c>
      <c r="I215">
        <v>928</v>
      </c>
      <c r="J215" s="173">
        <v>400</v>
      </c>
      <c r="K215" s="173">
        <f t="shared" si="33"/>
        <v>5.1724137931034484</v>
      </c>
      <c r="L215" s="173">
        <f t="shared" si="34"/>
        <v>17.172413793103448</v>
      </c>
      <c r="N215" s="173">
        <f t="shared" si="35"/>
        <v>34.344827586206897</v>
      </c>
      <c r="O215" s="173">
        <v>65</v>
      </c>
    </row>
    <row r="216" spans="1:18" x14ac:dyDescent="0.35">
      <c r="A216" s="3"/>
      <c r="B216" s="3"/>
      <c r="C216" s="233"/>
      <c r="D216" s="233"/>
      <c r="E216" s="886" t="s">
        <v>2904</v>
      </c>
      <c r="F216" s="245" t="s">
        <v>3062</v>
      </c>
      <c r="G216" s="245"/>
      <c r="H216" s="173">
        <v>12</v>
      </c>
      <c r="I216">
        <v>928</v>
      </c>
      <c r="J216" s="173">
        <v>400</v>
      </c>
      <c r="K216" s="173">
        <f t="shared" si="33"/>
        <v>5.1724137931034484</v>
      </c>
      <c r="L216" s="173">
        <f t="shared" si="34"/>
        <v>17.172413793103448</v>
      </c>
      <c r="N216" s="173">
        <f t="shared" si="35"/>
        <v>34.344827586206897</v>
      </c>
      <c r="O216" s="173">
        <v>65</v>
      </c>
    </row>
    <row r="217" spans="1:18" x14ac:dyDescent="0.35">
      <c r="A217" s="3"/>
      <c r="B217" s="3"/>
      <c r="C217" s="233"/>
      <c r="D217" s="233"/>
      <c r="E217" s="886" t="s">
        <v>2904</v>
      </c>
      <c r="F217" s="245" t="s">
        <v>3062</v>
      </c>
      <c r="G217" s="245"/>
      <c r="H217" s="173">
        <v>12</v>
      </c>
      <c r="I217">
        <v>928</v>
      </c>
      <c r="J217" s="173">
        <v>400</v>
      </c>
      <c r="K217" s="173">
        <f t="shared" si="33"/>
        <v>5.1724137931034484</v>
      </c>
      <c r="L217" s="173">
        <f t="shared" si="34"/>
        <v>17.172413793103448</v>
      </c>
      <c r="N217" s="173">
        <f t="shared" si="35"/>
        <v>34.344827586206897</v>
      </c>
      <c r="O217" s="173">
        <v>65</v>
      </c>
    </row>
    <row r="218" spans="1:18" x14ac:dyDescent="0.35">
      <c r="A218" s="3"/>
      <c r="B218" s="3"/>
      <c r="C218" s="233"/>
      <c r="D218" s="233"/>
      <c r="E218" s="886" t="s">
        <v>2904</v>
      </c>
      <c r="F218" s="245" t="s">
        <v>3062</v>
      </c>
      <c r="G218" s="245"/>
      <c r="H218" s="173">
        <v>12</v>
      </c>
      <c r="I218">
        <v>928</v>
      </c>
      <c r="J218" s="173">
        <v>400</v>
      </c>
      <c r="K218" s="173">
        <f t="shared" si="33"/>
        <v>5.1724137931034484</v>
      </c>
      <c r="L218" s="173">
        <f t="shared" si="34"/>
        <v>17.172413793103448</v>
      </c>
      <c r="N218" s="173">
        <f t="shared" si="35"/>
        <v>34.344827586206897</v>
      </c>
      <c r="O218" s="173">
        <v>65</v>
      </c>
    </row>
    <row r="219" spans="1:18" x14ac:dyDescent="0.35">
      <c r="A219" s="3"/>
      <c r="B219" s="3"/>
      <c r="C219" s="233"/>
      <c r="D219" s="233"/>
      <c r="E219" s="886" t="s">
        <v>2904</v>
      </c>
      <c r="F219" s="371" t="s">
        <v>3063</v>
      </c>
      <c r="G219" s="371"/>
      <c r="H219" s="176">
        <v>10</v>
      </c>
      <c r="I219" s="12">
        <v>928</v>
      </c>
      <c r="J219" s="176">
        <v>400</v>
      </c>
      <c r="K219" s="176">
        <f t="shared" si="33"/>
        <v>4.3103448275862073</v>
      </c>
      <c r="L219" s="176">
        <f t="shared" si="34"/>
        <v>14.310344827586206</v>
      </c>
      <c r="M219" s="12"/>
      <c r="N219" s="176">
        <f t="shared" si="35"/>
        <v>28.620689655172413</v>
      </c>
      <c r="O219" s="176">
        <v>50</v>
      </c>
      <c r="Q219" t="s">
        <v>3131</v>
      </c>
      <c r="R219" s="6">
        <v>46135</v>
      </c>
    </row>
    <row r="220" spans="1:18" x14ac:dyDescent="0.35">
      <c r="A220" s="3"/>
      <c r="B220" s="3"/>
      <c r="C220" s="233"/>
      <c r="D220" s="233"/>
      <c r="E220" s="886" t="s">
        <v>2904</v>
      </c>
      <c r="F220" s="371" t="s">
        <v>3063</v>
      </c>
      <c r="G220" s="371"/>
      <c r="H220" s="176">
        <v>10</v>
      </c>
      <c r="I220" s="12">
        <v>928</v>
      </c>
      <c r="J220" s="176">
        <v>400</v>
      </c>
      <c r="K220" s="176">
        <f t="shared" si="33"/>
        <v>4.3103448275862073</v>
      </c>
      <c r="L220" s="176">
        <f t="shared" si="34"/>
        <v>14.310344827586206</v>
      </c>
      <c r="M220" s="12"/>
      <c r="N220" s="176">
        <f t="shared" si="35"/>
        <v>28.620689655172413</v>
      </c>
      <c r="O220" s="176">
        <v>50</v>
      </c>
      <c r="Q220" t="s">
        <v>3132</v>
      </c>
      <c r="R220" s="6">
        <v>46136</v>
      </c>
    </row>
    <row r="221" spans="1:18" x14ac:dyDescent="0.35">
      <c r="A221" s="3"/>
      <c r="B221" s="3"/>
      <c r="C221" s="233"/>
      <c r="D221" s="233"/>
      <c r="E221" s="886" t="s">
        <v>2904</v>
      </c>
      <c r="F221" s="371" t="s">
        <v>3063</v>
      </c>
      <c r="G221" s="371"/>
      <c r="H221" s="176">
        <v>10</v>
      </c>
      <c r="I221" s="12">
        <v>928</v>
      </c>
      <c r="J221" s="176">
        <v>400</v>
      </c>
      <c r="K221" s="176">
        <f t="shared" si="33"/>
        <v>4.3103448275862073</v>
      </c>
      <c r="L221" s="176">
        <f t="shared" si="34"/>
        <v>14.310344827586206</v>
      </c>
      <c r="M221" s="12"/>
      <c r="N221" s="176">
        <f t="shared" si="35"/>
        <v>28.620689655172413</v>
      </c>
      <c r="O221" s="176">
        <v>50</v>
      </c>
      <c r="Q221" t="s">
        <v>3165</v>
      </c>
      <c r="R221" s="6">
        <v>46140</v>
      </c>
    </row>
    <row r="222" spans="1:18" x14ac:dyDescent="0.35">
      <c r="A222" s="3"/>
      <c r="B222" s="3"/>
      <c r="C222" s="233"/>
      <c r="D222" s="233"/>
      <c r="E222" s="886" t="s">
        <v>2904</v>
      </c>
      <c r="F222" s="245" t="s">
        <v>3063</v>
      </c>
      <c r="G222" s="245"/>
      <c r="H222" s="173">
        <v>10</v>
      </c>
      <c r="I222">
        <v>928</v>
      </c>
      <c r="J222" s="173">
        <v>400</v>
      </c>
      <c r="K222" s="173">
        <f t="shared" si="33"/>
        <v>4.3103448275862073</v>
      </c>
      <c r="L222" s="173">
        <f t="shared" si="34"/>
        <v>14.310344827586206</v>
      </c>
      <c r="N222" s="173">
        <f t="shared" si="35"/>
        <v>28.620689655172413</v>
      </c>
      <c r="O222" s="173">
        <v>50</v>
      </c>
    </row>
    <row r="223" spans="1:18" x14ac:dyDescent="0.35">
      <c r="A223" s="3"/>
      <c r="B223" s="3"/>
      <c r="C223" s="233"/>
      <c r="D223" s="233"/>
      <c r="E223" s="886" t="s">
        <v>2904</v>
      </c>
      <c r="F223" s="245" t="s">
        <v>3063</v>
      </c>
      <c r="G223" s="245"/>
      <c r="H223" s="173">
        <v>10</v>
      </c>
      <c r="I223">
        <v>928</v>
      </c>
      <c r="J223" s="173">
        <v>400</v>
      </c>
      <c r="K223" s="173">
        <f t="shared" si="33"/>
        <v>4.3103448275862073</v>
      </c>
      <c r="L223" s="173">
        <f t="shared" si="34"/>
        <v>14.310344827586206</v>
      </c>
      <c r="N223" s="173">
        <f t="shared" si="35"/>
        <v>28.620689655172413</v>
      </c>
      <c r="O223" s="173">
        <v>50</v>
      </c>
    </row>
    <row r="224" spans="1:18" x14ac:dyDescent="0.35">
      <c r="A224" s="3"/>
      <c r="B224" s="3"/>
      <c r="C224" s="233"/>
      <c r="D224" s="233"/>
      <c r="E224" s="886" t="s">
        <v>2904</v>
      </c>
      <c r="F224" s="371" t="s">
        <v>3064</v>
      </c>
      <c r="G224" s="371"/>
      <c r="H224" s="176">
        <v>10</v>
      </c>
      <c r="I224" s="12">
        <v>928</v>
      </c>
      <c r="J224" s="176">
        <v>400</v>
      </c>
      <c r="K224" s="176">
        <f t="shared" si="33"/>
        <v>4.3103448275862073</v>
      </c>
      <c r="L224" s="176">
        <f t="shared" si="34"/>
        <v>14.310344827586206</v>
      </c>
      <c r="M224" s="12"/>
      <c r="N224" s="176">
        <f t="shared" si="35"/>
        <v>28.620689655172413</v>
      </c>
      <c r="O224" s="176">
        <v>45</v>
      </c>
      <c r="Q224" t="s">
        <v>998</v>
      </c>
      <c r="R224" s="6">
        <v>46126</v>
      </c>
    </row>
    <row r="225" spans="1:15" x14ac:dyDescent="0.35">
      <c r="A225" s="3"/>
      <c r="B225" s="3"/>
      <c r="C225" s="233"/>
      <c r="D225" s="233"/>
      <c r="E225" s="886" t="s">
        <v>2904</v>
      </c>
      <c r="F225" s="245" t="s">
        <v>3064</v>
      </c>
      <c r="G225" s="245"/>
      <c r="H225" s="173">
        <v>10</v>
      </c>
      <c r="I225">
        <v>928</v>
      </c>
      <c r="J225" s="173">
        <v>400</v>
      </c>
      <c r="K225" s="173">
        <f t="shared" si="33"/>
        <v>4.3103448275862073</v>
      </c>
      <c r="L225" s="173">
        <f t="shared" si="34"/>
        <v>14.310344827586206</v>
      </c>
      <c r="N225" s="173">
        <f t="shared" si="35"/>
        <v>28.620689655172413</v>
      </c>
      <c r="O225" s="173">
        <v>45</v>
      </c>
    </row>
    <row r="226" spans="1:15" x14ac:dyDescent="0.35">
      <c r="A226" s="3"/>
      <c r="B226" s="3"/>
      <c r="C226" s="233"/>
      <c r="D226" s="233"/>
      <c r="E226" s="886" t="s">
        <v>2904</v>
      </c>
      <c r="F226" s="245" t="s">
        <v>3064</v>
      </c>
      <c r="G226" s="245"/>
      <c r="H226" s="173">
        <v>10</v>
      </c>
      <c r="I226">
        <v>928</v>
      </c>
      <c r="J226" s="173">
        <v>400</v>
      </c>
      <c r="K226" s="173">
        <f t="shared" si="33"/>
        <v>4.3103448275862073</v>
      </c>
      <c r="L226" s="173">
        <f t="shared" si="34"/>
        <v>14.310344827586206</v>
      </c>
      <c r="N226" s="173">
        <f t="shared" si="35"/>
        <v>28.620689655172413</v>
      </c>
      <c r="O226" s="173">
        <v>45</v>
      </c>
    </row>
    <row r="227" spans="1:15" x14ac:dyDescent="0.35">
      <c r="A227" s="3"/>
      <c r="B227" s="3"/>
      <c r="C227" s="233"/>
      <c r="D227" s="233"/>
      <c r="E227" s="886" t="s">
        <v>2904</v>
      </c>
      <c r="F227" s="245" t="s">
        <v>3064</v>
      </c>
      <c r="G227" s="245"/>
      <c r="H227" s="173">
        <v>10</v>
      </c>
      <c r="I227">
        <v>928</v>
      </c>
      <c r="J227" s="173">
        <v>400</v>
      </c>
      <c r="K227" s="173">
        <f t="shared" si="33"/>
        <v>4.3103448275862073</v>
      </c>
      <c r="L227" s="173">
        <f t="shared" si="34"/>
        <v>14.310344827586206</v>
      </c>
      <c r="N227" s="173">
        <f t="shared" si="35"/>
        <v>28.620689655172413</v>
      </c>
      <c r="O227" s="173">
        <v>45</v>
      </c>
    </row>
    <row r="228" spans="1:15" x14ac:dyDescent="0.35">
      <c r="A228" s="3"/>
      <c r="B228" s="3"/>
      <c r="C228" s="233"/>
      <c r="D228" s="233"/>
      <c r="E228" s="886" t="s">
        <v>2904</v>
      </c>
      <c r="F228" s="245" t="s">
        <v>3064</v>
      </c>
      <c r="G228" s="245"/>
      <c r="H228" s="173">
        <v>10</v>
      </c>
      <c r="I228">
        <v>928</v>
      </c>
      <c r="J228" s="173">
        <v>400</v>
      </c>
      <c r="K228" s="173">
        <f t="shared" si="33"/>
        <v>4.3103448275862073</v>
      </c>
      <c r="L228" s="173">
        <f t="shared" si="34"/>
        <v>14.310344827586206</v>
      </c>
      <c r="N228" s="173">
        <f t="shared" si="35"/>
        <v>28.620689655172413</v>
      </c>
      <c r="O228" s="173">
        <v>45</v>
      </c>
    </row>
    <row r="229" spans="1:15" x14ac:dyDescent="0.35">
      <c r="A229" s="3"/>
      <c r="B229" s="3"/>
      <c r="C229" s="233"/>
      <c r="D229" s="233"/>
      <c r="E229" s="886" t="s">
        <v>2904</v>
      </c>
      <c r="F229" s="245" t="s">
        <v>3065</v>
      </c>
      <c r="G229" s="245"/>
      <c r="H229" s="173">
        <v>10</v>
      </c>
      <c r="I229">
        <v>928</v>
      </c>
      <c r="J229" s="173">
        <v>400</v>
      </c>
      <c r="K229" s="173">
        <f t="shared" si="33"/>
        <v>4.3103448275862073</v>
      </c>
      <c r="L229" s="173">
        <f t="shared" si="34"/>
        <v>14.310344827586206</v>
      </c>
      <c r="N229" s="173">
        <f t="shared" si="35"/>
        <v>28.620689655172413</v>
      </c>
      <c r="O229" s="173">
        <v>45</v>
      </c>
    </row>
    <row r="230" spans="1:15" x14ac:dyDescent="0.35">
      <c r="A230" s="3"/>
      <c r="B230" s="3"/>
      <c r="C230" s="233"/>
      <c r="D230" s="233"/>
      <c r="E230" s="886" t="s">
        <v>2904</v>
      </c>
      <c r="F230" s="245" t="s">
        <v>3065</v>
      </c>
      <c r="G230" s="245"/>
      <c r="H230" s="173">
        <v>10</v>
      </c>
      <c r="I230">
        <v>928</v>
      </c>
      <c r="J230" s="173">
        <v>400</v>
      </c>
      <c r="K230" s="173">
        <f t="shared" si="33"/>
        <v>4.3103448275862073</v>
      </c>
      <c r="L230" s="173">
        <f t="shared" si="34"/>
        <v>14.310344827586206</v>
      </c>
      <c r="N230" s="173">
        <f t="shared" si="35"/>
        <v>28.620689655172413</v>
      </c>
      <c r="O230" s="173">
        <v>45</v>
      </c>
    </row>
    <row r="231" spans="1:15" x14ac:dyDescent="0.35">
      <c r="A231" s="3"/>
      <c r="B231" s="3"/>
      <c r="C231" s="233"/>
      <c r="D231" s="233"/>
      <c r="E231" s="886" t="s">
        <v>2904</v>
      </c>
      <c r="F231" s="245" t="s">
        <v>3065</v>
      </c>
      <c r="G231" s="245"/>
      <c r="H231" s="173">
        <v>10</v>
      </c>
      <c r="I231">
        <v>928</v>
      </c>
      <c r="J231" s="173">
        <v>400</v>
      </c>
      <c r="K231" s="173">
        <f t="shared" si="33"/>
        <v>4.3103448275862073</v>
      </c>
      <c r="L231" s="173">
        <f t="shared" si="34"/>
        <v>14.310344827586206</v>
      </c>
      <c r="N231" s="173">
        <f t="shared" si="35"/>
        <v>28.620689655172413</v>
      </c>
      <c r="O231" s="173">
        <v>45</v>
      </c>
    </row>
    <row r="232" spans="1:15" x14ac:dyDescent="0.35">
      <c r="A232" s="3"/>
      <c r="B232" s="3"/>
      <c r="C232" s="233"/>
      <c r="D232" s="233"/>
      <c r="E232" s="886" t="s">
        <v>2904</v>
      </c>
      <c r="F232" s="245" t="s">
        <v>3065</v>
      </c>
      <c r="G232" s="245"/>
      <c r="H232" s="173">
        <v>10</v>
      </c>
      <c r="I232">
        <v>928</v>
      </c>
      <c r="J232" s="173">
        <v>400</v>
      </c>
      <c r="K232" s="173">
        <f t="shared" si="33"/>
        <v>4.3103448275862073</v>
      </c>
      <c r="L232" s="173">
        <f t="shared" si="34"/>
        <v>14.310344827586206</v>
      </c>
      <c r="N232" s="173">
        <f t="shared" si="35"/>
        <v>28.620689655172413</v>
      </c>
      <c r="O232" s="173">
        <v>45</v>
      </c>
    </row>
    <row r="233" spans="1:15" x14ac:dyDescent="0.35">
      <c r="A233" s="3"/>
      <c r="B233" s="3"/>
      <c r="C233" s="233"/>
      <c r="D233" s="233"/>
      <c r="E233" s="886" t="s">
        <v>2904</v>
      </c>
      <c r="F233" s="245" t="s">
        <v>3065</v>
      </c>
      <c r="G233" s="245"/>
      <c r="H233" s="173">
        <v>10</v>
      </c>
      <c r="I233">
        <v>928</v>
      </c>
      <c r="J233" s="173">
        <v>400</v>
      </c>
      <c r="K233" s="173">
        <f t="shared" si="33"/>
        <v>4.3103448275862073</v>
      </c>
      <c r="L233" s="173">
        <f t="shared" si="34"/>
        <v>14.310344827586206</v>
      </c>
      <c r="N233" s="173">
        <f t="shared" si="35"/>
        <v>28.620689655172413</v>
      </c>
      <c r="O233" s="173">
        <v>45</v>
      </c>
    </row>
    <row r="234" spans="1:15" x14ac:dyDescent="0.35">
      <c r="A234" s="3"/>
      <c r="B234" s="3"/>
      <c r="C234" s="233"/>
      <c r="D234" s="233"/>
      <c r="E234" s="886" t="s">
        <v>2904</v>
      </c>
      <c r="F234" s="245" t="s">
        <v>3066</v>
      </c>
      <c r="G234" s="245"/>
      <c r="H234" s="173">
        <v>7</v>
      </c>
      <c r="I234">
        <v>928</v>
      </c>
      <c r="J234" s="173">
        <v>400</v>
      </c>
      <c r="K234" s="173">
        <f t="shared" si="33"/>
        <v>3.0172413793103448</v>
      </c>
      <c r="L234" s="173">
        <f t="shared" si="34"/>
        <v>10.017241379310345</v>
      </c>
      <c r="N234" s="173">
        <f t="shared" si="35"/>
        <v>20.03448275862069</v>
      </c>
      <c r="O234" s="173">
        <v>45</v>
      </c>
    </row>
    <row r="235" spans="1:15" x14ac:dyDescent="0.35">
      <c r="A235" s="3"/>
      <c r="B235" s="3"/>
      <c r="C235" s="233"/>
      <c r="D235" s="233"/>
      <c r="E235" s="886" t="s">
        <v>2904</v>
      </c>
      <c r="F235" s="245" t="s">
        <v>3066</v>
      </c>
      <c r="G235" s="245"/>
      <c r="H235" s="173">
        <v>7</v>
      </c>
      <c r="I235">
        <v>928</v>
      </c>
      <c r="J235" s="173">
        <v>400</v>
      </c>
      <c r="K235" s="173">
        <f t="shared" si="33"/>
        <v>3.0172413793103448</v>
      </c>
      <c r="L235" s="173">
        <f t="shared" si="34"/>
        <v>10.017241379310345</v>
      </c>
      <c r="N235" s="173">
        <f t="shared" si="35"/>
        <v>20.03448275862069</v>
      </c>
      <c r="O235" s="173">
        <v>45</v>
      </c>
    </row>
    <row r="236" spans="1:15" x14ac:dyDescent="0.35">
      <c r="A236" s="3"/>
      <c r="B236" s="3"/>
      <c r="C236" s="233"/>
      <c r="D236" s="233"/>
      <c r="E236" s="886" t="s">
        <v>2904</v>
      </c>
      <c r="F236" s="245" t="s">
        <v>3066</v>
      </c>
      <c r="G236" s="245"/>
      <c r="H236" s="173">
        <v>7</v>
      </c>
      <c r="I236">
        <v>928</v>
      </c>
      <c r="J236" s="173">
        <v>400</v>
      </c>
      <c r="K236" s="173">
        <f t="shared" si="33"/>
        <v>3.0172413793103448</v>
      </c>
      <c r="L236" s="173">
        <f t="shared" si="34"/>
        <v>10.017241379310345</v>
      </c>
      <c r="N236" s="173">
        <f t="shared" si="35"/>
        <v>20.03448275862069</v>
      </c>
      <c r="O236" s="173">
        <v>45</v>
      </c>
    </row>
    <row r="237" spans="1:15" x14ac:dyDescent="0.35">
      <c r="A237" s="3"/>
      <c r="B237" s="3"/>
      <c r="C237" s="233"/>
      <c r="D237" s="233"/>
      <c r="E237" s="886" t="s">
        <v>2904</v>
      </c>
      <c r="F237" s="245" t="s">
        <v>3066</v>
      </c>
      <c r="G237" s="245"/>
      <c r="H237" s="173">
        <v>7</v>
      </c>
      <c r="I237">
        <v>928</v>
      </c>
      <c r="J237" s="173">
        <v>400</v>
      </c>
      <c r="K237" s="173">
        <f t="shared" si="33"/>
        <v>3.0172413793103448</v>
      </c>
      <c r="L237" s="173">
        <f t="shared" si="34"/>
        <v>10.017241379310345</v>
      </c>
      <c r="N237" s="173">
        <f t="shared" si="35"/>
        <v>20.03448275862069</v>
      </c>
      <c r="O237" s="173">
        <v>45</v>
      </c>
    </row>
    <row r="238" spans="1:15" x14ac:dyDescent="0.35">
      <c r="A238" s="3"/>
      <c r="B238" s="3"/>
      <c r="C238" s="233"/>
      <c r="D238" s="233"/>
      <c r="E238" s="886" t="s">
        <v>2904</v>
      </c>
      <c r="F238" s="245" t="s">
        <v>3066</v>
      </c>
      <c r="G238" s="245"/>
      <c r="H238" s="173">
        <v>7</v>
      </c>
      <c r="I238">
        <v>928</v>
      </c>
      <c r="J238" s="173">
        <v>400</v>
      </c>
      <c r="K238" s="173">
        <f t="shared" ref="K238:K264" si="36">+H238/I238*J238</f>
        <v>3.0172413793103448</v>
      </c>
      <c r="L238" s="173">
        <f t="shared" ref="L238:L264" si="37">+H238+K238</f>
        <v>10.017241379310345</v>
      </c>
      <c r="N238" s="173">
        <f t="shared" si="35"/>
        <v>20.03448275862069</v>
      </c>
      <c r="O238" s="173">
        <v>45</v>
      </c>
    </row>
    <row r="239" spans="1:15" x14ac:dyDescent="0.35">
      <c r="A239" s="3"/>
      <c r="B239" s="3"/>
      <c r="C239" s="233"/>
      <c r="D239" s="233"/>
      <c r="E239" s="886" t="s">
        <v>2904</v>
      </c>
      <c r="F239" s="245" t="s">
        <v>3067</v>
      </c>
      <c r="G239" s="245"/>
      <c r="H239" s="173">
        <v>7</v>
      </c>
      <c r="I239">
        <v>928</v>
      </c>
      <c r="J239" s="173">
        <v>400</v>
      </c>
      <c r="K239" s="173">
        <f t="shared" si="36"/>
        <v>3.0172413793103448</v>
      </c>
      <c r="L239" s="173">
        <f t="shared" si="37"/>
        <v>10.017241379310345</v>
      </c>
      <c r="N239" s="173">
        <f t="shared" ref="N239:N264" si="38">+L239*2</f>
        <v>20.03448275862069</v>
      </c>
      <c r="O239" s="173">
        <v>45</v>
      </c>
    </row>
    <row r="240" spans="1:15" x14ac:dyDescent="0.35">
      <c r="A240" s="3"/>
      <c r="B240" s="3"/>
      <c r="C240" s="233"/>
      <c r="D240" s="233"/>
      <c r="E240" s="886" t="s">
        <v>2904</v>
      </c>
      <c r="F240" s="245" t="s">
        <v>3067</v>
      </c>
      <c r="G240" s="245"/>
      <c r="H240" s="173">
        <v>7</v>
      </c>
      <c r="I240">
        <v>928</v>
      </c>
      <c r="J240" s="173">
        <v>400</v>
      </c>
      <c r="K240" s="173">
        <f t="shared" si="36"/>
        <v>3.0172413793103448</v>
      </c>
      <c r="L240" s="173">
        <f t="shared" si="37"/>
        <v>10.017241379310345</v>
      </c>
      <c r="N240" s="173">
        <f t="shared" si="38"/>
        <v>20.03448275862069</v>
      </c>
      <c r="O240" s="173">
        <v>45</v>
      </c>
    </row>
    <row r="241" spans="1:18" x14ac:dyDescent="0.35">
      <c r="A241" s="3"/>
      <c r="B241" s="3"/>
      <c r="C241" s="233"/>
      <c r="D241" s="233"/>
      <c r="E241" s="886" t="s">
        <v>2904</v>
      </c>
      <c r="F241" s="245" t="s">
        <v>3067</v>
      </c>
      <c r="G241" s="245"/>
      <c r="H241" s="173">
        <v>7</v>
      </c>
      <c r="I241">
        <v>928</v>
      </c>
      <c r="J241" s="173">
        <v>400</v>
      </c>
      <c r="K241" s="173">
        <f t="shared" si="36"/>
        <v>3.0172413793103448</v>
      </c>
      <c r="L241" s="173">
        <f t="shared" si="37"/>
        <v>10.017241379310345</v>
      </c>
      <c r="N241" s="173">
        <f t="shared" si="38"/>
        <v>20.03448275862069</v>
      </c>
      <c r="O241" s="173">
        <v>45</v>
      </c>
    </row>
    <row r="242" spans="1:18" x14ac:dyDescent="0.35">
      <c r="A242" s="3"/>
      <c r="B242" s="3"/>
      <c r="C242" s="233"/>
      <c r="D242" s="233"/>
      <c r="E242" s="886" t="s">
        <v>2904</v>
      </c>
      <c r="F242" s="245" t="s">
        <v>3067</v>
      </c>
      <c r="G242" s="245"/>
      <c r="H242" s="173">
        <v>7</v>
      </c>
      <c r="I242">
        <v>928</v>
      </c>
      <c r="J242" s="173">
        <v>400</v>
      </c>
      <c r="K242" s="173">
        <f t="shared" si="36"/>
        <v>3.0172413793103448</v>
      </c>
      <c r="L242" s="173">
        <f t="shared" si="37"/>
        <v>10.017241379310345</v>
      </c>
      <c r="N242" s="173">
        <f t="shared" si="38"/>
        <v>20.03448275862069</v>
      </c>
      <c r="O242" s="173">
        <v>45</v>
      </c>
    </row>
    <row r="243" spans="1:18" x14ac:dyDescent="0.35">
      <c r="A243" s="3"/>
      <c r="B243" s="3"/>
      <c r="C243" s="233"/>
      <c r="D243" s="233"/>
      <c r="E243" s="886" t="s">
        <v>2904</v>
      </c>
      <c r="F243" s="245" t="s">
        <v>3067</v>
      </c>
      <c r="G243" s="245"/>
      <c r="H243" s="173">
        <v>7</v>
      </c>
      <c r="I243">
        <v>928</v>
      </c>
      <c r="J243" s="173">
        <v>400</v>
      </c>
      <c r="K243" s="173">
        <f t="shared" si="36"/>
        <v>3.0172413793103448</v>
      </c>
      <c r="L243" s="173">
        <f t="shared" si="37"/>
        <v>10.017241379310345</v>
      </c>
      <c r="N243" s="173">
        <f t="shared" si="38"/>
        <v>20.03448275862069</v>
      </c>
      <c r="O243" s="173">
        <v>45</v>
      </c>
    </row>
    <row r="244" spans="1:18" x14ac:dyDescent="0.35">
      <c r="A244" s="3"/>
      <c r="B244" s="3"/>
      <c r="C244" s="233"/>
      <c r="D244" s="233"/>
      <c r="E244" s="886" t="s">
        <v>2904</v>
      </c>
      <c r="F244" s="371" t="s">
        <v>3071</v>
      </c>
      <c r="G244" s="371"/>
      <c r="H244" s="176">
        <v>6</v>
      </c>
      <c r="I244" s="12">
        <v>928</v>
      </c>
      <c r="J244" s="176">
        <v>400</v>
      </c>
      <c r="K244" s="176">
        <f t="shared" si="36"/>
        <v>2.5862068965517242</v>
      </c>
      <c r="L244" s="176">
        <f t="shared" si="37"/>
        <v>8.5862068965517242</v>
      </c>
      <c r="M244" s="12"/>
      <c r="N244" s="176">
        <f t="shared" si="38"/>
        <v>17.172413793103448</v>
      </c>
      <c r="O244" s="176">
        <v>35</v>
      </c>
      <c r="Q244" t="s">
        <v>12</v>
      </c>
      <c r="R244" s="6">
        <v>46128</v>
      </c>
    </row>
    <row r="245" spans="1:18" x14ac:dyDescent="0.35">
      <c r="A245" s="3"/>
      <c r="B245" s="3"/>
      <c r="C245" s="233"/>
      <c r="D245" s="233"/>
      <c r="E245" s="886" t="s">
        <v>2904</v>
      </c>
      <c r="F245" s="371" t="s">
        <v>3071</v>
      </c>
      <c r="G245" s="371"/>
      <c r="H245" s="176">
        <v>6</v>
      </c>
      <c r="I245" s="12">
        <v>928</v>
      </c>
      <c r="J245" s="176">
        <v>400</v>
      </c>
      <c r="K245" s="176">
        <f t="shared" si="36"/>
        <v>2.5862068965517242</v>
      </c>
      <c r="L245" s="176">
        <f t="shared" si="37"/>
        <v>8.5862068965517242</v>
      </c>
      <c r="M245" s="12"/>
      <c r="N245" s="176">
        <f t="shared" si="38"/>
        <v>17.172413793103448</v>
      </c>
      <c r="O245" s="176">
        <v>35</v>
      </c>
      <c r="Q245" t="s">
        <v>12</v>
      </c>
      <c r="R245" s="6">
        <v>46128</v>
      </c>
    </row>
    <row r="246" spans="1:18" x14ac:dyDescent="0.35">
      <c r="A246" s="3"/>
      <c r="B246" s="3"/>
      <c r="C246" s="233"/>
      <c r="D246" s="233"/>
      <c r="E246" s="886" t="s">
        <v>2904</v>
      </c>
      <c r="F246" s="245" t="s">
        <v>3071</v>
      </c>
      <c r="G246" s="245"/>
      <c r="H246" s="173">
        <v>6</v>
      </c>
      <c r="I246">
        <v>928</v>
      </c>
      <c r="J246" s="173">
        <v>400</v>
      </c>
      <c r="K246" s="173">
        <f t="shared" si="36"/>
        <v>2.5862068965517242</v>
      </c>
      <c r="L246" s="173">
        <f t="shared" si="37"/>
        <v>8.5862068965517242</v>
      </c>
      <c r="N246" s="173">
        <f t="shared" si="38"/>
        <v>17.172413793103448</v>
      </c>
      <c r="O246" s="173">
        <v>35</v>
      </c>
    </row>
    <row r="247" spans="1:18" x14ac:dyDescent="0.35">
      <c r="A247" s="3"/>
      <c r="B247" s="3"/>
      <c r="C247" s="233"/>
      <c r="D247" s="233"/>
      <c r="E247" s="886" t="s">
        <v>2904</v>
      </c>
      <c r="F247" s="245" t="s">
        <v>3071</v>
      </c>
      <c r="G247" s="245"/>
      <c r="H247" s="173">
        <v>6</v>
      </c>
      <c r="I247">
        <v>928</v>
      </c>
      <c r="J247" s="173">
        <v>400</v>
      </c>
      <c r="K247" s="173">
        <f t="shared" si="36"/>
        <v>2.5862068965517242</v>
      </c>
      <c r="L247" s="173">
        <f t="shared" si="37"/>
        <v>8.5862068965517242</v>
      </c>
      <c r="N247" s="173">
        <f t="shared" si="38"/>
        <v>17.172413793103448</v>
      </c>
      <c r="O247" s="173">
        <v>35</v>
      </c>
    </row>
    <row r="248" spans="1:18" x14ac:dyDescent="0.35">
      <c r="A248" s="3"/>
      <c r="B248" s="3"/>
      <c r="C248" s="233"/>
      <c r="D248" s="233"/>
      <c r="E248" s="886" t="s">
        <v>2904</v>
      </c>
      <c r="F248" s="245" t="s">
        <v>3071</v>
      </c>
      <c r="G248" s="245"/>
      <c r="H248" s="173">
        <v>6</v>
      </c>
      <c r="I248">
        <v>928</v>
      </c>
      <c r="J248" s="173">
        <v>400</v>
      </c>
      <c r="K248" s="173">
        <f t="shared" si="36"/>
        <v>2.5862068965517242</v>
      </c>
      <c r="L248" s="173">
        <f t="shared" si="37"/>
        <v>8.5862068965517242</v>
      </c>
      <c r="N248" s="173">
        <f t="shared" si="38"/>
        <v>17.172413793103448</v>
      </c>
      <c r="O248" s="173">
        <v>35</v>
      </c>
    </row>
    <row r="249" spans="1:18" x14ac:dyDescent="0.35">
      <c r="A249" s="3"/>
      <c r="B249" s="3"/>
      <c r="C249" s="233"/>
      <c r="D249" s="233"/>
      <c r="E249" s="886" t="s">
        <v>2904</v>
      </c>
      <c r="F249" s="371" t="s">
        <v>3068</v>
      </c>
      <c r="G249" s="371"/>
      <c r="H249" s="176">
        <v>8</v>
      </c>
      <c r="I249" s="12">
        <v>928</v>
      </c>
      <c r="J249" s="176">
        <v>400</v>
      </c>
      <c r="K249" s="176">
        <f t="shared" si="36"/>
        <v>3.4482758620689653</v>
      </c>
      <c r="L249" s="176">
        <f t="shared" si="37"/>
        <v>11.448275862068964</v>
      </c>
      <c r="M249" s="12"/>
      <c r="N249" s="176">
        <f t="shared" si="38"/>
        <v>22.896551724137929</v>
      </c>
      <c r="O249" s="176">
        <v>45</v>
      </c>
      <c r="Q249" t="s">
        <v>2843</v>
      </c>
      <c r="R249" s="6">
        <v>46032</v>
      </c>
    </row>
    <row r="250" spans="1:18" x14ac:dyDescent="0.35">
      <c r="A250" s="3"/>
      <c r="B250" s="3"/>
      <c r="C250" s="233"/>
      <c r="D250" s="233"/>
      <c r="E250" s="886" t="s">
        <v>2904</v>
      </c>
      <c r="F250" s="372" t="s">
        <v>3068</v>
      </c>
      <c r="G250" s="372"/>
      <c r="H250" s="373">
        <v>8</v>
      </c>
      <c r="I250" s="343">
        <v>928</v>
      </c>
      <c r="J250" s="373">
        <v>400</v>
      </c>
      <c r="K250" s="373">
        <f t="shared" si="36"/>
        <v>3.4482758620689653</v>
      </c>
      <c r="L250" s="373">
        <f t="shared" si="37"/>
        <v>11.448275862068964</v>
      </c>
      <c r="M250" s="343"/>
      <c r="N250" s="373">
        <f t="shared" si="38"/>
        <v>22.896551724137929</v>
      </c>
      <c r="O250" s="373">
        <v>45</v>
      </c>
      <c r="Q250" t="s">
        <v>987</v>
      </c>
    </row>
    <row r="251" spans="1:18" x14ac:dyDescent="0.35">
      <c r="A251" s="3"/>
      <c r="B251" s="3"/>
      <c r="C251" s="233"/>
      <c r="D251" s="233"/>
      <c r="E251" s="886" t="s">
        <v>2904</v>
      </c>
      <c r="F251" s="371" t="s">
        <v>3068</v>
      </c>
      <c r="G251" s="371"/>
      <c r="H251" s="176">
        <v>8</v>
      </c>
      <c r="I251" s="12">
        <v>928</v>
      </c>
      <c r="J251" s="176">
        <v>400</v>
      </c>
      <c r="K251" s="176">
        <f t="shared" si="36"/>
        <v>3.4482758620689653</v>
      </c>
      <c r="L251" s="176">
        <f t="shared" si="37"/>
        <v>11.448275862068964</v>
      </c>
      <c r="M251" s="12"/>
      <c r="N251" s="176">
        <f t="shared" si="38"/>
        <v>22.896551724137929</v>
      </c>
      <c r="O251" s="176">
        <v>45</v>
      </c>
      <c r="Q251" t="s">
        <v>1522</v>
      </c>
      <c r="R251" s="6">
        <v>46125</v>
      </c>
    </row>
    <row r="252" spans="1:18" x14ac:dyDescent="0.35">
      <c r="A252" s="3"/>
      <c r="B252" s="3"/>
      <c r="C252" s="233"/>
      <c r="D252" s="233"/>
      <c r="E252" s="886" t="s">
        <v>2904</v>
      </c>
      <c r="F252" s="245" t="s">
        <v>3068</v>
      </c>
      <c r="G252" s="245"/>
      <c r="H252" s="173">
        <v>8</v>
      </c>
      <c r="I252">
        <v>928</v>
      </c>
      <c r="J252" s="173">
        <v>400</v>
      </c>
      <c r="K252" s="173">
        <f t="shared" si="36"/>
        <v>3.4482758620689653</v>
      </c>
      <c r="L252" s="173">
        <f t="shared" si="37"/>
        <v>11.448275862068964</v>
      </c>
      <c r="N252" s="173">
        <f t="shared" si="38"/>
        <v>22.896551724137929</v>
      </c>
      <c r="O252" s="173">
        <v>45</v>
      </c>
    </row>
    <row r="253" spans="1:18" x14ac:dyDescent="0.35">
      <c r="A253" s="3"/>
      <c r="B253" s="3"/>
      <c r="C253" s="233"/>
      <c r="D253" s="233"/>
      <c r="E253" s="886" t="s">
        <v>2904</v>
      </c>
      <c r="F253" s="245" t="s">
        <v>3068</v>
      </c>
      <c r="G253" s="245"/>
      <c r="H253" s="173">
        <v>8</v>
      </c>
      <c r="I253">
        <v>928</v>
      </c>
      <c r="J253" s="173">
        <v>400</v>
      </c>
      <c r="K253" s="173">
        <f t="shared" si="36"/>
        <v>3.4482758620689653</v>
      </c>
      <c r="L253" s="173">
        <f t="shared" si="37"/>
        <v>11.448275862068964</v>
      </c>
      <c r="N253" s="173">
        <f t="shared" si="38"/>
        <v>22.896551724137929</v>
      </c>
      <c r="O253" s="173">
        <v>45</v>
      </c>
    </row>
    <row r="254" spans="1:18" x14ac:dyDescent="0.35">
      <c r="A254" s="3"/>
      <c r="B254" s="3"/>
      <c r="C254" s="233"/>
      <c r="D254" s="233"/>
      <c r="E254" s="886" t="s">
        <v>2904</v>
      </c>
      <c r="F254" s="245" t="s">
        <v>3068</v>
      </c>
      <c r="G254" s="245"/>
      <c r="H254" s="173">
        <v>8</v>
      </c>
      <c r="I254">
        <v>928</v>
      </c>
      <c r="J254" s="173">
        <v>400</v>
      </c>
      <c r="K254" s="173">
        <f t="shared" si="36"/>
        <v>3.4482758620689653</v>
      </c>
      <c r="L254" s="173">
        <f t="shared" si="37"/>
        <v>11.448275862068964</v>
      </c>
      <c r="N254" s="173">
        <f t="shared" si="38"/>
        <v>22.896551724137929</v>
      </c>
      <c r="O254" s="173">
        <v>45</v>
      </c>
    </row>
    <row r="255" spans="1:18" x14ac:dyDescent="0.35">
      <c r="A255" s="3"/>
      <c r="B255" s="3"/>
      <c r="C255" s="233"/>
      <c r="D255" s="233"/>
      <c r="E255" s="886" t="s">
        <v>2904</v>
      </c>
      <c r="F255" s="245" t="s">
        <v>3069</v>
      </c>
      <c r="G255" s="245"/>
      <c r="H255" s="173">
        <v>9</v>
      </c>
      <c r="I255">
        <v>928</v>
      </c>
      <c r="J255" s="173">
        <v>400</v>
      </c>
      <c r="K255" s="173">
        <f t="shared" si="36"/>
        <v>3.8793103448275863</v>
      </c>
      <c r="L255" s="173">
        <f t="shared" si="37"/>
        <v>12.879310344827587</v>
      </c>
      <c r="N255" s="173">
        <f t="shared" si="38"/>
        <v>25.758620689655174</v>
      </c>
      <c r="O255" s="173">
        <v>45</v>
      </c>
    </row>
    <row r="256" spans="1:18" x14ac:dyDescent="0.35">
      <c r="A256" s="3"/>
      <c r="B256" s="3"/>
      <c r="C256" s="233"/>
      <c r="D256" s="233"/>
      <c r="E256" s="886" t="s">
        <v>2904</v>
      </c>
      <c r="F256" s="245" t="s">
        <v>3069</v>
      </c>
      <c r="G256" s="245"/>
      <c r="H256" s="173">
        <v>9</v>
      </c>
      <c r="I256">
        <v>928</v>
      </c>
      <c r="J256" s="173">
        <v>400</v>
      </c>
      <c r="K256" s="173">
        <f t="shared" si="36"/>
        <v>3.8793103448275863</v>
      </c>
      <c r="L256" s="173">
        <f t="shared" si="37"/>
        <v>12.879310344827587</v>
      </c>
      <c r="N256" s="173">
        <f t="shared" si="38"/>
        <v>25.758620689655174</v>
      </c>
      <c r="O256" s="173">
        <v>45</v>
      </c>
    </row>
    <row r="257" spans="1:19" x14ac:dyDescent="0.35">
      <c r="A257" s="3"/>
      <c r="B257" s="3"/>
      <c r="C257" s="233"/>
      <c r="D257" s="233"/>
      <c r="E257" s="886" t="s">
        <v>2904</v>
      </c>
      <c r="F257" s="245" t="s">
        <v>3069</v>
      </c>
      <c r="G257" s="245"/>
      <c r="H257" s="173">
        <v>9</v>
      </c>
      <c r="I257">
        <v>928</v>
      </c>
      <c r="J257" s="173">
        <v>400</v>
      </c>
      <c r="K257" s="173">
        <f t="shared" si="36"/>
        <v>3.8793103448275863</v>
      </c>
      <c r="L257" s="173">
        <f t="shared" si="37"/>
        <v>12.879310344827587</v>
      </c>
      <c r="N257" s="173">
        <f t="shared" si="38"/>
        <v>25.758620689655174</v>
      </c>
      <c r="O257" s="173">
        <v>45</v>
      </c>
    </row>
    <row r="258" spans="1:19" x14ac:dyDescent="0.35">
      <c r="A258" s="3"/>
      <c r="B258" s="3"/>
      <c r="C258" s="233"/>
      <c r="D258" s="233"/>
      <c r="E258" s="886" t="s">
        <v>2904</v>
      </c>
      <c r="F258" s="245" t="s">
        <v>3069</v>
      </c>
      <c r="G258" s="245"/>
      <c r="H258" s="173">
        <v>9</v>
      </c>
      <c r="I258">
        <v>928</v>
      </c>
      <c r="J258" s="173">
        <v>400</v>
      </c>
      <c r="K258" s="173">
        <f t="shared" si="36"/>
        <v>3.8793103448275863</v>
      </c>
      <c r="L258" s="173">
        <f t="shared" si="37"/>
        <v>12.879310344827587</v>
      </c>
      <c r="N258" s="173">
        <f t="shared" si="38"/>
        <v>25.758620689655174</v>
      </c>
      <c r="O258" s="173">
        <v>45</v>
      </c>
    </row>
    <row r="259" spans="1:19" x14ac:dyDescent="0.35">
      <c r="A259" s="3"/>
      <c r="B259" s="3"/>
      <c r="C259" s="233"/>
      <c r="D259" s="233"/>
      <c r="E259" s="886" t="s">
        <v>2904</v>
      </c>
      <c r="F259" s="245" t="s">
        <v>3069</v>
      </c>
      <c r="G259" s="245"/>
      <c r="H259" s="173">
        <v>9</v>
      </c>
      <c r="I259">
        <v>928</v>
      </c>
      <c r="J259" s="173">
        <v>400</v>
      </c>
      <c r="K259" s="173">
        <f t="shared" si="36"/>
        <v>3.8793103448275863</v>
      </c>
      <c r="L259" s="173">
        <f t="shared" si="37"/>
        <v>12.879310344827587</v>
      </c>
      <c r="N259" s="173">
        <f t="shared" si="38"/>
        <v>25.758620689655174</v>
      </c>
      <c r="O259" s="173">
        <v>45</v>
      </c>
    </row>
    <row r="260" spans="1:19" x14ac:dyDescent="0.35">
      <c r="A260" s="3"/>
      <c r="B260" s="3"/>
      <c r="C260" s="233"/>
      <c r="D260" s="233"/>
      <c r="E260" s="886" t="s">
        <v>2904</v>
      </c>
      <c r="F260" s="245" t="s">
        <v>3070</v>
      </c>
      <c r="G260" s="245"/>
      <c r="H260" s="173">
        <v>9</v>
      </c>
      <c r="I260">
        <v>928</v>
      </c>
      <c r="J260" s="173">
        <v>400</v>
      </c>
      <c r="K260" s="173">
        <f t="shared" si="36"/>
        <v>3.8793103448275863</v>
      </c>
      <c r="L260" s="173">
        <f t="shared" si="37"/>
        <v>12.879310344827587</v>
      </c>
      <c r="N260" s="173">
        <f t="shared" si="38"/>
        <v>25.758620689655174</v>
      </c>
      <c r="O260" s="173">
        <v>45</v>
      </c>
    </row>
    <row r="261" spans="1:19" x14ac:dyDescent="0.35">
      <c r="A261" s="3"/>
      <c r="B261" s="3"/>
      <c r="C261" s="233"/>
      <c r="D261" s="233"/>
      <c r="E261" s="886" t="s">
        <v>2904</v>
      </c>
      <c r="F261" s="245" t="s">
        <v>3070</v>
      </c>
      <c r="G261" s="245"/>
      <c r="H261" s="173">
        <v>9</v>
      </c>
      <c r="I261">
        <v>928</v>
      </c>
      <c r="J261" s="173">
        <v>400</v>
      </c>
      <c r="K261" s="173">
        <f t="shared" si="36"/>
        <v>3.8793103448275863</v>
      </c>
      <c r="L261" s="173">
        <f t="shared" si="37"/>
        <v>12.879310344827587</v>
      </c>
      <c r="N261" s="173">
        <f t="shared" si="38"/>
        <v>25.758620689655174</v>
      </c>
      <c r="O261" s="173">
        <v>45</v>
      </c>
    </row>
    <row r="262" spans="1:19" x14ac:dyDescent="0.35">
      <c r="A262" s="3"/>
      <c r="B262" s="3"/>
      <c r="C262" s="233"/>
      <c r="D262" s="233"/>
      <c r="E262" s="886" t="s">
        <v>2904</v>
      </c>
      <c r="F262" s="245" t="s">
        <v>3070</v>
      </c>
      <c r="G262" s="245"/>
      <c r="H262" s="173">
        <v>9</v>
      </c>
      <c r="I262">
        <v>928</v>
      </c>
      <c r="J262" s="173">
        <v>400</v>
      </c>
      <c r="K262" s="173">
        <f t="shared" si="36"/>
        <v>3.8793103448275863</v>
      </c>
      <c r="L262" s="173">
        <f t="shared" si="37"/>
        <v>12.879310344827587</v>
      </c>
      <c r="N262" s="173">
        <f t="shared" si="38"/>
        <v>25.758620689655174</v>
      </c>
      <c r="O262" s="173">
        <v>45</v>
      </c>
    </row>
    <row r="263" spans="1:19" x14ac:dyDescent="0.35">
      <c r="A263" s="3"/>
      <c r="B263" s="3"/>
      <c r="C263" s="233"/>
      <c r="D263" s="233"/>
      <c r="E263" s="886" t="s">
        <v>2904</v>
      </c>
      <c r="F263" s="245" t="s">
        <v>3070</v>
      </c>
      <c r="G263" s="245"/>
      <c r="H263" s="173">
        <v>9</v>
      </c>
      <c r="I263">
        <v>928</v>
      </c>
      <c r="J263" s="173">
        <v>400</v>
      </c>
      <c r="K263" s="173">
        <f t="shared" si="36"/>
        <v>3.8793103448275863</v>
      </c>
      <c r="L263" s="173">
        <f t="shared" si="37"/>
        <v>12.879310344827587</v>
      </c>
      <c r="N263" s="173">
        <f t="shared" si="38"/>
        <v>25.758620689655174</v>
      </c>
      <c r="O263" s="173">
        <v>45</v>
      </c>
    </row>
    <row r="264" spans="1:19" x14ac:dyDescent="0.35">
      <c r="A264" s="3"/>
      <c r="B264" s="3"/>
      <c r="C264" s="233"/>
      <c r="D264" s="233"/>
      <c r="E264" s="886" t="s">
        <v>2904</v>
      </c>
      <c r="F264" s="245" t="s">
        <v>3070</v>
      </c>
      <c r="G264" s="245"/>
      <c r="H264" s="173">
        <v>9</v>
      </c>
      <c r="I264">
        <v>928</v>
      </c>
      <c r="J264" s="173">
        <v>400</v>
      </c>
      <c r="K264" s="173">
        <f t="shared" si="36"/>
        <v>3.8793103448275863</v>
      </c>
      <c r="L264" s="173">
        <f t="shared" si="37"/>
        <v>12.879310344827587</v>
      </c>
      <c r="N264" s="173">
        <f t="shared" si="38"/>
        <v>25.758620689655174</v>
      </c>
      <c r="O264" s="173">
        <v>45</v>
      </c>
    </row>
    <row r="265" spans="1:19" s="10" customFormat="1" ht="15.5" outlineLevel="1" x14ac:dyDescent="0.35">
      <c r="B265" s="11"/>
      <c r="F265" s="11" t="s">
        <v>26</v>
      </c>
      <c r="G265" s="141">
        <f t="shared" ref="G265:N265" si="39">SUM(G107:G114)</f>
        <v>128</v>
      </c>
      <c r="H265" s="141">
        <f t="shared" si="39"/>
        <v>42845</v>
      </c>
      <c r="I265" s="141">
        <f t="shared" si="39"/>
        <v>68285</v>
      </c>
      <c r="J265" s="141">
        <f t="shared" si="39"/>
        <v>204.1906088860089</v>
      </c>
      <c r="K265" s="141">
        <f t="shared" si="39"/>
        <v>332.19060888600893</v>
      </c>
      <c r="L265" s="141">
        <f t="shared" si="39"/>
        <v>1.5</v>
      </c>
      <c r="M265" s="141">
        <f t="shared" si="39"/>
        <v>431.84779155181161</v>
      </c>
      <c r="N265" s="141">
        <f t="shared" si="39"/>
        <v>445</v>
      </c>
      <c r="O265" s="474"/>
      <c r="R265" s="404"/>
      <c r="S265" s="138"/>
    </row>
    <row r="266" spans="1:19" s="10" customFormat="1" ht="15.5" outlineLevel="1" x14ac:dyDescent="0.35">
      <c r="B266" s="11"/>
      <c r="C266" s="10">
        <v>2021</v>
      </c>
      <c r="D266" s="10">
        <v>127</v>
      </c>
      <c r="E266" s="10">
        <v>-86</v>
      </c>
      <c r="F266" s="10">
        <f>+D266+E266</f>
        <v>41</v>
      </c>
      <c r="G266" s="136"/>
      <c r="H266" s="136"/>
      <c r="I266" s="136"/>
      <c r="J266" s="136"/>
      <c r="K266" s="136"/>
      <c r="L266" s="136"/>
      <c r="M266" s="140"/>
      <c r="N266" s="515">
        <f>+N265/G265</f>
        <v>3.4765625</v>
      </c>
      <c r="O266" s="516"/>
      <c r="R266" s="404"/>
      <c r="S266" s="138"/>
    </row>
    <row r="267" spans="1:19" s="10" customFormat="1" ht="15.5" outlineLevel="1" x14ac:dyDescent="0.35">
      <c r="B267" s="11"/>
      <c r="C267" s="10">
        <v>2022</v>
      </c>
      <c r="D267" s="10">
        <v>82</v>
      </c>
      <c r="E267" s="10">
        <v>-50</v>
      </c>
      <c r="F267" s="10">
        <f>+D267+E267</f>
        <v>32</v>
      </c>
      <c r="G267" s="141"/>
      <c r="H267" s="141"/>
      <c r="I267" s="141"/>
      <c r="J267" s="141"/>
      <c r="K267" s="141"/>
      <c r="L267" s="141"/>
      <c r="M267" s="140"/>
      <c r="N267" s="530"/>
      <c r="O267" s="516"/>
      <c r="R267" s="404"/>
      <c r="S267" s="138"/>
    </row>
    <row r="268" spans="1:19" s="10" customFormat="1" ht="15.5" outlineLevel="1" x14ac:dyDescent="0.35">
      <c r="B268" s="11"/>
      <c r="F268" s="11" t="s">
        <v>264</v>
      </c>
      <c r="G268" s="141"/>
      <c r="J268" s="140"/>
      <c r="K268" s="140"/>
      <c r="M268" s="140"/>
      <c r="N268" s="140"/>
      <c r="O268" s="325"/>
      <c r="R268" s="404"/>
      <c r="S268" s="138"/>
    </row>
    <row r="269" spans="1:19" s="10" customFormat="1" ht="15.5" outlineLevel="1" x14ac:dyDescent="0.35">
      <c r="B269" s="11"/>
      <c r="F269" s="11" t="s">
        <v>490</v>
      </c>
      <c r="G269" s="140"/>
      <c r="J269" s="140"/>
      <c r="K269" s="140"/>
      <c r="L269" s="453"/>
      <c r="M269" s="140">
        <f>+K269*L269+K269</f>
        <v>0</v>
      </c>
      <c r="N269" s="140"/>
      <c r="O269" s="325"/>
      <c r="R269" s="404"/>
      <c r="S269" s="138"/>
    </row>
    <row r="270" spans="1:19" s="491" customFormat="1" ht="15.5" outlineLevel="1" x14ac:dyDescent="0.35">
      <c r="B270" s="491" t="s">
        <v>476</v>
      </c>
      <c r="C270" s="491" t="s">
        <v>476</v>
      </c>
      <c r="D270" s="491">
        <v>2</v>
      </c>
      <c r="F270" s="491" t="s">
        <v>477</v>
      </c>
      <c r="G270" s="649">
        <v>17</v>
      </c>
      <c r="H270" s="650">
        <v>9148</v>
      </c>
      <c r="I270" s="649">
        <v>14368</v>
      </c>
      <c r="J270" s="649">
        <f>+G270/H270*I270</f>
        <v>26.700480979449058</v>
      </c>
      <c r="K270" s="649">
        <f>+G270+J270</f>
        <v>43.700480979449054</v>
      </c>
      <c r="L270" s="651">
        <v>0.3</v>
      </c>
      <c r="M270" s="649">
        <f>+K270*L270+K270</f>
        <v>56.810625273283769</v>
      </c>
      <c r="N270" s="649">
        <v>45</v>
      </c>
      <c r="O270" s="649"/>
      <c r="Q270" s="491" t="s">
        <v>990</v>
      </c>
      <c r="R270" s="652"/>
      <c r="S270" s="653"/>
    </row>
    <row r="271" spans="1:19" s="491" customFormat="1" ht="15.5" outlineLevel="1" x14ac:dyDescent="0.35">
      <c r="B271" s="491" t="s">
        <v>476</v>
      </c>
      <c r="C271" s="491" t="s">
        <v>476</v>
      </c>
      <c r="D271" s="491">
        <v>3</v>
      </c>
      <c r="F271" s="491" t="s">
        <v>477</v>
      </c>
      <c r="G271" s="649">
        <v>17</v>
      </c>
      <c r="H271" s="650">
        <v>9148</v>
      </c>
      <c r="I271" s="649">
        <v>14368</v>
      </c>
      <c r="J271" s="649">
        <f>+G271/H271*I271</f>
        <v>26.700480979449058</v>
      </c>
      <c r="K271" s="649">
        <f>+G271+J271</f>
        <v>43.700480979449054</v>
      </c>
      <c r="L271" s="651">
        <v>0.3</v>
      </c>
      <c r="M271" s="649">
        <f>+K271*L271+K271</f>
        <v>56.810625273283769</v>
      </c>
      <c r="N271" s="649">
        <v>45</v>
      </c>
      <c r="O271" s="649"/>
      <c r="Q271" s="491" t="s">
        <v>990</v>
      </c>
      <c r="R271" s="652"/>
      <c r="S271" s="653"/>
    </row>
    <row r="272" spans="1:19" s="491" customFormat="1" ht="15.5" outlineLevel="1" x14ac:dyDescent="0.35">
      <c r="B272" s="491" t="s">
        <v>476</v>
      </c>
      <c r="C272" s="491" t="s">
        <v>476</v>
      </c>
      <c r="D272" s="491">
        <v>4</v>
      </c>
      <c r="F272" s="491" t="s">
        <v>477</v>
      </c>
      <c r="G272" s="649">
        <v>11</v>
      </c>
      <c r="H272" s="650">
        <v>9148</v>
      </c>
      <c r="I272" s="649">
        <v>14368</v>
      </c>
      <c r="J272" s="649">
        <f>+G272/H272*I272</f>
        <v>17.276781810231743</v>
      </c>
      <c r="K272" s="649">
        <f>+G272+J272</f>
        <v>28.276781810231743</v>
      </c>
      <c r="L272" s="651">
        <v>0.3</v>
      </c>
      <c r="M272" s="649">
        <f>+K272*L272+K272</f>
        <v>36.759816353301261</v>
      </c>
      <c r="N272" s="649">
        <v>45</v>
      </c>
      <c r="O272" s="649"/>
      <c r="Q272" s="491" t="s">
        <v>990</v>
      </c>
      <c r="R272" s="652"/>
      <c r="S272" s="653"/>
    </row>
    <row r="273" spans="2:19" s="10" customFormat="1" ht="15" customHeight="1" outlineLevel="1" x14ac:dyDescent="0.35">
      <c r="B273" s="11"/>
      <c r="C273" s="11" t="s">
        <v>596</v>
      </c>
      <c r="G273" s="140"/>
      <c r="H273" s="56"/>
      <c r="I273" s="140"/>
      <c r="J273" s="140"/>
      <c r="K273" s="140"/>
      <c r="L273" s="453"/>
      <c r="M273" s="140"/>
      <c r="N273" s="140"/>
      <c r="O273" s="325"/>
      <c r="R273" s="404"/>
      <c r="S273" s="138"/>
    </row>
    <row r="274" spans="2:19" s="491" customFormat="1" ht="15.5" outlineLevel="1" x14ac:dyDescent="0.35">
      <c r="C274" s="491" t="s">
        <v>599</v>
      </c>
      <c r="D274" s="491">
        <v>10</v>
      </c>
      <c r="F274" s="531" t="s">
        <v>578</v>
      </c>
      <c r="G274" s="649">
        <v>30</v>
      </c>
      <c r="H274" s="650">
        <v>8183</v>
      </c>
      <c r="I274" s="649">
        <v>13183</v>
      </c>
      <c r="J274" s="649">
        <f>+G274/H274*I274</f>
        <v>48.330685567640231</v>
      </c>
      <c r="K274" s="649">
        <f>+G274+J274</f>
        <v>78.330685567640231</v>
      </c>
      <c r="L274" s="651">
        <v>0.3</v>
      </c>
      <c r="M274" s="649">
        <f>+K274*L274+K274</f>
        <v>101.8298912379323</v>
      </c>
      <c r="N274" s="649">
        <v>125</v>
      </c>
      <c r="O274" s="649"/>
      <c r="Q274" s="491" t="s">
        <v>990</v>
      </c>
      <c r="R274" s="652"/>
      <c r="S274" s="653"/>
    </row>
    <row r="275" spans="2:19" s="10" customFormat="1" ht="15.5" outlineLevel="1" x14ac:dyDescent="0.35">
      <c r="C275" s="477">
        <v>45809</v>
      </c>
      <c r="F275" s="206"/>
      <c r="G275" s="140"/>
      <c r="H275" s="56"/>
      <c r="I275" s="140"/>
      <c r="J275" s="140"/>
      <c r="K275" s="140"/>
      <c r="L275" s="453"/>
      <c r="M275" s="140"/>
      <c r="N275" s="140"/>
      <c r="O275" s="140"/>
      <c r="R275" s="404"/>
      <c r="S275" s="138"/>
    </row>
    <row r="276" spans="2:19" s="10" customFormat="1" ht="15.5" outlineLevel="1" x14ac:dyDescent="0.35">
      <c r="F276" s="206" t="s">
        <v>1802</v>
      </c>
      <c r="G276" s="140"/>
      <c r="H276" s="56"/>
      <c r="I276" s="140"/>
      <c r="J276" s="140"/>
      <c r="K276" s="140"/>
      <c r="L276" s="453"/>
      <c r="M276" s="140"/>
      <c r="N276" s="140"/>
      <c r="O276" s="140"/>
      <c r="R276" s="404"/>
      <c r="S276" s="138"/>
    </row>
    <row r="277" spans="2:19" s="10" customFormat="1" ht="15.5" outlineLevel="1" x14ac:dyDescent="0.35">
      <c r="B277" s="11"/>
      <c r="G277" s="136">
        <f t="shared" ref="G277:N277" si="40">SUM(G269:G274)</f>
        <v>75</v>
      </c>
      <c r="H277" s="136">
        <f t="shared" si="40"/>
        <v>35627</v>
      </c>
      <c r="I277" s="136">
        <f t="shared" si="40"/>
        <v>56287</v>
      </c>
      <c r="J277" s="136">
        <f t="shared" si="40"/>
        <v>119.00842933677009</v>
      </c>
      <c r="K277" s="136">
        <f t="shared" si="40"/>
        <v>194.00842933677006</v>
      </c>
      <c r="L277" s="136">
        <f t="shared" si="40"/>
        <v>1.2</v>
      </c>
      <c r="M277" s="136">
        <f t="shared" si="40"/>
        <v>252.21095813780113</v>
      </c>
      <c r="N277" s="136">
        <f t="shared" si="40"/>
        <v>260</v>
      </c>
      <c r="O277" s="474"/>
      <c r="R277" s="404"/>
      <c r="S277" s="138"/>
    </row>
    <row r="278" spans="2:19" s="10" customFormat="1" ht="15.5" outlineLevel="1" x14ac:dyDescent="0.35">
      <c r="B278" s="11"/>
      <c r="D278" s="454">
        <v>40</v>
      </c>
      <c r="E278" s="454">
        <v>-16</v>
      </c>
      <c r="F278" s="11">
        <f>+D278+E278</f>
        <v>24</v>
      </c>
      <c r="G278" s="136"/>
      <c r="H278" s="136"/>
      <c r="I278" s="136"/>
      <c r="J278" s="136"/>
      <c r="K278" s="136"/>
      <c r="L278" s="136"/>
      <c r="M278" s="140"/>
      <c r="N278" s="515">
        <f>+N277/G277</f>
        <v>3.4666666666666668</v>
      </c>
      <c r="O278" s="516"/>
      <c r="P278" s="141"/>
      <c r="Q278" s="136"/>
      <c r="R278" s="534"/>
      <c r="S278" s="421"/>
    </row>
    <row r="279" spans="2:19" s="10" customFormat="1" ht="15.5" outlineLevel="1" x14ac:dyDescent="0.35">
      <c r="C279" s="11" t="s">
        <v>236</v>
      </c>
      <c r="D279" s="454"/>
      <c r="E279" s="454"/>
      <c r="F279" s="11"/>
      <c r="G279" s="136"/>
      <c r="H279" s="136"/>
      <c r="I279" s="136"/>
      <c r="J279" s="136"/>
      <c r="K279" s="136"/>
      <c r="L279" s="136"/>
      <c r="M279" s="140"/>
      <c r="N279" s="136"/>
      <c r="O279" s="474"/>
      <c r="P279" s="141"/>
      <c r="Q279" s="136"/>
      <c r="R279" s="534"/>
      <c r="S279" s="421"/>
    </row>
    <row r="281" spans="2:19" s="10" customFormat="1" ht="21" outlineLevel="1" x14ac:dyDescent="0.5">
      <c r="B281" s="11"/>
      <c r="D281" s="454"/>
      <c r="E281" s="454"/>
      <c r="F281" s="502" t="s">
        <v>202</v>
      </c>
      <c r="G281" s="136"/>
      <c r="H281" s="136"/>
      <c r="I281" s="136"/>
      <c r="J281" s="136"/>
      <c r="K281" s="136"/>
      <c r="L281" s="136"/>
      <c r="M281" s="140">
        <f t="shared" ref="M281:M290" si="41">+K281*L281+K281</f>
        <v>0</v>
      </c>
      <c r="N281" s="136"/>
      <c r="O281" s="474"/>
      <c r="R281" s="404"/>
      <c r="S281" s="419"/>
    </row>
    <row r="282" spans="2:19" s="10" customFormat="1" ht="15.5" outlineLevel="1" x14ac:dyDescent="0.35">
      <c r="B282" s="11"/>
      <c r="C282" s="10" t="s">
        <v>186</v>
      </c>
      <c r="D282" s="10">
        <v>1</v>
      </c>
      <c r="F282" s="10" t="s">
        <v>540</v>
      </c>
      <c r="G282" s="140">
        <v>13</v>
      </c>
      <c r="H282" s="10">
        <v>3717</v>
      </c>
      <c r="I282" s="10">
        <v>9633</v>
      </c>
      <c r="J282" s="140">
        <f>+G282/H282*I282</f>
        <v>33.690879741727201</v>
      </c>
      <c r="K282" s="140">
        <f>+G282+J282</f>
        <v>46.690879741727201</v>
      </c>
      <c r="L282" s="453">
        <v>0.3</v>
      </c>
      <c r="M282" s="140">
        <f t="shared" si="41"/>
        <v>60.698143664245364</v>
      </c>
      <c r="N282" s="10">
        <v>65</v>
      </c>
      <c r="O282" s="109"/>
      <c r="R282" s="404"/>
      <c r="S282" s="419"/>
    </row>
    <row r="283" spans="2:19" s="10" customFormat="1" ht="15.5" outlineLevel="1" x14ac:dyDescent="0.35">
      <c r="B283" s="11"/>
      <c r="D283" s="10">
        <v>2</v>
      </c>
      <c r="F283" s="10" t="s">
        <v>540</v>
      </c>
      <c r="G283" s="140"/>
      <c r="J283" s="140"/>
      <c r="K283" s="140"/>
      <c r="L283" s="453"/>
      <c r="M283" s="140">
        <f t="shared" si="41"/>
        <v>0</v>
      </c>
      <c r="N283" s="10">
        <v>65</v>
      </c>
      <c r="O283" s="109"/>
      <c r="R283" s="404"/>
      <c r="S283" s="419"/>
    </row>
    <row r="284" spans="2:19" s="10" customFormat="1" ht="15.5" outlineLevel="1" x14ac:dyDescent="0.35">
      <c r="B284" s="11"/>
      <c r="C284" s="10" t="s">
        <v>186</v>
      </c>
      <c r="D284" s="10">
        <v>3</v>
      </c>
      <c r="F284" s="10" t="s">
        <v>340</v>
      </c>
      <c r="G284" s="140">
        <v>8</v>
      </c>
      <c r="H284" s="10">
        <v>3717</v>
      </c>
      <c r="I284" s="10">
        <v>9633</v>
      </c>
      <c r="J284" s="140">
        <f>+G284/H284*I284</f>
        <v>20.732849071832121</v>
      </c>
      <c r="K284" s="140">
        <f>+G284+J284</f>
        <v>28.732849071832121</v>
      </c>
      <c r="L284" s="453">
        <v>0.3</v>
      </c>
      <c r="M284" s="140">
        <f t="shared" si="41"/>
        <v>37.352703793381757</v>
      </c>
      <c r="N284" s="10">
        <v>45</v>
      </c>
      <c r="O284" s="109"/>
      <c r="R284" s="404"/>
      <c r="S284" s="418"/>
    </row>
    <row r="285" spans="2:19" s="10" customFormat="1" ht="15.5" outlineLevel="1" x14ac:dyDescent="0.35">
      <c r="B285" s="11"/>
      <c r="C285" s="10" t="s">
        <v>179</v>
      </c>
      <c r="D285" s="10">
        <v>4</v>
      </c>
      <c r="F285" s="10" t="s">
        <v>324</v>
      </c>
      <c r="G285" s="140">
        <v>13</v>
      </c>
      <c r="H285" s="10">
        <v>1278</v>
      </c>
      <c r="I285" s="140">
        <f>1278+671</f>
        <v>1949</v>
      </c>
      <c r="J285" s="140">
        <f>+G285/H285*I285</f>
        <v>19.825508607198746</v>
      </c>
      <c r="K285" s="140">
        <f>+G285+J285</f>
        <v>32.825508607198742</v>
      </c>
      <c r="L285" s="452">
        <v>0.3</v>
      </c>
      <c r="M285" s="140">
        <f t="shared" si="41"/>
        <v>42.673161189358368</v>
      </c>
      <c r="N285" s="140">
        <v>45</v>
      </c>
      <c r="O285" s="325"/>
      <c r="R285" s="404"/>
      <c r="S285" s="138"/>
    </row>
    <row r="286" spans="2:19" s="10" customFormat="1" ht="15.5" outlineLevel="1" x14ac:dyDescent="0.35">
      <c r="C286" s="11" t="s">
        <v>465</v>
      </c>
      <c r="G286" s="140"/>
      <c r="I286" s="140"/>
      <c r="J286" s="140"/>
      <c r="K286" s="140"/>
      <c r="L286" s="452"/>
      <c r="M286" s="140">
        <f t="shared" si="41"/>
        <v>0</v>
      </c>
      <c r="N286" s="140"/>
      <c r="O286" s="325"/>
      <c r="R286" s="404"/>
      <c r="S286" s="138"/>
    </row>
    <row r="287" spans="2:19" s="10" customFormat="1" ht="15.5" outlineLevel="1" x14ac:dyDescent="0.35">
      <c r="B287" s="11"/>
      <c r="C287" s="10" t="s">
        <v>179</v>
      </c>
      <c r="D287" s="10">
        <v>5</v>
      </c>
      <c r="E287" s="11"/>
      <c r="F287" s="10" t="s">
        <v>460</v>
      </c>
      <c r="G287" s="140">
        <v>10</v>
      </c>
      <c r="H287" s="56">
        <v>856</v>
      </c>
      <c r="I287" s="140">
        <f>856*1.06+415</f>
        <v>1322.3600000000001</v>
      </c>
      <c r="J287" s="140">
        <f>+G287/H287*I287</f>
        <v>15.448130841121497</v>
      </c>
      <c r="K287" s="140">
        <f>+G287+J287</f>
        <v>25.448130841121497</v>
      </c>
      <c r="L287" s="453">
        <v>0.3</v>
      </c>
      <c r="M287" s="140">
        <f t="shared" si="41"/>
        <v>33.082570093457946</v>
      </c>
      <c r="N287" s="140">
        <v>35</v>
      </c>
      <c r="O287" s="325"/>
      <c r="Q287" s="10" t="s">
        <v>990</v>
      </c>
      <c r="R287" s="404"/>
      <c r="S287" s="138"/>
    </row>
    <row r="288" spans="2:19" s="491" customFormat="1" ht="15.5" outlineLevel="1" x14ac:dyDescent="0.35">
      <c r="B288" s="518"/>
      <c r="C288" s="491" t="s">
        <v>179</v>
      </c>
      <c r="D288" s="491">
        <v>6</v>
      </c>
      <c r="E288" s="518"/>
      <c r="F288" s="491" t="s">
        <v>461</v>
      </c>
      <c r="G288" s="649">
        <v>10</v>
      </c>
      <c r="H288" s="650">
        <v>856</v>
      </c>
      <c r="I288" s="649">
        <f>856*1.06+415</f>
        <v>1322.3600000000001</v>
      </c>
      <c r="J288" s="649">
        <f>+G288/H288*I288</f>
        <v>15.448130841121497</v>
      </c>
      <c r="K288" s="649">
        <f>+G288+J288</f>
        <v>25.448130841121497</v>
      </c>
      <c r="L288" s="651">
        <v>0.3</v>
      </c>
      <c r="M288" s="649">
        <f t="shared" si="41"/>
        <v>33.082570093457946</v>
      </c>
      <c r="N288" s="649">
        <v>35</v>
      </c>
      <c r="O288" s="649"/>
      <c r="Q288" s="491" t="s">
        <v>1806</v>
      </c>
      <c r="R288" s="652"/>
      <c r="S288" s="653"/>
    </row>
    <row r="289" spans="2:21" s="10" customFormat="1" ht="15.5" outlineLevel="1" x14ac:dyDescent="0.35">
      <c r="C289" s="11" t="s">
        <v>600</v>
      </c>
      <c r="G289" s="140"/>
      <c r="I289" s="140"/>
      <c r="J289" s="140"/>
      <c r="K289" s="140"/>
      <c r="L289" s="452"/>
      <c r="M289" s="140">
        <f t="shared" si="41"/>
        <v>0</v>
      </c>
      <c r="N289" s="140"/>
      <c r="O289" s="325"/>
      <c r="R289" s="404"/>
      <c r="S289" s="138"/>
    </row>
    <row r="290" spans="2:21" s="10" customFormat="1" ht="15.5" outlineLevel="1" x14ac:dyDescent="0.35">
      <c r="C290" s="11" t="s">
        <v>179</v>
      </c>
      <c r="D290" s="10">
        <v>10</v>
      </c>
      <c r="E290" s="10" t="s">
        <v>407</v>
      </c>
      <c r="F290" s="206" t="s">
        <v>619</v>
      </c>
      <c r="G290" s="140">
        <v>20</v>
      </c>
      <c r="H290" s="56">
        <v>8183</v>
      </c>
      <c r="I290" s="140">
        <v>13183</v>
      </c>
      <c r="J290" s="140">
        <f>+G290/H290*I290</f>
        <v>32.220457045093482</v>
      </c>
      <c r="K290" s="140">
        <f>+G290+J290</f>
        <v>52.220457045093482</v>
      </c>
      <c r="L290" s="453">
        <v>0.3</v>
      </c>
      <c r="M290" s="140">
        <f t="shared" si="41"/>
        <v>67.886594158621534</v>
      </c>
      <c r="N290" s="140">
        <v>80</v>
      </c>
      <c r="O290" s="325"/>
      <c r="R290" s="404"/>
      <c r="S290" s="138"/>
    </row>
    <row r="291" spans="2:21" s="10" customFormat="1" ht="15.5" outlineLevel="1" x14ac:dyDescent="0.35">
      <c r="C291" s="11" t="s">
        <v>179</v>
      </c>
      <c r="D291" s="10">
        <v>13</v>
      </c>
      <c r="E291" s="10" t="s">
        <v>412</v>
      </c>
      <c r="F291" s="206" t="s">
        <v>615</v>
      </c>
      <c r="G291" s="140">
        <v>13</v>
      </c>
      <c r="H291" s="56">
        <v>8183</v>
      </c>
      <c r="I291" s="140">
        <v>13183</v>
      </c>
      <c r="J291" s="140">
        <f>+G291/H291*I291</f>
        <v>20.943297079310764</v>
      </c>
      <c r="K291" s="140">
        <f>+G291+J291</f>
        <v>33.943297079310767</v>
      </c>
      <c r="L291" s="453">
        <v>0.3</v>
      </c>
      <c r="M291" s="140">
        <f>+K291*L291+K291</f>
        <v>44.126286203103994</v>
      </c>
      <c r="N291" s="140">
        <v>45</v>
      </c>
      <c r="O291" s="325"/>
      <c r="R291" s="404"/>
      <c r="S291" s="138"/>
    </row>
    <row r="292" spans="2:21" s="10" customFormat="1" ht="15.5" outlineLevel="1" x14ac:dyDescent="0.35">
      <c r="C292" s="11" t="s">
        <v>179</v>
      </c>
      <c r="D292" s="10">
        <v>14</v>
      </c>
      <c r="E292" s="10" t="s">
        <v>409</v>
      </c>
      <c r="F292" s="206" t="s">
        <v>621</v>
      </c>
      <c r="G292" s="140">
        <v>10</v>
      </c>
      <c r="H292" s="56">
        <v>8183</v>
      </c>
      <c r="I292" s="140">
        <v>13183</v>
      </c>
      <c r="J292" s="140">
        <f>+G292/H292*I292</f>
        <v>16.110228522546741</v>
      </c>
      <c r="K292" s="140">
        <f>+G292+J292</f>
        <v>26.110228522546741</v>
      </c>
      <c r="L292" s="453">
        <v>0.3</v>
      </c>
      <c r="M292" s="140">
        <f>+K292*L292+K292</f>
        <v>33.943297079310767</v>
      </c>
      <c r="N292" s="140">
        <v>45</v>
      </c>
      <c r="O292" s="325"/>
      <c r="R292" s="404"/>
      <c r="S292" s="138"/>
    </row>
    <row r="293" spans="2:21" s="10" customFormat="1" ht="15.5" outlineLevel="1" x14ac:dyDescent="0.35">
      <c r="C293" s="11" t="s">
        <v>179</v>
      </c>
      <c r="D293" s="10">
        <v>15</v>
      </c>
      <c r="E293" s="10" t="s">
        <v>412</v>
      </c>
      <c r="F293" s="206" t="s">
        <v>621</v>
      </c>
      <c r="G293" s="140">
        <v>10</v>
      </c>
      <c r="H293" s="56">
        <v>8183</v>
      </c>
      <c r="I293" s="140">
        <v>13183</v>
      </c>
      <c r="J293" s="140">
        <f>+G293/H293*I293</f>
        <v>16.110228522546741</v>
      </c>
      <c r="K293" s="140">
        <f>+G293+J293</f>
        <v>26.110228522546741</v>
      </c>
      <c r="L293" s="453">
        <v>0.3</v>
      </c>
      <c r="M293" s="140">
        <f>+K293*L293+K293</f>
        <v>33.943297079310767</v>
      </c>
      <c r="N293" s="140">
        <v>45</v>
      </c>
      <c r="O293" s="325"/>
      <c r="R293" s="404"/>
      <c r="S293" s="138"/>
    </row>
    <row r="294" spans="2:21" s="10" customFormat="1" ht="15.5" outlineLevel="1" x14ac:dyDescent="0.35">
      <c r="C294" s="681">
        <v>44713</v>
      </c>
      <c r="G294" s="140"/>
      <c r="H294" s="56"/>
      <c r="I294" s="140"/>
      <c r="J294" s="140"/>
      <c r="K294" s="140"/>
      <c r="L294" s="453"/>
      <c r="M294" s="140"/>
      <c r="N294" s="140"/>
      <c r="O294" s="325"/>
      <c r="R294" s="404"/>
      <c r="S294" s="138"/>
    </row>
    <row r="295" spans="2:21" s="491" customFormat="1" ht="15.5" outlineLevel="1" x14ac:dyDescent="0.35">
      <c r="C295" s="518" t="s">
        <v>179</v>
      </c>
      <c r="D295" s="491">
        <v>17</v>
      </c>
      <c r="F295" s="491" t="s">
        <v>626</v>
      </c>
      <c r="G295" s="649">
        <v>11</v>
      </c>
      <c r="H295" s="650">
        <v>660</v>
      </c>
      <c r="I295" s="649">
        <f t="shared" ref="I295:I301" si="42">660+359</f>
        <v>1019</v>
      </c>
      <c r="J295" s="649">
        <f t="shared" ref="J295:J301" si="43">+G295/H295*I295</f>
        <v>16.983333333333334</v>
      </c>
      <c r="K295" s="649">
        <f t="shared" ref="K295:K301" si="44">+G295+J295</f>
        <v>27.983333333333334</v>
      </c>
      <c r="L295" s="651">
        <v>0.3</v>
      </c>
      <c r="M295" s="649">
        <f t="shared" ref="M295:M301" si="45">+K295*L295+K295</f>
        <v>36.37833333333333</v>
      </c>
      <c r="N295" s="649">
        <v>45</v>
      </c>
      <c r="O295" s="649"/>
      <c r="Q295" s="491" t="s">
        <v>990</v>
      </c>
      <c r="R295" s="652"/>
      <c r="S295" s="653"/>
    </row>
    <row r="296" spans="2:21" s="491" customFormat="1" ht="15.5" outlineLevel="1" x14ac:dyDescent="0.35">
      <c r="C296" s="518" t="s">
        <v>179</v>
      </c>
      <c r="D296" s="491">
        <v>18</v>
      </c>
      <c r="F296" s="491" t="s">
        <v>626</v>
      </c>
      <c r="G296" s="649">
        <v>11</v>
      </c>
      <c r="H296" s="650">
        <v>660</v>
      </c>
      <c r="I296" s="649">
        <f t="shared" si="42"/>
        <v>1019</v>
      </c>
      <c r="J296" s="649">
        <f t="shared" si="43"/>
        <v>16.983333333333334</v>
      </c>
      <c r="K296" s="649">
        <f t="shared" si="44"/>
        <v>27.983333333333334</v>
      </c>
      <c r="L296" s="651">
        <v>0.3</v>
      </c>
      <c r="M296" s="649">
        <f t="shared" si="45"/>
        <v>36.37833333333333</v>
      </c>
      <c r="N296" s="649">
        <v>45</v>
      </c>
      <c r="O296" s="649"/>
      <c r="Q296" s="491" t="s">
        <v>990</v>
      </c>
      <c r="R296" s="652"/>
      <c r="S296" s="653"/>
    </row>
    <row r="297" spans="2:21" s="491" customFormat="1" ht="15.5" outlineLevel="1" x14ac:dyDescent="0.35">
      <c r="C297" s="518" t="s">
        <v>179</v>
      </c>
      <c r="D297" s="491">
        <v>23</v>
      </c>
      <c r="F297" s="491" t="s">
        <v>1804</v>
      </c>
      <c r="G297" s="649">
        <v>11</v>
      </c>
      <c r="H297" s="650">
        <v>660</v>
      </c>
      <c r="I297" s="649">
        <f t="shared" si="42"/>
        <v>1019</v>
      </c>
      <c r="J297" s="649">
        <f t="shared" si="43"/>
        <v>16.983333333333334</v>
      </c>
      <c r="K297" s="649">
        <f t="shared" si="44"/>
        <v>27.983333333333334</v>
      </c>
      <c r="L297" s="651">
        <v>0.3</v>
      </c>
      <c r="M297" s="649">
        <f t="shared" si="45"/>
        <v>36.37833333333333</v>
      </c>
      <c r="N297" s="649">
        <v>45</v>
      </c>
      <c r="O297" s="649"/>
      <c r="Q297" s="491" t="s">
        <v>990</v>
      </c>
      <c r="R297" s="652"/>
      <c r="S297" s="653"/>
    </row>
    <row r="298" spans="2:21" s="491" customFormat="1" ht="15.5" outlineLevel="1" x14ac:dyDescent="0.35">
      <c r="B298" s="519"/>
      <c r="C298" s="518" t="s">
        <v>179</v>
      </c>
      <c r="D298" s="491">
        <v>24</v>
      </c>
      <c r="E298" s="520"/>
      <c r="F298" s="491" t="s">
        <v>622</v>
      </c>
      <c r="G298" s="649">
        <v>11</v>
      </c>
      <c r="H298" s="650">
        <v>660</v>
      </c>
      <c r="I298" s="649">
        <f t="shared" si="42"/>
        <v>1019</v>
      </c>
      <c r="J298" s="649">
        <f t="shared" si="43"/>
        <v>16.983333333333334</v>
      </c>
      <c r="K298" s="649">
        <f t="shared" si="44"/>
        <v>27.983333333333334</v>
      </c>
      <c r="L298" s="651">
        <v>0.3</v>
      </c>
      <c r="M298" s="649">
        <f t="shared" si="45"/>
        <v>36.37833333333333</v>
      </c>
      <c r="N298" s="649">
        <v>45</v>
      </c>
      <c r="O298" s="649"/>
      <c r="P298" s="656"/>
      <c r="Q298" s="491" t="s">
        <v>990</v>
      </c>
      <c r="R298" s="657"/>
      <c r="S298" s="658"/>
      <c r="T298" s="656"/>
      <c r="U298" s="659"/>
    </row>
    <row r="299" spans="2:21" s="491" customFormat="1" ht="15.5" outlineLevel="1" x14ac:dyDescent="0.35">
      <c r="C299" s="518" t="s">
        <v>179</v>
      </c>
      <c r="D299" s="491">
        <v>25</v>
      </c>
      <c r="F299" s="491" t="s">
        <v>622</v>
      </c>
      <c r="G299" s="649">
        <v>11</v>
      </c>
      <c r="H299" s="650">
        <v>660</v>
      </c>
      <c r="I299" s="649">
        <f t="shared" si="42"/>
        <v>1019</v>
      </c>
      <c r="J299" s="649">
        <f t="shared" si="43"/>
        <v>16.983333333333334</v>
      </c>
      <c r="K299" s="649">
        <f t="shared" si="44"/>
        <v>27.983333333333334</v>
      </c>
      <c r="L299" s="651">
        <v>0.3</v>
      </c>
      <c r="M299" s="649">
        <f t="shared" si="45"/>
        <v>36.37833333333333</v>
      </c>
      <c r="N299" s="649">
        <v>45</v>
      </c>
      <c r="O299" s="649"/>
      <c r="Q299" s="491" t="s">
        <v>990</v>
      </c>
      <c r="R299" s="652"/>
      <c r="S299" s="653"/>
    </row>
    <row r="300" spans="2:21" s="491" customFormat="1" ht="15" customHeight="1" x14ac:dyDescent="0.35">
      <c r="C300" s="518" t="s">
        <v>179</v>
      </c>
      <c r="D300" s="491">
        <v>26</v>
      </c>
      <c r="F300" s="491" t="s">
        <v>626</v>
      </c>
      <c r="G300" s="649">
        <v>11</v>
      </c>
      <c r="H300" s="650">
        <v>660</v>
      </c>
      <c r="I300" s="649">
        <f t="shared" si="42"/>
        <v>1019</v>
      </c>
      <c r="J300" s="649">
        <f t="shared" si="43"/>
        <v>16.983333333333334</v>
      </c>
      <c r="K300" s="649">
        <f t="shared" si="44"/>
        <v>27.983333333333334</v>
      </c>
      <c r="L300" s="651">
        <v>0.3</v>
      </c>
      <c r="M300" s="649">
        <f t="shared" si="45"/>
        <v>36.37833333333333</v>
      </c>
      <c r="N300" s="649">
        <v>45</v>
      </c>
      <c r="O300" s="649"/>
      <c r="Q300" s="491" t="s">
        <v>990</v>
      </c>
      <c r="R300" s="652"/>
      <c r="S300" s="653"/>
    </row>
    <row r="301" spans="2:21" s="491" customFormat="1" ht="15" customHeight="1" x14ac:dyDescent="0.35">
      <c r="C301" s="518" t="s">
        <v>179</v>
      </c>
      <c r="D301" s="491">
        <v>27</v>
      </c>
      <c r="F301" s="491" t="s">
        <v>626</v>
      </c>
      <c r="G301" s="649">
        <v>11</v>
      </c>
      <c r="H301" s="650">
        <v>660</v>
      </c>
      <c r="I301" s="649">
        <f t="shared" si="42"/>
        <v>1019</v>
      </c>
      <c r="J301" s="649">
        <f t="shared" si="43"/>
        <v>16.983333333333334</v>
      </c>
      <c r="K301" s="649">
        <f t="shared" si="44"/>
        <v>27.983333333333334</v>
      </c>
      <c r="L301" s="651">
        <v>0.3</v>
      </c>
      <c r="M301" s="649">
        <f t="shared" si="45"/>
        <v>36.37833333333333</v>
      </c>
      <c r="N301" s="649">
        <v>45</v>
      </c>
      <c r="O301" s="649"/>
      <c r="Q301" s="491" t="s">
        <v>990</v>
      </c>
      <c r="R301" s="652"/>
      <c r="S301" s="653"/>
    </row>
    <row r="302" spans="2:21" ht="15.5" collapsed="1" x14ac:dyDescent="0.35">
      <c r="B302" s="233"/>
      <c r="C302" s="233"/>
      <c r="D302" s="233"/>
      <c r="F302" s="11" t="s">
        <v>841</v>
      </c>
      <c r="G302" s="330"/>
      <c r="H302" s="173"/>
      <c r="I302" s="4"/>
      <c r="J302" s="173"/>
      <c r="K302" s="145"/>
      <c r="L302" s="145"/>
      <c r="M302" s="468"/>
      <c r="N302" s="145"/>
      <c r="O302" s="469"/>
      <c r="Q302" s="10"/>
      <c r="R302" s="404"/>
      <c r="S302" s="420"/>
    </row>
    <row r="303" spans="2:21" ht="15.5" x14ac:dyDescent="0.35">
      <c r="B303" s="3" t="s">
        <v>179</v>
      </c>
      <c r="C303" s="233"/>
      <c r="D303">
        <v>30</v>
      </c>
      <c r="F303" s="588" t="s">
        <v>823</v>
      </c>
      <c r="G303" s="176">
        <v>12</v>
      </c>
      <c r="H303" s="223">
        <v>9682</v>
      </c>
      <c r="I303" s="173">
        <v>7766</v>
      </c>
      <c r="J303" s="145">
        <f t="shared" ref="J303:J323" si="46">+G303/H303*I303</f>
        <v>9.6252840322247462</v>
      </c>
      <c r="K303" s="145">
        <f t="shared" ref="K303:K323" si="47">+G303+J303</f>
        <v>21.625284032224748</v>
      </c>
      <c r="L303" s="468">
        <v>0.4</v>
      </c>
      <c r="M303" s="145">
        <f t="shared" ref="M303:M323" si="48">+K303*1.4</f>
        <v>30.275397645114644</v>
      </c>
      <c r="N303" s="146">
        <v>45</v>
      </c>
      <c r="O303" s="146"/>
      <c r="Q303" s="10" t="s">
        <v>3135</v>
      </c>
      <c r="R303" s="404">
        <v>46136</v>
      </c>
      <c r="S303" s="420"/>
    </row>
    <row r="304" spans="2:21" s="523" customFormat="1" ht="15.5" x14ac:dyDescent="0.35">
      <c r="B304" s="521" t="s">
        <v>179</v>
      </c>
      <c r="C304" s="522"/>
      <c r="D304" s="523">
        <v>31</v>
      </c>
      <c r="F304" s="524" t="s">
        <v>823</v>
      </c>
      <c r="G304" s="616">
        <v>12</v>
      </c>
      <c r="H304" s="644">
        <v>9682</v>
      </c>
      <c r="I304" s="616">
        <v>7766</v>
      </c>
      <c r="J304" s="620">
        <f t="shared" si="46"/>
        <v>9.6252840322247462</v>
      </c>
      <c r="K304" s="620">
        <f t="shared" si="47"/>
        <v>21.625284032224748</v>
      </c>
      <c r="L304" s="619">
        <v>0.4</v>
      </c>
      <c r="M304" s="620">
        <f t="shared" si="48"/>
        <v>30.275397645114644</v>
      </c>
      <c r="N304" s="645">
        <v>45</v>
      </c>
      <c r="O304" s="645"/>
      <c r="Q304" s="491" t="s">
        <v>990</v>
      </c>
      <c r="R304" s="652"/>
      <c r="S304" s="648"/>
    </row>
    <row r="305" spans="2:19" s="523" customFormat="1" ht="15.5" x14ac:dyDescent="0.35">
      <c r="B305" s="521" t="s">
        <v>179</v>
      </c>
      <c r="C305" s="522"/>
      <c r="D305" s="523">
        <v>39</v>
      </c>
      <c r="F305" s="524" t="s">
        <v>824</v>
      </c>
      <c r="G305" s="616">
        <v>12</v>
      </c>
      <c r="H305" s="644">
        <v>9682</v>
      </c>
      <c r="I305" s="616">
        <v>7766</v>
      </c>
      <c r="J305" s="620">
        <f t="shared" si="46"/>
        <v>9.6252840322247462</v>
      </c>
      <c r="K305" s="620">
        <f t="shared" si="47"/>
        <v>21.625284032224748</v>
      </c>
      <c r="L305" s="619">
        <v>0.4</v>
      </c>
      <c r="M305" s="620">
        <f t="shared" si="48"/>
        <v>30.275397645114644</v>
      </c>
      <c r="N305" s="645">
        <v>45</v>
      </c>
      <c r="O305" s="645"/>
      <c r="Q305" s="491" t="s">
        <v>990</v>
      </c>
      <c r="R305" s="647"/>
      <c r="S305" s="648"/>
    </row>
    <row r="306" spans="2:19" ht="15.5" x14ac:dyDescent="0.35">
      <c r="B306" s="3" t="s">
        <v>179</v>
      </c>
      <c r="C306" s="233"/>
      <c r="D306">
        <v>40</v>
      </c>
      <c r="F306" s="588" t="s">
        <v>824</v>
      </c>
      <c r="G306" s="176">
        <v>12</v>
      </c>
      <c r="H306" s="223">
        <v>9682</v>
      </c>
      <c r="I306" s="173">
        <v>7766</v>
      </c>
      <c r="J306" s="145">
        <f t="shared" si="46"/>
        <v>9.6252840322247462</v>
      </c>
      <c r="K306" s="145">
        <f t="shared" si="47"/>
        <v>21.625284032224748</v>
      </c>
      <c r="L306" s="468">
        <v>0.4</v>
      </c>
      <c r="M306" s="145">
        <f t="shared" si="48"/>
        <v>30.275397645114644</v>
      </c>
      <c r="N306" s="146">
        <v>45</v>
      </c>
      <c r="O306" s="146"/>
      <c r="Q306" s="10" t="s">
        <v>3136</v>
      </c>
      <c r="R306" s="467">
        <v>46136</v>
      </c>
      <c r="S306" s="420"/>
    </row>
    <row r="307" spans="2:19" s="523" customFormat="1" ht="15.5" x14ac:dyDescent="0.35">
      <c r="B307" s="521" t="s">
        <v>179</v>
      </c>
      <c r="C307" s="522"/>
      <c r="D307" s="523">
        <v>43</v>
      </c>
      <c r="F307" s="524" t="s">
        <v>825</v>
      </c>
      <c r="G307" s="616">
        <v>12</v>
      </c>
      <c r="H307" s="644">
        <v>9682</v>
      </c>
      <c r="I307" s="616">
        <v>7766</v>
      </c>
      <c r="J307" s="620">
        <f t="shared" si="46"/>
        <v>9.6252840322247462</v>
      </c>
      <c r="K307" s="620">
        <f t="shared" si="47"/>
        <v>21.625284032224748</v>
      </c>
      <c r="L307" s="619">
        <v>0.4</v>
      </c>
      <c r="M307" s="620">
        <f t="shared" si="48"/>
        <v>30.275397645114644</v>
      </c>
      <c r="N307" s="645">
        <v>45</v>
      </c>
      <c r="O307" s="645"/>
      <c r="Q307" s="491" t="s">
        <v>990</v>
      </c>
      <c r="R307" s="652"/>
      <c r="S307" s="648"/>
    </row>
    <row r="308" spans="2:19" s="523" customFormat="1" ht="15.5" x14ac:dyDescent="0.35">
      <c r="B308" s="521" t="s">
        <v>179</v>
      </c>
      <c r="C308" s="522"/>
      <c r="D308" s="523">
        <v>53</v>
      </c>
      <c r="F308" s="524" t="s">
        <v>816</v>
      </c>
      <c r="G308" s="616">
        <v>12</v>
      </c>
      <c r="H308" s="644">
        <v>9682</v>
      </c>
      <c r="I308" s="616">
        <v>7766</v>
      </c>
      <c r="J308" s="620">
        <f t="shared" si="46"/>
        <v>9.6252840322247462</v>
      </c>
      <c r="K308" s="620">
        <f t="shared" si="47"/>
        <v>21.625284032224748</v>
      </c>
      <c r="L308" s="619">
        <v>0.4</v>
      </c>
      <c r="M308" s="620">
        <f t="shared" si="48"/>
        <v>30.275397645114644</v>
      </c>
      <c r="N308" s="645">
        <v>45</v>
      </c>
      <c r="O308" s="645"/>
      <c r="Q308" s="491" t="s">
        <v>990</v>
      </c>
      <c r="R308" s="652"/>
      <c r="S308" s="648"/>
    </row>
    <row r="309" spans="2:19" s="523" customFormat="1" ht="15.5" x14ac:dyDescent="0.35">
      <c r="B309" s="521" t="s">
        <v>179</v>
      </c>
      <c r="C309" s="522"/>
      <c r="D309" s="523">
        <v>54</v>
      </c>
      <c r="F309" s="524" t="s">
        <v>816</v>
      </c>
      <c r="G309" s="616">
        <v>12</v>
      </c>
      <c r="H309" s="644">
        <v>9682</v>
      </c>
      <c r="I309" s="616">
        <v>7766</v>
      </c>
      <c r="J309" s="620">
        <f t="shared" si="46"/>
        <v>9.6252840322247462</v>
      </c>
      <c r="K309" s="620">
        <f t="shared" si="47"/>
        <v>21.625284032224748</v>
      </c>
      <c r="L309" s="619">
        <v>0.4</v>
      </c>
      <c r="M309" s="620">
        <f t="shared" si="48"/>
        <v>30.275397645114644</v>
      </c>
      <c r="N309" s="645">
        <v>45</v>
      </c>
      <c r="O309" s="645"/>
      <c r="P309" s="645"/>
      <c r="Q309" s="491" t="s">
        <v>990</v>
      </c>
      <c r="R309" s="660"/>
      <c r="S309" s="661"/>
    </row>
    <row r="310" spans="2:19" s="523" customFormat="1" ht="15.5" x14ac:dyDescent="0.35">
      <c r="B310" s="521" t="s">
        <v>179</v>
      </c>
      <c r="C310" s="522"/>
      <c r="D310" s="523">
        <v>55</v>
      </c>
      <c r="F310" s="524" t="s">
        <v>816</v>
      </c>
      <c r="G310" s="616">
        <v>12</v>
      </c>
      <c r="H310" s="644">
        <v>9682</v>
      </c>
      <c r="I310" s="616">
        <v>7766</v>
      </c>
      <c r="J310" s="620">
        <f t="shared" si="46"/>
        <v>9.6252840322247462</v>
      </c>
      <c r="K310" s="620">
        <f t="shared" si="47"/>
        <v>21.625284032224748</v>
      </c>
      <c r="L310" s="619">
        <v>0.4</v>
      </c>
      <c r="M310" s="620">
        <f t="shared" si="48"/>
        <v>30.275397645114644</v>
      </c>
      <c r="N310" s="645">
        <v>45</v>
      </c>
      <c r="O310" s="645"/>
      <c r="Q310" s="491" t="s">
        <v>990</v>
      </c>
      <c r="R310" s="652"/>
      <c r="S310" s="648"/>
    </row>
    <row r="311" spans="2:19" s="523" customFormat="1" ht="15.5" x14ac:dyDescent="0.35">
      <c r="B311" s="521" t="s">
        <v>179</v>
      </c>
      <c r="C311" s="522"/>
      <c r="D311" s="523">
        <v>56</v>
      </c>
      <c r="F311" s="524" t="s">
        <v>816</v>
      </c>
      <c r="G311" s="616">
        <v>12</v>
      </c>
      <c r="H311" s="644">
        <v>9682</v>
      </c>
      <c r="I311" s="616">
        <v>7766</v>
      </c>
      <c r="J311" s="620">
        <f t="shared" si="46"/>
        <v>9.6252840322247462</v>
      </c>
      <c r="K311" s="620">
        <f t="shared" si="47"/>
        <v>21.625284032224748</v>
      </c>
      <c r="L311" s="619">
        <v>0.4</v>
      </c>
      <c r="M311" s="620">
        <f t="shared" si="48"/>
        <v>30.275397645114644</v>
      </c>
      <c r="N311" s="645">
        <v>45</v>
      </c>
      <c r="O311" s="645"/>
      <c r="Q311" s="491" t="s">
        <v>990</v>
      </c>
      <c r="R311" s="652"/>
      <c r="S311" s="648"/>
    </row>
    <row r="312" spans="2:19" s="523" customFormat="1" ht="15.5" x14ac:dyDescent="0.35">
      <c r="B312" s="521" t="s">
        <v>179</v>
      </c>
      <c r="C312" s="522"/>
      <c r="D312" s="523">
        <v>57</v>
      </c>
      <c r="F312" s="524" t="s">
        <v>816</v>
      </c>
      <c r="G312" s="616">
        <v>12</v>
      </c>
      <c r="H312" s="644">
        <v>9682</v>
      </c>
      <c r="I312" s="616">
        <v>7766</v>
      </c>
      <c r="J312" s="620">
        <f t="shared" si="46"/>
        <v>9.6252840322247462</v>
      </c>
      <c r="K312" s="620">
        <f t="shared" si="47"/>
        <v>21.625284032224748</v>
      </c>
      <c r="L312" s="619">
        <v>0.4</v>
      </c>
      <c r="M312" s="620">
        <f t="shared" si="48"/>
        <v>30.275397645114644</v>
      </c>
      <c r="N312" s="645">
        <v>45</v>
      </c>
      <c r="O312" s="645"/>
      <c r="Q312" s="491" t="s">
        <v>990</v>
      </c>
      <c r="R312" s="652"/>
      <c r="S312" s="648"/>
    </row>
    <row r="313" spans="2:19" ht="15.5" x14ac:dyDescent="0.35">
      <c r="B313" s="3" t="s">
        <v>179</v>
      </c>
      <c r="C313" s="233"/>
      <c r="D313">
        <v>58</v>
      </c>
      <c r="F313" s="244" t="s">
        <v>817</v>
      </c>
      <c r="G313" s="173">
        <v>12</v>
      </c>
      <c r="H313" s="4">
        <v>9682</v>
      </c>
      <c r="I313" s="173">
        <v>7766</v>
      </c>
      <c r="J313" s="145">
        <f t="shared" si="46"/>
        <v>9.6252840322247462</v>
      </c>
      <c r="K313" s="145">
        <f t="shared" si="47"/>
        <v>21.625284032224748</v>
      </c>
      <c r="L313" s="468">
        <v>0.4</v>
      </c>
      <c r="M313" s="145">
        <f t="shared" si="48"/>
        <v>30.275397645114644</v>
      </c>
      <c r="N313" s="146">
        <v>45</v>
      </c>
      <c r="O313" s="146"/>
      <c r="Q313" s="10" t="s">
        <v>1694</v>
      </c>
      <c r="R313" s="404">
        <v>45790</v>
      </c>
      <c r="S313" s="420"/>
    </row>
    <row r="314" spans="2:19" s="523" customFormat="1" ht="15.5" x14ac:dyDescent="0.35">
      <c r="B314" s="521" t="s">
        <v>179</v>
      </c>
      <c r="C314" s="522"/>
      <c r="D314" s="523">
        <v>59</v>
      </c>
      <c r="F314" s="524" t="s">
        <v>818</v>
      </c>
      <c r="G314" s="616">
        <v>12</v>
      </c>
      <c r="H314" s="644">
        <v>9682</v>
      </c>
      <c r="I314" s="616">
        <v>7766</v>
      </c>
      <c r="J314" s="620">
        <f t="shared" si="46"/>
        <v>9.6252840322247462</v>
      </c>
      <c r="K314" s="620">
        <f t="shared" si="47"/>
        <v>21.625284032224748</v>
      </c>
      <c r="L314" s="619">
        <v>0.4</v>
      </c>
      <c r="M314" s="620">
        <f t="shared" si="48"/>
        <v>30.275397645114644</v>
      </c>
      <c r="N314" s="645">
        <v>45</v>
      </c>
      <c r="O314" s="645"/>
      <c r="Q314" s="491" t="s">
        <v>990</v>
      </c>
      <c r="R314" s="652"/>
      <c r="S314" s="648"/>
    </row>
    <row r="315" spans="2:19" ht="15.5" x14ac:dyDescent="0.35">
      <c r="B315" s="3" t="s">
        <v>179</v>
      </c>
      <c r="C315" s="233"/>
      <c r="D315">
        <v>60</v>
      </c>
      <c r="F315" s="244" t="s">
        <v>1695</v>
      </c>
      <c r="G315" s="173">
        <v>12</v>
      </c>
      <c r="H315" s="4">
        <v>9682</v>
      </c>
      <c r="I315" s="173">
        <v>7766</v>
      </c>
      <c r="J315" s="145">
        <f t="shared" si="46"/>
        <v>9.6252840322247462</v>
      </c>
      <c r="K315" s="145">
        <f t="shared" si="47"/>
        <v>21.625284032224748</v>
      </c>
      <c r="L315" s="468">
        <v>0.4</v>
      </c>
      <c r="M315" s="145">
        <f t="shared" si="48"/>
        <v>30.275397645114644</v>
      </c>
      <c r="N315" s="146">
        <v>45</v>
      </c>
      <c r="O315" s="146"/>
      <c r="Q315" s="10" t="s">
        <v>1696</v>
      </c>
      <c r="R315" s="404">
        <v>45790</v>
      </c>
      <c r="S315" s="420"/>
    </row>
    <row r="316" spans="2:19" ht="15.5" x14ac:dyDescent="0.35">
      <c r="B316" s="3" t="s">
        <v>179</v>
      </c>
      <c r="C316" s="233"/>
      <c r="D316">
        <v>61</v>
      </c>
      <c r="F316" s="244" t="s">
        <v>818</v>
      </c>
      <c r="G316" s="173">
        <v>12</v>
      </c>
      <c r="H316" s="4">
        <v>9682</v>
      </c>
      <c r="I316" s="173">
        <v>7766</v>
      </c>
      <c r="J316" s="145">
        <f t="shared" si="46"/>
        <v>9.6252840322247462</v>
      </c>
      <c r="K316" s="145">
        <f t="shared" si="47"/>
        <v>21.625284032224748</v>
      </c>
      <c r="L316" s="468">
        <v>0.4</v>
      </c>
      <c r="M316" s="145">
        <f t="shared" si="48"/>
        <v>30.275397645114644</v>
      </c>
      <c r="N316" s="146">
        <v>45</v>
      </c>
      <c r="O316" s="146"/>
      <c r="Q316" s="10" t="s">
        <v>1641</v>
      </c>
      <c r="R316" s="404">
        <v>45455</v>
      </c>
      <c r="S316" s="420">
        <f>+N316*14.5</f>
        <v>652.5</v>
      </c>
    </row>
    <row r="317" spans="2:19" s="523" customFormat="1" ht="15.5" x14ac:dyDescent="0.35">
      <c r="B317" s="521" t="s">
        <v>179</v>
      </c>
      <c r="C317" s="522"/>
      <c r="D317" s="523">
        <v>62</v>
      </c>
      <c r="F317" s="524" t="s">
        <v>818</v>
      </c>
      <c r="G317" s="616">
        <v>12</v>
      </c>
      <c r="H317" s="644">
        <v>9682</v>
      </c>
      <c r="I317" s="616">
        <v>7766</v>
      </c>
      <c r="J317" s="620">
        <f t="shared" si="46"/>
        <v>9.6252840322247462</v>
      </c>
      <c r="K317" s="620">
        <f t="shared" si="47"/>
        <v>21.625284032224748</v>
      </c>
      <c r="L317" s="619">
        <v>0.4</v>
      </c>
      <c r="M317" s="620">
        <f t="shared" si="48"/>
        <v>30.275397645114644</v>
      </c>
      <c r="N317" s="645">
        <v>45</v>
      </c>
      <c r="O317" s="645"/>
      <c r="Q317" s="491" t="s">
        <v>990</v>
      </c>
      <c r="R317" s="652"/>
      <c r="S317" s="648"/>
    </row>
    <row r="318" spans="2:19" s="523" customFormat="1" ht="15.5" x14ac:dyDescent="0.35">
      <c r="B318" s="521" t="s">
        <v>179</v>
      </c>
      <c r="C318" s="522"/>
      <c r="D318" s="523">
        <v>63</v>
      </c>
      <c r="F318" s="524" t="s">
        <v>818</v>
      </c>
      <c r="G318" s="616">
        <v>12</v>
      </c>
      <c r="H318" s="644">
        <v>9682</v>
      </c>
      <c r="I318" s="616">
        <v>7766</v>
      </c>
      <c r="J318" s="620">
        <f t="shared" si="46"/>
        <v>9.6252840322247462</v>
      </c>
      <c r="K318" s="620">
        <f t="shared" si="47"/>
        <v>21.625284032224748</v>
      </c>
      <c r="L318" s="619">
        <v>0.4</v>
      </c>
      <c r="M318" s="620">
        <f t="shared" si="48"/>
        <v>30.275397645114644</v>
      </c>
      <c r="N318" s="645">
        <v>45</v>
      </c>
      <c r="O318" s="645"/>
      <c r="Q318" s="491" t="s">
        <v>990</v>
      </c>
      <c r="R318" s="652"/>
      <c r="S318" s="648"/>
    </row>
    <row r="319" spans="2:19" s="523" customFormat="1" ht="15.5" x14ac:dyDescent="0.35">
      <c r="B319" s="521" t="s">
        <v>179</v>
      </c>
      <c r="C319" s="522"/>
      <c r="D319" s="523">
        <v>64</v>
      </c>
      <c r="F319" s="524" t="s">
        <v>818</v>
      </c>
      <c r="G319" s="616">
        <v>12</v>
      </c>
      <c r="H319" s="644">
        <v>9682</v>
      </c>
      <c r="I319" s="616">
        <v>7766</v>
      </c>
      <c r="J319" s="620">
        <f t="shared" si="46"/>
        <v>9.6252840322247462</v>
      </c>
      <c r="K319" s="620">
        <f t="shared" si="47"/>
        <v>21.625284032224748</v>
      </c>
      <c r="L319" s="619">
        <v>0.4</v>
      </c>
      <c r="M319" s="620">
        <f t="shared" si="48"/>
        <v>30.275397645114644</v>
      </c>
      <c r="N319" s="645">
        <v>45</v>
      </c>
      <c r="O319" s="645"/>
      <c r="Q319" s="491" t="s">
        <v>990</v>
      </c>
      <c r="R319" s="652"/>
      <c r="S319" s="648"/>
    </row>
    <row r="320" spans="2:19" s="523" customFormat="1" ht="15.5" x14ac:dyDescent="0.35">
      <c r="B320" s="521" t="s">
        <v>179</v>
      </c>
      <c r="C320" s="522"/>
      <c r="D320" s="523">
        <v>65</v>
      </c>
      <c r="F320" s="524" t="s">
        <v>1805</v>
      </c>
      <c r="G320" s="616">
        <v>12</v>
      </c>
      <c r="H320" s="644">
        <v>9682</v>
      </c>
      <c r="I320" s="616">
        <v>7766</v>
      </c>
      <c r="J320" s="620">
        <f t="shared" si="46"/>
        <v>9.6252840322247462</v>
      </c>
      <c r="K320" s="620">
        <f t="shared" si="47"/>
        <v>21.625284032224748</v>
      </c>
      <c r="L320" s="619">
        <v>0.4</v>
      </c>
      <c r="M320" s="620">
        <f t="shared" si="48"/>
        <v>30.275397645114644</v>
      </c>
      <c r="N320" s="645">
        <v>45</v>
      </c>
      <c r="O320" s="645"/>
      <c r="Q320" s="491" t="s">
        <v>990</v>
      </c>
      <c r="R320" s="647"/>
      <c r="S320" s="648"/>
    </row>
    <row r="321" spans="1:19" s="523" customFormat="1" ht="15.5" x14ac:dyDescent="0.35">
      <c r="B321" s="521" t="s">
        <v>179</v>
      </c>
      <c r="C321" s="522"/>
      <c r="D321" s="523">
        <v>66</v>
      </c>
      <c r="F321" s="524" t="s">
        <v>819</v>
      </c>
      <c r="G321" s="616">
        <v>12</v>
      </c>
      <c r="H321" s="644">
        <v>9682</v>
      </c>
      <c r="I321" s="616">
        <v>7766</v>
      </c>
      <c r="J321" s="620">
        <f t="shared" si="46"/>
        <v>9.6252840322247462</v>
      </c>
      <c r="K321" s="620">
        <f t="shared" si="47"/>
        <v>21.625284032224748</v>
      </c>
      <c r="L321" s="619">
        <v>0.4</v>
      </c>
      <c r="M321" s="620">
        <f t="shared" si="48"/>
        <v>30.275397645114644</v>
      </c>
      <c r="N321" s="645">
        <v>45</v>
      </c>
      <c r="O321" s="645"/>
      <c r="Q321" s="491" t="s">
        <v>990</v>
      </c>
      <c r="R321" s="647"/>
      <c r="S321" s="648"/>
    </row>
    <row r="322" spans="1:19" s="523" customFormat="1" ht="15.5" x14ac:dyDescent="0.35">
      <c r="B322" s="521" t="s">
        <v>179</v>
      </c>
      <c r="C322" s="522"/>
      <c r="D322" s="523">
        <v>70</v>
      </c>
      <c r="F322" s="524" t="s">
        <v>819</v>
      </c>
      <c r="G322" s="616">
        <v>12</v>
      </c>
      <c r="H322" s="644">
        <v>9682</v>
      </c>
      <c r="I322" s="616">
        <v>7766</v>
      </c>
      <c r="J322" s="620">
        <f t="shared" si="46"/>
        <v>9.6252840322247462</v>
      </c>
      <c r="K322" s="620">
        <f t="shared" si="47"/>
        <v>21.625284032224748</v>
      </c>
      <c r="L322" s="619">
        <v>0.4</v>
      </c>
      <c r="M322" s="620">
        <f t="shared" si="48"/>
        <v>30.275397645114644</v>
      </c>
      <c r="N322" s="645">
        <v>45</v>
      </c>
      <c r="O322" s="645"/>
      <c r="Q322" s="491" t="s">
        <v>990</v>
      </c>
      <c r="R322" s="647"/>
      <c r="S322" s="648"/>
    </row>
    <row r="323" spans="1:19" s="523" customFormat="1" ht="15.5" x14ac:dyDescent="0.35">
      <c r="B323" s="521" t="s">
        <v>179</v>
      </c>
      <c r="C323" s="522"/>
      <c r="D323" s="523">
        <v>71</v>
      </c>
      <c r="F323" s="524" t="s">
        <v>819</v>
      </c>
      <c r="G323" s="616">
        <v>12</v>
      </c>
      <c r="H323" s="644">
        <v>9682</v>
      </c>
      <c r="I323" s="616">
        <v>7766</v>
      </c>
      <c r="J323" s="620">
        <f t="shared" si="46"/>
        <v>9.6252840322247462</v>
      </c>
      <c r="K323" s="620">
        <f t="shared" si="47"/>
        <v>21.625284032224748</v>
      </c>
      <c r="L323" s="619">
        <v>0.4</v>
      </c>
      <c r="M323" s="620">
        <f t="shared" si="48"/>
        <v>30.275397645114644</v>
      </c>
      <c r="N323" s="645">
        <v>45</v>
      </c>
      <c r="O323" s="645"/>
      <c r="Q323" s="491" t="s">
        <v>990</v>
      </c>
      <c r="R323" s="647"/>
      <c r="S323" s="648"/>
    </row>
    <row r="324" spans="1:19" ht="15.5" x14ac:dyDescent="0.35">
      <c r="B324" s="3"/>
      <c r="C324" s="525" t="s">
        <v>1165</v>
      </c>
      <c r="F324" s="244"/>
      <c r="G324" s="173"/>
      <c r="H324" s="4"/>
      <c r="I324" s="173"/>
      <c r="J324" s="145"/>
      <c r="K324" s="145"/>
      <c r="L324" s="468"/>
      <c r="M324" s="145"/>
      <c r="N324" s="146"/>
      <c r="O324" s="466"/>
      <c r="Q324" s="10"/>
      <c r="R324" s="467"/>
      <c r="S324" s="420"/>
    </row>
    <row r="325" spans="1:19" s="523" customFormat="1" x14ac:dyDescent="0.35">
      <c r="C325" s="522" t="s">
        <v>186</v>
      </c>
      <c r="D325" s="523">
        <v>79</v>
      </c>
      <c r="E325" s="526" t="s">
        <v>407</v>
      </c>
      <c r="F325" s="527" t="s">
        <v>625</v>
      </c>
      <c r="G325" s="616">
        <v>12</v>
      </c>
      <c r="H325" s="523">
        <v>1120</v>
      </c>
      <c r="I325" s="616">
        <f>16*40</f>
        <v>640</v>
      </c>
      <c r="J325" s="641">
        <f>+G325/H325*I325</f>
        <v>6.8571428571428577</v>
      </c>
      <c r="K325" s="641">
        <f>+G325+J325</f>
        <v>18.857142857142858</v>
      </c>
      <c r="L325" s="642"/>
      <c r="M325" s="616">
        <f>+K325*1.4</f>
        <v>26.4</v>
      </c>
      <c r="N325" s="616">
        <v>45</v>
      </c>
      <c r="Q325" s="523" t="s">
        <v>990</v>
      </c>
      <c r="S325" s="648"/>
    </row>
    <row r="326" spans="1:19" s="523" customFormat="1" x14ac:dyDescent="0.35">
      <c r="C326" s="522" t="s">
        <v>186</v>
      </c>
      <c r="D326" s="523">
        <v>80</v>
      </c>
      <c r="E326" s="526" t="s">
        <v>409</v>
      </c>
      <c r="F326" s="527" t="s">
        <v>625</v>
      </c>
      <c r="G326" s="616">
        <v>12</v>
      </c>
      <c r="H326" s="523">
        <v>1120</v>
      </c>
      <c r="I326" s="616">
        <f>16*40</f>
        <v>640</v>
      </c>
      <c r="J326" s="641">
        <f>+G326/H326*I326</f>
        <v>6.8571428571428577</v>
      </c>
      <c r="K326" s="641">
        <f>+G326+J326</f>
        <v>18.857142857142858</v>
      </c>
      <c r="L326" s="642"/>
      <c r="M326" s="616">
        <f>+K326*1.4</f>
        <v>26.4</v>
      </c>
      <c r="N326" s="616">
        <v>45</v>
      </c>
      <c r="Q326" s="523" t="s">
        <v>990</v>
      </c>
      <c r="S326" s="648"/>
    </row>
    <row r="327" spans="1:19" s="523" customFormat="1" x14ac:dyDescent="0.35">
      <c r="C327" s="522" t="s">
        <v>186</v>
      </c>
      <c r="D327" s="523">
        <v>81</v>
      </c>
      <c r="E327" s="526" t="s">
        <v>408</v>
      </c>
      <c r="F327" s="527" t="s">
        <v>625</v>
      </c>
      <c r="G327" s="616">
        <v>12</v>
      </c>
      <c r="H327" s="523">
        <v>1120</v>
      </c>
      <c r="I327" s="616">
        <f>16*40</f>
        <v>640</v>
      </c>
      <c r="J327" s="641">
        <f>+G327/H327*I327</f>
        <v>6.8571428571428577</v>
      </c>
      <c r="K327" s="641">
        <f>+G327+J327</f>
        <v>18.857142857142858</v>
      </c>
      <c r="L327" s="642"/>
      <c r="M327" s="616">
        <f>+K327*1.4</f>
        <v>26.4</v>
      </c>
      <c r="N327" s="616">
        <v>45</v>
      </c>
      <c r="Q327" s="523" t="s">
        <v>990</v>
      </c>
      <c r="S327" s="648"/>
    </row>
    <row r="328" spans="1:19" s="523" customFormat="1" x14ac:dyDescent="0.35">
      <c r="C328" s="522" t="s">
        <v>186</v>
      </c>
      <c r="D328" s="523">
        <v>82</v>
      </c>
      <c r="E328" s="526" t="s">
        <v>407</v>
      </c>
      <c r="F328" s="527" t="s">
        <v>625</v>
      </c>
      <c r="G328" s="616">
        <v>12</v>
      </c>
      <c r="H328" s="523">
        <v>1120</v>
      </c>
      <c r="I328" s="616">
        <f>16*40</f>
        <v>640</v>
      </c>
      <c r="J328" s="641">
        <f>+G328/H328*I328</f>
        <v>6.8571428571428577</v>
      </c>
      <c r="K328" s="641">
        <f>+G328+J328</f>
        <v>18.857142857142858</v>
      </c>
      <c r="L328" s="642"/>
      <c r="M328" s="616">
        <f>+K328*1.4</f>
        <v>26.4</v>
      </c>
      <c r="N328" s="616">
        <v>45</v>
      </c>
      <c r="Q328" s="523" t="s">
        <v>990</v>
      </c>
      <c r="S328" s="648"/>
    </row>
    <row r="329" spans="1:19" s="523" customFormat="1" x14ac:dyDescent="0.35">
      <c r="C329" s="522" t="s">
        <v>186</v>
      </c>
      <c r="D329" s="523">
        <v>83</v>
      </c>
      <c r="E329" s="526" t="s">
        <v>409</v>
      </c>
      <c r="F329" s="527" t="s">
        <v>625</v>
      </c>
      <c r="G329" s="616">
        <v>12</v>
      </c>
      <c r="H329" s="523">
        <v>1120</v>
      </c>
      <c r="I329" s="616">
        <f>16*40</f>
        <v>640</v>
      </c>
      <c r="J329" s="641">
        <f>+G329/H329*I329</f>
        <v>6.8571428571428577</v>
      </c>
      <c r="K329" s="641">
        <f>+G329+J329</f>
        <v>18.857142857142858</v>
      </c>
      <c r="L329" s="642"/>
      <c r="M329" s="616">
        <f>+K329*1.4</f>
        <v>26.4</v>
      </c>
      <c r="N329" s="616">
        <v>45</v>
      </c>
      <c r="Q329" s="523" t="s">
        <v>990</v>
      </c>
      <c r="S329" s="648"/>
    </row>
    <row r="330" spans="1:19" x14ac:dyDescent="0.35">
      <c r="C330" s="232" t="s">
        <v>1692</v>
      </c>
      <c r="E330" s="366"/>
      <c r="F330" s="245"/>
      <c r="G330" s="173"/>
      <c r="I330" s="173"/>
      <c r="J330" s="402"/>
      <c r="K330" s="402"/>
      <c r="L330" s="174"/>
      <c r="M330" s="173"/>
      <c r="N330" s="173"/>
      <c r="S330" s="420"/>
    </row>
    <row r="331" spans="1:19" x14ac:dyDescent="0.35">
      <c r="A331" s="3"/>
      <c r="B331" s="233" t="s">
        <v>179</v>
      </c>
      <c r="C331" s="233" t="s">
        <v>179</v>
      </c>
      <c r="E331" s="366"/>
      <c r="F331" s="256" t="s">
        <v>1675</v>
      </c>
      <c r="G331" s="145"/>
      <c r="H331">
        <v>6149</v>
      </c>
      <c r="I331" s="173">
        <f t="shared" ref="I331:I336" si="49">5832-600</f>
        <v>5232</v>
      </c>
      <c r="J331" s="402">
        <f t="shared" ref="J331:J336" si="50">+G331/H331*I331</f>
        <v>0</v>
      </c>
      <c r="K331" s="173">
        <f t="shared" ref="K331:K336" si="51">+G331+J331</f>
        <v>0</v>
      </c>
      <c r="L331" s="174"/>
      <c r="M331" s="173">
        <f t="shared" ref="M331:M336" si="52">+K331*1.4</f>
        <v>0</v>
      </c>
      <c r="N331" s="173"/>
    </row>
    <row r="332" spans="1:19" x14ac:dyDescent="0.35">
      <c r="A332" s="3"/>
      <c r="B332" s="233" t="s">
        <v>179</v>
      </c>
      <c r="C332" s="233" t="s">
        <v>179</v>
      </c>
      <c r="E332" s="366"/>
      <c r="F332" s="371" t="s">
        <v>1676</v>
      </c>
      <c r="G332" s="342">
        <v>11</v>
      </c>
      <c r="H332" s="12">
        <v>6149</v>
      </c>
      <c r="I332" s="176">
        <f t="shared" si="49"/>
        <v>5232</v>
      </c>
      <c r="J332" s="410">
        <f t="shared" si="50"/>
        <v>9.3595706618962442</v>
      </c>
      <c r="K332" s="176">
        <f t="shared" si="51"/>
        <v>20.359570661896242</v>
      </c>
      <c r="L332" s="411"/>
      <c r="M332" s="176">
        <f t="shared" si="52"/>
        <v>28.503398926654736</v>
      </c>
      <c r="N332" s="176">
        <v>35</v>
      </c>
      <c r="Q332" t="s">
        <v>2474</v>
      </c>
      <c r="R332" s="6">
        <v>46059</v>
      </c>
    </row>
    <row r="333" spans="1:19" s="523" customFormat="1" x14ac:dyDescent="0.35">
      <c r="A333" s="521"/>
      <c r="B333" s="522" t="s">
        <v>179</v>
      </c>
      <c r="C333" s="522" t="s">
        <v>179</v>
      </c>
      <c r="E333" s="526"/>
      <c r="F333" s="527" t="s">
        <v>1676</v>
      </c>
      <c r="G333" s="620">
        <v>11</v>
      </c>
      <c r="H333" s="523">
        <v>6149</v>
      </c>
      <c r="I333" s="616">
        <f t="shared" si="49"/>
        <v>5232</v>
      </c>
      <c r="J333" s="641">
        <f t="shared" si="50"/>
        <v>9.3595706618962442</v>
      </c>
      <c r="K333" s="616">
        <f t="shared" si="51"/>
        <v>20.359570661896242</v>
      </c>
      <c r="L333" s="642"/>
      <c r="M333" s="616">
        <f t="shared" si="52"/>
        <v>28.503398926654736</v>
      </c>
      <c r="N333" s="616">
        <v>35</v>
      </c>
      <c r="Q333" s="523" t="s">
        <v>990</v>
      </c>
    </row>
    <row r="334" spans="1:19" s="523" customFormat="1" x14ac:dyDescent="0.35">
      <c r="A334" s="521"/>
      <c r="B334" s="522" t="s">
        <v>179</v>
      </c>
      <c r="C334" s="522" t="s">
        <v>179</v>
      </c>
      <c r="E334" s="526"/>
      <c r="F334" s="527" t="s">
        <v>1677</v>
      </c>
      <c r="G334" s="620">
        <v>11</v>
      </c>
      <c r="H334" s="523">
        <v>6149</v>
      </c>
      <c r="I334" s="616">
        <f t="shared" si="49"/>
        <v>5232</v>
      </c>
      <c r="J334" s="641">
        <f t="shared" si="50"/>
        <v>9.3595706618962442</v>
      </c>
      <c r="K334" s="616">
        <f t="shared" si="51"/>
        <v>20.359570661896242</v>
      </c>
      <c r="L334" s="642"/>
      <c r="M334" s="616">
        <f t="shared" si="52"/>
        <v>28.503398926654736</v>
      </c>
      <c r="N334" s="616">
        <v>35</v>
      </c>
      <c r="Q334" s="523" t="s">
        <v>990</v>
      </c>
    </row>
    <row r="335" spans="1:19" x14ac:dyDescent="0.35">
      <c r="A335" s="3"/>
      <c r="B335" s="233" t="s">
        <v>179</v>
      </c>
      <c r="C335" s="233" t="s">
        <v>179</v>
      </c>
      <c r="E335" s="366"/>
      <c r="F335" s="371" t="s">
        <v>1680</v>
      </c>
      <c r="G335" s="342">
        <v>11</v>
      </c>
      <c r="H335" s="12">
        <v>6149</v>
      </c>
      <c r="I335" s="176">
        <f t="shared" si="49"/>
        <v>5232</v>
      </c>
      <c r="J335" s="410">
        <f t="shared" si="50"/>
        <v>9.3595706618962442</v>
      </c>
      <c r="K335" s="176">
        <f t="shared" si="51"/>
        <v>20.359570661896242</v>
      </c>
      <c r="L335" s="411"/>
      <c r="M335" s="176">
        <f t="shared" si="52"/>
        <v>28.503398926654736</v>
      </c>
      <c r="N335" s="176">
        <v>35</v>
      </c>
      <c r="Q335" t="s">
        <v>3135</v>
      </c>
      <c r="R335" s="6">
        <v>46112</v>
      </c>
    </row>
    <row r="336" spans="1:19" s="523" customFormat="1" x14ac:dyDescent="0.35">
      <c r="A336" s="521"/>
      <c r="B336" s="522" t="s">
        <v>179</v>
      </c>
      <c r="C336" s="522" t="s">
        <v>179</v>
      </c>
      <c r="E336" s="526"/>
      <c r="F336" s="527" t="s">
        <v>1682</v>
      </c>
      <c r="G336" s="620">
        <v>11</v>
      </c>
      <c r="H336" s="523">
        <v>6149</v>
      </c>
      <c r="I336" s="616">
        <f t="shared" si="49"/>
        <v>5232</v>
      </c>
      <c r="J336" s="641">
        <f t="shared" si="50"/>
        <v>9.3595706618962442</v>
      </c>
      <c r="K336" s="616">
        <f t="shared" si="51"/>
        <v>20.359570661896242</v>
      </c>
      <c r="L336" s="642"/>
      <c r="M336" s="616">
        <f t="shared" si="52"/>
        <v>28.503398926654736</v>
      </c>
      <c r="N336" s="616">
        <v>35</v>
      </c>
      <c r="Q336" s="523" t="s">
        <v>990</v>
      </c>
    </row>
    <row r="337" spans="2:19" s="10" customFormat="1" ht="15" customHeight="1" outlineLevel="1" x14ac:dyDescent="0.35">
      <c r="B337" s="11"/>
      <c r="D337" s="454"/>
      <c r="E337" s="454"/>
      <c r="F337" s="11" t="s">
        <v>203</v>
      </c>
      <c r="G337" s="141">
        <f t="shared" ref="G337:N337" si="53">SUM(G281:G301)</f>
        <v>184</v>
      </c>
      <c r="H337" s="141">
        <f t="shared" si="53"/>
        <v>47776</v>
      </c>
      <c r="I337" s="141">
        <f t="shared" si="53"/>
        <v>83724.72</v>
      </c>
      <c r="J337" s="141">
        <f t="shared" si="53"/>
        <v>309.41304360583223</v>
      </c>
      <c r="K337" s="141">
        <f t="shared" si="53"/>
        <v>493.41304360583217</v>
      </c>
      <c r="L337" s="141">
        <f t="shared" si="53"/>
        <v>4.7999999999999989</v>
      </c>
      <c r="M337" s="141">
        <f t="shared" si="53"/>
        <v>641.43695668758176</v>
      </c>
      <c r="N337" s="141">
        <f t="shared" si="53"/>
        <v>820</v>
      </c>
      <c r="O337" s="474"/>
      <c r="R337" s="404"/>
      <c r="S337" s="418"/>
    </row>
    <row r="338" spans="2:19" s="10" customFormat="1" ht="15" customHeight="1" outlineLevel="1" x14ac:dyDescent="0.35">
      <c r="B338" s="11"/>
      <c r="C338" s="10">
        <v>2022</v>
      </c>
      <c r="D338" s="454">
        <v>123</v>
      </c>
      <c r="E338" s="454">
        <v>-45</v>
      </c>
      <c r="F338" s="10">
        <f>+D338+E338</f>
        <v>78</v>
      </c>
      <c r="G338" s="140"/>
      <c r="J338" s="140"/>
      <c r="K338" s="140"/>
      <c r="L338" s="452"/>
      <c r="M338" s="140">
        <f>+K338*L338+K338</f>
        <v>0</v>
      </c>
      <c r="O338" s="109"/>
      <c r="R338" s="404"/>
      <c r="S338" s="418"/>
    </row>
  </sheetData>
  <printOptions gridLines="1"/>
  <pageMargins left="0.7" right="0.7" top="0.75" bottom="0.75" header="0.3" footer="0.3"/>
  <pageSetup scale="7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U188"/>
  <sheetViews>
    <sheetView zoomScale="80" zoomScaleNormal="80" workbookViewId="0">
      <pane ySplit="1" topLeftCell="A54" activePane="bottomLeft" state="frozen"/>
      <selection pane="bottomLeft" activeCell="E61" sqref="E61"/>
    </sheetView>
  </sheetViews>
  <sheetFormatPr defaultRowHeight="14.5" outlineLevelRow="1" x14ac:dyDescent="0.35"/>
  <cols>
    <col min="2" max="2" width="9.1796875" customWidth="1"/>
    <col min="3" max="3" width="16.7265625" customWidth="1"/>
    <col min="4" max="4" width="9.1796875" customWidth="1"/>
    <col min="6" max="6" width="38.08984375" customWidth="1"/>
    <col min="7" max="13" width="9.1796875" customWidth="1"/>
    <col min="15" max="15" width="9.1796875" style="13" customWidth="1"/>
    <col min="16" max="16" width="9.1796875" customWidth="1"/>
    <col min="17" max="17" width="34.453125" customWidth="1"/>
    <col min="18" max="18" width="10.54296875" customWidth="1"/>
  </cols>
  <sheetData>
    <row r="1" spans="1:21" s="63" customFormat="1" ht="30.75" customHeight="1" thickBot="1" x14ac:dyDescent="0.4">
      <c r="A1" s="621"/>
      <c r="B1" s="622" t="s">
        <v>546</v>
      </c>
      <c r="C1" s="622" t="s">
        <v>342</v>
      </c>
      <c r="D1" s="623" t="s">
        <v>988</v>
      </c>
      <c r="E1" s="624" t="s">
        <v>402</v>
      </c>
      <c r="F1" s="622" t="s">
        <v>1</v>
      </c>
      <c r="G1" s="625" t="s">
        <v>1438</v>
      </c>
      <c r="H1" s="625" t="s">
        <v>3</v>
      </c>
      <c r="I1" s="622" t="s">
        <v>4</v>
      </c>
      <c r="J1" s="625" t="s">
        <v>5</v>
      </c>
      <c r="K1" s="625" t="s">
        <v>6</v>
      </c>
      <c r="L1" s="626" t="s">
        <v>7</v>
      </c>
      <c r="M1" s="627" t="s">
        <v>567</v>
      </c>
      <c r="N1" s="625" t="s">
        <v>9</v>
      </c>
      <c r="O1" s="628" t="s">
        <v>993</v>
      </c>
      <c r="P1" s="627" t="s">
        <v>1466</v>
      </c>
      <c r="Q1" s="625" t="s">
        <v>10</v>
      </c>
      <c r="R1" s="629" t="s">
        <v>22</v>
      </c>
      <c r="S1" s="630" t="s">
        <v>21</v>
      </c>
      <c r="U1" s="169"/>
    </row>
    <row r="3" spans="1:21" s="52" customFormat="1" ht="15" customHeight="1" x14ac:dyDescent="0.35">
      <c r="B3" s="63"/>
      <c r="C3" s="63"/>
      <c r="D3" s="446"/>
      <c r="E3" s="446"/>
      <c r="F3" s="63" t="s">
        <v>1109</v>
      </c>
      <c r="G3" s="169"/>
      <c r="H3" s="169"/>
      <c r="I3" s="63"/>
      <c r="J3" s="169"/>
      <c r="K3" s="169"/>
      <c r="L3" s="170"/>
      <c r="M3" s="172"/>
      <c r="O3" s="449"/>
      <c r="P3" s="255"/>
      <c r="Q3" s="169"/>
      <c r="R3" s="448"/>
      <c r="S3" s="417"/>
      <c r="U3" s="240"/>
    </row>
    <row r="4" spans="1:21" s="10" customFormat="1" ht="15" customHeight="1" outlineLevel="1" x14ac:dyDescent="0.35">
      <c r="B4" s="11" t="s">
        <v>123</v>
      </c>
      <c r="C4" s="10" t="s">
        <v>125</v>
      </c>
      <c r="D4" s="10">
        <v>1</v>
      </c>
      <c r="F4" s="10" t="s">
        <v>124</v>
      </c>
      <c r="G4" s="10">
        <v>33</v>
      </c>
      <c r="H4" s="10">
        <v>5920.5</v>
      </c>
      <c r="I4" s="10">
        <v>13960</v>
      </c>
      <c r="J4" s="10">
        <f>+G4/H4*I4</f>
        <v>77.810995692931328</v>
      </c>
      <c r="K4" s="140">
        <f>+G4+J4</f>
        <v>110.81099569293133</v>
      </c>
      <c r="L4" s="10">
        <v>0.3</v>
      </c>
      <c r="M4" s="140">
        <f>+K4*L4+K4</f>
        <v>144.05429440081073</v>
      </c>
      <c r="N4" s="10">
        <v>150</v>
      </c>
      <c r="O4" s="109"/>
      <c r="R4" s="404"/>
      <c r="S4" s="418"/>
    </row>
    <row r="5" spans="1:21" s="451" customFormat="1" ht="15" customHeight="1" outlineLevel="1" x14ac:dyDescent="0.35">
      <c r="B5" s="764"/>
      <c r="C5" s="451" t="s">
        <v>121</v>
      </c>
      <c r="D5" s="451">
        <v>2</v>
      </c>
      <c r="E5" s="451">
        <v>48</v>
      </c>
      <c r="F5" s="451" t="s">
        <v>122</v>
      </c>
      <c r="G5" s="451">
        <v>45</v>
      </c>
      <c r="H5" s="451">
        <v>5920.5</v>
      </c>
      <c r="I5" s="451">
        <v>13960</v>
      </c>
      <c r="J5" s="451">
        <f>+G5/H5*I5</f>
        <v>106.10590321763365</v>
      </c>
      <c r="K5" s="750">
        <f>+G5+J5</f>
        <v>151.10590321763365</v>
      </c>
      <c r="L5" s="451">
        <v>0.3</v>
      </c>
      <c r="M5" s="750">
        <f>+K5*L5+K5</f>
        <v>196.43767418292376</v>
      </c>
      <c r="N5" s="451">
        <v>100</v>
      </c>
      <c r="O5" s="109"/>
      <c r="P5" s="451" t="s">
        <v>2616</v>
      </c>
      <c r="R5" s="749"/>
      <c r="S5" s="765"/>
    </row>
    <row r="6" spans="1:21" s="487" customFormat="1" ht="15" customHeight="1" outlineLevel="1" x14ac:dyDescent="0.35">
      <c r="B6" s="788"/>
      <c r="C6" s="487" t="s">
        <v>140</v>
      </c>
      <c r="D6" s="487">
        <v>3</v>
      </c>
      <c r="E6" s="487">
        <v>38</v>
      </c>
      <c r="F6" s="487" t="s">
        <v>331</v>
      </c>
      <c r="G6" s="488"/>
      <c r="J6" s="488"/>
      <c r="K6" s="488"/>
      <c r="L6" s="789"/>
      <c r="M6" s="488">
        <f>+K6*L6+K6</f>
        <v>0</v>
      </c>
      <c r="O6" s="109"/>
      <c r="Q6" s="487" t="s">
        <v>2617</v>
      </c>
      <c r="R6" s="790"/>
      <c r="S6" s="791"/>
    </row>
    <row r="7" spans="1:21" s="451" customFormat="1" ht="15" customHeight="1" outlineLevel="1" x14ac:dyDescent="0.35">
      <c r="B7" s="764"/>
      <c r="C7" s="451" t="s">
        <v>89</v>
      </c>
      <c r="D7" s="451">
        <v>4</v>
      </c>
      <c r="E7" s="451">
        <v>44</v>
      </c>
      <c r="F7" s="451" t="s">
        <v>177</v>
      </c>
      <c r="G7" s="750">
        <v>55</v>
      </c>
      <c r="H7" s="451">
        <v>5500</v>
      </c>
      <c r="I7" s="451">
        <v>11950</v>
      </c>
      <c r="J7" s="750">
        <f>+G7/H7*I7</f>
        <v>119.5</v>
      </c>
      <c r="K7" s="750"/>
      <c r="L7" s="752">
        <v>0.3</v>
      </c>
      <c r="M7" s="750">
        <f>+K7*L7+K7</f>
        <v>0</v>
      </c>
      <c r="N7" s="451">
        <v>220</v>
      </c>
      <c r="O7" s="109"/>
      <c r="R7" s="749"/>
      <c r="S7" s="765"/>
    </row>
    <row r="8" spans="1:21" s="10" customFormat="1" ht="15" customHeight="1" outlineLevel="1" x14ac:dyDescent="0.35">
      <c r="C8" s="10" t="s">
        <v>305</v>
      </c>
      <c r="D8" s="10">
        <v>5</v>
      </c>
      <c r="E8" s="10">
        <v>42</v>
      </c>
      <c r="F8" s="10" t="s">
        <v>306</v>
      </c>
      <c r="G8" s="10">
        <v>55</v>
      </c>
      <c r="H8" s="56">
        <v>5690</v>
      </c>
      <c r="I8" s="140">
        <v>9443</v>
      </c>
      <c r="J8" s="140">
        <f>+G8/H8*I8</f>
        <v>91.276801405975391</v>
      </c>
      <c r="K8" s="140">
        <f>+G8+J8</f>
        <v>146.27680140597539</v>
      </c>
      <c r="L8" s="452">
        <v>0.3</v>
      </c>
      <c r="M8" s="140"/>
      <c r="N8" s="10">
        <v>180</v>
      </c>
      <c r="O8" s="109"/>
      <c r="P8" s="451"/>
      <c r="Q8" s="10" t="s">
        <v>1342</v>
      </c>
      <c r="R8" s="404">
        <v>45612</v>
      </c>
      <c r="S8" s="138"/>
    </row>
    <row r="9" spans="1:21" s="451" customFormat="1" ht="15" customHeight="1" outlineLevel="1" x14ac:dyDescent="0.35">
      <c r="C9" s="451" t="s">
        <v>1858</v>
      </c>
      <c r="E9" s="451">
        <v>48</v>
      </c>
      <c r="F9" s="451" t="s">
        <v>2614</v>
      </c>
      <c r="H9" s="751"/>
      <c r="I9" s="750"/>
      <c r="J9" s="750"/>
      <c r="K9" s="750"/>
      <c r="L9" s="766"/>
      <c r="M9" s="750"/>
      <c r="N9" s="451">
        <v>80</v>
      </c>
      <c r="O9" s="109"/>
      <c r="R9" s="749"/>
      <c r="S9" s="753"/>
    </row>
    <row r="10" spans="1:21" s="451" customFormat="1" ht="15" customHeight="1" outlineLevel="1" x14ac:dyDescent="0.35">
      <c r="C10" s="451" t="s">
        <v>1858</v>
      </c>
      <c r="E10" s="451">
        <v>50</v>
      </c>
      <c r="F10" s="451" t="s">
        <v>2614</v>
      </c>
      <c r="H10" s="751"/>
      <c r="I10" s="750"/>
      <c r="J10" s="750"/>
      <c r="K10" s="750"/>
      <c r="L10" s="766"/>
      <c r="M10" s="750"/>
      <c r="N10" s="451">
        <v>80</v>
      </c>
      <c r="O10" s="109"/>
      <c r="R10" s="749"/>
      <c r="S10" s="753"/>
    </row>
    <row r="11" spans="1:21" s="451" customFormat="1" ht="15" customHeight="1" outlineLevel="1" x14ac:dyDescent="0.35">
      <c r="C11" s="451" t="s">
        <v>2601</v>
      </c>
      <c r="E11" s="451">
        <v>56</v>
      </c>
      <c r="F11" s="451" t="s">
        <v>2615</v>
      </c>
      <c r="H11" s="751"/>
      <c r="I11" s="750"/>
      <c r="J11" s="750"/>
      <c r="K11" s="750"/>
      <c r="L11" s="766"/>
      <c r="M11" s="750"/>
      <c r="N11" s="451">
        <v>80</v>
      </c>
      <c r="O11" s="109"/>
      <c r="R11" s="749"/>
      <c r="S11" s="753"/>
    </row>
    <row r="12" spans="1:21" s="451" customFormat="1" ht="15" customHeight="1" outlineLevel="1" x14ac:dyDescent="0.35">
      <c r="C12" s="451" t="s">
        <v>2601</v>
      </c>
      <c r="E12" s="451">
        <v>58</v>
      </c>
      <c r="F12" s="451" t="s">
        <v>2615</v>
      </c>
      <c r="H12" s="751"/>
      <c r="I12" s="750"/>
      <c r="J12" s="750"/>
      <c r="K12" s="750"/>
      <c r="L12" s="766"/>
      <c r="M12" s="750"/>
      <c r="N12" s="451">
        <v>80</v>
      </c>
      <c r="O12" s="109"/>
      <c r="R12" s="749"/>
      <c r="S12" s="753"/>
    </row>
    <row r="13" spans="1:21" s="10" customFormat="1" ht="15" customHeight="1" outlineLevel="1" x14ac:dyDescent="0.35">
      <c r="B13" s="11"/>
      <c r="C13" s="11" t="s">
        <v>234</v>
      </c>
      <c r="D13" s="454"/>
      <c r="E13" s="454"/>
      <c r="G13" s="189"/>
      <c r="J13" s="189"/>
      <c r="K13" s="189"/>
      <c r="L13" s="455"/>
      <c r="M13" s="140">
        <f t="shared" ref="M13:M34" si="0">+K13*L13+K13</f>
        <v>0</v>
      </c>
      <c r="O13" s="109"/>
      <c r="R13" s="404"/>
      <c r="S13" s="419"/>
    </row>
    <row r="14" spans="1:21" s="451" customFormat="1" ht="15" customHeight="1" outlineLevel="1" x14ac:dyDescent="0.35">
      <c r="B14" s="764"/>
      <c r="C14" s="451" t="s">
        <v>140</v>
      </c>
      <c r="D14" s="785">
        <v>6</v>
      </c>
      <c r="E14" s="785">
        <v>42</v>
      </c>
      <c r="F14" s="451" t="s">
        <v>229</v>
      </c>
      <c r="G14" s="750">
        <v>50</v>
      </c>
      <c r="H14" s="451">
        <v>4794</v>
      </c>
      <c r="I14" s="451">
        <v>7939</v>
      </c>
      <c r="J14" s="750">
        <f>+G14/H14*I14</f>
        <v>82.801418439716301</v>
      </c>
      <c r="K14" s="750">
        <f>+G14+J14</f>
        <v>132.80141843971631</v>
      </c>
      <c r="L14" s="752">
        <v>0.3</v>
      </c>
      <c r="M14" s="750">
        <f t="shared" si="0"/>
        <v>172.6418439716312</v>
      </c>
      <c r="N14" s="451">
        <v>200</v>
      </c>
      <c r="O14" s="109"/>
      <c r="R14" s="749"/>
      <c r="S14" s="765"/>
    </row>
    <row r="15" spans="1:21" s="451" customFormat="1" ht="15" customHeight="1" outlineLevel="1" x14ac:dyDescent="0.35">
      <c r="B15" s="764"/>
      <c r="C15" s="451" t="s">
        <v>140</v>
      </c>
      <c r="D15" s="785">
        <v>7</v>
      </c>
      <c r="E15" s="785">
        <v>44</v>
      </c>
      <c r="F15" s="451" t="s">
        <v>229</v>
      </c>
      <c r="G15" s="750">
        <v>50</v>
      </c>
      <c r="H15" s="451">
        <v>4794</v>
      </c>
      <c r="I15" s="451">
        <v>7939</v>
      </c>
      <c r="J15" s="750">
        <f>+G15/H15*I15</f>
        <v>82.801418439716301</v>
      </c>
      <c r="K15" s="750">
        <f>+G15+J15</f>
        <v>132.80141843971631</v>
      </c>
      <c r="L15" s="752">
        <v>0.3</v>
      </c>
      <c r="M15" s="750">
        <f t="shared" si="0"/>
        <v>172.6418439716312</v>
      </c>
      <c r="N15" s="451">
        <v>200</v>
      </c>
      <c r="O15" s="109"/>
      <c r="Q15" s="451" t="s">
        <v>955</v>
      </c>
      <c r="R15" s="749"/>
      <c r="S15" s="765"/>
    </row>
    <row r="16" spans="1:21" s="10" customFormat="1" ht="15" customHeight="1" outlineLevel="1" x14ac:dyDescent="0.35">
      <c r="D16" s="454"/>
      <c r="E16" s="454"/>
      <c r="F16" s="11" t="s">
        <v>319</v>
      </c>
      <c r="G16" s="140"/>
      <c r="J16" s="140"/>
      <c r="K16" s="140"/>
      <c r="L16" s="453"/>
      <c r="M16" s="140">
        <f t="shared" si="0"/>
        <v>0</v>
      </c>
      <c r="N16" s="140"/>
      <c r="O16" s="325"/>
      <c r="R16" s="404"/>
      <c r="S16" s="138"/>
    </row>
    <row r="17" spans="2:19" s="451" customFormat="1" ht="15" customHeight="1" outlineLevel="1" x14ac:dyDescent="0.35">
      <c r="B17" s="764" t="s">
        <v>302</v>
      </c>
      <c r="C17" s="451" t="s">
        <v>279</v>
      </c>
      <c r="D17" s="451">
        <v>8</v>
      </c>
      <c r="E17" s="451">
        <v>48</v>
      </c>
      <c r="F17" s="451" t="s">
        <v>303</v>
      </c>
      <c r="G17" s="451">
        <v>19</v>
      </c>
      <c r="H17" s="751">
        <v>5690</v>
      </c>
      <c r="I17" s="750">
        <v>9443</v>
      </c>
      <c r="J17" s="750">
        <f>+G17/H17*I17</f>
        <v>31.531985940246045</v>
      </c>
      <c r="K17" s="750">
        <f>+G17+J17</f>
        <v>50.531985940246045</v>
      </c>
      <c r="L17" s="766">
        <v>0.3</v>
      </c>
      <c r="M17" s="750">
        <f t="shared" si="0"/>
        <v>65.691581722319853</v>
      </c>
      <c r="N17" s="451">
        <v>80</v>
      </c>
      <c r="O17" s="109"/>
      <c r="R17" s="749"/>
      <c r="S17" s="753"/>
    </row>
    <row r="18" spans="2:19" s="10" customFormat="1" ht="15" hidden="1" customHeight="1" outlineLevel="1" x14ac:dyDescent="0.35">
      <c r="C18" s="10" t="s">
        <v>326</v>
      </c>
      <c r="D18" s="10">
        <v>9</v>
      </c>
      <c r="E18" s="10">
        <v>44</v>
      </c>
      <c r="F18" s="397" t="s">
        <v>310</v>
      </c>
      <c r="G18" s="397">
        <v>20</v>
      </c>
      <c r="H18" s="456">
        <v>5690</v>
      </c>
      <c r="I18" s="450">
        <v>9443</v>
      </c>
      <c r="J18" s="450">
        <f>+G18/H18*I18</f>
        <v>33.191564147627417</v>
      </c>
      <c r="K18" s="450">
        <f>+G18+J18</f>
        <v>53.191564147627417</v>
      </c>
      <c r="L18" s="457">
        <v>0.3</v>
      </c>
      <c r="M18" s="450">
        <f t="shared" si="0"/>
        <v>69.149033391915637</v>
      </c>
      <c r="N18" s="397">
        <v>95</v>
      </c>
      <c r="O18" s="109"/>
      <c r="Q18" s="10" t="s">
        <v>1743</v>
      </c>
      <c r="R18" s="404"/>
      <c r="S18" s="138"/>
    </row>
    <row r="19" spans="2:19" s="10" customFormat="1" ht="15" customHeight="1" outlineLevel="1" x14ac:dyDescent="0.35">
      <c r="C19" s="10" t="s">
        <v>326</v>
      </c>
      <c r="D19" s="10">
        <v>10</v>
      </c>
      <c r="E19" s="10">
        <v>44</v>
      </c>
      <c r="F19" s="10" t="s">
        <v>310</v>
      </c>
      <c r="G19" s="10">
        <v>20</v>
      </c>
      <c r="H19" s="56">
        <v>5690</v>
      </c>
      <c r="I19" s="140">
        <v>9443</v>
      </c>
      <c r="J19" s="140">
        <f>+G19/H19*I19</f>
        <v>33.191564147627417</v>
      </c>
      <c r="K19" s="140">
        <f>+G19+J19</f>
        <v>53.191564147627417</v>
      </c>
      <c r="L19" s="452">
        <v>0.3</v>
      </c>
      <c r="M19" s="140">
        <f t="shared" si="0"/>
        <v>69.149033391915637</v>
      </c>
      <c r="N19" s="10">
        <v>95</v>
      </c>
      <c r="O19" s="109"/>
      <c r="R19" s="404"/>
      <c r="S19" s="138"/>
    </row>
    <row r="20" spans="2:19" s="10" customFormat="1" ht="15" hidden="1" customHeight="1" outlineLevel="1" x14ac:dyDescent="0.35">
      <c r="C20" s="10" t="s">
        <v>326</v>
      </c>
      <c r="D20" s="10">
        <v>13</v>
      </c>
      <c r="E20" s="10">
        <v>46</v>
      </c>
      <c r="F20" s="397" t="s">
        <v>310</v>
      </c>
      <c r="G20" s="397">
        <v>20</v>
      </c>
      <c r="H20" s="456">
        <v>5690</v>
      </c>
      <c r="I20" s="450">
        <v>9443</v>
      </c>
      <c r="J20" s="450">
        <f>+G20/H20*I20</f>
        <v>33.191564147627417</v>
      </c>
      <c r="K20" s="450">
        <f>+G20+J20</f>
        <v>53.191564147627417</v>
      </c>
      <c r="L20" s="457">
        <v>0.3</v>
      </c>
      <c r="M20" s="450">
        <f t="shared" si="0"/>
        <v>69.149033391915637</v>
      </c>
      <c r="N20" s="397">
        <v>95</v>
      </c>
      <c r="O20" s="109">
        <v>60</v>
      </c>
      <c r="Q20" s="10" t="s">
        <v>1009</v>
      </c>
      <c r="R20" s="404">
        <v>45351</v>
      </c>
      <c r="S20" s="138">
        <f>+O20*10000</f>
        <v>600000</v>
      </c>
    </row>
    <row r="21" spans="2:19" s="10" customFormat="1" ht="15" customHeight="1" outlineLevel="1" x14ac:dyDescent="0.35">
      <c r="F21" s="11" t="s">
        <v>330</v>
      </c>
      <c r="H21" s="56"/>
      <c r="I21" s="140"/>
      <c r="J21" s="140"/>
      <c r="K21" s="140"/>
      <c r="L21" s="452"/>
      <c r="M21" s="140">
        <f t="shared" si="0"/>
        <v>0</v>
      </c>
      <c r="O21" s="109"/>
      <c r="R21" s="404"/>
      <c r="S21" s="138"/>
    </row>
    <row r="22" spans="2:19" s="10" customFormat="1" ht="15.5" hidden="1" outlineLevel="1" x14ac:dyDescent="0.35">
      <c r="B22" s="11"/>
      <c r="C22" s="10" t="s">
        <v>195</v>
      </c>
      <c r="D22" s="10">
        <v>12</v>
      </c>
      <c r="E22" s="10">
        <v>48</v>
      </c>
      <c r="F22" s="397" t="s">
        <v>327</v>
      </c>
      <c r="G22" s="450">
        <v>28</v>
      </c>
      <c r="H22" s="397">
        <v>283</v>
      </c>
      <c r="I22" s="450">
        <f>+H22+314</f>
        <v>597</v>
      </c>
      <c r="J22" s="593">
        <f>+G22/H22*I22</f>
        <v>59.06713780918728</v>
      </c>
      <c r="K22" s="450">
        <f>+G22+J22</f>
        <v>87.067137809187273</v>
      </c>
      <c r="L22" s="584">
        <v>0.3</v>
      </c>
      <c r="M22" s="450">
        <f t="shared" si="0"/>
        <v>113.18727915194346</v>
      </c>
      <c r="N22" s="450">
        <v>100</v>
      </c>
      <c r="O22" s="325"/>
      <c r="Q22" s="10" t="s">
        <v>12</v>
      </c>
      <c r="R22" s="404">
        <v>45650</v>
      </c>
      <c r="S22" s="138"/>
    </row>
    <row r="23" spans="2:19" s="10" customFormat="1" ht="15.5" outlineLevel="1" x14ac:dyDescent="0.35">
      <c r="B23" s="11"/>
      <c r="F23" s="11" t="s">
        <v>361</v>
      </c>
      <c r="G23" s="140"/>
      <c r="I23" s="140"/>
      <c r="J23" s="458"/>
      <c r="K23" s="140"/>
      <c r="L23" s="453"/>
      <c r="M23" s="140">
        <f t="shared" si="0"/>
        <v>0</v>
      </c>
      <c r="N23" s="140"/>
      <c r="O23" s="325"/>
      <c r="R23" s="404"/>
      <c r="S23" s="138"/>
    </row>
    <row r="24" spans="2:19" s="451" customFormat="1" ht="15.5" outlineLevel="1" x14ac:dyDescent="0.35">
      <c r="B24" s="764"/>
      <c r="C24" s="451" t="s">
        <v>356</v>
      </c>
      <c r="D24" s="451">
        <v>13</v>
      </c>
      <c r="E24" s="451">
        <v>42</v>
      </c>
      <c r="F24" s="451" t="s">
        <v>360</v>
      </c>
      <c r="G24" s="595">
        <v>28</v>
      </c>
      <c r="H24" s="451">
        <v>272</v>
      </c>
      <c r="I24" s="750">
        <f>+H24+50+16</f>
        <v>338</v>
      </c>
      <c r="J24" s="750">
        <f>+G24/H24*I24</f>
        <v>34.794117647058819</v>
      </c>
      <c r="K24" s="750">
        <f>+G24+J24</f>
        <v>62.794117647058819</v>
      </c>
      <c r="L24" s="752">
        <v>0.3</v>
      </c>
      <c r="M24" s="750">
        <f t="shared" si="0"/>
        <v>81.632352941176464</v>
      </c>
      <c r="N24" s="750">
        <v>110</v>
      </c>
      <c r="O24" s="325">
        <v>55</v>
      </c>
      <c r="R24" s="749"/>
      <c r="S24" s="753"/>
    </row>
    <row r="25" spans="2:19" s="451" customFormat="1" ht="15.5" outlineLevel="1" x14ac:dyDescent="0.35">
      <c r="B25" s="764"/>
      <c r="C25" s="451" t="s">
        <v>356</v>
      </c>
      <c r="D25" s="451">
        <v>14</v>
      </c>
      <c r="E25" s="451">
        <v>44</v>
      </c>
      <c r="F25" s="451" t="s">
        <v>360</v>
      </c>
      <c r="G25" s="595">
        <v>28</v>
      </c>
      <c r="H25" s="451">
        <v>272</v>
      </c>
      <c r="I25" s="750">
        <f>+H25+50+16</f>
        <v>338</v>
      </c>
      <c r="J25" s="750">
        <f>+G25/H25*I25</f>
        <v>34.794117647058819</v>
      </c>
      <c r="K25" s="750">
        <f>+G25+J25</f>
        <v>62.794117647058819</v>
      </c>
      <c r="L25" s="752">
        <v>0.3</v>
      </c>
      <c r="M25" s="750">
        <f t="shared" si="0"/>
        <v>81.632352941176464</v>
      </c>
      <c r="N25" s="750">
        <v>110</v>
      </c>
      <c r="O25" s="325">
        <v>55</v>
      </c>
      <c r="R25" s="749"/>
      <c r="S25" s="753"/>
    </row>
    <row r="26" spans="2:19" s="451" customFormat="1" ht="15.5" outlineLevel="1" x14ac:dyDescent="0.35">
      <c r="B26" s="764"/>
      <c r="C26" s="451" t="s">
        <v>356</v>
      </c>
      <c r="D26" s="451">
        <v>15</v>
      </c>
      <c r="E26" s="451">
        <v>46</v>
      </c>
      <c r="F26" s="451" t="s">
        <v>360</v>
      </c>
      <c r="G26" s="595">
        <v>28</v>
      </c>
      <c r="H26" s="451">
        <v>272</v>
      </c>
      <c r="I26" s="750">
        <f>+H26+50+16</f>
        <v>338</v>
      </c>
      <c r="J26" s="750">
        <f>+G26/H26*I26</f>
        <v>34.794117647058819</v>
      </c>
      <c r="K26" s="750">
        <f>+G26+J26</f>
        <v>62.794117647058819</v>
      </c>
      <c r="L26" s="752">
        <v>0.3</v>
      </c>
      <c r="M26" s="750">
        <f t="shared" si="0"/>
        <v>81.632352941176464</v>
      </c>
      <c r="N26" s="750">
        <v>110</v>
      </c>
      <c r="O26" s="325">
        <v>55</v>
      </c>
      <c r="R26" s="749"/>
      <c r="S26" s="753"/>
    </row>
    <row r="27" spans="2:19" s="451" customFormat="1" ht="15.5" outlineLevel="1" x14ac:dyDescent="0.35">
      <c r="B27" s="764"/>
      <c r="C27" s="451" t="s">
        <v>356</v>
      </c>
      <c r="D27" s="451">
        <v>16</v>
      </c>
      <c r="E27" s="451">
        <v>48</v>
      </c>
      <c r="F27" s="451" t="s">
        <v>360</v>
      </c>
      <c r="G27" s="595">
        <v>28</v>
      </c>
      <c r="H27" s="451">
        <v>272</v>
      </c>
      <c r="I27" s="750">
        <f>+H27+50+16</f>
        <v>338</v>
      </c>
      <c r="J27" s="750">
        <f>+G27/H27*I27</f>
        <v>34.794117647058819</v>
      </c>
      <c r="K27" s="750">
        <f>+G27+J27</f>
        <v>62.794117647058819</v>
      </c>
      <c r="L27" s="752">
        <v>0.3</v>
      </c>
      <c r="M27" s="750">
        <f t="shared" si="0"/>
        <v>81.632352941176464</v>
      </c>
      <c r="N27" s="750">
        <v>110</v>
      </c>
      <c r="O27" s="325">
        <v>55</v>
      </c>
      <c r="R27" s="749"/>
      <c r="S27" s="753"/>
    </row>
    <row r="28" spans="2:19" s="10" customFormat="1" ht="15.5" outlineLevel="1" x14ac:dyDescent="0.35">
      <c r="B28" s="11"/>
      <c r="C28" s="11"/>
      <c r="F28" s="11" t="s">
        <v>533</v>
      </c>
      <c r="G28" s="140"/>
      <c r="I28" s="140"/>
      <c r="J28" s="140"/>
      <c r="K28" s="140"/>
      <c r="L28" s="453"/>
      <c r="M28" s="140">
        <f t="shared" si="0"/>
        <v>0</v>
      </c>
      <c r="N28" s="140"/>
      <c r="O28" s="325"/>
      <c r="R28" s="404"/>
      <c r="S28" s="138"/>
    </row>
    <row r="29" spans="2:19" s="451" customFormat="1" ht="15.5" outlineLevel="1" x14ac:dyDescent="0.35">
      <c r="B29" s="764" t="s">
        <v>231</v>
      </c>
      <c r="C29" s="451" t="s">
        <v>260</v>
      </c>
      <c r="D29" s="451">
        <v>17</v>
      </c>
      <c r="E29" s="451">
        <v>42</v>
      </c>
      <c r="F29" s="451" t="s">
        <v>512</v>
      </c>
      <c r="G29" s="451">
        <v>41</v>
      </c>
      <c r="H29" s="451">
        <v>6556</v>
      </c>
      <c r="I29" s="750">
        <v>9750</v>
      </c>
      <c r="J29" s="750">
        <f t="shared" ref="J29:J34" si="1">+G29/H29*I29</f>
        <v>60.974679682733374</v>
      </c>
      <c r="K29" s="750">
        <f t="shared" ref="K29:K34" si="2">+G29+J29</f>
        <v>101.97467968273338</v>
      </c>
      <c r="L29" s="752">
        <v>0.3</v>
      </c>
      <c r="M29" s="750">
        <f t="shared" si="0"/>
        <v>132.56708358755338</v>
      </c>
      <c r="N29" s="750">
        <v>150</v>
      </c>
      <c r="O29" s="325"/>
      <c r="R29" s="749"/>
      <c r="S29" s="753"/>
    </row>
    <row r="30" spans="2:19" s="451" customFormat="1" ht="15.5" outlineLevel="1" x14ac:dyDescent="0.35">
      <c r="B30" s="764" t="s">
        <v>231</v>
      </c>
      <c r="C30" s="451" t="s">
        <v>260</v>
      </c>
      <c r="D30" s="451">
        <v>18</v>
      </c>
      <c r="E30" s="451">
        <v>44</v>
      </c>
      <c r="F30" s="451" t="s">
        <v>512</v>
      </c>
      <c r="G30" s="451">
        <v>41</v>
      </c>
      <c r="H30" s="451">
        <v>6556</v>
      </c>
      <c r="I30" s="750">
        <v>9750</v>
      </c>
      <c r="J30" s="750">
        <f t="shared" si="1"/>
        <v>60.974679682733374</v>
      </c>
      <c r="K30" s="750">
        <f t="shared" si="2"/>
        <v>101.97467968273338</v>
      </c>
      <c r="L30" s="752">
        <v>0.3</v>
      </c>
      <c r="M30" s="750">
        <f t="shared" si="0"/>
        <v>132.56708358755338</v>
      </c>
      <c r="N30" s="750">
        <v>150</v>
      </c>
      <c r="O30" s="325"/>
      <c r="R30" s="749"/>
      <c r="S30" s="753"/>
    </row>
    <row r="31" spans="2:19" s="451" customFormat="1" ht="15.5" outlineLevel="1" x14ac:dyDescent="0.35">
      <c r="B31" s="764" t="s">
        <v>231</v>
      </c>
      <c r="C31" s="451" t="s">
        <v>260</v>
      </c>
      <c r="D31" s="451">
        <v>19</v>
      </c>
      <c r="E31" s="451">
        <v>48</v>
      </c>
      <c r="F31" s="451" t="s">
        <v>512</v>
      </c>
      <c r="G31" s="451">
        <v>41</v>
      </c>
      <c r="H31" s="451">
        <v>6556</v>
      </c>
      <c r="I31" s="750">
        <v>9750</v>
      </c>
      <c r="J31" s="750">
        <f t="shared" si="1"/>
        <v>60.974679682733374</v>
      </c>
      <c r="K31" s="750">
        <f t="shared" si="2"/>
        <v>101.97467968273338</v>
      </c>
      <c r="L31" s="752">
        <v>0.3</v>
      </c>
      <c r="M31" s="750">
        <f t="shared" si="0"/>
        <v>132.56708358755338</v>
      </c>
      <c r="N31" s="750">
        <v>150</v>
      </c>
      <c r="O31" s="325"/>
      <c r="R31" s="749"/>
      <c r="S31" s="753"/>
    </row>
    <row r="32" spans="2:19" s="451" customFormat="1" ht="15.5" outlineLevel="1" x14ac:dyDescent="0.35">
      <c r="B32" s="764" t="s">
        <v>231</v>
      </c>
      <c r="C32" s="451" t="s">
        <v>230</v>
      </c>
      <c r="D32" s="451">
        <v>20</v>
      </c>
      <c r="E32" s="451">
        <v>50</v>
      </c>
      <c r="F32" s="451" t="s">
        <v>512</v>
      </c>
      <c r="G32" s="451">
        <v>41</v>
      </c>
      <c r="H32" s="451">
        <v>6556</v>
      </c>
      <c r="I32" s="750">
        <v>9750</v>
      </c>
      <c r="J32" s="750">
        <f t="shared" si="1"/>
        <v>60.974679682733374</v>
      </c>
      <c r="K32" s="750">
        <f t="shared" si="2"/>
        <v>101.97467968273338</v>
      </c>
      <c r="L32" s="752">
        <v>0.3</v>
      </c>
      <c r="M32" s="750">
        <f t="shared" si="0"/>
        <v>132.56708358755338</v>
      </c>
      <c r="N32" s="750">
        <v>150</v>
      </c>
      <c r="O32" s="325"/>
      <c r="R32" s="749"/>
      <c r="S32" s="753"/>
    </row>
    <row r="33" spans="2:21" s="451" customFormat="1" ht="15.5" outlineLevel="1" x14ac:dyDescent="0.35">
      <c r="B33" s="764" t="s">
        <v>231</v>
      </c>
      <c r="C33" s="451" t="s">
        <v>230</v>
      </c>
      <c r="D33" s="451">
        <v>21</v>
      </c>
      <c r="E33" s="451">
        <v>56</v>
      </c>
      <c r="F33" s="451" t="s">
        <v>512</v>
      </c>
      <c r="G33" s="451">
        <v>41</v>
      </c>
      <c r="H33" s="451">
        <v>6556</v>
      </c>
      <c r="I33" s="750">
        <v>9750</v>
      </c>
      <c r="J33" s="750">
        <f t="shared" si="1"/>
        <v>60.974679682733374</v>
      </c>
      <c r="K33" s="750">
        <f t="shared" si="2"/>
        <v>101.97467968273338</v>
      </c>
      <c r="L33" s="752">
        <v>0.3</v>
      </c>
      <c r="M33" s="750">
        <f t="shared" si="0"/>
        <v>132.56708358755338</v>
      </c>
      <c r="N33" s="750">
        <v>150</v>
      </c>
      <c r="O33" s="325"/>
      <c r="R33" s="749"/>
      <c r="S33" s="753"/>
    </row>
    <row r="34" spans="2:21" s="451" customFormat="1" ht="15.5" outlineLevel="1" x14ac:dyDescent="0.35">
      <c r="B34" s="764" t="s">
        <v>231</v>
      </c>
      <c r="C34" s="451" t="s">
        <v>230</v>
      </c>
      <c r="D34" s="451">
        <v>22</v>
      </c>
      <c r="E34" s="451">
        <v>58</v>
      </c>
      <c r="F34" s="451" t="s">
        <v>512</v>
      </c>
      <c r="G34" s="451">
        <v>41</v>
      </c>
      <c r="H34" s="451">
        <v>6556</v>
      </c>
      <c r="I34" s="750">
        <v>9750</v>
      </c>
      <c r="J34" s="750">
        <f t="shared" si="1"/>
        <v>60.974679682733374</v>
      </c>
      <c r="K34" s="750">
        <f t="shared" si="2"/>
        <v>101.97467968273338</v>
      </c>
      <c r="L34" s="752">
        <v>0.3</v>
      </c>
      <c r="M34" s="750">
        <f t="shared" si="0"/>
        <v>132.56708358755338</v>
      </c>
      <c r="N34" s="750">
        <v>150</v>
      </c>
      <c r="O34" s="325"/>
      <c r="R34" s="749"/>
      <c r="S34" s="753"/>
    </row>
    <row r="35" spans="2:21" s="451" customFormat="1" ht="15.5" outlineLevel="1" x14ac:dyDescent="0.35">
      <c r="B35" s="764" t="s">
        <v>2601</v>
      </c>
      <c r="C35" s="764" t="s">
        <v>2601</v>
      </c>
      <c r="E35" s="451">
        <v>48</v>
      </c>
      <c r="F35" s="451" t="s">
        <v>2602</v>
      </c>
      <c r="I35" s="750"/>
      <c r="J35" s="750"/>
      <c r="K35" s="750"/>
      <c r="L35" s="752"/>
      <c r="M35" s="750"/>
      <c r="N35" s="750">
        <v>80</v>
      </c>
      <c r="O35" s="325"/>
      <c r="R35" s="749"/>
      <c r="S35" s="753"/>
    </row>
    <row r="36" spans="2:21" s="10" customFormat="1" ht="15" customHeight="1" outlineLevel="1" x14ac:dyDescent="0.35">
      <c r="E36" s="454"/>
      <c r="F36" s="11" t="s">
        <v>727</v>
      </c>
      <c r="G36" s="140"/>
      <c r="J36" s="140"/>
      <c r="K36" s="140"/>
      <c r="L36" s="453"/>
      <c r="M36" s="140"/>
      <c r="N36" s="140"/>
      <c r="O36" s="325"/>
      <c r="R36" s="404"/>
      <c r="S36" s="138"/>
    </row>
    <row r="37" spans="2:21" s="244" customFormat="1" ht="15.5" hidden="1" x14ac:dyDescent="0.35">
      <c r="B37" s="57"/>
      <c r="C37" s="241" t="s">
        <v>757</v>
      </c>
      <c r="D37" s="244">
        <v>23</v>
      </c>
      <c r="E37" s="244">
        <v>44</v>
      </c>
      <c r="F37" s="588" t="s">
        <v>784</v>
      </c>
      <c r="G37" s="585">
        <v>55</v>
      </c>
      <c r="H37" s="589">
        <v>8267</v>
      </c>
      <c r="I37" s="585">
        <v>7400</v>
      </c>
      <c r="J37" s="585">
        <f>+G37/H37*I37</f>
        <v>49.231885811056003</v>
      </c>
      <c r="K37" s="585">
        <f>+G37+J37</f>
        <v>104.231885811056</v>
      </c>
      <c r="L37" s="590">
        <v>0.3</v>
      </c>
      <c r="M37" s="585">
        <f>+K37*1.3</f>
        <v>135.50145155437281</v>
      </c>
      <c r="N37" s="591">
        <v>150</v>
      </c>
      <c r="O37" s="463"/>
      <c r="P37" s="66"/>
      <c r="Q37" s="57" t="s">
        <v>12</v>
      </c>
      <c r="R37" s="464">
        <v>45890</v>
      </c>
      <c r="S37" s="337"/>
    </row>
    <row r="38" spans="2:21" s="244" customFormat="1" ht="15.5" x14ac:dyDescent="0.35">
      <c r="B38" s="57"/>
      <c r="C38" s="241" t="s">
        <v>757</v>
      </c>
      <c r="D38" s="244">
        <v>24</v>
      </c>
      <c r="E38" s="244">
        <v>44</v>
      </c>
      <c r="F38" s="244" t="s">
        <v>758</v>
      </c>
      <c r="G38" s="459">
        <v>55</v>
      </c>
      <c r="H38" s="460">
        <v>8267</v>
      </c>
      <c r="I38" s="459">
        <v>7400</v>
      </c>
      <c r="J38" s="459">
        <f>+G38/H38*I38</f>
        <v>49.231885811056003</v>
      </c>
      <c r="K38" s="459">
        <f>+G38+J38</f>
        <v>104.231885811056</v>
      </c>
      <c r="L38" s="461">
        <v>0.3</v>
      </c>
      <c r="M38" s="459">
        <f>+K38*1.3</f>
        <v>135.50145155437281</v>
      </c>
      <c r="N38" s="462">
        <v>150</v>
      </c>
      <c r="O38" s="463"/>
      <c r="P38" s="66"/>
      <c r="Q38" s="57"/>
      <c r="R38" s="464"/>
      <c r="S38" s="337"/>
    </row>
    <row r="39" spans="2:21" s="244" customFormat="1" ht="15.5" x14ac:dyDescent="0.35">
      <c r="B39" s="57"/>
      <c r="C39" s="241" t="s">
        <v>178</v>
      </c>
      <c r="D39" s="244">
        <v>26</v>
      </c>
      <c r="E39" s="244">
        <v>38</v>
      </c>
      <c r="F39" s="244" t="s">
        <v>766</v>
      </c>
      <c r="G39" s="459">
        <v>60</v>
      </c>
      <c r="H39" s="460">
        <v>8267</v>
      </c>
      <c r="I39" s="459">
        <v>7400</v>
      </c>
      <c r="J39" s="459">
        <f>+G39/H39*I39</f>
        <v>53.707511793879277</v>
      </c>
      <c r="K39" s="459">
        <f>+G39+J39</f>
        <v>113.70751179387928</v>
      </c>
      <c r="L39" s="461">
        <v>0.3</v>
      </c>
      <c r="M39" s="459">
        <f>+K39*1.3</f>
        <v>147.81976533204306</v>
      </c>
      <c r="N39" s="462">
        <v>80</v>
      </c>
      <c r="O39" s="463"/>
      <c r="P39" s="57"/>
      <c r="Q39" s="57"/>
      <c r="R39" s="464"/>
      <c r="S39" s="337"/>
    </row>
    <row r="40" spans="2:21" s="244" customFormat="1" ht="15.5" x14ac:dyDescent="0.35">
      <c r="B40" s="57"/>
      <c r="C40" s="465" t="s">
        <v>795</v>
      </c>
      <c r="G40" s="459"/>
      <c r="H40" s="460"/>
      <c r="I40" s="459"/>
      <c r="J40" s="459"/>
      <c r="K40" s="459"/>
      <c r="L40" s="461"/>
      <c r="M40" s="459"/>
      <c r="N40" s="462"/>
      <c r="O40" s="463"/>
      <c r="P40" s="57"/>
      <c r="Q40" s="57"/>
      <c r="R40" s="464"/>
      <c r="S40" s="337"/>
    </row>
    <row r="41" spans="2:21" ht="15.5" x14ac:dyDescent="0.35">
      <c r="B41" s="233"/>
      <c r="C41" s="233" t="s">
        <v>791</v>
      </c>
      <c r="D41" s="244">
        <v>27</v>
      </c>
      <c r="F41" s="330" t="s">
        <v>792</v>
      </c>
      <c r="G41" s="173">
        <v>50</v>
      </c>
      <c r="H41" s="4">
        <f>+(700+612+375)*1.5</f>
        <v>2530.5</v>
      </c>
      <c r="I41" s="173">
        <v>631</v>
      </c>
      <c r="J41" s="459">
        <f>+G41/H41*I41</f>
        <v>12.467891721003754</v>
      </c>
      <c r="K41" s="459">
        <f>+G41+J41</f>
        <v>62.467891721003753</v>
      </c>
      <c r="L41" s="461">
        <v>0.4</v>
      </c>
      <c r="M41" s="459">
        <f>+K41*1.3</f>
        <v>81.208259237304887</v>
      </c>
      <c r="N41" s="146">
        <v>150</v>
      </c>
      <c r="O41" s="466"/>
      <c r="P41" s="451"/>
      <c r="Q41" s="10"/>
      <c r="R41" s="467"/>
      <c r="S41" s="420"/>
    </row>
    <row r="42" spans="2:21" ht="15.5" x14ac:dyDescent="0.35">
      <c r="B42" s="233"/>
      <c r="C42" s="233"/>
      <c r="F42" s="330" t="s">
        <v>839</v>
      </c>
      <c r="G42" s="173"/>
      <c r="H42" s="4"/>
      <c r="I42" s="173"/>
      <c r="J42" s="459"/>
      <c r="K42" s="459"/>
      <c r="L42" s="461"/>
      <c r="M42" s="459"/>
      <c r="N42" s="146"/>
      <c r="O42" s="466"/>
      <c r="P42" s="10"/>
      <c r="Q42" s="10"/>
      <c r="R42" s="467"/>
      <c r="S42" s="420"/>
    </row>
    <row r="43" spans="2:21" s="11" customFormat="1" ht="15" hidden="1" customHeight="1" x14ac:dyDescent="0.35">
      <c r="B43" s="233" t="s">
        <v>808</v>
      </c>
      <c r="C43" s="233" t="s">
        <v>808</v>
      </c>
      <c r="D43" s="244">
        <v>28</v>
      </c>
      <c r="E43">
        <v>38</v>
      </c>
      <c r="F43" s="588" t="s">
        <v>809</v>
      </c>
      <c r="G43" s="176">
        <v>55</v>
      </c>
      <c r="H43" s="223">
        <v>9682</v>
      </c>
      <c r="I43" s="176">
        <v>7766</v>
      </c>
      <c r="J43" s="342">
        <f>+G43/H43*I43</f>
        <v>44.115885147696758</v>
      </c>
      <c r="K43" s="342">
        <f>+G43+J43</f>
        <v>99.115885147696758</v>
      </c>
      <c r="L43" s="470">
        <v>0.4</v>
      </c>
      <c r="M43" s="342">
        <f>+K43*1.4</f>
        <v>138.76223920677546</v>
      </c>
      <c r="N43" s="370">
        <v>150</v>
      </c>
      <c r="O43" s="466"/>
      <c r="P43" s="451"/>
      <c r="Q43" s="10" t="s">
        <v>12</v>
      </c>
      <c r="R43" s="467">
        <v>45804</v>
      </c>
      <c r="S43" s="420"/>
      <c r="T43"/>
      <c r="U43"/>
    </row>
    <row r="44" spans="2:21" s="10" customFormat="1" ht="15.5" outlineLevel="1" x14ac:dyDescent="0.35">
      <c r="B44" s="233" t="s">
        <v>808</v>
      </c>
      <c r="C44" s="233" t="s">
        <v>808</v>
      </c>
      <c r="D44" s="244">
        <v>29</v>
      </c>
      <c r="E44">
        <v>46</v>
      </c>
      <c r="F44" s="244" t="s">
        <v>810</v>
      </c>
      <c r="G44" s="173">
        <v>55</v>
      </c>
      <c r="H44" s="4">
        <v>9682</v>
      </c>
      <c r="I44" s="173">
        <v>7766</v>
      </c>
      <c r="J44" s="145">
        <f>+G44/H44*I44</f>
        <v>44.115885147696758</v>
      </c>
      <c r="K44" s="145">
        <f>+G44+J44</f>
        <v>99.115885147696758</v>
      </c>
      <c r="L44" s="468">
        <v>0.4</v>
      </c>
      <c r="M44" s="145">
        <f>+K44*1.4</f>
        <v>138.76223920677546</v>
      </c>
      <c r="N44" s="146">
        <v>150</v>
      </c>
      <c r="O44" s="466"/>
      <c r="P44" s="451"/>
      <c r="Q44"/>
      <c r="R44" s="467"/>
      <c r="S44" s="420"/>
    </row>
    <row r="45" spans="2:21" ht="15.5" x14ac:dyDescent="0.35">
      <c r="B45" s="233"/>
      <c r="C45" s="232" t="s">
        <v>839</v>
      </c>
      <c r="D45" s="233"/>
      <c r="F45" s="330" t="s">
        <v>804</v>
      </c>
      <c r="H45" s="173"/>
      <c r="I45" s="4"/>
      <c r="J45" s="173"/>
      <c r="K45" s="145"/>
      <c r="L45" s="145"/>
      <c r="M45" s="468"/>
      <c r="N45" s="145"/>
      <c r="O45" s="469"/>
      <c r="Q45" s="10"/>
      <c r="R45" s="404"/>
      <c r="S45" s="420"/>
    </row>
    <row r="46" spans="2:21" ht="15.5" x14ac:dyDescent="0.35">
      <c r="B46" s="233" t="s">
        <v>731</v>
      </c>
      <c r="C46" s="233" t="s">
        <v>822</v>
      </c>
      <c r="D46" s="244">
        <v>30</v>
      </c>
      <c r="E46">
        <v>44</v>
      </c>
      <c r="F46" s="244" t="s">
        <v>842</v>
      </c>
      <c r="G46" s="173">
        <v>33</v>
      </c>
      <c r="H46" s="4">
        <v>9682</v>
      </c>
      <c r="I46" s="173">
        <v>7766</v>
      </c>
      <c r="J46" s="145">
        <f>+G46/H46*I46</f>
        <v>26.469531088618055</v>
      </c>
      <c r="K46" s="145">
        <f>+G46+J46</f>
        <v>59.469531088618055</v>
      </c>
      <c r="L46" s="468">
        <v>0.4</v>
      </c>
      <c r="M46" s="145">
        <f>+K46*1.4</f>
        <v>83.257343524065277</v>
      </c>
      <c r="N46" s="146">
        <v>125</v>
      </c>
      <c r="O46" s="466"/>
      <c r="P46" s="451"/>
      <c r="Q46" s="10"/>
      <c r="R46" s="467"/>
      <c r="S46" s="420"/>
    </row>
    <row r="47" spans="2:21" ht="15.5" x14ac:dyDescent="0.35">
      <c r="B47" s="233" t="s">
        <v>821</v>
      </c>
      <c r="C47" s="233" t="s">
        <v>821</v>
      </c>
      <c r="D47" s="244">
        <v>31</v>
      </c>
      <c r="E47">
        <v>40</v>
      </c>
      <c r="F47" s="244" t="s">
        <v>813</v>
      </c>
      <c r="G47" s="173">
        <v>40</v>
      </c>
      <c r="H47" s="4">
        <v>9682</v>
      </c>
      <c r="I47" s="173">
        <v>7766</v>
      </c>
      <c r="J47" s="145">
        <f>+G47/H47*I47</f>
        <v>32.084280107415822</v>
      </c>
      <c r="K47" s="145">
        <f>+G47+J47</f>
        <v>72.084280107415822</v>
      </c>
      <c r="L47" s="468">
        <v>0.4</v>
      </c>
      <c r="M47" s="145">
        <f>+K47*1.4</f>
        <v>100.91799215038215</v>
      </c>
      <c r="N47" s="146">
        <v>125</v>
      </c>
      <c r="O47" s="466"/>
      <c r="P47" s="451"/>
      <c r="Q47" s="10"/>
      <c r="R47" s="467"/>
      <c r="S47" s="420"/>
    </row>
    <row r="48" spans="2:21" ht="15.5" x14ac:dyDescent="0.35">
      <c r="B48" s="233" t="s">
        <v>821</v>
      </c>
      <c r="C48" s="233" t="s">
        <v>821</v>
      </c>
      <c r="D48" s="244">
        <v>32</v>
      </c>
      <c r="E48">
        <v>44</v>
      </c>
      <c r="F48" s="244" t="s">
        <v>813</v>
      </c>
      <c r="G48" s="173">
        <v>40</v>
      </c>
      <c r="H48" s="4">
        <v>9682</v>
      </c>
      <c r="I48" s="173">
        <v>7766</v>
      </c>
      <c r="J48" s="145">
        <f>+G48/H48*I48</f>
        <v>32.084280107415822</v>
      </c>
      <c r="K48" s="145">
        <f>+G48+J48</f>
        <v>72.084280107415822</v>
      </c>
      <c r="L48" s="468">
        <v>0.4</v>
      </c>
      <c r="M48" s="145">
        <f>+K48*1.4</f>
        <v>100.91799215038215</v>
      </c>
      <c r="N48" s="146">
        <v>125</v>
      </c>
      <c r="O48" s="466"/>
      <c r="P48" s="451"/>
      <c r="Q48" s="10"/>
      <c r="R48" s="467"/>
      <c r="S48" s="420"/>
    </row>
    <row r="49" spans="2:19" ht="15.5" x14ac:dyDescent="0.35">
      <c r="B49" s="233" t="s">
        <v>821</v>
      </c>
      <c r="C49" s="233" t="s">
        <v>821</v>
      </c>
      <c r="D49" s="244">
        <v>33</v>
      </c>
      <c r="E49">
        <v>46</v>
      </c>
      <c r="F49" s="244" t="s">
        <v>813</v>
      </c>
      <c r="G49" s="173">
        <v>40</v>
      </c>
      <c r="H49" s="4">
        <v>9682</v>
      </c>
      <c r="I49" s="173">
        <v>7766</v>
      </c>
      <c r="J49" s="145">
        <f>+G49/H49*I49</f>
        <v>32.084280107415822</v>
      </c>
      <c r="K49" s="145">
        <f>+G49+J49</f>
        <v>72.084280107415822</v>
      </c>
      <c r="L49" s="468">
        <v>0.4</v>
      </c>
      <c r="M49" s="145">
        <f>+K49*1.4</f>
        <v>100.91799215038215</v>
      </c>
      <c r="N49" s="146">
        <v>125</v>
      </c>
      <c r="O49" s="466"/>
      <c r="P49" s="451"/>
    </row>
    <row r="50" spans="2:19" ht="15.5" x14ac:dyDescent="0.35">
      <c r="B50" s="233" t="s">
        <v>821</v>
      </c>
      <c r="C50" s="233" t="s">
        <v>821</v>
      </c>
      <c r="D50" s="244">
        <v>34</v>
      </c>
      <c r="E50">
        <v>48</v>
      </c>
      <c r="F50" s="244" t="s">
        <v>813</v>
      </c>
      <c r="G50" s="173">
        <v>40</v>
      </c>
      <c r="H50" s="4">
        <v>9682</v>
      </c>
      <c r="I50" s="173">
        <v>7766</v>
      </c>
      <c r="J50" s="145">
        <f>+G50/H50*I50</f>
        <v>32.084280107415822</v>
      </c>
      <c r="K50" s="145">
        <f>+G50+J50</f>
        <v>72.084280107415822</v>
      </c>
      <c r="L50" s="468">
        <v>0.4</v>
      </c>
      <c r="M50" s="145">
        <f>+K50*1.4</f>
        <v>100.91799215038215</v>
      </c>
      <c r="N50" s="146">
        <v>125</v>
      </c>
      <c r="O50" s="466"/>
      <c r="P50" s="451"/>
      <c r="Q50" s="10"/>
      <c r="R50" s="467"/>
      <c r="S50" s="420"/>
    </row>
    <row r="51" spans="2:19" ht="15.5" x14ac:dyDescent="0.35">
      <c r="B51" s="233"/>
      <c r="C51" s="233"/>
      <c r="F51" s="330" t="s">
        <v>871</v>
      </c>
      <c r="G51" s="173"/>
      <c r="H51" s="4"/>
      <c r="I51" s="173"/>
      <c r="J51" s="145"/>
      <c r="K51" s="145"/>
      <c r="L51" s="468"/>
      <c r="M51" s="145"/>
      <c r="N51" s="146"/>
      <c r="O51" s="466"/>
      <c r="P51" s="10"/>
      <c r="Q51" s="10"/>
      <c r="R51" s="467"/>
      <c r="S51" s="420"/>
    </row>
    <row r="52" spans="2:19" x14ac:dyDescent="0.35">
      <c r="B52" s="3" t="s">
        <v>855</v>
      </c>
      <c r="C52" s="3" t="s">
        <v>855</v>
      </c>
      <c r="D52">
        <v>35</v>
      </c>
      <c r="E52">
        <v>38</v>
      </c>
      <c r="F52" t="s">
        <v>856</v>
      </c>
      <c r="G52" s="173">
        <v>50</v>
      </c>
      <c r="H52">
        <v>6066</v>
      </c>
      <c r="I52" s="173">
        <v>6015</v>
      </c>
      <c r="J52" s="459">
        <f>+G52/H52*I52</f>
        <v>49.579624134520273</v>
      </c>
      <c r="K52" s="471">
        <f>+G52+J52</f>
        <v>99.579624134520273</v>
      </c>
      <c r="L52" s="468">
        <v>0.4</v>
      </c>
      <c r="M52" s="145">
        <f>+K52*1.4</f>
        <v>139.41147378832838</v>
      </c>
      <c r="N52" s="173">
        <v>150</v>
      </c>
      <c r="O52" s="344"/>
      <c r="P52" s="92"/>
      <c r="R52" s="467"/>
      <c r="S52" s="420"/>
    </row>
    <row r="53" spans="2:19" x14ac:dyDescent="0.35">
      <c r="B53" s="3" t="s">
        <v>855</v>
      </c>
      <c r="C53" s="3" t="s">
        <v>855</v>
      </c>
      <c r="D53">
        <v>36</v>
      </c>
      <c r="E53">
        <v>40</v>
      </c>
      <c r="F53" s="12" t="s">
        <v>856</v>
      </c>
      <c r="G53" s="176">
        <v>50</v>
      </c>
      <c r="H53" s="12">
        <v>6066</v>
      </c>
      <c r="I53" s="176">
        <v>6015</v>
      </c>
      <c r="J53" s="585">
        <f>+G53/H53*I53</f>
        <v>49.579624134520273</v>
      </c>
      <c r="K53" s="586">
        <f>+G53+J53</f>
        <v>99.579624134520273</v>
      </c>
      <c r="L53" s="470">
        <v>0.4</v>
      </c>
      <c r="M53" s="342">
        <f>+K53*1.4</f>
        <v>139.41147378832838</v>
      </c>
      <c r="N53" s="176">
        <v>140</v>
      </c>
      <c r="O53" s="344"/>
      <c r="P53" s="92"/>
      <c r="Q53" t="s">
        <v>12</v>
      </c>
      <c r="R53" s="467">
        <v>46079</v>
      </c>
      <c r="S53" s="420"/>
    </row>
    <row r="54" spans="2:19" x14ac:dyDescent="0.35">
      <c r="B54" s="3" t="s">
        <v>855</v>
      </c>
      <c r="C54" s="3" t="s">
        <v>855</v>
      </c>
      <c r="D54">
        <v>37</v>
      </c>
      <c r="E54">
        <v>44</v>
      </c>
      <c r="F54" s="12" t="s">
        <v>856</v>
      </c>
      <c r="G54" s="176">
        <v>50</v>
      </c>
      <c r="H54" s="12">
        <v>6066</v>
      </c>
      <c r="I54" s="176">
        <v>6015</v>
      </c>
      <c r="J54" s="585">
        <f>+G54/H54*I54</f>
        <v>49.579624134520273</v>
      </c>
      <c r="K54" s="586">
        <f>+G54+J54</f>
        <v>99.579624134520273</v>
      </c>
      <c r="L54" s="470">
        <v>0.4</v>
      </c>
      <c r="M54" s="342">
        <f>+K54*1.4</f>
        <v>139.41147378832838</v>
      </c>
      <c r="N54" s="176">
        <v>150</v>
      </c>
      <c r="O54" s="344"/>
      <c r="P54" s="92"/>
      <c r="Q54" t="s">
        <v>1515</v>
      </c>
      <c r="R54" s="467">
        <v>45706</v>
      </c>
      <c r="S54" s="420"/>
    </row>
    <row r="55" spans="2:19" x14ac:dyDescent="0.35">
      <c r="B55" s="3" t="s">
        <v>855</v>
      </c>
      <c r="C55" s="3" t="s">
        <v>855</v>
      </c>
      <c r="D55">
        <v>38</v>
      </c>
      <c r="E55">
        <v>46</v>
      </c>
      <c r="F55" t="s">
        <v>856</v>
      </c>
      <c r="G55" s="173">
        <v>50</v>
      </c>
      <c r="H55">
        <v>6066</v>
      </c>
      <c r="I55" s="173">
        <v>6015</v>
      </c>
      <c r="J55" s="459">
        <f>+G55/H55*I55</f>
        <v>49.579624134520273</v>
      </c>
      <c r="K55" s="471">
        <f>+G55+J55</f>
        <v>99.579624134520273</v>
      </c>
      <c r="L55" s="468">
        <v>0.4</v>
      </c>
      <c r="M55" s="145">
        <f>+K55*1.4</f>
        <v>139.41147378832838</v>
      </c>
      <c r="N55" s="173">
        <v>150</v>
      </c>
      <c r="O55" s="344"/>
      <c r="P55" s="13"/>
      <c r="R55" s="467"/>
      <c r="S55" s="420"/>
    </row>
    <row r="56" spans="2:19" x14ac:dyDescent="0.35">
      <c r="B56" s="3" t="s">
        <v>855</v>
      </c>
      <c r="C56" s="3" t="s">
        <v>855</v>
      </c>
      <c r="E56">
        <v>40</v>
      </c>
      <c r="F56" s="12" t="s">
        <v>2656</v>
      </c>
      <c r="G56" s="173">
        <v>50</v>
      </c>
      <c r="H56">
        <v>6066</v>
      </c>
      <c r="I56" s="173">
        <v>6015</v>
      </c>
      <c r="J56" s="459">
        <f>+G56/H56*I56</f>
        <v>49.579624134520273</v>
      </c>
      <c r="K56" s="471">
        <f>+G56+J56</f>
        <v>99.579624134520273</v>
      </c>
      <c r="L56" s="468">
        <v>1.4</v>
      </c>
      <c r="M56" s="145">
        <f>+K56*1.4</f>
        <v>139.41147378832838</v>
      </c>
      <c r="N56" s="173">
        <v>140</v>
      </c>
      <c r="O56" s="344"/>
      <c r="P56" s="92"/>
      <c r="Q56" t="s">
        <v>12</v>
      </c>
      <c r="R56" s="467">
        <v>46079</v>
      </c>
      <c r="S56" s="420"/>
    </row>
    <row r="57" spans="2:19" x14ac:dyDescent="0.35">
      <c r="B57" s="3"/>
      <c r="C57" s="364">
        <v>45352</v>
      </c>
      <c r="G57" s="173"/>
      <c r="I57" s="173"/>
      <c r="J57" s="459"/>
      <c r="K57" s="471"/>
      <c r="L57" s="468"/>
      <c r="M57" s="145"/>
      <c r="N57" s="173"/>
      <c r="O57" s="344"/>
      <c r="R57" s="467"/>
      <c r="S57" s="420"/>
    </row>
    <row r="58" spans="2:19" x14ac:dyDescent="0.35">
      <c r="B58" s="245" t="s">
        <v>791</v>
      </c>
      <c r="C58" s="245" t="s">
        <v>791</v>
      </c>
      <c r="E58" s="366">
        <v>42</v>
      </c>
      <c r="F58" s="371" t="s">
        <v>1063</v>
      </c>
      <c r="G58" s="176">
        <v>55</v>
      </c>
      <c r="H58" s="176">
        <f>825+725*0.045</f>
        <v>857.625</v>
      </c>
      <c r="I58" s="176">
        <v>370</v>
      </c>
      <c r="J58" s="176">
        <f>+G58/H58*I58</f>
        <v>23.728319486955254</v>
      </c>
      <c r="K58" s="176">
        <f>+J58+G58</f>
        <v>78.728319486955257</v>
      </c>
      <c r="L58" s="411">
        <v>0.4</v>
      </c>
      <c r="M58" s="176">
        <f>+K58*1.4</f>
        <v>110.21964728173735</v>
      </c>
      <c r="N58" s="176">
        <v>150</v>
      </c>
      <c r="Q58" t="s">
        <v>3160</v>
      </c>
      <c r="R58" s="6">
        <v>46052</v>
      </c>
      <c r="S58" s="420"/>
    </row>
    <row r="59" spans="2:19" x14ac:dyDescent="0.35">
      <c r="B59" s="245"/>
      <c r="C59" s="245"/>
      <c r="E59" s="366">
        <v>44</v>
      </c>
      <c r="F59" s="245" t="s">
        <v>1063</v>
      </c>
      <c r="G59" s="173">
        <v>55</v>
      </c>
      <c r="H59" s="173">
        <f>825+725*0.045</f>
        <v>857.625</v>
      </c>
      <c r="I59" s="173">
        <v>370</v>
      </c>
      <c r="J59" s="173">
        <f>+G59/H59*I59</f>
        <v>23.728319486955254</v>
      </c>
      <c r="K59" s="173">
        <f>+J59+G59</f>
        <v>78.728319486955257</v>
      </c>
      <c r="L59" s="174">
        <v>0.4</v>
      </c>
      <c r="M59" s="173">
        <f>+K59*1.4</f>
        <v>110.21964728173735</v>
      </c>
      <c r="N59" s="173">
        <v>150</v>
      </c>
      <c r="O59"/>
      <c r="R59" s="6"/>
      <c r="S59" s="420"/>
    </row>
    <row r="60" spans="2:19" x14ac:dyDescent="0.35">
      <c r="B60" s="245"/>
      <c r="C60" s="245"/>
      <c r="E60" s="366">
        <v>46</v>
      </c>
      <c r="F60" s="245" t="s">
        <v>1063</v>
      </c>
      <c r="G60" s="173">
        <v>55</v>
      </c>
      <c r="H60" s="173">
        <f>825+725*0.045</f>
        <v>857.625</v>
      </c>
      <c r="I60" s="173">
        <v>370</v>
      </c>
      <c r="J60" s="173">
        <f>+G60/H60*I60</f>
        <v>23.728319486955254</v>
      </c>
      <c r="K60" s="173">
        <f>+J60+G60</f>
        <v>78.728319486955257</v>
      </c>
      <c r="L60" s="174">
        <v>0.4</v>
      </c>
      <c r="M60" s="173">
        <f>+K60*1.4</f>
        <v>110.21964728173735</v>
      </c>
      <c r="N60" s="173">
        <v>150</v>
      </c>
      <c r="O60"/>
      <c r="R60" s="6"/>
      <c r="S60" s="420"/>
    </row>
    <row r="61" spans="2:19" x14ac:dyDescent="0.35">
      <c r="B61" s="245"/>
      <c r="C61" s="472">
        <v>45413</v>
      </c>
      <c r="E61" s="366"/>
      <c r="F61" s="245"/>
      <c r="G61" s="173"/>
      <c r="H61" s="173"/>
      <c r="I61" s="173"/>
      <c r="J61" s="173"/>
      <c r="K61" s="173"/>
      <c r="L61" s="174"/>
      <c r="M61" s="173"/>
      <c r="N61" s="173"/>
      <c r="S61" s="420"/>
    </row>
    <row r="62" spans="2:19" s="10" customFormat="1" ht="15" customHeight="1" outlineLevel="1" x14ac:dyDescent="0.35">
      <c r="B62" s="233" t="s">
        <v>17</v>
      </c>
      <c r="C62" s="233" t="s">
        <v>17</v>
      </c>
      <c r="D62" s="245">
        <v>43</v>
      </c>
      <c r="E62" s="366">
        <v>46</v>
      </c>
      <c r="F62" s="245" t="s">
        <v>1139</v>
      </c>
      <c r="G62" s="173">
        <v>42</v>
      </c>
      <c r="H62">
        <v>768</v>
      </c>
      <c r="I62" s="173">
        <v>515</v>
      </c>
      <c r="J62" s="402">
        <f t="shared" ref="J62:J67" si="3">+G62/H62*I62</f>
        <v>28.1640625</v>
      </c>
      <c r="K62" s="402">
        <f t="shared" ref="K62:K67" si="4">+G62+J62</f>
        <v>70.1640625</v>
      </c>
      <c r="L62" s="174"/>
      <c r="M62" s="173">
        <f t="shared" ref="M62:M67" si="5">+K62*1.4</f>
        <v>98.229687499999997</v>
      </c>
      <c r="N62" s="173">
        <v>125</v>
      </c>
      <c r="O62" s="109"/>
      <c r="P62" s="595"/>
      <c r="Q62" s="10" t="s">
        <v>2098</v>
      </c>
      <c r="S62" s="138"/>
    </row>
    <row r="63" spans="2:19" s="10" customFormat="1" ht="15" customHeight="1" outlineLevel="1" x14ac:dyDescent="0.35">
      <c r="B63" s="233" t="s">
        <v>17</v>
      </c>
      <c r="C63" s="233" t="s">
        <v>17</v>
      </c>
      <c r="D63" s="245">
        <v>44</v>
      </c>
      <c r="E63" s="366">
        <v>48</v>
      </c>
      <c r="F63" s="245" t="s">
        <v>1139</v>
      </c>
      <c r="G63" s="173">
        <v>42</v>
      </c>
      <c r="H63">
        <v>768</v>
      </c>
      <c r="I63" s="173">
        <v>515</v>
      </c>
      <c r="J63" s="402">
        <f t="shared" si="3"/>
        <v>28.1640625</v>
      </c>
      <c r="K63" s="402">
        <f t="shared" si="4"/>
        <v>70.1640625</v>
      </c>
      <c r="L63" s="174"/>
      <c r="M63" s="173">
        <f t="shared" si="5"/>
        <v>98.229687499999997</v>
      </c>
      <c r="N63" s="173">
        <v>125</v>
      </c>
      <c r="O63" s="109"/>
      <c r="P63" s="595"/>
      <c r="S63" s="138"/>
    </row>
    <row r="64" spans="2:19" s="10" customFormat="1" ht="15" customHeight="1" outlineLevel="1" x14ac:dyDescent="0.35">
      <c r="B64" s="233" t="s">
        <v>17</v>
      </c>
      <c r="C64" s="233" t="s">
        <v>17</v>
      </c>
      <c r="D64" s="245">
        <v>46</v>
      </c>
      <c r="E64" s="366">
        <v>44</v>
      </c>
      <c r="F64" s="245" t="s">
        <v>1140</v>
      </c>
      <c r="G64" s="173">
        <v>42</v>
      </c>
      <c r="H64">
        <v>768</v>
      </c>
      <c r="I64" s="173">
        <v>515</v>
      </c>
      <c r="J64" s="402">
        <f t="shared" si="3"/>
        <v>28.1640625</v>
      </c>
      <c r="K64" s="402">
        <f t="shared" si="4"/>
        <v>70.1640625</v>
      </c>
      <c r="L64" s="174"/>
      <c r="M64" s="173">
        <f t="shared" si="5"/>
        <v>98.229687499999997</v>
      </c>
      <c r="N64" s="173">
        <v>125</v>
      </c>
      <c r="O64" s="109"/>
      <c r="P64" s="595"/>
      <c r="S64" s="138"/>
    </row>
    <row r="65" spans="1:19" s="10" customFormat="1" ht="15" customHeight="1" outlineLevel="1" x14ac:dyDescent="0.35">
      <c r="B65" s="233" t="s">
        <v>17</v>
      </c>
      <c r="C65" s="233" t="s">
        <v>17</v>
      </c>
      <c r="D65" s="245">
        <v>47</v>
      </c>
      <c r="E65" s="366">
        <v>46</v>
      </c>
      <c r="F65" s="245" t="s">
        <v>1140</v>
      </c>
      <c r="G65" s="173">
        <v>42</v>
      </c>
      <c r="H65">
        <v>768</v>
      </c>
      <c r="I65" s="173">
        <v>515</v>
      </c>
      <c r="J65" s="402">
        <f t="shared" si="3"/>
        <v>28.1640625</v>
      </c>
      <c r="K65" s="402">
        <f t="shared" si="4"/>
        <v>70.1640625</v>
      </c>
      <c r="L65" s="174"/>
      <c r="M65" s="173">
        <f t="shared" si="5"/>
        <v>98.229687499999997</v>
      </c>
      <c r="N65" s="173">
        <v>125</v>
      </c>
      <c r="O65" s="109"/>
      <c r="P65" s="595"/>
      <c r="S65" s="138"/>
    </row>
    <row r="66" spans="1:19" s="10" customFormat="1" ht="15" customHeight="1" outlineLevel="1" x14ac:dyDescent="0.35">
      <c r="B66" s="233" t="s">
        <v>17</v>
      </c>
      <c r="C66" s="233" t="s">
        <v>17</v>
      </c>
      <c r="D66" s="245">
        <v>48</v>
      </c>
      <c r="E66" s="366">
        <v>48</v>
      </c>
      <c r="F66" s="245" t="s">
        <v>1140</v>
      </c>
      <c r="G66" s="173">
        <v>42</v>
      </c>
      <c r="H66">
        <v>768</v>
      </c>
      <c r="I66" s="173">
        <v>515</v>
      </c>
      <c r="J66" s="402">
        <f t="shared" si="3"/>
        <v>28.1640625</v>
      </c>
      <c r="K66" s="402">
        <f t="shared" si="4"/>
        <v>70.1640625</v>
      </c>
      <c r="L66" s="174"/>
      <c r="M66" s="173">
        <f t="shared" si="5"/>
        <v>98.229687499999997</v>
      </c>
      <c r="N66" s="173">
        <v>125</v>
      </c>
      <c r="O66" s="109"/>
      <c r="P66" s="595"/>
      <c r="S66" s="138"/>
    </row>
    <row r="67" spans="1:19" s="10" customFormat="1" ht="15" customHeight="1" outlineLevel="1" x14ac:dyDescent="0.35">
      <c r="B67" s="233" t="s">
        <v>17</v>
      </c>
      <c r="C67" s="233" t="s">
        <v>17</v>
      </c>
      <c r="D67" s="245">
        <v>49</v>
      </c>
      <c r="E67" s="366">
        <v>50</v>
      </c>
      <c r="F67" s="245" t="s">
        <v>1141</v>
      </c>
      <c r="G67" s="173">
        <v>42</v>
      </c>
      <c r="H67">
        <v>768</v>
      </c>
      <c r="I67" s="173">
        <v>515</v>
      </c>
      <c r="J67" s="402">
        <f t="shared" si="3"/>
        <v>28.1640625</v>
      </c>
      <c r="K67" s="402">
        <f t="shared" si="4"/>
        <v>70.1640625</v>
      </c>
      <c r="L67" s="174"/>
      <c r="M67" s="173">
        <f t="shared" si="5"/>
        <v>98.229687499999997</v>
      </c>
      <c r="N67" s="173">
        <v>125</v>
      </c>
      <c r="O67" s="109"/>
      <c r="P67" s="595"/>
      <c r="S67" s="138"/>
    </row>
    <row r="68" spans="1:19" x14ac:dyDescent="0.35">
      <c r="B68" s="3" t="s">
        <v>1119</v>
      </c>
      <c r="C68" s="233" t="s">
        <v>865</v>
      </c>
      <c r="D68" s="245">
        <v>53</v>
      </c>
      <c r="E68" s="366"/>
      <c r="F68" s="245" t="s">
        <v>1068</v>
      </c>
      <c r="G68" s="173">
        <v>15</v>
      </c>
      <c r="I68" s="173"/>
      <c r="J68" s="173"/>
      <c r="K68" s="173"/>
      <c r="L68" s="174"/>
      <c r="M68" s="173">
        <v>45</v>
      </c>
      <c r="N68" s="173">
        <v>45</v>
      </c>
      <c r="O68" s="344"/>
    </row>
    <row r="69" spans="1:19" hidden="1" x14ac:dyDescent="0.35">
      <c r="B69" s="3" t="s">
        <v>1057</v>
      </c>
      <c r="C69" s="233"/>
      <c r="D69" s="245">
        <v>54</v>
      </c>
      <c r="E69" s="366"/>
      <c r="F69" s="371" t="s">
        <v>1058</v>
      </c>
      <c r="G69" s="370">
        <v>15</v>
      </c>
      <c r="H69" s="12">
        <v>4192</v>
      </c>
      <c r="I69" s="176">
        <v>3417</v>
      </c>
      <c r="J69" s="176">
        <f>+I69/H69*G69</f>
        <v>12.226860687022901</v>
      </c>
      <c r="K69" s="410">
        <f>+G69+J69</f>
        <v>27.226860687022899</v>
      </c>
      <c r="L69" s="411">
        <v>1.4</v>
      </c>
      <c r="M69" s="176">
        <f>+K69*L69</f>
        <v>38.117604961832058</v>
      </c>
      <c r="N69" s="176">
        <v>45</v>
      </c>
      <c r="O69" s="344"/>
      <c r="Q69" t="s">
        <v>1463</v>
      </c>
      <c r="R69" s="467">
        <v>45804</v>
      </c>
      <c r="S69" s="420"/>
    </row>
    <row r="70" spans="1:19" x14ac:dyDescent="0.35">
      <c r="B70" s="3"/>
      <c r="C70" s="232" t="s">
        <v>1692</v>
      </c>
      <c r="D70" s="245"/>
      <c r="E70" s="366"/>
      <c r="F70" s="245"/>
      <c r="G70" s="146"/>
      <c r="I70" s="173"/>
      <c r="J70" s="173"/>
      <c r="K70" s="402"/>
      <c r="L70" s="174"/>
      <c r="M70" s="173"/>
      <c r="N70" s="173"/>
      <c r="O70" s="344"/>
      <c r="R70" s="467"/>
      <c r="S70" s="420"/>
    </row>
    <row r="71" spans="1:19" hidden="1" x14ac:dyDescent="0.35">
      <c r="A71" s="3"/>
      <c r="B71" s="3"/>
      <c r="C71" s="233" t="s">
        <v>855</v>
      </c>
      <c r="E71" s="366">
        <v>44</v>
      </c>
      <c r="F71" s="371" t="s">
        <v>1585</v>
      </c>
      <c r="G71" s="176">
        <v>60</v>
      </c>
      <c r="H71" s="12">
        <v>6149</v>
      </c>
      <c r="I71" s="176">
        <f t="shared" ref="I71:I80" si="6">5832-600</f>
        <v>5232</v>
      </c>
      <c r="J71" s="410">
        <f t="shared" ref="J71:J113" si="7">+G71/H71*I71</f>
        <v>51.052203610343149</v>
      </c>
      <c r="K71" s="176">
        <f t="shared" ref="K71:K113" si="8">+G71+J71</f>
        <v>111.05220361034316</v>
      </c>
      <c r="L71" s="411"/>
      <c r="M71" s="176">
        <f t="shared" ref="M71:M113" si="9">+K71*1.4</f>
        <v>155.47308505448041</v>
      </c>
      <c r="N71" s="176">
        <v>150</v>
      </c>
      <c r="Q71" t="s">
        <v>1724</v>
      </c>
      <c r="R71" s="6">
        <v>45804</v>
      </c>
    </row>
    <row r="72" spans="1:19" hidden="1" x14ac:dyDescent="0.35">
      <c r="A72" s="3"/>
      <c r="B72" s="3"/>
      <c r="C72" s="233" t="s">
        <v>855</v>
      </c>
      <c r="E72" s="366">
        <v>46</v>
      </c>
      <c r="F72" s="371" t="s">
        <v>1585</v>
      </c>
      <c r="G72" s="176">
        <v>60</v>
      </c>
      <c r="H72" s="12">
        <v>6149</v>
      </c>
      <c r="I72" s="176">
        <f t="shared" si="6"/>
        <v>5232</v>
      </c>
      <c r="J72" s="410">
        <f t="shared" si="7"/>
        <v>51.052203610343149</v>
      </c>
      <c r="K72" s="176">
        <f t="shared" si="8"/>
        <v>111.05220361034316</v>
      </c>
      <c r="L72" s="411"/>
      <c r="M72" s="176">
        <f t="shared" si="9"/>
        <v>155.47308505448041</v>
      </c>
      <c r="N72" s="176">
        <v>150</v>
      </c>
      <c r="Q72" t="s">
        <v>1693</v>
      </c>
      <c r="R72" s="6">
        <v>45790</v>
      </c>
    </row>
    <row r="73" spans="1:19" hidden="1" x14ac:dyDescent="0.35">
      <c r="A73" s="3"/>
      <c r="B73" s="3"/>
      <c r="C73" s="233" t="s">
        <v>855</v>
      </c>
      <c r="E73" s="366">
        <v>48</v>
      </c>
      <c r="F73" s="371" t="s">
        <v>1585</v>
      </c>
      <c r="G73" s="176">
        <v>60</v>
      </c>
      <c r="H73" s="12">
        <v>6149</v>
      </c>
      <c r="I73" s="176">
        <f t="shared" si="6"/>
        <v>5232</v>
      </c>
      <c r="J73" s="410">
        <f t="shared" si="7"/>
        <v>51.052203610343149</v>
      </c>
      <c r="K73" s="176">
        <f t="shared" si="8"/>
        <v>111.05220361034316</v>
      </c>
      <c r="L73" s="411"/>
      <c r="M73" s="176">
        <f t="shared" si="9"/>
        <v>155.47308505448041</v>
      </c>
      <c r="N73" s="176">
        <v>150</v>
      </c>
      <c r="Q73" t="s">
        <v>1778</v>
      </c>
      <c r="R73" s="6">
        <v>45852</v>
      </c>
    </row>
    <row r="74" spans="1:19" x14ac:dyDescent="0.35">
      <c r="A74" s="3"/>
      <c r="B74" s="3"/>
      <c r="C74" s="233" t="s">
        <v>855</v>
      </c>
      <c r="E74" s="366">
        <v>50</v>
      </c>
      <c r="F74" s="245" t="s">
        <v>1585</v>
      </c>
      <c r="G74" s="173">
        <v>60</v>
      </c>
      <c r="H74">
        <v>6149</v>
      </c>
      <c r="I74" s="173">
        <f t="shared" si="6"/>
        <v>5232</v>
      </c>
      <c r="J74" s="402">
        <f t="shared" si="7"/>
        <v>51.052203610343149</v>
      </c>
      <c r="K74" s="173">
        <f t="shared" si="8"/>
        <v>111.05220361034316</v>
      </c>
      <c r="L74" s="174"/>
      <c r="M74" s="173">
        <f t="shared" si="9"/>
        <v>155.47308505448041</v>
      </c>
      <c r="N74" s="173">
        <v>150</v>
      </c>
      <c r="Q74" t="s">
        <v>1725</v>
      </c>
      <c r="R74" s="6"/>
    </row>
    <row r="75" spans="1:19" x14ac:dyDescent="0.35">
      <c r="A75" s="3"/>
      <c r="B75" s="3"/>
      <c r="C75" s="233" t="s">
        <v>855</v>
      </c>
      <c r="E75" s="366">
        <v>52</v>
      </c>
      <c r="F75" s="245" t="s">
        <v>1585</v>
      </c>
      <c r="G75" s="173">
        <v>60</v>
      </c>
      <c r="H75">
        <v>6149</v>
      </c>
      <c r="I75" s="173">
        <f t="shared" si="6"/>
        <v>5232</v>
      </c>
      <c r="J75" s="402">
        <f t="shared" si="7"/>
        <v>51.052203610343149</v>
      </c>
      <c r="K75" s="173">
        <f t="shared" si="8"/>
        <v>111.05220361034316</v>
      </c>
      <c r="L75" s="174"/>
      <c r="M75" s="173">
        <f t="shared" si="9"/>
        <v>155.47308505448041</v>
      </c>
      <c r="N75" s="173">
        <v>150</v>
      </c>
    </row>
    <row r="76" spans="1:19" x14ac:dyDescent="0.35">
      <c r="A76" s="3"/>
      <c r="B76" s="3"/>
      <c r="C76" s="233" t="s">
        <v>855</v>
      </c>
      <c r="E76" s="366">
        <v>44</v>
      </c>
      <c r="F76" s="245" t="s">
        <v>1586</v>
      </c>
      <c r="G76" s="173">
        <v>60</v>
      </c>
      <c r="H76">
        <v>6149</v>
      </c>
      <c r="I76" s="173">
        <f t="shared" si="6"/>
        <v>5232</v>
      </c>
      <c r="J76" s="402">
        <f t="shared" si="7"/>
        <v>51.052203610343149</v>
      </c>
      <c r="K76" s="173">
        <f t="shared" si="8"/>
        <v>111.05220361034316</v>
      </c>
      <c r="L76" s="174"/>
      <c r="M76" s="173">
        <f t="shared" si="9"/>
        <v>155.47308505448041</v>
      </c>
      <c r="N76" s="173">
        <v>150</v>
      </c>
    </row>
    <row r="77" spans="1:19" hidden="1" x14ac:dyDescent="0.35">
      <c r="A77" s="3"/>
      <c r="B77" s="3"/>
      <c r="C77" s="233" t="s">
        <v>855</v>
      </c>
      <c r="E77" s="366">
        <v>46</v>
      </c>
      <c r="F77" s="371" t="s">
        <v>1586</v>
      </c>
      <c r="G77" s="176">
        <v>60</v>
      </c>
      <c r="H77" s="12">
        <v>6149</v>
      </c>
      <c r="I77" s="176">
        <f t="shared" si="6"/>
        <v>5232</v>
      </c>
      <c r="J77" s="410">
        <f t="shared" si="7"/>
        <v>51.052203610343149</v>
      </c>
      <c r="K77" s="176">
        <f t="shared" si="8"/>
        <v>111.05220361034316</v>
      </c>
      <c r="L77" s="411"/>
      <c r="M77" s="176">
        <f t="shared" si="9"/>
        <v>155.47308505448041</v>
      </c>
      <c r="N77" s="176">
        <v>150</v>
      </c>
      <c r="Q77" t="s">
        <v>1693</v>
      </c>
      <c r="R77" s="6">
        <v>45790</v>
      </c>
    </row>
    <row r="78" spans="1:19" x14ac:dyDescent="0.35">
      <c r="A78" s="3"/>
      <c r="B78" s="3"/>
      <c r="C78" s="233" t="s">
        <v>855</v>
      </c>
      <c r="E78" s="366">
        <v>48</v>
      </c>
      <c r="F78" s="245" t="s">
        <v>1586</v>
      </c>
      <c r="G78" s="173">
        <v>60</v>
      </c>
      <c r="H78">
        <v>6149</v>
      </c>
      <c r="I78" s="173">
        <f t="shared" si="6"/>
        <v>5232</v>
      </c>
      <c r="J78" s="402">
        <f t="shared" si="7"/>
        <v>51.052203610343149</v>
      </c>
      <c r="K78" s="173">
        <f t="shared" si="8"/>
        <v>111.05220361034316</v>
      </c>
      <c r="L78" s="174"/>
      <c r="M78" s="173">
        <f t="shared" si="9"/>
        <v>155.47308505448041</v>
      </c>
      <c r="N78" s="173">
        <v>150</v>
      </c>
    </row>
    <row r="79" spans="1:19" hidden="1" x14ac:dyDescent="0.35">
      <c r="A79" s="3"/>
      <c r="B79" s="3"/>
      <c r="C79" s="233" t="s">
        <v>855</v>
      </c>
      <c r="E79" s="366">
        <v>50</v>
      </c>
      <c r="F79" s="371" t="s">
        <v>1586</v>
      </c>
      <c r="G79" s="176">
        <v>60</v>
      </c>
      <c r="H79" s="12">
        <v>6149</v>
      </c>
      <c r="I79" s="176">
        <f t="shared" si="6"/>
        <v>5232</v>
      </c>
      <c r="J79" s="410">
        <f t="shared" si="7"/>
        <v>51.052203610343149</v>
      </c>
      <c r="K79" s="176">
        <f t="shared" si="8"/>
        <v>111.05220361034316</v>
      </c>
      <c r="L79" s="411"/>
      <c r="M79" s="176">
        <f t="shared" si="9"/>
        <v>155.47308505448041</v>
      </c>
      <c r="N79" s="176">
        <v>150</v>
      </c>
      <c r="Q79" t="s">
        <v>1700</v>
      </c>
      <c r="R79" s="6">
        <v>45797</v>
      </c>
    </row>
    <row r="80" spans="1:19" x14ac:dyDescent="0.35">
      <c r="A80" s="3"/>
      <c r="B80" s="3"/>
      <c r="C80" s="233" t="s">
        <v>855</v>
      </c>
      <c r="E80" s="366">
        <v>52</v>
      </c>
      <c r="F80" s="245" t="s">
        <v>1586</v>
      </c>
      <c r="G80" s="173">
        <v>60</v>
      </c>
      <c r="H80">
        <v>6149</v>
      </c>
      <c r="I80" s="173">
        <f t="shared" si="6"/>
        <v>5232</v>
      </c>
      <c r="J80" s="402">
        <f t="shared" si="7"/>
        <v>51.052203610343149</v>
      </c>
      <c r="K80" s="173">
        <f t="shared" si="8"/>
        <v>111.05220361034316</v>
      </c>
      <c r="L80" s="174"/>
      <c r="M80" s="173">
        <f t="shared" si="9"/>
        <v>155.47308505448041</v>
      </c>
      <c r="N80" s="173">
        <v>150</v>
      </c>
    </row>
    <row r="81" spans="1:18" x14ac:dyDescent="0.35">
      <c r="A81" s="3"/>
      <c r="B81" s="3"/>
      <c r="C81" s="365">
        <v>45901</v>
      </c>
      <c r="E81" s="366"/>
      <c r="F81" s="245"/>
      <c r="G81" s="173"/>
      <c r="I81" s="173"/>
      <c r="J81" s="402"/>
      <c r="K81" s="173"/>
      <c r="L81" s="174"/>
      <c r="M81" s="173"/>
      <c r="N81" s="173"/>
      <c r="R81" s="6"/>
    </row>
    <row r="82" spans="1:18" x14ac:dyDescent="0.35">
      <c r="A82" s="3"/>
      <c r="B82" s="232" t="s">
        <v>1852</v>
      </c>
      <c r="C82" s="232"/>
      <c r="E82" s="366">
        <v>36</v>
      </c>
      <c r="F82" s="245" t="s">
        <v>1849</v>
      </c>
      <c r="G82" s="173">
        <v>39</v>
      </c>
      <c r="H82">
        <v>5225</v>
      </c>
      <c r="I82" s="173">
        <v>3700</v>
      </c>
      <c r="J82" s="402">
        <f t="shared" ref="J82:J94" si="10">+G82/H82*I82</f>
        <v>27.617224880382775</v>
      </c>
      <c r="K82" s="173">
        <f t="shared" ref="K82:K94" si="11">+G82+J82</f>
        <v>66.617224880382778</v>
      </c>
      <c r="M82" s="173">
        <f t="shared" si="9"/>
        <v>93.264114832535881</v>
      </c>
      <c r="N82" s="173">
        <v>150</v>
      </c>
      <c r="O82" s="344">
        <v>150</v>
      </c>
    </row>
    <row r="83" spans="1:18" x14ac:dyDescent="0.35">
      <c r="A83" s="3"/>
      <c r="B83" s="232" t="s">
        <v>1852</v>
      </c>
      <c r="C83" s="232"/>
      <c r="E83" s="366">
        <v>38</v>
      </c>
      <c r="F83" s="245" t="s">
        <v>1849</v>
      </c>
      <c r="G83" s="173">
        <v>39</v>
      </c>
      <c r="H83">
        <v>5225</v>
      </c>
      <c r="I83" s="173">
        <v>3700</v>
      </c>
      <c r="J83" s="402">
        <f t="shared" si="10"/>
        <v>27.617224880382775</v>
      </c>
      <c r="K83" s="173">
        <f t="shared" si="11"/>
        <v>66.617224880382778</v>
      </c>
      <c r="M83" s="173">
        <f t="shared" si="9"/>
        <v>93.264114832535881</v>
      </c>
      <c r="N83" s="173">
        <v>150</v>
      </c>
      <c r="O83" s="344">
        <v>150</v>
      </c>
    </row>
    <row r="84" spans="1:18" x14ac:dyDescent="0.35">
      <c r="A84" s="3"/>
      <c r="B84" s="232" t="s">
        <v>1852</v>
      </c>
      <c r="C84" s="232"/>
      <c r="E84" s="366">
        <v>40</v>
      </c>
      <c r="F84" s="245" t="s">
        <v>1849</v>
      </c>
      <c r="G84" s="173">
        <v>39</v>
      </c>
      <c r="H84">
        <v>5225</v>
      </c>
      <c r="I84" s="173">
        <v>3700</v>
      </c>
      <c r="J84" s="402">
        <f t="shared" si="10"/>
        <v>27.617224880382775</v>
      </c>
      <c r="K84" s="173">
        <f t="shared" si="11"/>
        <v>66.617224880382778</v>
      </c>
      <c r="M84" s="173">
        <f t="shared" si="9"/>
        <v>93.264114832535881</v>
      </c>
      <c r="N84" s="173">
        <v>150</v>
      </c>
      <c r="O84" s="344">
        <v>150</v>
      </c>
    </row>
    <row r="85" spans="1:18" x14ac:dyDescent="0.35">
      <c r="A85" s="3"/>
      <c r="B85" s="232" t="s">
        <v>1852</v>
      </c>
      <c r="C85" s="232"/>
      <c r="E85" s="366">
        <v>42</v>
      </c>
      <c r="F85" s="245" t="s">
        <v>1849</v>
      </c>
      <c r="G85" s="173">
        <v>39</v>
      </c>
      <c r="H85">
        <v>5225</v>
      </c>
      <c r="I85" s="173">
        <v>3700</v>
      </c>
      <c r="J85" s="402">
        <f t="shared" si="10"/>
        <v>27.617224880382775</v>
      </c>
      <c r="K85" s="173">
        <f t="shared" si="11"/>
        <v>66.617224880382778</v>
      </c>
      <c r="M85" s="173">
        <f t="shared" si="9"/>
        <v>93.264114832535881</v>
      </c>
      <c r="N85" s="173">
        <v>150</v>
      </c>
      <c r="O85" s="344">
        <v>150</v>
      </c>
    </row>
    <row r="86" spans="1:18" hidden="1" x14ac:dyDescent="0.35">
      <c r="A86" s="3"/>
      <c r="B86" s="232" t="s">
        <v>1852</v>
      </c>
      <c r="C86" s="232"/>
      <c r="E86" s="366">
        <v>44</v>
      </c>
      <c r="F86" s="245" t="s">
        <v>1849</v>
      </c>
      <c r="G86" s="176">
        <v>39</v>
      </c>
      <c r="H86" s="12">
        <v>5225</v>
      </c>
      <c r="I86" s="176">
        <v>3700</v>
      </c>
      <c r="J86" s="410">
        <f t="shared" si="10"/>
        <v>27.617224880382775</v>
      </c>
      <c r="K86" s="176">
        <f t="shared" si="11"/>
        <v>66.617224880382778</v>
      </c>
      <c r="L86" s="12"/>
      <c r="M86" s="176">
        <f t="shared" si="9"/>
        <v>93.264114832535881</v>
      </c>
      <c r="N86" s="173">
        <v>125</v>
      </c>
      <c r="O86" s="344">
        <v>150</v>
      </c>
      <c r="Q86" t="s">
        <v>1238</v>
      </c>
      <c r="R86" s="6">
        <v>45939</v>
      </c>
    </row>
    <row r="87" spans="1:18" x14ac:dyDescent="0.35">
      <c r="A87" s="3"/>
      <c r="B87" s="232" t="s">
        <v>1850</v>
      </c>
      <c r="C87" s="232" t="s">
        <v>1850</v>
      </c>
      <c r="E87" s="366">
        <v>40</v>
      </c>
      <c r="F87" s="245" t="s">
        <v>1903</v>
      </c>
      <c r="G87" s="173">
        <v>39</v>
      </c>
      <c r="H87">
        <v>5225</v>
      </c>
      <c r="I87" s="173">
        <v>3700</v>
      </c>
      <c r="J87" s="402">
        <f t="shared" si="10"/>
        <v>27.617224880382775</v>
      </c>
      <c r="K87" s="173">
        <f t="shared" si="11"/>
        <v>66.617224880382778</v>
      </c>
      <c r="M87" s="173">
        <f t="shared" si="9"/>
        <v>93.264114832535881</v>
      </c>
      <c r="N87" s="173">
        <v>150</v>
      </c>
      <c r="O87" s="344">
        <v>150</v>
      </c>
    </row>
    <row r="88" spans="1:18" x14ac:dyDescent="0.35">
      <c r="A88" s="3"/>
      <c r="B88" s="232" t="s">
        <v>1850</v>
      </c>
      <c r="C88" s="232" t="s">
        <v>1850</v>
      </c>
      <c r="E88" s="366">
        <v>44</v>
      </c>
      <c r="F88" s="245" t="s">
        <v>1903</v>
      </c>
      <c r="G88" s="173">
        <v>39</v>
      </c>
      <c r="H88">
        <v>5225</v>
      </c>
      <c r="I88" s="173">
        <v>3700</v>
      </c>
      <c r="J88" s="402">
        <f t="shared" si="10"/>
        <v>27.617224880382775</v>
      </c>
      <c r="K88" s="173">
        <f t="shared" si="11"/>
        <v>66.617224880382778</v>
      </c>
      <c r="M88" s="173">
        <f t="shared" si="9"/>
        <v>93.264114832535881</v>
      </c>
      <c r="N88" s="173">
        <v>150</v>
      </c>
      <c r="O88" s="344">
        <v>150</v>
      </c>
    </row>
    <row r="89" spans="1:18" x14ac:dyDescent="0.35">
      <c r="A89" s="3"/>
      <c r="B89" s="232" t="s">
        <v>1850</v>
      </c>
      <c r="C89" s="232" t="s">
        <v>1850</v>
      </c>
      <c r="E89" s="366">
        <v>48</v>
      </c>
      <c r="F89" s="245" t="s">
        <v>1903</v>
      </c>
      <c r="G89" s="173">
        <v>39</v>
      </c>
      <c r="H89">
        <v>5225</v>
      </c>
      <c r="I89" s="173">
        <v>3700</v>
      </c>
      <c r="J89" s="402">
        <f t="shared" si="10"/>
        <v>27.617224880382775</v>
      </c>
      <c r="K89" s="173">
        <f t="shared" si="11"/>
        <v>66.617224880382778</v>
      </c>
      <c r="M89" s="173">
        <f t="shared" si="9"/>
        <v>93.264114832535881</v>
      </c>
      <c r="N89" s="173">
        <v>150</v>
      </c>
      <c r="O89" s="344">
        <v>150</v>
      </c>
    </row>
    <row r="90" spans="1:18" x14ac:dyDescent="0.35">
      <c r="A90" s="3"/>
      <c r="B90" s="232" t="s">
        <v>1850</v>
      </c>
      <c r="C90" s="232" t="s">
        <v>1850</v>
      </c>
      <c r="E90" s="366">
        <v>50</v>
      </c>
      <c r="F90" s="245" t="s">
        <v>1903</v>
      </c>
      <c r="G90" s="173">
        <v>39</v>
      </c>
      <c r="H90">
        <v>5225</v>
      </c>
      <c r="I90" s="173">
        <v>3700</v>
      </c>
      <c r="J90" s="402">
        <f t="shared" si="10"/>
        <v>27.617224880382775</v>
      </c>
      <c r="K90" s="173">
        <f t="shared" si="11"/>
        <v>66.617224880382778</v>
      </c>
      <c r="M90" s="173">
        <f t="shared" si="9"/>
        <v>93.264114832535881</v>
      </c>
      <c r="N90" s="173">
        <v>150</v>
      </c>
      <c r="O90" s="344">
        <v>150</v>
      </c>
    </row>
    <row r="91" spans="1:18" x14ac:dyDescent="0.35">
      <c r="A91" s="3"/>
      <c r="B91" s="232" t="s">
        <v>586</v>
      </c>
      <c r="C91" s="232" t="s">
        <v>586</v>
      </c>
      <c r="E91" s="366">
        <v>44</v>
      </c>
      <c r="F91" s="245" t="s">
        <v>1851</v>
      </c>
      <c r="G91" s="173">
        <v>45</v>
      </c>
      <c r="H91">
        <v>5225</v>
      </c>
      <c r="I91" s="173">
        <v>3700</v>
      </c>
      <c r="J91" s="402">
        <f t="shared" si="10"/>
        <v>31.866028708133971</v>
      </c>
      <c r="K91" s="173">
        <f t="shared" si="11"/>
        <v>76.866028708133967</v>
      </c>
      <c r="M91" s="173">
        <f t="shared" si="9"/>
        <v>107.61244019138755</v>
      </c>
      <c r="N91" s="173">
        <f>+K91*1.5</f>
        <v>115.29904306220095</v>
      </c>
      <c r="O91" s="344">
        <v>130</v>
      </c>
    </row>
    <row r="92" spans="1:18" x14ac:dyDescent="0.35">
      <c r="A92" s="3"/>
      <c r="B92" s="232" t="s">
        <v>586</v>
      </c>
      <c r="C92" s="232" t="s">
        <v>586</v>
      </c>
      <c r="E92" s="366">
        <v>44</v>
      </c>
      <c r="F92" s="245" t="s">
        <v>1851</v>
      </c>
      <c r="G92" s="173">
        <v>45</v>
      </c>
      <c r="H92">
        <v>5225</v>
      </c>
      <c r="I92" s="173">
        <v>3700</v>
      </c>
      <c r="J92" s="402">
        <f t="shared" si="10"/>
        <v>31.866028708133971</v>
      </c>
      <c r="K92" s="173">
        <f t="shared" si="11"/>
        <v>76.866028708133967</v>
      </c>
      <c r="M92" s="173">
        <f t="shared" si="9"/>
        <v>107.61244019138755</v>
      </c>
      <c r="N92" s="173">
        <f>+K92*1.5</f>
        <v>115.29904306220095</v>
      </c>
      <c r="O92" s="344">
        <v>130</v>
      </c>
    </row>
    <row r="93" spans="1:18" x14ac:dyDescent="0.35">
      <c r="A93" s="3"/>
      <c r="B93" s="232" t="s">
        <v>586</v>
      </c>
      <c r="C93" s="232" t="s">
        <v>586</v>
      </c>
      <c r="E93" s="366">
        <v>46</v>
      </c>
      <c r="F93" s="245" t="s">
        <v>1851</v>
      </c>
      <c r="G93" s="173">
        <v>45</v>
      </c>
      <c r="H93">
        <v>5225</v>
      </c>
      <c r="I93" s="173">
        <v>3700</v>
      </c>
      <c r="J93" s="402">
        <f t="shared" si="10"/>
        <v>31.866028708133971</v>
      </c>
      <c r="K93" s="173">
        <f t="shared" si="11"/>
        <v>76.866028708133967</v>
      </c>
      <c r="M93" s="173">
        <f t="shared" si="9"/>
        <v>107.61244019138755</v>
      </c>
      <c r="N93" s="173">
        <f>+K93*1.5</f>
        <v>115.29904306220095</v>
      </c>
      <c r="O93" s="344">
        <v>130</v>
      </c>
    </row>
    <row r="94" spans="1:18" x14ac:dyDescent="0.35">
      <c r="A94" s="3"/>
      <c r="B94" s="232" t="s">
        <v>586</v>
      </c>
      <c r="C94" s="232" t="s">
        <v>586</v>
      </c>
      <c r="E94" s="366">
        <v>48</v>
      </c>
      <c r="F94" s="245" t="s">
        <v>1851</v>
      </c>
      <c r="G94" s="173">
        <v>45</v>
      </c>
      <c r="H94">
        <v>5225</v>
      </c>
      <c r="I94" s="173">
        <v>3700</v>
      </c>
      <c r="J94" s="402">
        <f t="shared" si="10"/>
        <v>31.866028708133971</v>
      </c>
      <c r="K94" s="173">
        <f t="shared" si="11"/>
        <v>76.866028708133967</v>
      </c>
      <c r="M94" s="173">
        <f t="shared" si="9"/>
        <v>107.61244019138755</v>
      </c>
      <c r="N94" s="173">
        <f>+K94*1.5</f>
        <v>115.29904306220095</v>
      </c>
      <c r="O94" s="344">
        <v>130</v>
      </c>
    </row>
    <row r="95" spans="1:18" x14ac:dyDescent="0.35">
      <c r="A95" s="3"/>
      <c r="B95" s="3"/>
      <c r="C95" s="233"/>
      <c r="E95" s="366"/>
      <c r="F95" s="245"/>
      <c r="G95" s="173"/>
      <c r="I95" s="173"/>
      <c r="J95" s="402"/>
      <c r="K95" s="173"/>
      <c r="L95" s="174"/>
      <c r="M95" s="173"/>
      <c r="N95" s="173"/>
      <c r="R95" s="6"/>
    </row>
    <row r="96" spans="1:18" ht="18.5" x14ac:dyDescent="0.45">
      <c r="A96" s="3"/>
      <c r="B96" s="3"/>
      <c r="C96" s="233"/>
      <c r="E96" s="366"/>
      <c r="F96" s="598" t="s">
        <v>1779</v>
      </c>
      <c r="G96" s="173"/>
      <c r="I96" s="173"/>
      <c r="J96" s="402"/>
      <c r="K96" s="173"/>
      <c r="L96" s="174"/>
      <c r="M96" s="173"/>
      <c r="N96" s="173"/>
      <c r="R96" s="6"/>
    </row>
    <row r="97" spans="1:18" ht="18.5" x14ac:dyDescent="0.45">
      <c r="A97" s="3"/>
      <c r="B97" s="3"/>
      <c r="C97" s="232" t="s">
        <v>1692</v>
      </c>
      <c r="E97" s="366"/>
      <c r="F97" s="598"/>
      <c r="G97" s="173"/>
      <c r="I97" s="173"/>
      <c r="J97" s="402"/>
      <c r="K97" s="173"/>
      <c r="L97" s="174"/>
      <c r="M97" s="173"/>
      <c r="N97" s="173"/>
      <c r="R97" s="6"/>
    </row>
    <row r="98" spans="1:18" x14ac:dyDescent="0.35">
      <c r="A98" s="3"/>
      <c r="B98" s="3"/>
      <c r="C98" s="233" t="s">
        <v>586</v>
      </c>
      <c r="E98" s="366"/>
      <c r="F98" s="245" t="s">
        <v>1587</v>
      </c>
      <c r="G98" s="173">
        <v>45</v>
      </c>
      <c r="H98">
        <v>6149</v>
      </c>
      <c r="I98" s="173">
        <f>5832-600</f>
        <v>5232</v>
      </c>
      <c r="J98" s="402">
        <f>+G98/H98*I98</f>
        <v>38.28915270775736</v>
      </c>
      <c r="K98" s="173">
        <f>+G98+J98</f>
        <v>83.289152707757353</v>
      </c>
      <c r="L98" s="174"/>
      <c r="M98" s="173">
        <f>+K98*1.4</f>
        <v>116.60481379086029</v>
      </c>
      <c r="N98" s="173">
        <v>150</v>
      </c>
    </row>
    <row r="99" spans="1:18" x14ac:dyDescent="0.35">
      <c r="A99" s="3"/>
      <c r="B99" s="3"/>
      <c r="C99" s="232" t="s">
        <v>1740</v>
      </c>
      <c r="E99" s="366"/>
      <c r="F99" s="245"/>
      <c r="G99" s="173"/>
      <c r="I99" s="173"/>
      <c r="J99" s="402"/>
      <c r="K99" s="173"/>
      <c r="L99" s="174"/>
      <c r="M99" s="173"/>
      <c r="N99" s="173"/>
      <c r="R99" s="6"/>
    </row>
    <row r="100" spans="1:18" hidden="1" x14ac:dyDescent="0.35">
      <c r="A100" s="3"/>
      <c r="B100" s="3"/>
      <c r="C100" s="233" t="s">
        <v>808</v>
      </c>
      <c r="E100" s="366">
        <v>38</v>
      </c>
      <c r="F100" s="371" t="s">
        <v>1796</v>
      </c>
      <c r="G100" s="176">
        <v>58</v>
      </c>
      <c r="H100" s="12">
        <v>870</v>
      </c>
      <c r="I100" s="176">
        <v>300</v>
      </c>
      <c r="J100" s="410">
        <f t="shared" si="7"/>
        <v>20</v>
      </c>
      <c r="K100" s="176">
        <f t="shared" si="8"/>
        <v>78</v>
      </c>
      <c r="L100" s="411"/>
      <c r="M100" s="176">
        <f t="shared" si="9"/>
        <v>109.19999999999999</v>
      </c>
      <c r="N100" s="176">
        <v>150</v>
      </c>
      <c r="Q100" t="s">
        <v>1551</v>
      </c>
      <c r="R100" s="6">
        <v>45874</v>
      </c>
    </row>
    <row r="101" spans="1:18" x14ac:dyDescent="0.35">
      <c r="A101" s="3"/>
      <c r="B101" s="3"/>
      <c r="C101" s="233" t="s">
        <v>808</v>
      </c>
      <c r="E101" s="366">
        <v>40</v>
      </c>
      <c r="F101" s="245" t="s">
        <v>1796</v>
      </c>
      <c r="G101" s="173">
        <v>58</v>
      </c>
      <c r="H101">
        <v>870</v>
      </c>
      <c r="I101" s="173">
        <v>300</v>
      </c>
      <c r="J101" s="402">
        <f t="shared" si="7"/>
        <v>20</v>
      </c>
      <c r="K101" s="173">
        <f t="shared" si="8"/>
        <v>78</v>
      </c>
      <c r="L101" s="174"/>
      <c r="M101" s="173">
        <f t="shared" si="9"/>
        <v>109.19999999999999</v>
      </c>
      <c r="N101" s="173">
        <v>150</v>
      </c>
    </row>
    <row r="102" spans="1:18" x14ac:dyDescent="0.35">
      <c r="A102" s="3"/>
      <c r="B102" s="3"/>
      <c r="C102" s="233" t="s">
        <v>808</v>
      </c>
      <c r="E102" s="366">
        <v>42</v>
      </c>
      <c r="F102" s="245" t="s">
        <v>1796</v>
      </c>
      <c r="G102" s="173">
        <v>58</v>
      </c>
      <c r="H102">
        <v>870</v>
      </c>
      <c r="I102" s="173">
        <v>300</v>
      </c>
      <c r="J102" s="402">
        <f t="shared" si="7"/>
        <v>20</v>
      </c>
      <c r="K102" s="173">
        <f t="shared" si="8"/>
        <v>78</v>
      </c>
      <c r="L102" s="174"/>
      <c r="M102" s="173">
        <f t="shared" si="9"/>
        <v>109.19999999999999</v>
      </c>
      <c r="N102" s="173">
        <v>150</v>
      </c>
    </row>
    <row r="103" spans="1:18" x14ac:dyDescent="0.35">
      <c r="A103" s="3"/>
      <c r="B103" s="3"/>
      <c r="C103" s="233" t="s">
        <v>808</v>
      </c>
      <c r="E103" s="366">
        <v>44</v>
      </c>
      <c r="F103" s="245" t="s">
        <v>1796</v>
      </c>
      <c r="G103" s="173">
        <v>58</v>
      </c>
      <c r="H103">
        <v>870</v>
      </c>
      <c r="I103" s="173">
        <v>300</v>
      </c>
      <c r="J103" s="402">
        <f t="shared" si="7"/>
        <v>20</v>
      </c>
      <c r="K103" s="173">
        <f t="shared" si="8"/>
        <v>78</v>
      </c>
      <c r="L103" s="174"/>
      <c r="M103" s="173">
        <f t="shared" si="9"/>
        <v>109.19999999999999</v>
      </c>
      <c r="N103" s="173">
        <v>150</v>
      </c>
    </row>
    <row r="104" spans="1:18" hidden="1" x14ac:dyDescent="0.35">
      <c r="A104" s="3"/>
      <c r="B104" s="3"/>
      <c r="C104" s="233" t="s">
        <v>808</v>
      </c>
      <c r="E104" s="366">
        <v>46</v>
      </c>
      <c r="F104" s="371" t="s">
        <v>1796</v>
      </c>
      <c r="G104" s="176">
        <v>58</v>
      </c>
      <c r="H104" s="12">
        <v>870</v>
      </c>
      <c r="I104" s="176">
        <v>300</v>
      </c>
      <c r="J104" s="410">
        <f t="shared" si="7"/>
        <v>20</v>
      </c>
      <c r="K104" s="176">
        <f t="shared" si="8"/>
        <v>78</v>
      </c>
      <c r="L104" s="411"/>
      <c r="M104" s="176">
        <f t="shared" si="9"/>
        <v>109.19999999999999</v>
      </c>
      <c r="N104" s="176">
        <v>150</v>
      </c>
      <c r="Q104" t="s">
        <v>12</v>
      </c>
      <c r="R104" s="6">
        <v>45890</v>
      </c>
    </row>
    <row r="105" spans="1:18" hidden="1" x14ac:dyDescent="0.35">
      <c r="A105" s="3"/>
      <c r="B105" s="3"/>
      <c r="C105" s="233" t="s">
        <v>808</v>
      </c>
      <c r="E105" s="366">
        <v>44</v>
      </c>
      <c r="F105" s="371" t="s">
        <v>1621</v>
      </c>
      <c r="G105" s="176">
        <v>58</v>
      </c>
      <c r="H105" s="12">
        <v>870</v>
      </c>
      <c r="I105" s="176">
        <v>300</v>
      </c>
      <c r="J105" s="410">
        <f t="shared" si="7"/>
        <v>20</v>
      </c>
      <c r="K105" s="176">
        <f t="shared" si="8"/>
        <v>78</v>
      </c>
      <c r="L105" s="411"/>
      <c r="M105" s="176">
        <f t="shared" si="9"/>
        <v>109.19999999999999</v>
      </c>
      <c r="N105" s="176">
        <v>150</v>
      </c>
      <c r="Q105" t="s">
        <v>12</v>
      </c>
      <c r="R105" s="6">
        <v>45948</v>
      </c>
    </row>
    <row r="106" spans="1:18" x14ac:dyDescent="0.35">
      <c r="A106" s="3"/>
      <c r="B106" s="3"/>
      <c r="C106" s="233" t="s">
        <v>808</v>
      </c>
      <c r="E106" s="366">
        <v>46</v>
      </c>
      <c r="F106" s="245" t="s">
        <v>1621</v>
      </c>
      <c r="G106" s="173">
        <v>58</v>
      </c>
      <c r="H106">
        <v>870</v>
      </c>
      <c r="I106" s="173">
        <v>300</v>
      </c>
      <c r="J106" s="402">
        <f t="shared" si="7"/>
        <v>20</v>
      </c>
      <c r="K106" s="173">
        <f t="shared" si="8"/>
        <v>78</v>
      </c>
      <c r="L106" s="174"/>
      <c r="M106" s="173">
        <f t="shared" si="9"/>
        <v>109.19999999999999</v>
      </c>
      <c r="N106" s="173">
        <v>150</v>
      </c>
    </row>
    <row r="107" spans="1:18" hidden="1" x14ac:dyDescent="0.35">
      <c r="A107" s="3"/>
      <c r="B107" s="3"/>
      <c r="C107" s="233" t="s">
        <v>808</v>
      </c>
      <c r="E107" s="366">
        <v>48</v>
      </c>
      <c r="F107" s="371" t="s">
        <v>1621</v>
      </c>
      <c r="G107" s="176">
        <v>58</v>
      </c>
      <c r="H107" s="12">
        <v>870</v>
      </c>
      <c r="I107" s="176">
        <v>300</v>
      </c>
      <c r="J107" s="410">
        <f t="shared" si="7"/>
        <v>20</v>
      </c>
      <c r="K107" s="176">
        <f t="shared" si="8"/>
        <v>78</v>
      </c>
      <c r="L107" s="411"/>
      <c r="M107" s="176">
        <f t="shared" si="9"/>
        <v>109.19999999999999</v>
      </c>
      <c r="N107" s="176">
        <v>150</v>
      </c>
      <c r="Q107" t="s">
        <v>1750</v>
      </c>
      <c r="R107" s="6">
        <v>45827</v>
      </c>
    </row>
    <row r="108" spans="1:18" x14ac:dyDescent="0.35">
      <c r="A108" s="3"/>
      <c r="B108" s="3"/>
      <c r="C108" s="233" t="s">
        <v>808</v>
      </c>
      <c r="E108" s="366">
        <v>50</v>
      </c>
      <c r="F108" s="245" t="s">
        <v>1621</v>
      </c>
      <c r="G108" s="173">
        <v>58</v>
      </c>
      <c r="H108">
        <v>870</v>
      </c>
      <c r="I108" s="173">
        <v>300</v>
      </c>
      <c r="J108" s="402">
        <f t="shared" si="7"/>
        <v>20</v>
      </c>
      <c r="K108" s="173">
        <f t="shared" si="8"/>
        <v>78</v>
      </c>
      <c r="L108" s="174"/>
      <c r="M108" s="173">
        <f t="shared" si="9"/>
        <v>109.19999999999999</v>
      </c>
      <c r="N108" s="173">
        <v>150</v>
      </c>
    </row>
    <row r="109" spans="1:18" hidden="1" x14ac:dyDescent="0.35">
      <c r="A109" s="3"/>
      <c r="B109" s="3"/>
      <c r="C109" s="233" t="s">
        <v>808</v>
      </c>
      <c r="E109" s="366">
        <v>52</v>
      </c>
      <c r="F109" s="371" t="s">
        <v>1621</v>
      </c>
      <c r="G109" s="176">
        <v>58</v>
      </c>
      <c r="H109" s="12">
        <v>870</v>
      </c>
      <c r="I109" s="176">
        <v>300</v>
      </c>
      <c r="J109" s="410">
        <f t="shared" si="7"/>
        <v>20</v>
      </c>
      <c r="K109" s="176">
        <f t="shared" si="8"/>
        <v>78</v>
      </c>
      <c r="L109" s="411"/>
      <c r="M109" s="176">
        <f t="shared" si="9"/>
        <v>109.19999999999999</v>
      </c>
      <c r="N109" s="176">
        <v>150</v>
      </c>
      <c r="Q109" t="s">
        <v>1751</v>
      </c>
      <c r="R109" s="6">
        <v>45827</v>
      </c>
    </row>
    <row r="110" spans="1:18" x14ac:dyDescent="0.35">
      <c r="A110" s="3"/>
      <c r="B110" s="3"/>
      <c r="C110" s="233" t="s">
        <v>808</v>
      </c>
      <c r="E110" s="366">
        <v>42</v>
      </c>
      <c r="F110" s="245" t="s">
        <v>1741</v>
      </c>
      <c r="G110" s="173">
        <v>58</v>
      </c>
      <c r="H110">
        <v>870</v>
      </c>
      <c r="I110" s="173">
        <v>300</v>
      </c>
      <c r="J110" s="402">
        <f t="shared" si="7"/>
        <v>20</v>
      </c>
      <c r="K110" s="173">
        <f t="shared" si="8"/>
        <v>78</v>
      </c>
      <c r="L110" s="174"/>
      <c r="M110" s="173">
        <f t="shared" si="9"/>
        <v>109.19999999999999</v>
      </c>
      <c r="N110" s="173">
        <v>150</v>
      </c>
    </row>
    <row r="111" spans="1:18" x14ac:dyDescent="0.35">
      <c r="A111" s="3"/>
      <c r="B111" s="3"/>
      <c r="C111" s="233" t="s">
        <v>808</v>
      </c>
      <c r="E111" s="366">
        <v>44</v>
      </c>
      <c r="F111" s="245" t="s">
        <v>1741</v>
      </c>
      <c r="G111" s="173">
        <v>58</v>
      </c>
      <c r="H111">
        <v>870</v>
      </c>
      <c r="I111" s="173">
        <v>300</v>
      </c>
      <c r="J111" s="402">
        <f t="shared" si="7"/>
        <v>20</v>
      </c>
      <c r="K111" s="173">
        <f t="shared" si="8"/>
        <v>78</v>
      </c>
      <c r="L111" s="174"/>
      <c r="M111" s="173">
        <f t="shared" si="9"/>
        <v>109.19999999999999</v>
      </c>
      <c r="N111" s="173">
        <v>150</v>
      </c>
    </row>
    <row r="112" spans="1:18" x14ac:dyDescent="0.35">
      <c r="A112" s="3"/>
      <c r="B112" s="3"/>
      <c r="C112" s="233" t="s">
        <v>808</v>
      </c>
      <c r="E112" s="366">
        <v>46</v>
      </c>
      <c r="F112" s="245" t="s">
        <v>1741</v>
      </c>
      <c r="G112" s="173">
        <v>58</v>
      </c>
      <c r="H112">
        <v>870</v>
      </c>
      <c r="I112" s="173">
        <v>300</v>
      </c>
      <c r="J112" s="402">
        <f t="shared" si="7"/>
        <v>20</v>
      </c>
      <c r="K112" s="173">
        <f t="shared" si="8"/>
        <v>78</v>
      </c>
      <c r="L112" s="174"/>
      <c r="M112" s="173">
        <f t="shared" si="9"/>
        <v>109.19999999999999</v>
      </c>
      <c r="N112" s="173">
        <v>150</v>
      </c>
    </row>
    <row r="113" spans="1:18" hidden="1" x14ac:dyDescent="0.35">
      <c r="A113" s="3"/>
      <c r="B113" s="3"/>
      <c r="C113" s="233" t="s">
        <v>808</v>
      </c>
      <c r="E113" s="366">
        <v>48</v>
      </c>
      <c r="F113" s="371" t="s">
        <v>1741</v>
      </c>
      <c r="G113" s="176">
        <v>58</v>
      </c>
      <c r="H113" s="12">
        <v>870</v>
      </c>
      <c r="I113" s="176">
        <v>300</v>
      </c>
      <c r="J113" s="410">
        <f t="shared" si="7"/>
        <v>20</v>
      </c>
      <c r="K113" s="176">
        <f t="shared" si="8"/>
        <v>78</v>
      </c>
      <c r="L113" s="411"/>
      <c r="M113" s="176">
        <f t="shared" si="9"/>
        <v>109.19999999999999</v>
      </c>
      <c r="N113" s="176">
        <v>150</v>
      </c>
      <c r="Q113" t="s">
        <v>1745</v>
      </c>
      <c r="R113" s="6">
        <v>45820</v>
      </c>
    </row>
    <row r="114" spans="1:18" x14ac:dyDescent="0.35">
      <c r="A114" s="3"/>
      <c r="B114" s="3"/>
      <c r="C114" s="233"/>
      <c r="E114" s="366"/>
      <c r="F114" s="245"/>
      <c r="G114" s="173"/>
      <c r="I114" s="173"/>
      <c r="J114" s="402"/>
      <c r="K114" s="173"/>
      <c r="L114" s="174"/>
      <c r="M114" s="173"/>
      <c r="N114" s="173"/>
    </row>
    <row r="115" spans="1:18" x14ac:dyDescent="0.35">
      <c r="A115" s="3"/>
      <c r="B115" s="232" t="s">
        <v>1852</v>
      </c>
      <c r="C115" s="232"/>
      <c r="E115" s="366">
        <v>36</v>
      </c>
      <c r="F115" s="245" t="s">
        <v>1849</v>
      </c>
      <c r="G115" s="173">
        <v>39</v>
      </c>
      <c r="H115">
        <v>5225</v>
      </c>
      <c r="I115" s="173">
        <v>3700</v>
      </c>
      <c r="J115" s="402">
        <f t="shared" ref="J115:J126" si="12">+G115/H115*I115</f>
        <v>27.617224880382775</v>
      </c>
      <c r="K115" s="173">
        <f t="shared" ref="K115:K126" si="13">+G115+J115</f>
        <v>66.617224880382778</v>
      </c>
      <c r="M115" s="173">
        <f t="shared" ref="M115:M126" si="14">+K115*1.5</f>
        <v>99.925837320574175</v>
      </c>
      <c r="N115" s="173">
        <v>150</v>
      </c>
    </row>
    <row r="116" spans="1:18" x14ac:dyDescent="0.35">
      <c r="A116" s="3"/>
      <c r="B116" s="232" t="s">
        <v>1852</v>
      </c>
      <c r="C116" s="232"/>
      <c r="E116" s="366">
        <v>38</v>
      </c>
      <c r="F116" s="245" t="s">
        <v>1849</v>
      </c>
      <c r="G116" s="173">
        <v>39</v>
      </c>
      <c r="H116">
        <v>5225</v>
      </c>
      <c r="I116" s="173">
        <v>3700</v>
      </c>
      <c r="J116" s="402">
        <f t="shared" si="12"/>
        <v>27.617224880382775</v>
      </c>
      <c r="K116" s="173">
        <f t="shared" si="13"/>
        <v>66.617224880382778</v>
      </c>
      <c r="M116" s="173">
        <f t="shared" si="14"/>
        <v>99.925837320574175</v>
      </c>
      <c r="N116" s="173">
        <v>150</v>
      </c>
    </row>
    <row r="117" spans="1:18" x14ac:dyDescent="0.35">
      <c r="A117" s="3"/>
      <c r="B117" s="232" t="s">
        <v>1852</v>
      </c>
      <c r="C117" s="232"/>
      <c r="E117" s="366">
        <v>40</v>
      </c>
      <c r="F117" s="245" t="s">
        <v>1849</v>
      </c>
      <c r="G117" s="173">
        <v>39</v>
      </c>
      <c r="H117">
        <v>5225</v>
      </c>
      <c r="I117" s="173">
        <v>3700</v>
      </c>
      <c r="J117" s="402">
        <f t="shared" si="12"/>
        <v>27.617224880382775</v>
      </c>
      <c r="K117" s="173">
        <f t="shared" si="13"/>
        <v>66.617224880382778</v>
      </c>
      <c r="M117" s="173">
        <f t="shared" si="14"/>
        <v>99.925837320574175</v>
      </c>
      <c r="N117" s="173">
        <v>150</v>
      </c>
    </row>
    <row r="118" spans="1:18" x14ac:dyDescent="0.35">
      <c r="A118" s="3"/>
      <c r="B118" s="232" t="s">
        <v>1852</v>
      </c>
      <c r="C118" s="232"/>
      <c r="E118" s="366">
        <v>42</v>
      </c>
      <c r="F118" s="245" t="s">
        <v>1849</v>
      </c>
      <c r="G118" s="173">
        <v>39</v>
      </c>
      <c r="H118">
        <v>5225</v>
      </c>
      <c r="I118" s="173">
        <v>3700</v>
      </c>
      <c r="J118" s="402">
        <f t="shared" si="12"/>
        <v>27.617224880382775</v>
      </c>
      <c r="K118" s="173">
        <f t="shared" si="13"/>
        <v>66.617224880382778</v>
      </c>
      <c r="M118" s="173">
        <f t="shared" si="14"/>
        <v>99.925837320574175</v>
      </c>
      <c r="N118" s="173">
        <v>150</v>
      </c>
    </row>
    <row r="119" spans="1:18" x14ac:dyDescent="0.35">
      <c r="A119" s="3"/>
      <c r="B119" s="232" t="s">
        <v>1852</v>
      </c>
      <c r="C119" s="232"/>
      <c r="E119" s="366">
        <v>44</v>
      </c>
      <c r="F119" s="245" t="s">
        <v>1849</v>
      </c>
      <c r="G119" s="173">
        <v>39</v>
      </c>
      <c r="H119">
        <v>5225</v>
      </c>
      <c r="I119" s="173">
        <v>3700</v>
      </c>
      <c r="J119" s="402">
        <f t="shared" si="12"/>
        <v>27.617224880382775</v>
      </c>
      <c r="K119" s="173">
        <f t="shared" si="13"/>
        <v>66.617224880382778</v>
      </c>
      <c r="M119" s="173">
        <f t="shared" si="14"/>
        <v>99.925837320574175</v>
      </c>
      <c r="N119" s="173">
        <v>150</v>
      </c>
    </row>
    <row r="120" spans="1:18" x14ac:dyDescent="0.35">
      <c r="A120" s="3"/>
      <c r="B120" s="232" t="s">
        <v>1850</v>
      </c>
      <c r="C120" s="232" t="s">
        <v>1850</v>
      </c>
      <c r="E120" s="366">
        <v>40</v>
      </c>
      <c r="F120" s="371" t="s">
        <v>1903</v>
      </c>
      <c r="G120" s="176">
        <v>39</v>
      </c>
      <c r="H120" s="12">
        <v>5225</v>
      </c>
      <c r="I120" s="176">
        <v>3700</v>
      </c>
      <c r="J120" s="410">
        <f t="shared" si="12"/>
        <v>27.617224880382775</v>
      </c>
      <c r="K120" s="176">
        <f t="shared" si="13"/>
        <v>66.617224880382778</v>
      </c>
      <c r="L120" s="12"/>
      <c r="M120" s="176">
        <f t="shared" si="14"/>
        <v>99.925837320574175</v>
      </c>
      <c r="N120" s="176">
        <v>150</v>
      </c>
      <c r="Q120" t="s">
        <v>998</v>
      </c>
      <c r="R120" s="6">
        <v>46059</v>
      </c>
    </row>
    <row r="121" spans="1:18" x14ac:dyDescent="0.35">
      <c r="A121" s="3"/>
      <c r="B121" s="232" t="s">
        <v>1850</v>
      </c>
      <c r="C121" s="232" t="s">
        <v>1850</v>
      </c>
      <c r="E121" s="366">
        <v>44</v>
      </c>
      <c r="F121" s="245" t="s">
        <v>1903</v>
      </c>
      <c r="G121" s="173">
        <v>39</v>
      </c>
      <c r="H121">
        <v>5225</v>
      </c>
      <c r="I121" s="173">
        <v>3700</v>
      </c>
      <c r="J121" s="402">
        <f t="shared" si="12"/>
        <v>27.617224880382775</v>
      </c>
      <c r="K121" s="173">
        <f t="shared" si="13"/>
        <v>66.617224880382778</v>
      </c>
      <c r="M121" s="173">
        <f t="shared" si="14"/>
        <v>99.925837320574175</v>
      </c>
      <c r="N121" s="173">
        <v>150</v>
      </c>
      <c r="Q121" t="s">
        <v>2748</v>
      </c>
      <c r="R121" s="6">
        <v>46066</v>
      </c>
    </row>
    <row r="122" spans="1:18" x14ac:dyDescent="0.35">
      <c r="A122" s="3"/>
      <c r="B122" s="232" t="s">
        <v>1850</v>
      </c>
      <c r="C122" s="232" t="s">
        <v>1850</v>
      </c>
      <c r="E122" s="366">
        <v>48</v>
      </c>
      <c r="F122" s="245" t="s">
        <v>1903</v>
      </c>
      <c r="G122" s="173">
        <v>39</v>
      </c>
      <c r="H122">
        <v>5225</v>
      </c>
      <c r="I122" s="173">
        <v>3700</v>
      </c>
      <c r="J122" s="402">
        <f t="shared" si="12"/>
        <v>27.617224880382775</v>
      </c>
      <c r="K122" s="173">
        <f t="shared" si="13"/>
        <v>66.617224880382778</v>
      </c>
      <c r="M122" s="173">
        <f t="shared" si="14"/>
        <v>99.925837320574175</v>
      </c>
      <c r="N122" s="173">
        <v>150</v>
      </c>
    </row>
    <row r="123" spans="1:18" x14ac:dyDescent="0.35">
      <c r="A123" s="3"/>
      <c r="B123" s="232" t="s">
        <v>1850</v>
      </c>
      <c r="C123" s="232" t="s">
        <v>1850</v>
      </c>
      <c r="E123" s="366">
        <v>50</v>
      </c>
      <c r="F123" s="245" t="s">
        <v>1903</v>
      </c>
      <c r="G123" s="173">
        <v>39</v>
      </c>
      <c r="H123">
        <v>5225</v>
      </c>
      <c r="I123" s="173">
        <v>3700</v>
      </c>
      <c r="J123" s="402">
        <f t="shared" si="12"/>
        <v>27.617224880382775</v>
      </c>
      <c r="K123" s="173">
        <f t="shared" si="13"/>
        <v>66.617224880382778</v>
      </c>
      <c r="M123" s="173">
        <f t="shared" si="14"/>
        <v>99.925837320574175</v>
      </c>
      <c r="N123" s="173">
        <v>150</v>
      </c>
    </row>
    <row r="124" spans="1:18" x14ac:dyDescent="0.35">
      <c r="A124" s="3"/>
      <c r="B124" s="232" t="s">
        <v>586</v>
      </c>
      <c r="C124" s="232" t="s">
        <v>586</v>
      </c>
      <c r="E124" s="366">
        <v>44</v>
      </c>
      <c r="F124" s="245" t="s">
        <v>1851</v>
      </c>
      <c r="G124" s="173">
        <v>45</v>
      </c>
      <c r="H124">
        <v>5225</v>
      </c>
      <c r="I124" s="173">
        <v>3700</v>
      </c>
      <c r="J124" s="402">
        <f t="shared" si="12"/>
        <v>31.866028708133971</v>
      </c>
      <c r="K124" s="173">
        <f t="shared" si="13"/>
        <v>76.866028708133967</v>
      </c>
      <c r="M124" s="173">
        <f t="shared" si="14"/>
        <v>115.29904306220095</v>
      </c>
      <c r="N124" s="173">
        <v>130</v>
      </c>
    </row>
    <row r="125" spans="1:18" x14ac:dyDescent="0.35">
      <c r="A125" s="3"/>
      <c r="B125" s="232" t="s">
        <v>586</v>
      </c>
      <c r="C125" s="232" t="s">
        <v>586</v>
      </c>
      <c r="E125" s="366">
        <v>44</v>
      </c>
      <c r="F125" s="245" t="s">
        <v>1851</v>
      </c>
      <c r="G125" s="173">
        <v>45</v>
      </c>
      <c r="H125">
        <v>5225</v>
      </c>
      <c r="I125" s="173">
        <v>3700</v>
      </c>
      <c r="J125" s="402">
        <f t="shared" si="12"/>
        <v>31.866028708133971</v>
      </c>
      <c r="K125" s="173">
        <f t="shared" si="13"/>
        <v>76.866028708133967</v>
      </c>
      <c r="M125" s="173">
        <f t="shared" si="14"/>
        <v>115.29904306220095</v>
      </c>
      <c r="N125" s="173">
        <v>130</v>
      </c>
    </row>
    <row r="126" spans="1:18" x14ac:dyDescent="0.35">
      <c r="A126" s="3"/>
      <c r="B126" s="232" t="s">
        <v>586</v>
      </c>
      <c r="C126" s="232" t="s">
        <v>586</v>
      </c>
      <c r="E126" s="366">
        <v>46</v>
      </c>
      <c r="F126" s="371" t="s">
        <v>1851</v>
      </c>
      <c r="G126" s="176">
        <v>45</v>
      </c>
      <c r="H126" s="12">
        <v>5225</v>
      </c>
      <c r="I126" s="176">
        <v>3700</v>
      </c>
      <c r="J126" s="410">
        <f t="shared" si="12"/>
        <v>31.866028708133971</v>
      </c>
      <c r="K126" s="176">
        <f t="shared" si="13"/>
        <v>76.866028708133967</v>
      </c>
      <c r="L126" s="12"/>
      <c r="M126" s="176">
        <f t="shared" si="14"/>
        <v>115.29904306220095</v>
      </c>
      <c r="N126" s="176">
        <v>130</v>
      </c>
      <c r="Q126" t="s">
        <v>2537</v>
      </c>
      <c r="R126" s="6">
        <v>46066</v>
      </c>
    </row>
    <row r="127" spans="1:18" x14ac:dyDescent="0.35">
      <c r="A127" s="3"/>
      <c r="B127" s="3"/>
      <c r="C127" s="233"/>
      <c r="D127" s="233" t="s">
        <v>2200</v>
      </c>
      <c r="F127" s="366"/>
      <c r="G127" s="245"/>
      <c r="H127" s="245"/>
      <c r="I127" s="173"/>
      <c r="K127" s="173"/>
      <c r="L127" s="173"/>
      <c r="M127" s="173"/>
      <c r="O127" s="344"/>
      <c r="P127" s="173"/>
    </row>
    <row r="128" spans="1:18" x14ac:dyDescent="0.35">
      <c r="A128" s="3"/>
      <c r="B128" s="233" t="s">
        <v>2201</v>
      </c>
      <c r="C128" s="233"/>
      <c r="E128" s="366">
        <v>44</v>
      </c>
      <c r="F128" s="245" t="s">
        <v>2202</v>
      </c>
      <c r="G128" s="245"/>
      <c r="H128" s="173">
        <v>50</v>
      </c>
      <c r="I128">
        <v>4609</v>
      </c>
      <c r="J128" s="173">
        <v>3601</v>
      </c>
      <c r="K128" s="173">
        <f t="shared" ref="K128:K165" si="15">+H128/I128*J128</f>
        <v>39.064873074419609</v>
      </c>
      <c r="L128" s="173">
        <f t="shared" ref="L128:L165" si="16">+H128+K128</f>
        <v>89.064873074419609</v>
      </c>
      <c r="N128" s="173">
        <f>+L128*1.5</f>
        <v>133.59730961162941</v>
      </c>
      <c r="O128" s="344">
        <v>150</v>
      </c>
    </row>
    <row r="129" spans="1:18" x14ac:dyDescent="0.35">
      <c r="A129" s="3"/>
      <c r="B129" s="233" t="s">
        <v>2201</v>
      </c>
      <c r="C129" s="233"/>
      <c r="E129" s="366">
        <v>46</v>
      </c>
      <c r="F129" s="245" t="s">
        <v>2202</v>
      </c>
      <c r="G129" s="245"/>
      <c r="H129" s="173">
        <v>50</v>
      </c>
      <c r="I129">
        <v>4609</v>
      </c>
      <c r="J129" s="173">
        <v>3601</v>
      </c>
      <c r="K129" s="173">
        <f t="shared" si="15"/>
        <v>39.064873074419609</v>
      </c>
      <c r="L129" s="173">
        <f t="shared" si="16"/>
        <v>89.064873074419609</v>
      </c>
      <c r="N129" s="173">
        <f t="shared" ref="N129:N165" si="17">+L129*1.5</f>
        <v>133.59730961162941</v>
      </c>
      <c r="O129" s="344">
        <v>150</v>
      </c>
    </row>
    <row r="130" spans="1:18" x14ac:dyDescent="0.35">
      <c r="A130" s="3"/>
      <c r="B130" s="233" t="s">
        <v>2201</v>
      </c>
      <c r="C130" s="233"/>
      <c r="E130" s="366">
        <v>48</v>
      </c>
      <c r="F130" s="371" t="s">
        <v>2202</v>
      </c>
      <c r="G130" s="371"/>
      <c r="H130" s="176">
        <v>50</v>
      </c>
      <c r="I130" s="12">
        <v>4609</v>
      </c>
      <c r="J130" s="176">
        <v>3601</v>
      </c>
      <c r="K130" s="176">
        <f t="shared" si="15"/>
        <v>39.064873074419609</v>
      </c>
      <c r="L130" s="176">
        <f t="shared" si="16"/>
        <v>89.064873074419609</v>
      </c>
      <c r="M130" s="12"/>
      <c r="N130" s="176">
        <f t="shared" si="17"/>
        <v>133.59730961162941</v>
      </c>
      <c r="O130" s="344">
        <v>150</v>
      </c>
      <c r="Q130" t="s">
        <v>2493</v>
      </c>
      <c r="R130" s="6">
        <v>46059</v>
      </c>
    </row>
    <row r="131" spans="1:18" x14ac:dyDescent="0.35">
      <c r="A131" s="3"/>
      <c r="B131" s="233" t="s">
        <v>2201</v>
      </c>
      <c r="C131" s="233"/>
      <c r="E131" s="366">
        <v>50</v>
      </c>
      <c r="F131" s="371" t="s">
        <v>2202</v>
      </c>
      <c r="G131" s="371"/>
      <c r="H131" s="176">
        <v>50</v>
      </c>
      <c r="I131" s="12">
        <v>4609</v>
      </c>
      <c r="J131" s="176">
        <v>3601</v>
      </c>
      <c r="K131" s="176">
        <f t="shared" si="15"/>
        <v>39.064873074419609</v>
      </c>
      <c r="L131" s="176">
        <f t="shared" si="16"/>
        <v>89.064873074419609</v>
      </c>
      <c r="M131" s="12"/>
      <c r="N131" s="176">
        <f t="shared" si="17"/>
        <v>133.59730961162941</v>
      </c>
      <c r="O131" s="344">
        <v>150</v>
      </c>
      <c r="Q131" t="s">
        <v>2469</v>
      </c>
      <c r="R131" s="6">
        <v>46056</v>
      </c>
    </row>
    <row r="132" spans="1:18" x14ac:dyDescent="0.35">
      <c r="A132" s="3"/>
      <c r="B132" s="233" t="s">
        <v>2201</v>
      </c>
      <c r="C132" s="233"/>
      <c r="E132" s="366">
        <v>52</v>
      </c>
      <c r="F132" s="245" t="s">
        <v>2202</v>
      </c>
      <c r="G132" s="245"/>
      <c r="H132" s="173">
        <v>50</v>
      </c>
      <c r="I132">
        <v>4609</v>
      </c>
      <c r="J132" s="173">
        <v>3601</v>
      </c>
      <c r="K132" s="173">
        <f t="shared" si="15"/>
        <v>39.064873074419609</v>
      </c>
      <c r="L132" s="173">
        <f t="shared" si="16"/>
        <v>89.064873074419609</v>
      </c>
      <c r="N132" s="173">
        <f t="shared" si="17"/>
        <v>133.59730961162941</v>
      </c>
      <c r="O132" s="344">
        <v>150</v>
      </c>
    </row>
    <row r="133" spans="1:18" x14ac:dyDescent="0.35">
      <c r="A133" s="3"/>
      <c r="B133" s="597" t="s">
        <v>2201</v>
      </c>
      <c r="C133" s="233"/>
      <c r="E133" s="366">
        <v>42</v>
      </c>
      <c r="F133" s="371" t="s">
        <v>2203</v>
      </c>
      <c r="G133" s="371"/>
      <c r="H133" s="176">
        <v>68</v>
      </c>
      <c r="I133" s="12">
        <v>4609</v>
      </c>
      <c r="J133" s="176">
        <v>3601</v>
      </c>
      <c r="K133" s="176">
        <f t="shared" si="15"/>
        <v>53.128227381210678</v>
      </c>
      <c r="L133" s="176">
        <f t="shared" si="16"/>
        <v>121.12822738121068</v>
      </c>
      <c r="M133" s="12"/>
      <c r="N133" s="176">
        <f t="shared" si="17"/>
        <v>181.69234107181603</v>
      </c>
      <c r="O133" s="344">
        <v>180</v>
      </c>
      <c r="Q133" t="s">
        <v>1514</v>
      </c>
      <c r="R133" t="s">
        <v>104</v>
      </c>
    </row>
    <row r="134" spans="1:18" x14ac:dyDescent="0.35">
      <c r="A134" s="3"/>
      <c r="B134" s="233" t="s">
        <v>2201</v>
      </c>
      <c r="C134" s="233"/>
      <c r="E134" s="366">
        <v>44</v>
      </c>
      <c r="F134" s="371" t="s">
        <v>2203</v>
      </c>
      <c r="G134" s="371"/>
      <c r="H134" s="176">
        <v>68</v>
      </c>
      <c r="I134" s="12">
        <v>4609</v>
      </c>
      <c r="J134" s="176">
        <v>3601</v>
      </c>
      <c r="K134" s="176">
        <f t="shared" si="15"/>
        <v>53.128227381210678</v>
      </c>
      <c r="L134" s="176">
        <f t="shared" si="16"/>
        <v>121.12822738121068</v>
      </c>
      <c r="M134" s="12"/>
      <c r="N134" s="176">
        <f t="shared" si="17"/>
        <v>181.69234107181603</v>
      </c>
      <c r="O134" s="344">
        <v>160</v>
      </c>
      <c r="Q134" t="s">
        <v>1724</v>
      </c>
      <c r="R134" s="6">
        <v>46052</v>
      </c>
    </row>
    <row r="135" spans="1:18" x14ac:dyDescent="0.35">
      <c r="A135" s="3"/>
      <c r="B135" s="233" t="s">
        <v>2201</v>
      </c>
      <c r="C135" s="233"/>
      <c r="E135" s="366">
        <v>46</v>
      </c>
      <c r="F135" s="371" t="s">
        <v>2203</v>
      </c>
      <c r="G135" s="371"/>
      <c r="H135" s="176">
        <v>68</v>
      </c>
      <c r="I135" s="12">
        <v>4609</v>
      </c>
      <c r="J135" s="176">
        <v>3601</v>
      </c>
      <c r="K135" s="176">
        <f t="shared" si="15"/>
        <v>53.128227381210678</v>
      </c>
      <c r="L135" s="176">
        <f t="shared" si="16"/>
        <v>121.12822738121068</v>
      </c>
      <c r="M135" s="12"/>
      <c r="N135" s="176">
        <f t="shared" si="17"/>
        <v>181.69234107181603</v>
      </c>
      <c r="O135" s="344">
        <v>180</v>
      </c>
      <c r="Q135" t="s">
        <v>2467</v>
      </c>
    </row>
    <row r="136" spans="1:18" x14ac:dyDescent="0.35">
      <c r="A136" s="3"/>
      <c r="B136" s="233" t="s">
        <v>2201</v>
      </c>
      <c r="C136" s="233"/>
      <c r="E136" s="366">
        <v>48</v>
      </c>
      <c r="F136" s="371" t="s">
        <v>2203</v>
      </c>
      <c r="G136" s="371"/>
      <c r="H136" s="176">
        <v>68</v>
      </c>
      <c r="I136" s="12">
        <v>4609</v>
      </c>
      <c r="J136" s="176">
        <v>3601</v>
      </c>
      <c r="K136" s="176">
        <f t="shared" si="15"/>
        <v>53.128227381210678</v>
      </c>
      <c r="L136" s="176">
        <f t="shared" si="16"/>
        <v>121.12822738121068</v>
      </c>
      <c r="M136" s="12"/>
      <c r="N136" s="176">
        <f t="shared" si="17"/>
        <v>181.69234107181603</v>
      </c>
      <c r="O136" s="344">
        <v>180</v>
      </c>
      <c r="Q136" t="s">
        <v>2637</v>
      </c>
      <c r="R136" s="6">
        <v>46071</v>
      </c>
    </row>
    <row r="137" spans="1:18" x14ac:dyDescent="0.35">
      <c r="A137" s="3"/>
      <c r="B137" s="233" t="s">
        <v>2201</v>
      </c>
      <c r="C137" s="233"/>
      <c r="E137" s="366">
        <v>50</v>
      </c>
      <c r="F137" s="371" t="s">
        <v>2203</v>
      </c>
      <c r="G137" s="371"/>
      <c r="H137" s="176">
        <v>68</v>
      </c>
      <c r="I137" s="12">
        <v>4609</v>
      </c>
      <c r="J137" s="176">
        <v>3601</v>
      </c>
      <c r="K137" s="176">
        <f t="shared" si="15"/>
        <v>53.128227381210678</v>
      </c>
      <c r="L137" s="176">
        <f t="shared" si="16"/>
        <v>121.12822738121068</v>
      </c>
      <c r="M137" s="12"/>
      <c r="N137" s="176">
        <f t="shared" si="17"/>
        <v>181.69234107181603</v>
      </c>
      <c r="O137" s="344">
        <v>180</v>
      </c>
      <c r="Q137" t="s">
        <v>2469</v>
      </c>
      <c r="R137" s="6">
        <v>46056</v>
      </c>
    </row>
    <row r="138" spans="1:18" x14ac:dyDescent="0.35">
      <c r="A138" s="3"/>
      <c r="B138" s="233" t="s">
        <v>808</v>
      </c>
      <c r="C138" s="233"/>
      <c r="E138" s="366">
        <v>44</v>
      </c>
      <c r="F138" s="245" t="s">
        <v>2204</v>
      </c>
      <c r="G138" s="245"/>
      <c r="H138" s="173">
        <v>62</v>
      </c>
      <c r="I138">
        <v>4609</v>
      </c>
      <c r="J138" s="173">
        <v>3601</v>
      </c>
      <c r="K138" s="173">
        <f t="shared" si="15"/>
        <v>48.440442612280322</v>
      </c>
      <c r="L138" s="173">
        <f t="shared" si="16"/>
        <v>110.44044261228032</v>
      </c>
      <c r="N138" s="173">
        <f t="shared" si="17"/>
        <v>165.66066391842048</v>
      </c>
      <c r="O138" s="344">
        <v>180</v>
      </c>
    </row>
    <row r="139" spans="1:18" x14ac:dyDescent="0.35">
      <c r="A139" s="3"/>
      <c r="B139" s="233" t="s">
        <v>808</v>
      </c>
      <c r="C139" s="233"/>
      <c r="E139" s="366">
        <v>46</v>
      </c>
      <c r="F139" s="245" t="s">
        <v>2204</v>
      </c>
      <c r="G139" s="245"/>
      <c r="H139" s="173">
        <v>62</v>
      </c>
      <c r="I139">
        <v>4609</v>
      </c>
      <c r="J139" s="173">
        <v>3601</v>
      </c>
      <c r="K139" s="173">
        <f t="shared" si="15"/>
        <v>48.440442612280322</v>
      </c>
      <c r="L139" s="173">
        <f t="shared" si="16"/>
        <v>110.44044261228032</v>
      </c>
      <c r="N139" s="173">
        <f t="shared" si="17"/>
        <v>165.66066391842048</v>
      </c>
      <c r="O139" s="344">
        <v>180</v>
      </c>
    </row>
    <row r="140" spans="1:18" x14ac:dyDescent="0.35">
      <c r="A140" s="3"/>
      <c r="B140" s="233" t="s">
        <v>808</v>
      </c>
      <c r="C140" s="233"/>
      <c r="E140" s="366">
        <v>48</v>
      </c>
      <c r="F140" s="245" t="s">
        <v>2204</v>
      </c>
      <c r="G140" s="245"/>
      <c r="H140" s="173">
        <v>62</v>
      </c>
      <c r="I140">
        <v>4609</v>
      </c>
      <c r="J140" s="173">
        <v>3601</v>
      </c>
      <c r="K140" s="173">
        <f t="shared" si="15"/>
        <v>48.440442612280322</v>
      </c>
      <c r="L140" s="173">
        <f t="shared" si="16"/>
        <v>110.44044261228032</v>
      </c>
      <c r="N140" s="173">
        <f t="shared" si="17"/>
        <v>165.66066391842048</v>
      </c>
      <c r="O140" s="344">
        <v>180</v>
      </c>
    </row>
    <row r="141" spans="1:18" x14ac:dyDescent="0.35">
      <c r="A141" s="3"/>
      <c r="B141" s="233" t="s">
        <v>808</v>
      </c>
      <c r="C141" s="233"/>
      <c r="E141" s="366">
        <v>50</v>
      </c>
      <c r="F141" s="245" t="s">
        <v>2204</v>
      </c>
      <c r="G141" s="245"/>
      <c r="H141" s="173">
        <v>62</v>
      </c>
      <c r="I141">
        <v>4609</v>
      </c>
      <c r="J141" s="173">
        <v>3601</v>
      </c>
      <c r="K141" s="173">
        <f t="shared" si="15"/>
        <v>48.440442612280322</v>
      </c>
      <c r="L141" s="173">
        <f t="shared" si="16"/>
        <v>110.44044261228032</v>
      </c>
      <c r="N141" s="173">
        <f t="shared" si="17"/>
        <v>165.66066391842048</v>
      </c>
      <c r="O141" s="344">
        <v>180</v>
      </c>
    </row>
    <row r="142" spans="1:18" x14ac:dyDescent="0.35">
      <c r="A142" s="3"/>
      <c r="B142" s="233" t="s">
        <v>808</v>
      </c>
      <c r="C142" s="233"/>
      <c r="E142" s="366">
        <v>52</v>
      </c>
      <c r="F142" s="245" t="s">
        <v>2204</v>
      </c>
      <c r="G142" s="245"/>
      <c r="H142" s="173">
        <v>62</v>
      </c>
      <c r="I142">
        <v>4609</v>
      </c>
      <c r="J142" s="173">
        <v>3601</v>
      </c>
      <c r="K142" s="173">
        <f t="shared" si="15"/>
        <v>48.440442612280322</v>
      </c>
      <c r="L142" s="173">
        <f t="shared" si="16"/>
        <v>110.44044261228032</v>
      </c>
      <c r="N142" s="173">
        <f t="shared" si="17"/>
        <v>165.66066391842048</v>
      </c>
      <c r="O142" s="344">
        <v>180</v>
      </c>
    </row>
    <row r="143" spans="1:18" x14ac:dyDescent="0.35">
      <c r="A143" s="3"/>
      <c r="B143" s="233" t="s">
        <v>305</v>
      </c>
      <c r="C143" s="233"/>
      <c r="E143" s="366">
        <v>48</v>
      </c>
      <c r="F143" s="245" t="s">
        <v>2205</v>
      </c>
      <c r="G143" s="245"/>
      <c r="H143" s="173">
        <v>60</v>
      </c>
      <c r="I143">
        <v>4609</v>
      </c>
      <c r="J143" s="173">
        <v>3601</v>
      </c>
      <c r="K143" s="173">
        <f t="shared" si="15"/>
        <v>46.877847689303536</v>
      </c>
      <c r="L143" s="173">
        <f t="shared" si="16"/>
        <v>106.87784768930354</v>
      </c>
      <c r="N143" s="173">
        <f t="shared" si="17"/>
        <v>160.31677153395532</v>
      </c>
      <c r="O143" s="344">
        <v>180</v>
      </c>
    </row>
    <row r="144" spans="1:18" x14ac:dyDescent="0.35">
      <c r="A144" s="3"/>
      <c r="B144" s="233" t="s">
        <v>305</v>
      </c>
      <c r="C144" s="233"/>
      <c r="E144" s="366">
        <v>50</v>
      </c>
      <c r="F144" s="245" t="s">
        <v>2205</v>
      </c>
      <c r="G144" s="245"/>
      <c r="H144" s="173">
        <v>60</v>
      </c>
      <c r="I144">
        <v>4609</v>
      </c>
      <c r="J144" s="173">
        <v>3601</v>
      </c>
      <c r="K144" s="173">
        <f t="shared" si="15"/>
        <v>46.877847689303536</v>
      </c>
      <c r="L144" s="173">
        <f t="shared" si="16"/>
        <v>106.87784768930354</v>
      </c>
      <c r="N144" s="173">
        <f t="shared" si="17"/>
        <v>160.31677153395532</v>
      </c>
      <c r="O144" s="344">
        <v>180</v>
      </c>
    </row>
    <row r="145" spans="1:18" x14ac:dyDescent="0.35">
      <c r="A145" s="3"/>
      <c r="B145" s="233" t="s">
        <v>305</v>
      </c>
      <c r="C145" s="233"/>
      <c r="E145" s="366">
        <v>52</v>
      </c>
      <c r="F145" s="245" t="s">
        <v>2205</v>
      </c>
      <c r="G145" s="245"/>
      <c r="H145" s="173">
        <v>60</v>
      </c>
      <c r="I145">
        <v>4609</v>
      </c>
      <c r="J145" s="173">
        <v>3601</v>
      </c>
      <c r="K145" s="173">
        <f t="shared" si="15"/>
        <v>46.877847689303536</v>
      </c>
      <c r="L145" s="173">
        <f t="shared" si="16"/>
        <v>106.87784768930354</v>
      </c>
      <c r="N145" s="173">
        <f t="shared" si="17"/>
        <v>160.31677153395532</v>
      </c>
      <c r="O145" s="344">
        <v>180</v>
      </c>
    </row>
    <row r="146" spans="1:18" x14ac:dyDescent="0.35">
      <c r="A146" s="3"/>
      <c r="B146" s="233" t="s">
        <v>305</v>
      </c>
      <c r="C146" s="233"/>
      <c r="E146" s="366">
        <v>54</v>
      </c>
      <c r="F146" s="245" t="s">
        <v>2205</v>
      </c>
      <c r="G146" s="245"/>
      <c r="H146" s="173">
        <v>60</v>
      </c>
      <c r="I146">
        <v>4609</v>
      </c>
      <c r="J146" s="173">
        <v>3601</v>
      </c>
      <c r="K146" s="173">
        <f t="shared" si="15"/>
        <v>46.877847689303536</v>
      </c>
      <c r="L146" s="173">
        <f t="shared" si="16"/>
        <v>106.87784768930354</v>
      </c>
      <c r="N146" s="173">
        <f t="shared" si="17"/>
        <v>160.31677153395532</v>
      </c>
      <c r="O146" s="344">
        <v>180</v>
      </c>
    </row>
    <row r="147" spans="1:18" x14ac:dyDescent="0.35">
      <c r="A147" s="3"/>
      <c r="B147" s="233" t="s">
        <v>305</v>
      </c>
      <c r="C147" s="233"/>
      <c r="E147" s="366">
        <v>56</v>
      </c>
      <c r="F147" s="245" t="s">
        <v>2205</v>
      </c>
      <c r="G147" s="245"/>
      <c r="H147" s="173">
        <v>60</v>
      </c>
      <c r="I147">
        <v>4609</v>
      </c>
      <c r="J147" s="173">
        <v>3601</v>
      </c>
      <c r="K147" s="173">
        <f t="shared" si="15"/>
        <v>46.877847689303536</v>
      </c>
      <c r="L147" s="173">
        <f t="shared" si="16"/>
        <v>106.87784768930354</v>
      </c>
      <c r="N147" s="173">
        <f t="shared" si="17"/>
        <v>160.31677153395532</v>
      </c>
      <c r="O147" s="344">
        <v>180</v>
      </c>
    </row>
    <row r="148" spans="1:18" x14ac:dyDescent="0.35">
      <c r="A148" s="3"/>
      <c r="B148" s="233" t="s">
        <v>305</v>
      </c>
      <c r="C148" s="233"/>
      <c r="E148" s="366">
        <v>48</v>
      </c>
      <c r="F148" s="245" t="s">
        <v>2206</v>
      </c>
      <c r="G148" s="245"/>
      <c r="H148" s="173">
        <v>60</v>
      </c>
      <c r="I148">
        <v>4609</v>
      </c>
      <c r="J148" s="173">
        <v>3601</v>
      </c>
      <c r="K148" s="173">
        <f t="shared" si="15"/>
        <v>46.877847689303536</v>
      </c>
      <c r="L148" s="173">
        <f t="shared" si="16"/>
        <v>106.87784768930354</v>
      </c>
      <c r="N148" s="173">
        <f t="shared" si="17"/>
        <v>160.31677153395532</v>
      </c>
      <c r="O148" s="344">
        <v>180</v>
      </c>
    </row>
    <row r="149" spans="1:18" x14ac:dyDescent="0.35">
      <c r="A149" s="3"/>
      <c r="B149" s="233" t="s">
        <v>305</v>
      </c>
      <c r="C149" s="233"/>
      <c r="E149" s="366">
        <v>50</v>
      </c>
      <c r="F149" s="245" t="s">
        <v>2206</v>
      </c>
      <c r="G149" s="245"/>
      <c r="H149" s="173">
        <v>60</v>
      </c>
      <c r="I149">
        <v>4609</v>
      </c>
      <c r="J149" s="173">
        <v>3601</v>
      </c>
      <c r="K149" s="173">
        <f t="shared" si="15"/>
        <v>46.877847689303536</v>
      </c>
      <c r="L149" s="173">
        <f t="shared" si="16"/>
        <v>106.87784768930354</v>
      </c>
      <c r="N149" s="173">
        <f t="shared" si="17"/>
        <v>160.31677153395532</v>
      </c>
      <c r="O149" s="344">
        <v>180</v>
      </c>
    </row>
    <row r="150" spans="1:18" x14ac:dyDescent="0.35">
      <c r="A150" s="3"/>
      <c r="B150" s="233" t="s">
        <v>305</v>
      </c>
      <c r="C150" s="233"/>
      <c r="E150" s="366">
        <v>52</v>
      </c>
      <c r="F150" s="245" t="s">
        <v>2206</v>
      </c>
      <c r="G150" s="245"/>
      <c r="H150" s="173">
        <v>60</v>
      </c>
      <c r="I150">
        <v>4609</v>
      </c>
      <c r="J150" s="173">
        <v>3601</v>
      </c>
      <c r="K150" s="173">
        <f t="shared" si="15"/>
        <v>46.877847689303536</v>
      </c>
      <c r="L150" s="173">
        <f t="shared" si="16"/>
        <v>106.87784768930354</v>
      </c>
      <c r="N150" s="173">
        <f t="shared" si="17"/>
        <v>160.31677153395532</v>
      </c>
      <c r="O150" s="344">
        <v>180</v>
      </c>
    </row>
    <row r="151" spans="1:18" x14ac:dyDescent="0.35">
      <c r="A151" s="3"/>
      <c r="B151" s="233" t="s">
        <v>305</v>
      </c>
      <c r="C151" s="233"/>
      <c r="E151" s="366">
        <v>54</v>
      </c>
      <c r="F151" s="245" t="s">
        <v>2206</v>
      </c>
      <c r="G151" s="245"/>
      <c r="H151" s="173">
        <v>60</v>
      </c>
      <c r="I151">
        <v>4609</v>
      </c>
      <c r="J151" s="173">
        <v>3601</v>
      </c>
      <c r="K151" s="173">
        <f t="shared" si="15"/>
        <v>46.877847689303536</v>
      </c>
      <c r="L151" s="173">
        <f t="shared" si="16"/>
        <v>106.87784768930354</v>
      </c>
      <c r="N151" s="173">
        <f t="shared" si="17"/>
        <v>160.31677153395532</v>
      </c>
      <c r="O151" s="344">
        <v>180</v>
      </c>
    </row>
    <row r="152" spans="1:18" x14ac:dyDescent="0.35">
      <c r="A152" s="3"/>
      <c r="B152" s="233" t="s">
        <v>305</v>
      </c>
      <c r="C152" s="233"/>
      <c r="E152" s="366">
        <v>56</v>
      </c>
      <c r="F152" s="245" t="s">
        <v>2206</v>
      </c>
      <c r="G152" s="245"/>
      <c r="H152" s="173">
        <v>60</v>
      </c>
      <c r="I152">
        <v>4609</v>
      </c>
      <c r="J152" s="173">
        <v>3601</v>
      </c>
      <c r="K152" s="173">
        <f t="shared" si="15"/>
        <v>46.877847689303536</v>
      </c>
      <c r="L152" s="173">
        <f t="shared" si="16"/>
        <v>106.87784768930354</v>
      </c>
      <c r="N152" s="173">
        <f t="shared" si="17"/>
        <v>160.31677153395532</v>
      </c>
      <c r="O152" s="344">
        <v>180</v>
      </c>
    </row>
    <row r="153" spans="1:18" x14ac:dyDescent="0.35">
      <c r="A153" s="3"/>
      <c r="B153" s="233" t="s">
        <v>305</v>
      </c>
      <c r="C153" s="233"/>
      <c r="E153" s="366">
        <v>42</v>
      </c>
      <c r="F153" s="371" t="s">
        <v>2207</v>
      </c>
      <c r="G153" s="371"/>
      <c r="H153" s="176">
        <v>55</v>
      </c>
      <c r="I153" s="12">
        <v>4609</v>
      </c>
      <c r="J153" s="176">
        <v>3601</v>
      </c>
      <c r="K153" s="176">
        <f t="shared" si="15"/>
        <v>42.971360381861572</v>
      </c>
      <c r="L153" s="176">
        <f t="shared" si="16"/>
        <v>97.971360381861572</v>
      </c>
      <c r="M153" s="12"/>
      <c r="N153" s="176">
        <f t="shared" si="17"/>
        <v>146.95704057279235</v>
      </c>
      <c r="O153" s="344">
        <v>180</v>
      </c>
      <c r="Q153" t="s">
        <v>1724</v>
      </c>
      <c r="R153" s="6">
        <v>46066</v>
      </c>
    </row>
    <row r="154" spans="1:18" x14ac:dyDescent="0.35">
      <c r="A154" s="3"/>
      <c r="B154" s="233" t="s">
        <v>305</v>
      </c>
      <c r="C154" s="233"/>
      <c r="E154" s="366">
        <v>44</v>
      </c>
      <c r="F154" s="245" t="s">
        <v>2207</v>
      </c>
      <c r="G154" s="245"/>
      <c r="H154" s="173">
        <v>55</v>
      </c>
      <c r="I154">
        <v>4609</v>
      </c>
      <c r="J154" s="173">
        <v>3601</v>
      </c>
      <c r="K154" s="173">
        <f t="shared" si="15"/>
        <v>42.971360381861572</v>
      </c>
      <c r="L154" s="173">
        <f t="shared" si="16"/>
        <v>97.971360381861572</v>
      </c>
      <c r="N154" s="173">
        <f t="shared" si="17"/>
        <v>146.95704057279235</v>
      </c>
      <c r="O154" s="344">
        <v>180</v>
      </c>
    </row>
    <row r="155" spans="1:18" x14ac:dyDescent="0.35">
      <c r="A155" s="3"/>
      <c r="B155" s="233" t="s">
        <v>305</v>
      </c>
      <c r="C155" s="233"/>
      <c r="E155" s="366">
        <v>46</v>
      </c>
      <c r="F155" s="371" t="s">
        <v>2207</v>
      </c>
      <c r="G155" s="371"/>
      <c r="H155" s="176">
        <v>55</v>
      </c>
      <c r="I155" s="12">
        <v>4609</v>
      </c>
      <c r="J155" s="176">
        <v>3601</v>
      </c>
      <c r="K155" s="176">
        <f t="shared" si="15"/>
        <v>42.971360381861572</v>
      </c>
      <c r="L155" s="176">
        <f t="shared" si="16"/>
        <v>97.971360381861572</v>
      </c>
      <c r="M155" s="12"/>
      <c r="N155" s="176">
        <f t="shared" si="17"/>
        <v>146.95704057279235</v>
      </c>
      <c r="O155" s="344">
        <v>180</v>
      </c>
      <c r="Q155" t="s">
        <v>12</v>
      </c>
      <c r="R155" s="6">
        <v>46055</v>
      </c>
    </row>
    <row r="156" spans="1:18" x14ac:dyDescent="0.35">
      <c r="A156" s="3"/>
      <c r="B156" s="233" t="s">
        <v>305</v>
      </c>
      <c r="C156" s="233"/>
      <c r="E156" s="366">
        <v>48</v>
      </c>
      <c r="F156" s="245" t="s">
        <v>2207</v>
      </c>
      <c r="G156" s="245"/>
      <c r="H156" s="173">
        <v>55</v>
      </c>
      <c r="I156">
        <v>4609</v>
      </c>
      <c r="J156" s="173">
        <v>3601</v>
      </c>
      <c r="K156" s="173">
        <f t="shared" si="15"/>
        <v>42.971360381861572</v>
      </c>
      <c r="L156" s="173">
        <f t="shared" si="16"/>
        <v>97.971360381861572</v>
      </c>
      <c r="N156" s="173">
        <f t="shared" si="17"/>
        <v>146.95704057279235</v>
      </c>
      <c r="O156" s="344">
        <v>180</v>
      </c>
    </row>
    <row r="157" spans="1:18" x14ac:dyDescent="0.35">
      <c r="A157" s="3"/>
      <c r="B157" s="233" t="s">
        <v>305</v>
      </c>
      <c r="C157" s="233"/>
      <c r="E157" s="366">
        <v>50</v>
      </c>
      <c r="F157" s="245" t="s">
        <v>2207</v>
      </c>
      <c r="G157" s="245"/>
      <c r="H157" s="173">
        <v>55</v>
      </c>
      <c r="I157">
        <v>4609</v>
      </c>
      <c r="J157" s="173">
        <v>3601</v>
      </c>
      <c r="K157" s="173">
        <f t="shared" si="15"/>
        <v>42.971360381861572</v>
      </c>
      <c r="L157" s="173">
        <f t="shared" si="16"/>
        <v>97.971360381861572</v>
      </c>
      <c r="N157" s="173">
        <f t="shared" si="17"/>
        <v>146.95704057279235</v>
      </c>
      <c r="O157" s="344">
        <v>180</v>
      </c>
    </row>
    <row r="158" spans="1:18" x14ac:dyDescent="0.35">
      <c r="A158" s="3"/>
      <c r="B158" s="233" t="s">
        <v>586</v>
      </c>
      <c r="C158" s="233"/>
      <c r="E158" s="366">
        <v>48</v>
      </c>
      <c r="F158" s="245" t="s">
        <v>2208</v>
      </c>
      <c r="G158" s="245"/>
      <c r="H158" s="173">
        <v>50</v>
      </c>
      <c r="I158">
        <v>4609</v>
      </c>
      <c r="J158" s="173">
        <v>3601</v>
      </c>
      <c r="K158" s="173">
        <f t="shared" si="15"/>
        <v>39.064873074419609</v>
      </c>
      <c r="L158" s="173">
        <f t="shared" si="16"/>
        <v>89.064873074419609</v>
      </c>
      <c r="N158" s="173">
        <f t="shared" si="17"/>
        <v>133.59730961162941</v>
      </c>
      <c r="O158" s="344">
        <v>180</v>
      </c>
    </row>
    <row r="159" spans="1:18" x14ac:dyDescent="0.35">
      <c r="A159" s="3"/>
      <c r="B159" s="233" t="s">
        <v>586</v>
      </c>
      <c r="C159" s="233"/>
      <c r="E159" s="366">
        <v>50</v>
      </c>
      <c r="F159" s="245" t="s">
        <v>2208</v>
      </c>
      <c r="G159" s="245"/>
      <c r="H159" s="173">
        <v>50</v>
      </c>
      <c r="I159">
        <v>4609</v>
      </c>
      <c r="J159" s="173">
        <v>3601</v>
      </c>
      <c r="K159" s="173">
        <f t="shared" si="15"/>
        <v>39.064873074419609</v>
      </c>
      <c r="L159" s="173">
        <f t="shared" si="16"/>
        <v>89.064873074419609</v>
      </c>
      <c r="N159" s="173">
        <f t="shared" si="17"/>
        <v>133.59730961162941</v>
      </c>
      <c r="O159" s="344">
        <v>180</v>
      </c>
    </row>
    <row r="160" spans="1:18" x14ac:dyDescent="0.35">
      <c r="A160" s="3"/>
      <c r="B160" s="233" t="s">
        <v>586</v>
      </c>
      <c r="C160" s="233"/>
      <c r="E160" s="366">
        <v>52</v>
      </c>
      <c r="F160" s="245" t="s">
        <v>2208</v>
      </c>
      <c r="G160" s="245"/>
      <c r="H160" s="173">
        <v>50</v>
      </c>
      <c r="I160">
        <v>4609</v>
      </c>
      <c r="J160" s="173">
        <v>3601</v>
      </c>
      <c r="K160" s="173">
        <f t="shared" si="15"/>
        <v>39.064873074419609</v>
      </c>
      <c r="L160" s="173">
        <f t="shared" si="16"/>
        <v>89.064873074419609</v>
      </c>
      <c r="N160" s="173">
        <f t="shared" si="17"/>
        <v>133.59730961162941</v>
      </c>
      <c r="O160" s="344">
        <v>180</v>
      </c>
    </row>
    <row r="161" spans="1:18" x14ac:dyDescent="0.35">
      <c r="A161" s="3"/>
      <c r="B161" s="233" t="s">
        <v>586</v>
      </c>
      <c r="C161" s="233"/>
      <c r="E161" s="366">
        <v>54</v>
      </c>
      <c r="F161" s="245" t="s">
        <v>2208</v>
      </c>
      <c r="G161" s="245"/>
      <c r="H161" s="173">
        <v>50</v>
      </c>
      <c r="I161">
        <v>4609</v>
      </c>
      <c r="J161" s="173">
        <v>3601</v>
      </c>
      <c r="K161" s="173">
        <f t="shared" si="15"/>
        <v>39.064873074419609</v>
      </c>
      <c r="L161" s="173">
        <f t="shared" si="16"/>
        <v>89.064873074419609</v>
      </c>
      <c r="N161" s="173">
        <f t="shared" si="17"/>
        <v>133.59730961162941</v>
      </c>
      <c r="O161" s="344">
        <v>180</v>
      </c>
    </row>
    <row r="162" spans="1:18" x14ac:dyDescent="0.35">
      <c r="A162" s="3"/>
      <c r="B162" s="233" t="s">
        <v>586</v>
      </c>
      <c r="C162" s="233"/>
      <c r="E162" s="366">
        <v>42</v>
      </c>
      <c r="F162" s="245" t="s">
        <v>2209</v>
      </c>
      <c r="G162" s="245"/>
      <c r="H162" s="173">
        <v>45</v>
      </c>
      <c r="I162">
        <v>4609</v>
      </c>
      <c r="J162" s="173">
        <v>3601</v>
      </c>
      <c r="K162" s="173">
        <f t="shared" si="15"/>
        <v>35.158385766977652</v>
      </c>
      <c r="L162" s="173">
        <f t="shared" si="16"/>
        <v>80.158385766977659</v>
      </c>
      <c r="N162" s="173">
        <f t="shared" si="17"/>
        <v>120.23757865046649</v>
      </c>
      <c r="O162" s="344">
        <v>180</v>
      </c>
    </row>
    <row r="163" spans="1:18" x14ac:dyDescent="0.35">
      <c r="A163" s="3"/>
      <c r="B163" s="233" t="s">
        <v>586</v>
      </c>
      <c r="C163" s="233"/>
      <c r="E163" s="366">
        <v>44</v>
      </c>
      <c r="F163" s="245" t="s">
        <v>2209</v>
      </c>
      <c r="G163" s="245"/>
      <c r="H163" s="173">
        <v>45</v>
      </c>
      <c r="I163">
        <v>4609</v>
      </c>
      <c r="J163" s="173">
        <v>3601</v>
      </c>
      <c r="K163" s="173">
        <f t="shared" si="15"/>
        <v>35.158385766977652</v>
      </c>
      <c r="L163" s="173">
        <f t="shared" si="16"/>
        <v>80.158385766977659</v>
      </c>
      <c r="N163" s="173">
        <f t="shared" si="17"/>
        <v>120.23757865046649</v>
      </c>
      <c r="O163" s="344">
        <v>180</v>
      </c>
    </row>
    <row r="164" spans="1:18" x14ac:dyDescent="0.35">
      <c r="A164" s="3"/>
      <c r="B164" s="233" t="s">
        <v>586</v>
      </c>
      <c r="C164" s="233"/>
      <c r="E164" s="366">
        <v>46</v>
      </c>
      <c r="F164" s="245" t="s">
        <v>2209</v>
      </c>
      <c r="G164" s="245"/>
      <c r="H164" s="173">
        <v>45</v>
      </c>
      <c r="I164">
        <v>4609</v>
      </c>
      <c r="J164" s="173">
        <v>3601</v>
      </c>
      <c r="K164" s="173">
        <f t="shared" si="15"/>
        <v>35.158385766977652</v>
      </c>
      <c r="L164" s="173">
        <f t="shared" si="16"/>
        <v>80.158385766977659</v>
      </c>
      <c r="N164" s="173">
        <f t="shared" si="17"/>
        <v>120.23757865046649</v>
      </c>
      <c r="O164" s="344">
        <v>180</v>
      </c>
    </row>
    <row r="165" spans="1:18" x14ac:dyDescent="0.35">
      <c r="A165" s="3"/>
      <c r="B165" s="233" t="s">
        <v>586</v>
      </c>
      <c r="C165" s="233"/>
      <c r="E165" s="366">
        <v>48</v>
      </c>
      <c r="F165" s="245" t="s">
        <v>2209</v>
      </c>
      <c r="G165" s="245"/>
      <c r="H165" s="173">
        <v>45</v>
      </c>
      <c r="I165">
        <v>4609</v>
      </c>
      <c r="J165" s="173">
        <v>3601</v>
      </c>
      <c r="K165" s="173">
        <f t="shared" si="15"/>
        <v>35.158385766977652</v>
      </c>
      <c r="L165" s="173">
        <f t="shared" si="16"/>
        <v>80.158385766977659</v>
      </c>
      <c r="N165" s="173">
        <f t="shared" si="17"/>
        <v>120.23757865046649</v>
      </c>
      <c r="O165" s="344">
        <v>180</v>
      </c>
    </row>
    <row r="166" spans="1:18" x14ac:dyDescent="0.35">
      <c r="A166" s="3"/>
      <c r="B166" s="233"/>
      <c r="C166" s="233"/>
      <c r="E166" s="366"/>
      <c r="F166" s="245"/>
      <c r="G166" s="245"/>
      <c r="H166" s="173"/>
      <c r="J166" s="173"/>
      <c r="K166" s="173"/>
      <c r="L166" s="173"/>
      <c r="N166" s="173"/>
      <c r="O166" s="344"/>
    </row>
    <row r="167" spans="1:18" x14ac:dyDescent="0.35">
      <c r="A167" s="3"/>
      <c r="B167" s="233"/>
      <c r="C167" s="232" t="s">
        <v>2705</v>
      </c>
      <c r="E167" s="366"/>
      <c r="F167" s="245"/>
      <c r="G167" s="245"/>
      <c r="H167" s="173"/>
      <c r="J167" s="173"/>
      <c r="K167" s="173"/>
      <c r="L167" s="173"/>
      <c r="N167" s="173"/>
      <c r="O167" s="344"/>
    </row>
    <row r="168" spans="1:18" x14ac:dyDescent="0.35">
      <c r="A168" s="3"/>
      <c r="B168" s="233" t="s">
        <v>99</v>
      </c>
      <c r="C168" s="233" t="s">
        <v>99</v>
      </c>
      <c r="E168" s="366">
        <v>42</v>
      </c>
      <c r="F168" s="371" t="s">
        <v>2702</v>
      </c>
      <c r="G168" s="176">
        <v>68</v>
      </c>
      <c r="H168" s="12">
        <v>1167</v>
      </c>
      <c r="I168" s="176">
        <f t="shared" ref="I168:I177" si="18">+(112+237+12)*1.045</f>
        <v>377.24499999999995</v>
      </c>
      <c r="J168" s="176">
        <f t="shared" ref="J168:J177" si="19">+G168/H168*I168</f>
        <v>21.981713796058266</v>
      </c>
      <c r="K168" s="176">
        <f t="shared" ref="K168:K177" si="20">+G168+J168</f>
        <v>89.981713796058273</v>
      </c>
      <c r="L168" s="12"/>
      <c r="M168" s="12"/>
      <c r="N168" s="176">
        <v>180</v>
      </c>
      <c r="Q168" t="s">
        <v>1097</v>
      </c>
      <c r="R168" s="6">
        <v>46106</v>
      </c>
    </row>
    <row r="169" spans="1:18" x14ac:dyDescent="0.35">
      <c r="A169" s="3"/>
      <c r="B169" s="233" t="s">
        <v>99</v>
      </c>
      <c r="C169" s="233" t="s">
        <v>99</v>
      </c>
      <c r="E169" s="366">
        <v>44</v>
      </c>
      <c r="F169" s="371" t="s">
        <v>2702</v>
      </c>
      <c r="G169" s="176">
        <v>68</v>
      </c>
      <c r="H169" s="12">
        <v>1167</v>
      </c>
      <c r="I169" s="176">
        <f t="shared" si="18"/>
        <v>377.24499999999995</v>
      </c>
      <c r="J169" s="176">
        <f t="shared" si="19"/>
        <v>21.981713796058266</v>
      </c>
      <c r="K169" s="176">
        <f t="shared" si="20"/>
        <v>89.981713796058273</v>
      </c>
      <c r="L169" s="12"/>
      <c r="M169" s="12"/>
      <c r="N169" s="176">
        <v>180</v>
      </c>
      <c r="Q169" t="s">
        <v>2889</v>
      </c>
      <c r="R169" s="6">
        <v>46097</v>
      </c>
    </row>
    <row r="170" spans="1:18" x14ac:dyDescent="0.35">
      <c r="A170" s="3"/>
      <c r="B170" s="233" t="s">
        <v>99</v>
      </c>
      <c r="C170" s="233" t="s">
        <v>99</v>
      </c>
      <c r="E170" s="366">
        <v>46</v>
      </c>
      <c r="F170" s="371" t="s">
        <v>2702</v>
      </c>
      <c r="G170" s="176">
        <v>68</v>
      </c>
      <c r="H170" s="12">
        <v>1167</v>
      </c>
      <c r="I170" s="176">
        <f t="shared" si="18"/>
        <v>377.24499999999995</v>
      </c>
      <c r="J170" s="176">
        <f t="shared" si="19"/>
        <v>21.981713796058266</v>
      </c>
      <c r="K170" s="176">
        <f t="shared" si="20"/>
        <v>89.981713796058273</v>
      </c>
      <c r="L170" s="12"/>
      <c r="M170" s="12"/>
      <c r="N170" s="176">
        <v>180</v>
      </c>
      <c r="Q170" t="s">
        <v>12</v>
      </c>
      <c r="R170" s="6">
        <v>46105</v>
      </c>
    </row>
    <row r="171" spans="1:18" x14ac:dyDescent="0.35">
      <c r="A171" s="3"/>
      <c r="B171" s="233" t="s">
        <v>99</v>
      </c>
      <c r="C171" s="233" t="s">
        <v>99</v>
      </c>
      <c r="E171" s="366">
        <v>48</v>
      </c>
      <c r="F171" s="371" t="s">
        <v>2702</v>
      </c>
      <c r="G171" s="176">
        <v>68</v>
      </c>
      <c r="H171" s="12">
        <v>1167</v>
      </c>
      <c r="I171" s="176">
        <f t="shared" si="18"/>
        <v>377.24499999999995</v>
      </c>
      <c r="J171" s="176">
        <f t="shared" si="19"/>
        <v>21.981713796058266</v>
      </c>
      <c r="K171" s="176">
        <f t="shared" si="20"/>
        <v>89.981713796058273</v>
      </c>
      <c r="L171" s="12"/>
      <c r="M171" s="12"/>
      <c r="N171" s="176">
        <v>180</v>
      </c>
      <c r="O171"/>
      <c r="Q171" t="s">
        <v>3015</v>
      </c>
      <c r="R171" s="6">
        <v>46119</v>
      </c>
    </row>
    <row r="172" spans="1:18" x14ac:dyDescent="0.35">
      <c r="A172" s="3"/>
      <c r="B172" s="233" t="s">
        <v>99</v>
      </c>
      <c r="C172" s="233" t="s">
        <v>99</v>
      </c>
      <c r="E172" s="366">
        <v>50</v>
      </c>
      <c r="F172" s="371" t="s">
        <v>2702</v>
      </c>
      <c r="G172" s="176">
        <v>68</v>
      </c>
      <c r="H172" s="12">
        <v>1167</v>
      </c>
      <c r="I172" s="176">
        <f t="shared" si="18"/>
        <v>377.24499999999995</v>
      </c>
      <c r="J172" s="176">
        <f t="shared" si="19"/>
        <v>21.981713796058266</v>
      </c>
      <c r="K172" s="176">
        <f t="shared" si="20"/>
        <v>89.981713796058273</v>
      </c>
      <c r="L172" s="12"/>
      <c r="M172" s="12"/>
      <c r="N172" s="176">
        <v>180</v>
      </c>
      <c r="Q172" t="s">
        <v>12</v>
      </c>
      <c r="R172" s="6">
        <v>46112</v>
      </c>
    </row>
    <row r="173" spans="1:18" x14ac:dyDescent="0.35">
      <c r="A173" s="3"/>
      <c r="B173" s="233" t="s">
        <v>305</v>
      </c>
      <c r="C173" s="233" t="s">
        <v>305</v>
      </c>
      <c r="E173" s="366">
        <v>42</v>
      </c>
      <c r="F173" s="596" t="s">
        <v>2703</v>
      </c>
      <c r="G173" s="176">
        <v>55</v>
      </c>
      <c r="H173" s="12">
        <v>1167</v>
      </c>
      <c r="I173" s="176">
        <f t="shared" si="18"/>
        <v>377.24499999999995</v>
      </c>
      <c r="J173" s="176">
        <f t="shared" si="19"/>
        <v>17.779327335047128</v>
      </c>
      <c r="K173" s="176">
        <f t="shared" si="20"/>
        <v>72.779327335047128</v>
      </c>
      <c r="L173" s="12"/>
      <c r="M173" s="12"/>
      <c r="N173" s="176">
        <v>160</v>
      </c>
      <c r="Q173" t="s">
        <v>2890</v>
      </c>
      <c r="R173" s="6">
        <v>46107</v>
      </c>
    </row>
    <row r="174" spans="1:18" x14ac:dyDescent="0.35">
      <c r="A174" s="3"/>
      <c r="B174" s="233" t="s">
        <v>305</v>
      </c>
      <c r="C174" s="233" t="s">
        <v>305</v>
      </c>
      <c r="E174" s="366">
        <v>44</v>
      </c>
      <c r="F174" s="596" t="s">
        <v>2703</v>
      </c>
      <c r="G174" s="176">
        <v>55</v>
      </c>
      <c r="H174" s="12">
        <v>1167</v>
      </c>
      <c r="I174" s="176">
        <f t="shared" si="18"/>
        <v>377.24499999999995</v>
      </c>
      <c r="J174" s="176">
        <f t="shared" si="19"/>
        <v>17.779327335047128</v>
      </c>
      <c r="K174" s="176">
        <f t="shared" si="20"/>
        <v>72.779327335047128</v>
      </c>
      <c r="L174" s="12"/>
      <c r="M174" s="12"/>
      <c r="N174" s="176">
        <v>180</v>
      </c>
      <c r="Q174" t="s">
        <v>1724</v>
      </c>
      <c r="R174" s="6">
        <v>46087</v>
      </c>
    </row>
    <row r="175" spans="1:18" x14ac:dyDescent="0.35">
      <c r="A175" s="3"/>
      <c r="B175" s="233" t="s">
        <v>305</v>
      </c>
      <c r="C175" s="233" t="s">
        <v>305</v>
      </c>
      <c r="E175" s="366">
        <v>46</v>
      </c>
      <c r="F175" s="233" t="s">
        <v>2703</v>
      </c>
      <c r="G175" s="173">
        <v>55</v>
      </c>
      <c r="H175">
        <v>1167</v>
      </c>
      <c r="I175" s="173">
        <f t="shared" si="18"/>
        <v>377.24499999999995</v>
      </c>
      <c r="J175" s="173">
        <f t="shared" si="19"/>
        <v>17.779327335047128</v>
      </c>
      <c r="K175" s="173">
        <f t="shared" si="20"/>
        <v>72.779327335047128</v>
      </c>
      <c r="N175" s="173">
        <v>180</v>
      </c>
    </row>
    <row r="176" spans="1:18" x14ac:dyDescent="0.35">
      <c r="A176" s="3"/>
      <c r="B176" s="233" t="s">
        <v>305</v>
      </c>
      <c r="C176" s="233" t="s">
        <v>305</v>
      </c>
      <c r="E176" s="366">
        <v>48</v>
      </c>
      <c r="F176" s="233" t="s">
        <v>2703</v>
      </c>
      <c r="G176" s="173">
        <v>55</v>
      </c>
      <c r="H176">
        <v>1167</v>
      </c>
      <c r="I176" s="173">
        <f t="shared" si="18"/>
        <v>377.24499999999995</v>
      </c>
      <c r="J176" s="173">
        <f t="shared" si="19"/>
        <v>17.779327335047128</v>
      </c>
      <c r="K176" s="173">
        <f t="shared" si="20"/>
        <v>72.779327335047128</v>
      </c>
      <c r="N176" s="173">
        <v>180</v>
      </c>
    </row>
    <row r="177" spans="1:21" x14ac:dyDescent="0.35">
      <c r="A177" s="3"/>
      <c r="B177" s="233" t="s">
        <v>305</v>
      </c>
      <c r="C177" s="233" t="s">
        <v>305</v>
      </c>
      <c r="E177" s="366">
        <v>50</v>
      </c>
      <c r="F177" s="233" t="s">
        <v>2703</v>
      </c>
      <c r="G177" s="173">
        <v>55</v>
      </c>
      <c r="H177">
        <v>1167</v>
      </c>
      <c r="I177" s="173">
        <f t="shared" si="18"/>
        <v>377.24499999999995</v>
      </c>
      <c r="J177" s="173">
        <f t="shared" si="19"/>
        <v>17.779327335047128</v>
      </c>
      <c r="K177" s="173">
        <f t="shared" si="20"/>
        <v>72.779327335047128</v>
      </c>
      <c r="N177" s="173">
        <v>180</v>
      </c>
    </row>
    <row r="178" spans="1:21" x14ac:dyDescent="0.35">
      <c r="A178" s="3"/>
      <c r="B178" s="233"/>
      <c r="C178" s="232" t="s">
        <v>3049</v>
      </c>
      <c r="E178" s="366"/>
      <c r="F178" s="233"/>
      <c r="G178" s="173"/>
      <c r="I178" s="173"/>
      <c r="J178" s="173"/>
      <c r="K178" s="173"/>
      <c r="N178" s="173"/>
    </row>
    <row r="179" spans="1:21" ht="15.5" x14ac:dyDescent="0.35">
      <c r="A179" s="3"/>
      <c r="B179" s="233" t="s">
        <v>99</v>
      </c>
      <c r="C179" s="233" t="s">
        <v>99</v>
      </c>
      <c r="D179" s="233"/>
      <c r="E179" s="366">
        <v>50</v>
      </c>
      <c r="F179" s="245" t="s">
        <v>3047</v>
      </c>
      <c r="G179" s="173">
        <v>71</v>
      </c>
      <c r="H179" s="173">
        <v>388</v>
      </c>
      <c r="I179" s="173">
        <f>12*15+25</f>
        <v>205</v>
      </c>
      <c r="J179" s="402">
        <f>+G179/H179*I179</f>
        <v>37.512886597938142</v>
      </c>
      <c r="K179" s="173">
        <f>+G179+J179</f>
        <v>108.51288659793815</v>
      </c>
      <c r="L179" s="173"/>
      <c r="M179" s="2">
        <f>+K179*1.5</f>
        <v>162.76932989690721</v>
      </c>
      <c r="N179" s="173">
        <v>180</v>
      </c>
      <c r="P179" s="325"/>
    </row>
    <row r="180" spans="1:21" ht="15.5" x14ac:dyDescent="0.35">
      <c r="A180" s="3"/>
      <c r="B180" s="233" t="s">
        <v>99</v>
      </c>
      <c r="C180" s="233" t="s">
        <v>99</v>
      </c>
      <c r="D180" s="233"/>
      <c r="E180" s="366">
        <v>52</v>
      </c>
      <c r="F180" s="245" t="s">
        <v>3047</v>
      </c>
      <c r="G180" s="173">
        <v>71</v>
      </c>
      <c r="H180" s="173">
        <v>388</v>
      </c>
      <c r="I180" s="173">
        <f>12*15+25</f>
        <v>205</v>
      </c>
      <c r="J180" s="402">
        <f>+G180/H180*I180</f>
        <v>37.512886597938142</v>
      </c>
      <c r="K180" s="173">
        <f>+G180+J180</f>
        <v>108.51288659793815</v>
      </c>
      <c r="L180" s="173"/>
      <c r="M180" s="2">
        <f>+K180*1.5</f>
        <v>162.76932989690721</v>
      </c>
      <c r="N180" s="173">
        <v>180</v>
      </c>
      <c r="P180" s="325"/>
    </row>
    <row r="181" spans="1:21" ht="15.5" x14ac:dyDescent="0.35">
      <c r="A181" s="3"/>
      <c r="B181" s="233" t="s">
        <v>99</v>
      </c>
      <c r="C181" s="233" t="s">
        <v>99</v>
      </c>
      <c r="D181" s="233"/>
      <c r="E181" s="366">
        <v>54</v>
      </c>
      <c r="F181" s="371" t="s">
        <v>3047</v>
      </c>
      <c r="G181" s="176">
        <v>71</v>
      </c>
      <c r="H181" s="176">
        <v>388</v>
      </c>
      <c r="I181" s="176">
        <f>12*15+25</f>
        <v>205</v>
      </c>
      <c r="J181" s="410">
        <f>+G181/H181*I181</f>
        <v>37.512886597938142</v>
      </c>
      <c r="K181" s="176">
        <f>+G181+J181</f>
        <v>108.51288659793815</v>
      </c>
      <c r="L181" s="176"/>
      <c r="M181" s="59">
        <f>+K181*1.5</f>
        <v>162.76932989690721</v>
      </c>
      <c r="N181" s="176">
        <v>160</v>
      </c>
      <c r="P181" s="325"/>
      <c r="Q181" t="s">
        <v>3145</v>
      </c>
      <c r="R181" s="6">
        <v>46136</v>
      </c>
    </row>
    <row r="182" spans="1:21" ht="15.5" x14ac:dyDescent="0.35">
      <c r="A182" s="3"/>
      <c r="B182" s="233" t="s">
        <v>99</v>
      </c>
      <c r="C182" s="233" t="s">
        <v>99</v>
      </c>
      <c r="D182" s="233"/>
      <c r="E182" s="366">
        <v>56</v>
      </c>
      <c r="F182" s="245" t="s">
        <v>3047</v>
      </c>
      <c r="G182" s="173">
        <v>71</v>
      </c>
      <c r="H182" s="173">
        <v>388</v>
      </c>
      <c r="I182" s="173">
        <f>12*15+25</f>
        <v>205</v>
      </c>
      <c r="J182" s="402">
        <f>+G182/H182*I182</f>
        <v>37.512886597938142</v>
      </c>
      <c r="K182" s="173">
        <f>+G182+J182</f>
        <v>108.51288659793815</v>
      </c>
      <c r="L182" s="173"/>
      <c r="M182" s="2">
        <f>+K182*1.5</f>
        <v>162.76932989690721</v>
      </c>
      <c r="N182" s="173">
        <v>180</v>
      </c>
      <c r="P182" s="325"/>
    </row>
    <row r="183" spans="1:21" x14ac:dyDescent="0.35">
      <c r="A183" s="3"/>
      <c r="B183" s="3"/>
      <c r="C183" s="233"/>
      <c r="E183" s="366"/>
      <c r="F183" s="245"/>
      <c r="G183" s="173"/>
      <c r="I183" s="173"/>
      <c r="J183" s="402"/>
      <c r="K183" s="173"/>
      <c r="L183" s="174"/>
      <c r="M183" s="173"/>
      <c r="N183" s="173"/>
    </row>
    <row r="184" spans="1:21" s="10" customFormat="1" ht="15.5" outlineLevel="1" x14ac:dyDescent="0.35">
      <c r="B184" s="11"/>
      <c r="C184" s="11" t="s">
        <v>129</v>
      </c>
      <c r="D184" s="454"/>
      <c r="E184" s="473"/>
      <c r="F184" s="11"/>
      <c r="G184" s="136">
        <f>SUM(G4:G34)</f>
        <v>753</v>
      </c>
      <c r="H184" s="136"/>
      <c r="I184" s="136"/>
      <c r="J184" s="136"/>
      <c r="K184" s="136"/>
      <c r="L184" s="136"/>
      <c r="M184" s="140">
        <f>+K184*L184+K184</f>
        <v>0</v>
      </c>
      <c r="N184" s="136">
        <f>SUM(N4:N34)</f>
        <v>3175</v>
      </c>
      <c r="O184" s="474"/>
      <c r="P184" s="11"/>
      <c r="Q184" s="11"/>
      <c r="R184" s="475"/>
      <c r="S184" s="421"/>
      <c r="T184" s="11"/>
      <c r="U184" s="11"/>
    </row>
    <row r="186" spans="1:21" ht="15.5" x14ac:dyDescent="0.35">
      <c r="B186" s="11">
        <v>2022</v>
      </c>
      <c r="C186" s="11">
        <v>64</v>
      </c>
      <c r="D186" s="454">
        <v>-28</v>
      </c>
      <c r="E186" s="473">
        <f>+C186+D186</f>
        <v>36</v>
      </c>
    </row>
    <row r="187" spans="1:21" ht="15.5" x14ac:dyDescent="0.35">
      <c r="B187" s="11">
        <v>2023</v>
      </c>
      <c r="C187" s="11">
        <v>95</v>
      </c>
      <c r="D187" s="454">
        <v>-48</v>
      </c>
      <c r="E187" s="473">
        <f>+C187+D187</f>
        <v>47</v>
      </c>
    </row>
    <row r="188" spans="1:21" ht="15.5" x14ac:dyDescent="0.35">
      <c r="B188" s="11">
        <v>2024</v>
      </c>
      <c r="C188" s="11"/>
      <c r="D188" s="454"/>
      <c r="E188" s="473"/>
    </row>
  </sheetData>
  <printOptions gridLines="1"/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485"/>
  <sheetViews>
    <sheetView zoomScaleNormal="100" zoomScaleSheetLayoutView="110" workbookViewId="0">
      <pane ySplit="1" topLeftCell="A318" activePane="bottomLeft" state="frozen"/>
      <selection pane="bottomLeft" activeCell="P327" sqref="P327"/>
    </sheetView>
  </sheetViews>
  <sheetFormatPr defaultRowHeight="14.5" outlineLevelRow="2" x14ac:dyDescent="0.35"/>
  <cols>
    <col min="2" max="2" width="0" hidden="1" customWidth="1"/>
    <col min="3" max="3" width="18.1796875" customWidth="1"/>
    <col min="4" max="4" width="0" hidden="1" customWidth="1"/>
    <col min="5" max="5" width="7" customWidth="1"/>
    <col min="6" max="6" width="36.54296875" customWidth="1"/>
    <col min="7" max="7" width="8.7265625" customWidth="1"/>
    <col min="8" max="12" width="8.7265625" hidden="1" customWidth="1"/>
    <col min="13" max="13" width="8.7265625" style="2" customWidth="1"/>
    <col min="14" max="17" width="8.7265625" customWidth="1"/>
    <col min="18" max="18" width="37.453125" customWidth="1"/>
    <col min="19" max="19" width="11.1796875" customWidth="1"/>
  </cols>
  <sheetData>
    <row r="1" spans="1:22" s="63" customFormat="1" ht="30.75" customHeight="1" thickBot="1" x14ac:dyDescent="0.4">
      <c r="A1" s="621"/>
      <c r="B1" s="622" t="s">
        <v>546</v>
      </c>
      <c r="C1" s="622" t="s">
        <v>342</v>
      </c>
      <c r="D1" s="623" t="s">
        <v>988</v>
      </c>
      <c r="E1" s="624" t="s">
        <v>402</v>
      </c>
      <c r="F1" s="622" t="s">
        <v>1</v>
      </c>
      <c r="G1" s="625" t="s">
        <v>1438</v>
      </c>
      <c r="H1" s="625" t="s">
        <v>3</v>
      </c>
      <c r="I1" s="622" t="s">
        <v>4</v>
      </c>
      <c r="J1" s="625" t="s">
        <v>5</v>
      </c>
      <c r="K1" s="625" t="s">
        <v>6</v>
      </c>
      <c r="L1" s="626" t="s">
        <v>7</v>
      </c>
      <c r="M1" s="627" t="s">
        <v>567</v>
      </c>
      <c r="N1" s="625" t="s">
        <v>9</v>
      </c>
      <c r="O1" s="627" t="s">
        <v>993</v>
      </c>
      <c r="P1" s="627" t="s">
        <v>1466</v>
      </c>
      <c r="Q1" s="627" t="s">
        <v>2283</v>
      </c>
      <c r="R1" s="625" t="s">
        <v>10</v>
      </c>
      <c r="S1" s="629" t="s">
        <v>22</v>
      </c>
      <c r="T1" s="630"/>
      <c r="V1" s="169"/>
    </row>
    <row r="3" spans="1:22" s="10" customFormat="1" ht="22.5" customHeight="1" outlineLevel="1" x14ac:dyDescent="0.5">
      <c r="D3" s="454"/>
      <c r="E3" s="454"/>
      <c r="F3" s="502" t="s">
        <v>15</v>
      </c>
      <c r="G3" s="189"/>
      <c r="J3" s="189"/>
      <c r="K3" s="189"/>
      <c r="L3" s="452"/>
      <c r="M3" s="140"/>
      <c r="N3" s="189"/>
      <c r="O3" s="140"/>
      <c r="S3" s="404"/>
      <c r="T3" s="419"/>
    </row>
    <row r="4" spans="1:22" s="10" customFormat="1" ht="15.75" customHeight="1" outlineLevel="1" x14ac:dyDescent="0.5">
      <c r="B4" s="33" t="s">
        <v>144</v>
      </c>
      <c r="D4" s="454"/>
      <c r="E4" s="454"/>
      <c r="F4" s="502"/>
      <c r="G4" s="189"/>
      <c r="J4" s="189"/>
      <c r="K4" s="189"/>
      <c r="L4" s="452"/>
      <c r="M4" s="140"/>
      <c r="N4" s="189"/>
      <c r="O4" s="140"/>
      <c r="S4" s="404"/>
      <c r="T4" s="419"/>
    </row>
    <row r="5" spans="1:22" s="10" customFormat="1" ht="15" customHeight="1" outlineLevel="1" x14ac:dyDescent="0.35">
      <c r="A5" s="451"/>
      <c r="B5" s="764"/>
      <c r="C5" s="451" t="s">
        <v>197</v>
      </c>
      <c r="D5" s="71">
        <v>1</v>
      </c>
      <c r="E5" s="71"/>
      <c r="F5" s="10" t="s">
        <v>198</v>
      </c>
      <c r="G5" s="140">
        <v>12</v>
      </c>
      <c r="H5" s="10">
        <v>5650</v>
      </c>
      <c r="I5" s="10">
        <v>9750</v>
      </c>
      <c r="J5" s="140">
        <f>+G5/H5*I5</f>
        <v>20.707964601769913</v>
      </c>
      <c r="K5" s="140">
        <f>+G5+J5</f>
        <v>32.707964601769916</v>
      </c>
      <c r="L5" s="453">
        <v>1.3</v>
      </c>
      <c r="M5" s="140">
        <f t="shared" ref="M5:M30" si="0">+K5*L5+K5</f>
        <v>75.228318584070806</v>
      </c>
      <c r="N5" s="10">
        <v>65</v>
      </c>
      <c r="R5" s="10" t="s">
        <v>2349</v>
      </c>
      <c r="S5" s="404"/>
      <c r="T5" s="418"/>
    </row>
    <row r="6" spans="1:22" s="10" customFormat="1" ht="15.5" outlineLevel="1" x14ac:dyDescent="0.35">
      <c r="B6" s="11"/>
      <c r="F6" s="11" t="s">
        <v>270</v>
      </c>
      <c r="G6" s="189"/>
      <c r="J6" s="189"/>
      <c r="K6" s="189"/>
      <c r="L6" s="455"/>
      <c r="M6" s="140">
        <f t="shared" si="0"/>
        <v>0</v>
      </c>
      <c r="N6" s="189"/>
      <c r="O6" s="140"/>
      <c r="S6" s="404"/>
      <c r="T6" s="138"/>
    </row>
    <row r="7" spans="1:22" s="10" customFormat="1" ht="15.5" outlineLevel="1" x14ac:dyDescent="0.35">
      <c r="A7" s="451"/>
      <c r="B7" s="764"/>
      <c r="C7" s="451" t="s">
        <v>286</v>
      </c>
      <c r="D7" s="451">
        <v>3</v>
      </c>
      <c r="E7" s="451"/>
      <c r="F7" s="10" t="s">
        <v>2352</v>
      </c>
      <c r="G7" s="140">
        <v>12</v>
      </c>
      <c r="J7" s="140"/>
      <c r="K7" s="140"/>
      <c r="L7" s="453"/>
      <c r="M7" s="140">
        <f t="shared" si="0"/>
        <v>0</v>
      </c>
      <c r="N7" s="140">
        <v>65</v>
      </c>
      <c r="O7" s="140">
        <v>25</v>
      </c>
      <c r="S7" s="404"/>
      <c r="T7" s="138"/>
    </row>
    <row r="8" spans="1:22" s="10" customFormat="1" ht="15.5" outlineLevel="1" x14ac:dyDescent="0.35">
      <c r="B8" s="11"/>
      <c r="C8" s="476">
        <v>44044</v>
      </c>
      <c r="G8" s="189"/>
      <c r="J8" s="189"/>
      <c r="K8" s="189"/>
      <c r="L8" s="455"/>
      <c r="M8" s="140">
        <f t="shared" si="0"/>
        <v>0</v>
      </c>
      <c r="N8" s="189"/>
      <c r="O8" s="140"/>
      <c r="S8" s="404"/>
      <c r="T8" s="138"/>
    </row>
    <row r="9" spans="1:22" s="10" customFormat="1" ht="15.5" outlineLevel="1" x14ac:dyDescent="0.35">
      <c r="A9" s="451"/>
      <c r="B9" s="451"/>
      <c r="C9" s="451" t="s">
        <v>339</v>
      </c>
      <c r="D9" s="451">
        <v>5</v>
      </c>
      <c r="E9" s="451">
        <v>5</v>
      </c>
      <c r="F9" s="10" t="s">
        <v>337</v>
      </c>
      <c r="G9" s="141">
        <v>7.5882352941176467</v>
      </c>
      <c r="I9" s="140"/>
      <c r="J9" s="140"/>
      <c r="K9" s="140"/>
      <c r="L9" s="452"/>
      <c r="M9" s="140">
        <f t="shared" si="0"/>
        <v>0</v>
      </c>
      <c r="N9" s="140">
        <v>25</v>
      </c>
      <c r="O9" s="140"/>
      <c r="S9" s="404"/>
      <c r="T9" s="138"/>
    </row>
    <row r="10" spans="1:22" s="10" customFormat="1" ht="15.5" outlineLevel="1" x14ac:dyDescent="0.35">
      <c r="A10" s="451"/>
      <c r="B10" s="451"/>
      <c r="C10" s="451" t="s">
        <v>339</v>
      </c>
      <c r="D10" s="451">
        <v>6</v>
      </c>
      <c r="E10" s="451">
        <v>5</v>
      </c>
      <c r="F10" s="10" t="s">
        <v>337</v>
      </c>
      <c r="G10" s="141">
        <v>7.5882352941176467</v>
      </c>
      <c r="I10" s="140"/>
      <c r="J10" s="140"/>
      <c r="K10" s="140"/>
      <c r="L10" s="452"/>
      <c r="M10" s="140">
        <f t="shared" si="0"/>
        <v>0</v>
      </c>
      <c r="N10" s="140">
        <v>25</v>
      </c>
      <c r="O10" s="140"/>
      <c r="S10" s="404"/>
      <c r="T10" s="138"/>
    </row>
    <row r="11" spans="1:22" s="10" customFormat="1" ht="15.5" outlineLevel="1" x14ac:dyDescent="0.35">
      <c r="B11" s="11"/>
      <c r="F11" s="11" t="s">
        <v>419</v>
      </c>
      <c r="H11" s="140"/>
      <c r="I11" s="56"/>
      <c r="J11" s="140"/>
      <c r="K11" s="140"/>
      <c r="L11" s="140"/>
      <c r="M11" s="140">
        <f t="shared" si="0"/>
        <v>0</v>
      </c>
      <c r="N11" s="140"/>
      <c r="O11" s="140"/>
      <c r="S11" s="404"/>
      <c r="T11" s="138"/>
    </row>
    <row r="12" spans="1:22" s="10" customFormat="1" ht="15.5" outlineLevel="1" x14ac:dyDescent="0.35">
      <c r="A12" s="451"/>
      <c r="B12" s="764"/>
      <c r="C12" s="451" t="s">
        <v>420</v>
      </c>
      <c r="D12" s="451">
        <v>7</v>
      </c>
      <c r="E12" s="451">
        <v>40</v>
      </c>
      <c r="F12" s="10" t="s">
        <v>421</v>
      </c>
      <c r="G12" s="141">
        <v>8</v>
      </c>
      <c r="H12" s="56">
        <v>1050</v>
      </c>
      <c r="I12" s="140">
        <v>2585</v>
      </c>
      <c r="J12" s="140">
        <f t="shared" ref="J12:J21" si="1">+G12/H12*I12</f>
        <v>19.695238095238096</v>
      </c>
      <c r="K12" s="140">
        <f t="shared" ref="K12:K21" si="2">+G12+J12</f>
        <v>27.695238095238096</v>
      </c>
      <c r="L12" s="453">
        <v>0.3</v>
      </c>
      <c r="M12" s="140">
        <f t="shared" si="0"/>
        <v>36.003809523809522</v>
      </c>
      <c r="N12" s="140">
        <v>45</v>
      </c>
      <c r="O12" s="140"/>
      <c r="R12" s="324" t="s">
        <v>2349</v>
      </c>
      <c r="S12" s="404"/>
      <c r="T12" s="138"/>
    </row>
    <row r="13" spans="1:22" s="10" customFormat="1" ht="15.5" outlineLevel="1" x14ac:dyDescent="0.35">
      <c r="A13" s="451"/>
      <c r="B13" s="764"/>
      <c r="C13" s="451" t="s">
        <v>420</v>
      </c>
      <c r="D13" s="451">
        <v>8</v>
      </c>
      <c r="E13" s="451">
        <v>40</v>
      </c>
      <c r="F13" s="10" t="s">
        <v>421</v>
      </c>
      <c r="G13" s="141">
        <v>8</v>
      </c>
      <c r="H13" s="56">
        <v>1050</v>
      </c>
      <c r="I13" s="140">
        <f t="shared" ref="I13:I21" si="3">+H13+1335+200</f>
        <v>2585</v>
      </c>
      <c r="J13" s="140">
        <f t="shared" si="1"/>
        <v>19.695238095238096</v>
      </c>
      <c r="K13" s="140">
        <f t="shared" si="2"/>
        <v>27.695238095238096</v>
      </c>
      <c r="L13" s="453">
        <v>0.3</v>
      </c>
      <c r="M13" s="140">
        <f t="shared" si="0"/>
        <v>36.003809523809522</v>
      </c>
      <c r="N13" s="140">
        <v>45</v>
      </c>
      <c r="O13" s="140"/>
      <c r="R13" s="324" t="s">
        <v>2349</v>
      </c>
      <c r="S13" s="404"/>
      <c r="T13" s="138"/>
    </row>
    <row r="14" spans="1:22" s="10" customFormat="1" ht="15.5" outlineLevel="1" x14ac:dyDescent="0.35">
      <c r="A14" s="451"/>
      <c r="B14" s="764"/>
      <c r="C14" s="451" t="s">
        <v>420</v>
      </c>
      <c r="D14" s="451">
        <v>9</v>
      </c>
      <c r="E14" s="451">
        <v>41</v>
      </c>
      <c r="F14" s="10" t="s">
        <v>421</v>
      </c>
      <c r="G14" s="141">
        <v>8</v>
      </c>
      <c r="H14" s="56">
        <v>1050</v>
      </c>
      <c r="I14" s="140">
        <f t="shared" si="3"/>
        <v>2585</v>
      </c>
      <c r="J14" s="140">
        <f t="shared" si="1"/>
        <v>19.695238095238096</v>
      </c>
      <c r="K14" s="140">
        <f t="shared" si="2"/>
        <v>27.695238095238096</v>
      </c>
      <c r="L14" s="453">
        <v>0.3</v>
      </c>
      <c r="M14" s="140">
        <f t="shared" si="0"/>
        <v>36.003809523809522</v>
      </c>
      <c r="N14" s="140">
        <v>45</v>
      </c>
      <c r="O14" s="140"/>
      <c r="R14" s="324" t="s">
        <v>2349</v>
      </c>
      <c r="S14" s="404"/>
      <c r="T14" s="138"/>
    </row>
    <row r="15" spans="1:22" s="10" customFormat="1" ht="15.5" outlineLevel="1" x14ac:dyDescent="0.35">
      <c r="A15" s="451"/>
      <c r="B15" s="764"/>
      <c r="C15" s="451" t="s">
        <v>420</v>
      </c>
      <c r="D15" s="451">
        <v>10</v>
      </c>
      <c r="E15" s="451">
        <v>40</v>
      </c>
      <c r="F15" s="10" t="s">
        <v>422</v>
      </c>
      <c r="G15" s="141">
        <v>8</v>
      </c>
      <c r="H15" s="56">
        <v>1050</v>
      </c>
      <c r="I15" s="140">
        <f t="shared" si="3"/>
        <v>2585</v>
      </c>
      <c r="J15" s="140">
        <f t="shared" si="1"/>
        <v>19.695238095238096</v>
      </c>
      <c r="K15" s="140">
        <f t="shared" si="2"/>
        <v>27.695238095238096</v>
      </c>
      <c r="L15" s="453">
        <v>0.3</v>
      </c>
      <c r="M15" s="140">
        <f t="shared" si="0"/>
        <v>36.003809523809522</v>
      </c>
      <c r="N15" s="140">
        <v>45</v>
      </c>
      <c r="O15" s="140"/>
      <c r="R15" s="324" t="s">
        <v>2349</v>
      </c>
      <c r="S15" s="404"/>
      <c r="T15" s="138"/>
    </row>
    <row r="16" spans="1:22" s="10" customFormat="1" ht="15.5" outlineLevel="1" x14ac:dyDescent="0.35">
      <c r="A16" s="451"/>
      <c r="B16" s="764"/>
      <c r="C16" s="451" t="s">
        <v>420</v>
      </c>
      <c r="D16" s="451">
        <v>11</v>
      </c>
      <c r="E16" s="451">
        <v>41</v>
      </c>
      <c r="F16" s="10" t="s">
        <v>424</v>
      </c>
      <c r="G16" s="141">
        <v>8</v>
      </c>
      <c r="H16" s="56">
        <v>1050</v>
      </c>
      <c r="I16" s="140">
        <f t="shared" si="3"/>
        <v>2585</v>
      </c>
      <c r="J16" s="140">
        <f t="shared" si="1"/>
        <v>19.695238095238096</v>
      </c>
      <c r="K16" s="140">
        <f t="shared" si="2"/>
        <v>27.695238095238096</v>
      </c>
      <c r="L16" s="453">
        <v>0.3</v>
      </c>
      <c r="M16" s="140">
        <f t="shared" si="0"/>
        <v>36.003809523809522</v>
      </c>
      <c r="N16" s="140">
        <v>45</v>
      </c>
      <c r="O16" s="140"/>
      <c r="R16" s="324" t="s">
        <v>2349</v>
      </c>
      <c r="S16" s="404"/>
      <c r="T16" s="138"/>
    </row>
    <row r="17" spans="1:20" s="10" customFormat="1" ht="15.5" outlineLevel="1" x14ac:dyDescent="0.35">
      <c r="A17" s="451"/>
      <c r="B17" s="764"/>
      <c r="C17" s="451" t="s">
        <v>420</v>
      </c>
      <c r="D17" s="451">
        <v>12</v>
      </c>
      <c r="E17" s="451">
        <v>39</v>
      </c>
      <c r="F17" s="10" t="s">
        <v>424</v>
      </c>
      <c r="G17" s="141">
        <v>8</v>
      </c>
      <c r="H17" s="56">
        <v>1050</v>
      </c>
      <c r="I17" s="140">
        <f t="shared" si="3"/>
        <v>2585</v>
      </c>
      <c r="J17" s="140">
        <f t="shared" si="1"/>
        <v>19.695238095238096</v>
      </c>
      <c r="K17" s="140">
        <f t="shared" si="2"/>
        <v>27.695238095238096</v>
      </c>
      <c r="L17" s="453">
        <v>0.3</v>
      </c>
      <c r="M17" s="140">
        <f t="shared" si="0"/>
        <v>36.003809523809522</v>
      </c>
      <c r="N17" s="140">
        <v>45</v>
      </c>
      <c r="O17" s="140"/>
      <c r="R17" s="324" t="s">
        <v>2349</v>
      </c>
      <c r="S17" s="404"/>
      <c r="T17" s="138"/>
    </row>
    <row r="18" spans="1:20" s="10" customFormat="1" ht="15.5" outlineLevel="1" x14ac:dyDescent="0.35">
      <c r="A18" s="451"/>
      <c r="B18" s="764"/>
      <c r="C18" s="451" t="s">
        <v>420</v>
      </c>
      <c r="D18" s="451">
        <v>13</v>
      </c>
      <c r="E18" s="451">
        <v>39</v>
      </c>
      <c r="F18" s="10" t="s">
        <v>425</v>
      </c>
      <c r="G18" s="141">
        <v>8</v>
      </c>
      <c r="H18" s="56">
        <v>1050</v>
      </c>
      <c r="I18" s="140">
        <f t="shared" si="3"/>
        <v>2585</v>
      </c>
      <c r="J18" s="140">
        <f t="shared" si="1"/>
        <v>19.695238095238096</v>
      </c>
      <c r="K18" s="140">
        <f t="shared" si="2"/>
        <v>27.695238095238096</v>
      </c>
      <c r="L18" s="453">
        <v>0.3</v>
      </c>
      <c r="M18" s="140">
        <f t="shared" si="0"/>
        <v>36.003809523809522</v>
      </c>
      <c r="N18" s="140">
        <v>45</v>
      </c>
      <c r="O18" s="140"/>
      <c r="R18" s="324" t="s">
        <v>2349</v>
      </c>
      <c r="S18" s="404"/>
      <c r="T18" s="138"/>
    </row>
    <row r="19" spans="1:20" s="10" customFormat="1" ht="15.5" outlineLevel="1" x14ac:dyDescent="0.35">
      <c r="A19" s="451"/>
      <c r="B19" s="764"/>
      <c r="C19" s="451" t="s">
        <v>420</v>
      </c>
      <c r="D19" s="451">
        <v>14</v>
      </c>
      <c r="E19" s="451">
        <v>40</v>
      </c>
      <c r="F19" s="10" t="s">
        <v>425</v>
      </c>
      <c r="G19" s="141">
        <v>8</v>
      </c>
      <c r="H19" s="56">
        <v>1050</v>
      </c>
      <c r="I19" s="140">
        <f t="shared" si="3"/>
        <v>2585</v>
      </c>
      <c r="J19" s="140">
        <f t="shared" si="1"/>
        <v>19.695238095238096</v>
      </c>
      <c r="K19" s="140">
        <f t="shared" si="2"/>
        <v>27.695238095238096</v>
      </c>
      <c r="L19" s="453">
        <v>0.3</v>
      </c>
      <c r="M19" s="140">
        <f t="shared" si="0"/>
        <v>36.003809523809522</v>
      </c>
      <c r="N19" s="140">
        <v>45</v>
      </c>
      <c r="O19" s="140"/>
      <c r="R19" s="324" t="s">
        <v>2349</v>
      </c>
      <c r="S19" s="404"/>
      <c r="T19" s="138"/>
    </row>
    <row r="20" spans="1:20" s="10" customFormat="1" ht="15.5" outlineLevel="1" x14ac:dyDescent="0.35">
      <c r="A20" s="451"/>
      <c r="B20" s="764"/>
      <c r="C20" s="451" t="s">
        <v>420</v>
      </c>
      <c r="D20" s="451">
        <v>15</v>
      </c>
      <c r="E20" s="451">
        <v>41</v>
      </c>
      <c r="F20" s="10" t="s">
        <v>425</v>
      </c>
      <c r="G20" s="141">
        <v>8</v>
      </c>
      <c r="H20" s="56">
        <v>1050</v>
      </c>
      <c r="I20" s="140">
        <f t="shared" si="3"/>
        <v>2585</v>
      </c>
      <c r="J20" s="140">
        <f t="shared" si="1"/>
        <v>19.695238095238096</v>
      </c>
      <c r="K20" s="140">
        <f t="shared" si="2"/>
        <v>27.695238095238096</v>
      </c>
      <c r="L20" s="453">
        <v>0.3</v>
      </c>
      <c r="M20" s="140">
        <f t="shared" si="0"/>
        <v>36.003809523809522</v>
      </c>
      <c r="N20" s="140">
        <v>45</v>
      </c>
      <c r="O20" s="140"/>
      <c r="R20" s="324" t="s">
        <v>2349</v>
      </c>
      <c r="S20" s="404"/>
      <c r="T20" s="138"/>
    </row>
    <row r="21" spans="1:20" s="10" customFormat="1" ht="15.5" outlineLevel="1" x14ac:dyDescent="0.35">
      <c r="A21" s="451"/>
      <c r="B21" s="764"/>
      <c r="C21" s="451" t="s">
        <v>420</v>
      </c>
      <c r="D21" s="451">
        <v>16</v>
      </c>
      <c r="E21" s="451">
        <v>37</v>
      </c>
      <c r="F21" s="397" t="s">
        <v>423</v>
      </c>
      <c r="G21" s="734">
        <v>8</v>
      </c>
      <c r="H21" s="456">
        <v>1050</v>
      </c>
      <c r="I21" s="450">
        <f t="shared" si="3"/>
        <v>2585</v>
      </c>
      <c r="J21" s="450">
        <f t="shared" si="1"/>
        <v>19.695238095238096</v>
      </c>
      <c r="K21" s="450">
        <f t="shared" si="2"/>
        <v>27.695238095238096</v>
      </c>
      <c r="L21" s="584">
        <v>0.3</v>
      </c>
      <c r="M21" s="450">
        <f t="shared" si="0"/>
        <v>36.003809523809522</v>
      </c>
      <c r="N21" s="450">
        <v>45</v>
      </c>
      <c r="O21" s="450"/>
      <c r="P21" s="397"/>
      <c r="Q21" s="397"/>
      <c r="R21" s="779" t="s">
        <v>2517</v>
      </c>
      <c r="S21" s="404"/>
      <c r="T21" s="138"/>
    </row>
    <row r="22" spans="1:20" s="10" customFormat="1" ht="15.5" outlineLevel="1" x14ac:dyDescent="0.35">
      <c r="B22" s="11"/>
      <c r="F22" s="11" t="s">
        <v>426</v>
      </c>
      <c r="G22" s="140"/>
      <c r="H22" s="56"/>
      <c r="I22" s="140"/>
      <c r="J22" s="140"/>
      <c r="K22" s="140"/>
      <c r="L22" s="453"/>
      <c r="M22" s="140">
        <f t="shared" si="0"/>
        <v>0</v>
      </c>
      <c r="N22" s="140"/>
      <c r="O22" s="140"/>
      <c r="S22" s="404"/>
      <c r="T22" s="138"/>
    </row>
    <row r="23" spans="1:20" s="10" customFormat="1" ht="15.5" outlineLevel="1" x14ac:dyDescent="0.35">
      <c r="A23" s="451"/>
      <c r="B23" s="764"/>
      <c r="C23" s="451" t="s">
        <v>430</v>
      </c>
      <c r="D23" s="451">
        <v>17</v>
      </c>
      <c r="E23" s="451">
        <v>39</v>
      </c>
      <c r="F23" s="10" t="s">
        <v>431</v>
      </c>
      <c r="G23" s="140">
        <v>7</v>
      </c>
      <c r="H23" s="56">
        <v>1050</v>
      </c>
      <c r="I23" s="140">
        <f t="shared" ref="I23:I34" si="4">+H23+1335+200</f>
        <v>2585</v>
      </c>
      <c r="J23" s="140">
        <f t="shared" ref="J23:J34" si="5">+G23/H23*I23</f>
        <v>17.233333333333334</v>
      </c>
      <c r="K23" s="140">
        <f t="shared" ref="K23:K34" si="6">+G23+J23</f>
        <v>24.233333333333334</v>
      </c>
      <c r="L23" s="453">
        <v>0.3</v>
      </c>
      <c r="M23" s="140">
        <f t="shared" si="0"/>
        <v>31.503333333333334</v>
      </c>
      <c r="N23" s="140">
        <v>30</v>
      </c>
      <c r="O23" s="140"/>
      <c r="R23" s="324" t="s">
        <v>2349</v>
      </c>
      <c r="S23" s="404"/>
      <c r="T23" s="138"/>
    </row>
    <row r="24" spans="1:20" s="10" customFormat="1" ht="15.5" outlineLevel="1" x14ac:dyDescent="0.35">
      <c r="A24" s="451"/>
      <c r="B24" s="764"/>
      <c r="C24" s="451" t="s">
        <v>257</v>
      </c>
      <c r="D24" s="451">
        <v>18</v>
      </c>
      <c r="E24" s="451">
        <v>39</v>
      </c>
      <c r="F24" s="10" t="s">
        <v>2350</v>
      </c>
      <c r="G24" s="140">
        <v>6</v>
      </c>
      <c r="H24" s="56">
        <v>1050</v>
      </c>
      <c r="I24" s="140">
        <f t="shared" si="4"/>
        <v>2585</v>
      </c>
      <c r="J24" s="140">
        <f t="shared" si="5"/>
        <v>14.771428571428572</v>
      </c>
      <c r="K24" s="140">
        <f t="shared" si="6"/>
        <v>20.771428571428572</v>
      </c>
      <c r="L24" s="453">
        <v>0.3</v>
      </c>
      <c r="M24" s="140">
        <f t="shared" si="0"/>
        <v>27.002857142857145</v>
      </c>
      <c r="N24" s="140">
        <v>25</v>
      </c>
      <c r="O24" s="140"/>
      <c r="R24" s="324"/>
      <c r="S24" s="404"/>
      <c r="T24" s="138"/>
    </row>
    <row r="25" spans="1:20" s="10" customFormat="1" ht="15.5" outlineLevel="1" x14ac:dyDescent="0.35">
      <c r="A25" s="451"/>
      <c r="B25" s="764"/>
      <c r="C25" s="451" t="s">
        <v>420</v>
      </c>
      <c r="D25" s="451">
        <v>20</v>
      </c>
      <c r="E25" s="451">
        <v>39</v>
      </c>
      <c r="F25" s="487" t="s">
        <v>427</v>
      </c>
      <c r="G25" s="488">
        <v>6</v>
      </c>
      <c r="H25" s="874">
        <v>1050</v>
      </c>
      <c r="I25" s="488">
        <f t="shared" si="4"/>
        <v>2585</v>
      </c>
      <c r="J25" s="488">
        <f t="shared" si="5"/>
        <v>14.771428571428572</v>
      </c>
      <c r="K25" s="488">
        <f t="shared" si="6"/>
        <v>20.771428571428572</v>
      </c>
      <c r="L25" s="875">
        <v>0.3</v>
      </c>
      <c r="M25" s="488">
        <f t="shared" si="0"/>
        <v>27.002857142857145</v>
      </c>
      <c r="N25" s="488">
        <v>25</v>
      </c>
      <c r="O25" s="488">
        <v>15</v>
      </c>
      <c r="R25" s="324" t="s">
        <v>2830</v>
      </c>
      <c r="S25" s="404"/>
      <c r="T25" s="138"/>
    </row>
    <row r="26" spans="1:20" s="10" customFormat="1" ht="15.5" outlineLevel="1" x14ac:dyDescent="0.35">
      <c r="A26" s="451"/>
      <c r="B26" s="764"/>
      <c r="C26" s="451" t="s">
        <v>420</v>
      </c>
      <c r="D26" s="451">
        <v>21</v>
      </c>
      <c r="E26" s="451">
        <v>40</v>
      </c>
      <c r="F26" s="10" t="s">
        <v>428</v>
      </c>
      <c r="G26" s="140">
        <v>6</v>
      </c>
      <c r="H26" s="56">
        <v>1050</v>
      </c>
      <c r="I26" s="140">
        <f t="shared" si="4"/>
        <v>2585</v>
      </c>
      <c r="J26" s="140">
        <f t="shared" si="5"/>
        <v>14.771428571428572</v>
      </c>
      <c r="K26" s="140">
        <f t="shared" si="6"/>
        <v>20.771428571428572</v>
      </c>
      <c r="L26" s="453">
        <v>0.3</v>
      </c>
      <c r="M26" s="140">
        <f t="shared" si="0"/>
        <v>27.002857142857145</v>
      </c>
      <c r="N26" s="140">
        <v>25</v>
      </c>
      <c r="O26" s="140"/>
      <c r="R26" s="324"/>
      <c r="S26" s="404"/>
      <c r="T26" s="138"/>
    </row>
    <row r="27" spans="1:20" s="10" customFormat="1" ht="15.5" outlineLevel="1" x14ac:dyDescent="0.35">
      <c r="A27" s="451"/>
      <c r="B27" s="764"/>
      <c r="C27" s="451" t="s">
        <v>420</v>
      </c>
      <c r="D27" s="451">
        <v>22</v>
      </c>
      <c r="E27" s="451">
        <v>41</v>
      </c>
      <c r="F27" s="10" t="s">
        <v>428</v>
      </c>
      <c r="G27" s="140">
        <v>6</v>
      </c>
      <c r="H27" s="56">
        <v>1050</v>
      </c>
      <c r="I27" s="140">
        <f t="shared" si="4"/>
        <v>2585</v>
      </c>
      <c r="J27" s="140">
        <f t="shared" si="5"/>
        <v>14.771428571428572</v>
      </c>
      <c r="K27" s="140">
        <f t="shared" si="6"/>
        <v>20.771428571428572</v>
      </c>
      <c r="L27" s="453">
        <v>0.3</v>
      </c>
      <c r="M27" s="140">
        <f t="shared" si="0"/>
        <v>27.002857142857145</v>
      </c>
      <c r="N27" s="140">
        <v>25</v>
      </c>
      <c r="O27" s="140"/>
      <c r="R27" s="324"/>
      <c r="S27" s="404"/>
      <c r="T27" s="138"/>
    </row>
    <row r="28" spans="1:20" s="10" customFormat="1" ht="15.5" outlineLevel="1" x14ac:dyDescent="0.35">
      <c r="A28" s="451"/>
      <c r="B28" s="764"/>
      <c r="C28" s="451" t="s">
        <v>420</v>
      </c>
      <c r="D28" s="451">
        <v>23</v>
      </c>
      <c r="E28" s="451">
        <v>39</v>
      </c>
      <c r="F28" s="10" t="s">
        <v>428</v>
      </c>
      <c r="G28" s="140">
        <v>6</v>
      </c>
      <c r="H28" s="56">
        <v>1050</v>
      </c>
      <c r="I28" s="140">
        <f t="shared" si="4"/>
        <v>2585</v>
      </c>
      <c r="J28" s="140">
        <f t="shared" si="5"/>
        <v>14.771428571428572</v>
      </c>
      <c r="K28" s="140">
        <f t="shared" si="6"/>
        <v>20.771428571428572</v>
      </c>
      <c r="L28" s="453">
        <v>0.3</v>
      </c>
      <c r="M28" s="140">
        <f t="shared" si="0"/>
        <v>27.002857142857145</v>
      </c>
      <c r="N28" s="140">
        <v>25</v>
      </c>
      <c r="O28" s="140"/>
      <c r="R28" s="324"/>
      <c r="S28" s="404"/>
      <c r="T28" s="138"/>
    </row>
    <row r="29" spans="1:20" s="10" customFormat="1" ht="15.5" outlineLevel="1" x14ac:dyDescent="0.35">
      <c r="A29" s="451"/>
      <c r="B29" s="764"/>
      <c r="C29" s="451" t="s">
        <v>420</v>
      </c>
      <c r="D29" s="451">
        <v>24</v>
      </c>
      <c r="E29" s="451">
        <v>41</v>
      </c>
      <c r="F29" s="10" t="s">
        <v>428</v>
      </c>
      <c r="G29" s="140">
        <v>6</v>
      </c>
      <c r="H29" s="56">
        <v>1050</v>
      </c>
      <c r="I29" s="140">
        <f t="shared" si="4"/>
        <v>2585</v>
      </c>
      <c r="J29" s="140">
        <f t="shared" si="5"/>
        <v>14.771428571428572</v>
      </c>
      <c r="K29" s="140">
        <f t="shared" si="6"/>
        <v>20.771428571428572</v>
      </c>
      <c r="L29" s="453">
        <v>0.3</v>
      </c>
      <c r="M29" s="140">
        <f t="shared" si="0"/>
        <v>27.002857142857145</v>
      </c>
      <c r="N29" s="140">
        <v>25</v>
      </c>
      <c r="O29" s="140"/>
      <c r="R29" s="324"/>
      <c r="S29" s="404"/>
      <c r="T29" s="138"/>
    </row>
    <row r="30" spans="1:20" s="10" customFormat="1" ht="15.5" outlineLevel="1" x14ac:dyDescent="0.35">
      <c r="A30" s="451"/>
      <c r="B30" s="764"/>
      <c r="C30" s="451" t="s">
        <v>420</v>
      </c>
      <c r="D30" s="451">
        <v>25</v>
      </c>
      <c r="E30" s="451">
        <v>40</v>
      </c>
      <c r="F30" s="10" t="s">
        <v>428</v>
      </c>
      <c r="G30" s="140">
        <v>6</v>
      </c>
      <c r="H30" s="56">
        <v>1050</v>
      </c>
      <c r="I30" s="140">
        <f t="shared" si="4"/>
        <v>2585</v>
      </c>
      <c r="J30" s="140">
        <f t="shared" si="5"/>
        <v>14.771428571428572</v>
      </c>
      <c r="K30" s="140">
        <f t="shared" si="6"/>
        <v>20.771428571428572</v>
      </c>
      <c r="L30" s="453">
        <v>0.3</v>
      </c>
      <c r="M30" s="140">
        <f t="shared" si="0"/>
        <v>27.002857142857145</v>
      </c>
      <c r="N30" s="140">
        <v>25</v>
      </c>
      <c r="O30" s="140"/>
      <c r="R30" s="324"/>
      <c r="S30" s="404"/>
      <c r="T30" s="138"/>
    </row>
    <row r="31" spans="1:20" s="10" customFormat="1" ht="15.5" outlineLevel="1" x14ac:dyDescent="0.35">
      <c r="A31" s="451"/>
      <c r="B31" s="764"/>
      <c r="C31" s="451" t="s">
        <v>420</v>
      </c>
      <c r="D31" s="451">
        <v>26</v>
      </c>
      <c r="E31" s="451">
        <v>38</v>
      </c>
      <c r="F31" s="10" t="s">
        <v>428</v>
      </c>
      <c r="G31" s="140">
        <v>6</v>
      </c>
      <c r="H31" s="56">
        <v>1050</v>
      </c>
      <c r="I31" s="140">
        <f t="shared" si="4"/>
        <v>2585</v>
      </c>
      <c r="J31" s="140">
        <f t="shared" si="5"/>
        <v>14.771428571428572</v>
      </c>
      <c r="K31" s="140">
        <f t="shared" si="6"/>
        <v>20.771428571428572</v>
      </c>
      <c r="L31" s="453">
        <v>0.3</v>
      </c>
      <c r="M31" s="140">
        <f t="shared" ref="M31:M56" si="7">+K31*L31+K31</f>
        <v>27.002857142857145</v>
      </c>
      <c r="N31" s="140">
        <v>25</v>
      </c>
      <c r="O31" s="140"/>
      <c r="R31" s="324"/>
      <c r="S31" s="404"/>
      <c r="T31" s="138"/>
    </row>
    <row r="32" spans="1:20" s="10" customFormat="1" ht="15.5" outlineLevel="1" x14ac:dyDescent="0.35">
      <c r="A32" s="451"/>
      <c r="B32" s="764"/>
      <c r="C32" s="451" t="s">
        <v>420</v>
      </c>
      <c r="D32" s="451">
        <v>27</v>
      </c>
      <c r="E32" s="451">
        <v>41</v>
      </c>
      <c r="F32" s="10" t="s">
        <v>429</v>
      </c>
      <c r="G32" s="140">
        <v>6</v>
      </c>
      <c r="H32" s="56">
        <v>1050</v>
      </c>
      <c r="I32" s="140">
        <f t="shared" si="4"/>
        <v>2585</v>
      </c>
      <c r="J32" s="140">
        <f t="shared" si="5"/>
        <v>14.771428571428572</v>
      </c>
      <c r="K32" s="140">
        <f t="shared" si="6"/>
        <v>20.771428571428572</v>
      </c>
      <c r="L32" s="453">
        <v>0.3</v>
      </c>
      <c r="M32" s="140">
        <f t="shared" si="7"/>
        <v>27.002857142857145</v>
      </c>
      <c r="N32" s="140">
        <v>25</v>
      </c>
      <c r="O32" s="140"/>
      <c r="R32" s="324"/>
      <c r="S32" s="404"/>
      <c r="T32" s="138"/>
    </row>
    <row r="33" spans="1:22" s="10" customFormat="1" ht="15.5" outlineLevel="1" x14ac:dyDescent="0.35">
      <c r="A33" s="451"/>
      <c r="B33" s="764"/>
      <c r="C33" s="451" t="s">
        <v>420</v>
      </c>
      <c r="D33" s="451">
        <v>28</v>
      </c>
      <c r="E33" s="451">
        <v>39</v>
      </c>
      <c r="F33" s="10" t="s">
        <v>429</v>
      </c>
      <c r="G33" s="140">
        <v>6</v>
      </c>
      <c r="H33" s="56">
        <v>1050</v>
      </c>
      <c r="I33" s="140">
        <f t="shared" si="4"/>
        <v>2585</v>
      </c>
      <c r="J33" s="140">
        <f t="shared" si="5"/>
        <v>14.771428571428572</v>
      </c>
      <c r="K33" s="140">
        <f t="shared" si="6"/>
        <v>20.771428571428572</v>
      </c>
      <c r="L33" s="453">
        <v>0.3</v>
      </c>
      <c r="M33" s="140">
        <f t="shared" si="7"/>
        <v>27.002857142857145</v>
      </c>
      <c r="N33" s="140">
        <v>25</v>
      </c>
      <c r="O33" s="140"/>
      <c r="R33" s="324"/>
      <c r="S33" s="404"/>
      <c r="T33" s="138"/>
    </row>
    <row r="34" spans="1:22" s="10" customFormat="1" ht="15.5" outlineLevel="1" x14ac:dyDescent="0.35">
      <c r="A34" s="451"/>
      <c r="B34" s="764"/>
      <c r="C34" s="451" t="s">
        <v>420</v>
      </c>
      <c r="D34" s="451">
        <v>29</v>
      </c>
      <c r="E34" s="451">
        <v>40</v>
      </c>
      <c r="F34" s="10" t="s">
        <v>429</v>
      </c>
      <c r="G34" s="140">
        <v>6</v>
      </c>
      <c r="H34" s="56">
        <v>1050</v>
      </c>
      <c r="I34" s="140">
        <f t="shared" si="4"/>
        <v>2585</v>
      </c>
      <c r="J34" s="140">
        <f t="shared" si="5"/>
        <v>14.771428571428572</v>
      </c>
      <c r="K34" s="140">
        <f t="shared" si="6"/>
        <v>20.771428571428572</v>
      </c>
      <c r="L34" s="453">
        <v>0.3</v>
      </c>
      <c r="M34" s="140">
        <f t="shared" si="7"/>
        <v>27.002857142857145</v>
      </c>
      <c r="N34" s="140">
        <v>25</v>
      </c>
      <c r="O34" s="140"/>
      <c r="R34" s="324"/>
      <c r="S34" s="404"/>
      <c r="T34" s="138"/>
    </row>
    <row r="35" spans="1:22" s="10" customFormat="1" ht="15.5" outlineLevel="1" x14ac:dyDescent="0.35">
      <c r="B35" s="11"/>
      <c r="F35" s="493" t="s">
        <v>432</v>
      </c>
      <c r="G35" s="140"/>
      <c r="H35" s="56"/>
      <c r="I35" s="140"/>
      <c r="J35" s="140"/>
      <c r="K35" s="140"/>
      <c r="L35" s="453"/>
      <c r="M35" s="140">
        <f t="shared" si="7"/>
        <v>0</v>
      </c>
      <c r="N35" s="140"/>
      <c r="O35" s="140"/>
      <c r="R35" s="324"/>
      <c r="S35" s="404"/>
      <c r="T35" s="138"/>
    </row>
    <row r="36" spans="1:22" s="10" customFormat="1" ht="15.5" outlineLevel="1" x14ac:dyDescent="0.35">
      <c r="A36" s="451"/>
      <c r="B36" s="764"/>
      <c r="C36" s="451" t="s">
        <v>433</v>
      </c>
      <c r="D36" s="451">
        <v>30</v>
      </c>
      <c r="E36" s="451">
        <v>39</v>
      </c>
      <c r="F36" s="10" t="s">
        <v>434</v>
      </c>
      <c r="G36" s="140">
        <v>12</v>
      </c>
      <c r="H36" s="56">
        <v>1050</v>
      </c>
      <c r="I36" s="140">
        <f>+H36+1335+200</f>
        <v>2585</v>
      </c>
      <c r="J36" s="140">
        <f>+G36/H36*I36</f>
        <v>29.542857142857144</v>
      </c>
      <c r="K36" s="140">
        <f>+G36+J36</f>
        <v>41.542857142857144</v>
      </c>
      <c r="L36" s="453">
        <v>0.3</v>
      </c>
      <c r="M36" s="140">
        <f t="shared" si="7"/>
        <v>54.005714285714291</v>
      </c>
      <c r="N36" s="140">
        <v>65</v>
      </c>
      <c r="O36" s="140"/>
      <c r="R36" s="324" t="s">
        <v>2349</v>
      </c>
      <c r="S36" s="404"/>
      <c r="T36" s="138"/>
    </row>
    <row r="37" spans="1:22" s="10" customFormat="1" ht="15.5" outlineLevel="1" x14ac:dyDescent="0.35">
      <c r="A37" s="451"/>
      <c r="B37" s="764"/>
      <c r="C37" s="451" t="s">
        <v>435</v>
      </c>
      <c r="D37" s="451">
        <v>32</v>
      </c>
      <c r="E37" s="451">
        <v>37</v>
      </c>
      <c r="F37" s="10" t="s">
        <v>541</v>
      </c>
      <c r="G37" s="140">
        <v>12</v>
      </c>
      <c r="H37" s="56">
        <v>1050</v>
      </c>
      <c r="I37" s="140">
        <f>+H37+1335+200</f>
        <v>2585</v>
      </c>
      <c r="J37" s="140">
        <f>+G37/H37*I37</f>
        <v>29.542857142857144</v>
      </c>
      <c r="K37" s="140">
        <f>+G37+J37</f>
        <v>41.542857142857144</v>
      </c>
      <c r="L37" s="453">
        <v>0.3</v>
      </c>
      <c r="M37" s="140">
        <f t="shared" si="7"/>
        <v>54.005714285714291</v>
      </c>
      <c r="N37" s="140">
        <v>55</v>
      </c>
      <c r="O37" s="140"/>
      <c r="R37" s="324" t="s">
        <v>2349</v>
      </c>
      <c r="S37" s="404"/>
      <c r="T37" s="138"/>
    </row>
    <row r="38" spans="1:22" s="10" customFormat="1" ht="15.5" outlineLevel="1" x14ac:dyDescent="0.35">
      <c r="A38" s="451"/>
      <c r="B38" s="71"/>
      <c r="C38" s="71" t="s">
        <v>243</v>
      </c>
      <c r="D38" s="451">
        <v>3</v>
      </c>
      <c r="E38" s="71"/>
      <c r="F38" s="916" t="s">
        <v>103</v>
      </c>
      <c r="G38" s="52"/>
      <c r="H38" s="255"/>
      <c r="I38" s="255"/>
      <c r="J38" s="255"/>
      <c r="K38" s="255"/>
      <c r="L38" s="917"/>
      <c r="M38" s="140">
        <f t="shared" si="7"/>
        <v>0</v>
      </c>
      <c r="N38" s="255">
        <v>70</v>
      </c>
      <c r="O38" s="255"/>
      <c r="P38" s="255"/>
      <c r="Q38" s="255"/>
      <c r="R38" s="324" t="s">
        <v>2357</v>
      </c>
      <c r="S38" s="448"/>
      <c r="T38" s="918"/>
      <c r="U38" s="52"/>
      <c r="V38" s="52"/>
    </row>
    <row r="39" spans="1:22" s="10" customFormat="1" ht="15.5" outlineLevel="1" x14ac:dyDescent="0.35">
      <c r="B39" s="11"/>
      <c r="C39" s="11" t="s">
        <v>497</v>
      </c>
      <c r="G39" s="140"/>
      <c r="H39" s="56"/>
      <c r="I39" s="140"/>
      <c r="J39" s="140"/>
      <c r="K39" s="140"/>
      <c r="L39" s="453"/>
      <c r="M39" s="140">
        <f t="shared" si="7"/>
        <v>0</v>
      </c>
      <c r="N39" s="140"/>
      <c r="O39" s="140"/>
      <c r="R39" s="324"/>
      <c r="S39" s="404"/>
      <c r="T39" s="138"/>
    </row>
    <row r="40" spans="1:22" s="10" customFormat="1" ht="15.5" outlineLevel="1" x14ac:dyDescent="0.35">
      <c r="A40" s="451"/>
      <c r="B40" s="764"/>
      <c r="C40" s="451" t="s">
        <v>242</v>
      </c>
      <c r="D40" s="451">
        <v>34</v>
      </c>
      <c r="E40" s="451">
        <v>36</v>
      </c>
      <c r="F40" s="10" t="s">
        <v>265</v>
      </c>
      <c r="G40" s="140">
        <v>13</v>
      </c>
      <c r="H40" s="10">
        <v>844</v>
      </c>
      <c r="I40" s="140">
        <v>1496</v>
      </c>
      <c r="J40" s="140">
        <f t="shared" ref="J40:J47" si="8">+G40/H40*I40</f>
        <v>23.042654028436019</v>
      </c>
      <c r="K40" s="140">
        <f t="shared" ref="K40:K47" si="9">+G40+J40</f>
        <v>36.042654028436019</v>
      </c>
      <c r="L40" s="453">
        <v>0.3</v>
      </c>
      <c r="M40" s="140">
        <f t="shared" si="7"/>
        <v>46.855450236966824</v>
      </c>
      <c r="N40" s="140">
        <v>55</v>
      </c>
      <c r="O40" s="140"/>
      <c r="S40" s="404"/>
      <c r="T40" s="138"/>
    </row>
    <row r="41" spans="1:22" s="10" customFormat="1" ht="15.5" outlineLevel="1" x14ac:dyDescent="0.35">
      <c r="A41" s="451"/>
      <c r="B41" s="764"/>
      <c r="C41" s="451" t="s">
        <v>242</v>
      </c>
      <c r="D41" s="451">
        <v>35</v>
      </c>
      <c r="E41" s="451">
        <v>37</v>
      </c>
      <c r="F41" s="10" t="s">
        <v>265</v>
      </c>
      <c r="G41" s="140">
        <v>13</v>
      </c>
      <c r="H41" s="10">
        <v>844</v>
      </c>
      <c r="I41" s="140">
        <v>1496</v>
      </c>
      <c r="J41" s="140">
        <f t="shared" si="8"/>
        <v>23.042654028436019</v>
      </c>
      <c r="K41" s="140">
        <f t="shared" si="9"/>
        <v>36.042654028436019</v>
      </c>
      <c r="L41" s="453">
        <v>0.3</v>
      </c>
      <c r="M41" s="140">
        <f t="shared" si="7"/>
        <v>46.855450236966824</v>
      </c>
      <c r="N41" s="140">
        <v>55</v>
      </c>
      <c r="O41" s="140"/>
      <c r="S41" s="404"/>
      <c r="T41" s="138"/>
    </row>
    <row r="42" spans="1:22" s="10" customFormat="1" ht="15.5" outlineLevel="1" x14ac:dyDescent="0.35">
      <c r="A42" s="451"/>
      <c r="B42" s="764"/>
      <c r="C42" s="451" t="s">
        <v>242</v>
      </c>
      <c r="D42" s="451">
        <v>36</v>
      </c>
      <c r="E42" s="451">
        <v>38</v>
      </c>
      <c r="F42" s="10" t="s">
        <v>265</v>
      </c>
      <c r="G42" s="140">
        <v>13</v>
      </c>
      <c r="H42" s="10">
        <v>844</v>
      </c>
      <c r="I42" s="140">
        <v>1496</v>
      </c>
      <c r="J42" s="140">
        <f t="shared" si="8"/>
        <v>23.042654028436019</v>
      </c>
      <c r="K42" s="140">
        <f t="shared" si="9"/>
        <v>36.042654028436019</v>
      </c>
      <c r="L42" s="453">
        <v>0.3</v>
      </c>
      <c r="M42" s="140">
        <f t="shared" si="7"/>
        <v>46.855450236966824</v>
      </c>
      <c r="N42" s="140">
        <v>55</v>
      </c>
      <c r="O42" s="140"/>
      <c r="S42" s="404"/>
      <c r="T42" s="138"/>
    </row>
    <row r="43" spans="1:22" s="10" customFormat="1" ht="15.5" outlineLevel="1" x14ac:dyDescent="0.35">
      <c r="A43" s="451"/>
      <c r="B43" s="764"/>
      <c r="C43" s="451" t="s">
        <v>242</v>
      </c>
      <c r="D43" s="451">
        <v>38</v>
      </c>
      <c r="E43" s="451">
        <v>38</v>
      </c>
      <c r="F43" s="10" t="s">
        <v>265</v>
      </c>
      <c r="G43" s="140">
        <v>13</v>
      </c>
      <c r="H43" s="10">
        <v>844</v>
      </c>
      <c r="I43" s="140">
        <v>1496</v>
      </c>
      <c r="J43" s="140">
        <f t="shared" si="8"/>
        <v>23.042654028436019</v>
      </c>
      <c r="K43" s="140">
        <f t="shared" si="9"/>
        <v>36.042654028436019</v>
      </c>
      <c r="L43" s="453">
        <v>0.3</v>
      </c>
      <c r="M43" s="140">
        <f t="shared" si="7"/>
        <v>46.855450236966824</v>
      </c>
      <c r="N43" s="140">
        <v>55</v>
      </c>
      <c r="O43" s="140"/>
      <c r="S43" s="404"/>
      <c r="T43" s="138"/>
    </row>
    <row r="44" spans="1:22" s="10" customFormat="1" ht="15.5" outlineLevel="1" x14ac:dyDescent="0.35">
      <c r="A44" s="451"/>
      <c r="B44" s="764"/>
      <c r="C44" s="451" t="s">
        <v>242</v>
      </c>
      <c r="D44" s="451">
        <v>39</v>
      </c>
      <c r="E44" s="451">
        <v>39</v>
      </c>
      <c r="F44" s="10" t="s">
        <v>265</v>
      </c>
      <c r="G44" s="140">
        <v>13</v>
      </c>
      <c r="H44" s="10">
        <v>844</v>
      </c>
      <c r="I44" s="140">
        <v>1496</v>
      </c>
      <c r="J44" s="140">
        <f t="shared" si="8"/>
        <v>23.042654028436019</v>
      </c>
      <c r="K44" s="140">
        <f t="shared" si="9"/>
        <v>36.042654028436019</v>
      </c>
      <c r="L44" s="453">
        <v>0.3</v>
      </c>
      <c r="M44" s="140">
        <f t="shared" si="7"/>
        <v>46.855450236966824</v>
      </c>
      <c r="N44" s="140">
        <v>55</v>
      </c>
      <c r="O44" s="140"/>
      <c r="S44" s="404"/>
      <c r="T44" s="138"/>
    </row>
    <row r="45" spans="1:22" s="10" customFormat="1" ht="15.5" outlineLevel="1" x14ac:dyDescent="0.35">
      <c r="A45" s="451"/>
      <c r="B45" s="764"/>
      <c r="C45" s="451" t="s">
        <v>242</v>
      </c>
      <c r="D45" s="451">
        <v>39</v>
      </c>
      <c r="E45" s="451">
        <v>39</v>
      </c>
      <c r="F45" s="397" t="s">
        <v>265</v>
      </c>
      <c r="G45" s="450">
        <v>13</v>
      </c>
      <c r="H45" s="397">
        <v>844</v>
      </c>
      <c r="I45" s="450">
        <v>1496</v>
      </c>
      <c r="J45" s="450">
        <f>+G45/H45*I45</f>
        <v>23.042654028436019</v>
      </c>
      <c r="K45" s="450">
        <f>+G45+J45</f>
        <v>36.042654028436019</v>
      </c>
      <c r="L45" s="584">
        <v>0.3</v>
      </c>
      <c r="M45" s="450">
        <f>+K45*L45+K45</f>
        <v>46.855450236966824</v>
      </c>
      <c r="N45" s="450">
        <v>55</v>
      </c>
      <c r="O45" s="450"/>
      <c r="P45" s="397"/>
      <c r="Q45" s="397"/>
      <c r="R45" s="10" t="s">
        <v>1513</v>
      </c>
      <c r="S45" s="404">
        <v>46064</v>
      </c>
      <c r="T45" s="138"/>
    </row>
    <row r="46" spans="1:22" s="10" customFormat="1" ht="15.5" outlineLevel="1" x14ac:dyDescent="0.35">
      <c r="A46" s="451"/>
      <c r="B46" s="764"/>
      <c r="C46" s="451" t="s">
        <v>242</v>
      </c>
      <c r="D46" s="451">
        <v>40</v>
      </c>
      <c r="E46" s="451">
        <v>37</v>
      </c>
      <c r="F46" s="10" t="s">
        <v>495</v>
      </c>
      <c r="G46" s="140">
        <v>13</v>
      </c>
      <c r="H46" s="10">
        <v>844</v>
      </c>
      <c r="I46" s="140">
        <v>1496</v>
      </c>
      <c r="J46" s="140">
        <f t="shared" si="8"/>
        <v>23.042654028436019</v>
      </c>
      <c r="K46" s="140">
        <f t="shared" si="9"/>
        <v>36.042654028436019</v>
      </c>
      <c r="L46" s="453">
        <v>0.3</v>
      </c>
      <c r="M46" s="140">
        <f t="shared" si="7"/>
        <v>46.855450236966824</v>
      </c>
      <c r="N46" s="140">
        <v>65</v>
      </c>
      <c r="O46" s="140"/>
      <c r="R46" s="10" t="s">
        <v>2349</v>
      </c>
      <c r="S46" s="404"/>
      <c r="T46" s="138"/>
    </row>
    <row r="47" spans="1:22" s="10" customFormat="1" ht="15.5" outlineLevel="1" x14ac:dyDescent="0.35">
      <c r="A47" s="451"/>
      <c r="B47" s="764"/>
      <c r="C47" s="451" t="s">
        <v>242</v>
      </c>
      <c r="D47" s="451">
        <v>41</v>
      </c>
      <c r="E47" s="451">
        <v>36</v>
      </c>
      <c r="F47" s="10" t="s">
        <v>496</v>
      </c>
      <c r="G47" s="140">
        <v>13</v>
      </c>
      <c r="H47" s="10">
        <v>844</v>
      </c>
      <c r="I47" s="140">
        <v>1496</v>
      </c>
      <c r="J47" s="140">
        <f t="shared" si="8"/>
        <v>23.042654028436019</v>
      </c>
      <c r="K47" s="140">
        <f t="shared" si="9"/>
        <v>36.042654028436019</v>
      </c>
      <c r="L47" s="453">
        <v>0.3</v>
      </c>
      <c r="M47" s="140">
        <f t="shared" si="7"/>
        <v>46.855450236966824</v>
      </c>
      <c r="N47" s="140">
        <v>45</v>
      </c>
      <c r="O47" s="140"/>
      <c r="S47" s="404"/>
      <c r="T47" s="138"/>
    </row>
    <row r="48" spans="1:22" s="10" customFormat="1" ht="15.5" outlineLevel="1" x14ac:dyDescent="0.35">
      <c r="A48" s="451"/>
      <c r="B48" s="764"/>
      <c r="C48" s="451" t="s">
        <v>519</v>
      </c>
      <c r="D48" s="451">
        <v>42</v>
      </c>
      <c r="E48" s="451">
        <v>40</v>
      </c>
      <c r="F48" s="10" t="s">
        <v>499</v>
      </c>
      <c r="G48" s="140">
        <v>38</v>
      </c>
      <c r="I48" s="140"/>
      <c r="J48" s="140"/>
      <c r="K48" s="140"/>
      <c r="L48" s="453"/>
      <c r="M48" s="140">
        <f t="shared" si="7"/>
        <v>0</v>
      </c>
      <c r="N48" s="140">
        <v>55</v>
      </c>
      <c r="O48" s="140"/>
      <c r="S48" s="404"/>
      <c r="T48" s="138"/>
    </row>
    <row r="49" spans="1:20" s="10" customFormat="1" ht="15.5" outlineLevel="1" x14ac:dyDescent="0.35">
      <c r="A49" s="451"/>
      <c r="B49" s="764"/>
      <c r="C49" s="451" t="s">
        <v>519</v>
      </c>
      <c r="D49" s="451">
        <v>43</v>
      </c>
      <c r="E49" s="451">
        <v>40</v>
      </c>
      <c r="F49" s="10" t="s">
        <v>500</v>
      </c>
      <c r="G49" s="140">
        <v>38</v>
      </c>
      <c r="I49" s="140"/>
      <c r="J49" s="140"/>
      <c r="K49" s="140"/>
      <c r="L49" s="453"/>
      <c r="M49" s="140">
        <f t="shared" si="7"/>
        <v>0</v>
      </c>
      <c r="N49" s="140">
        <v>55</v>
      </c>
      <c r="O49" s="140"/>
      <c r="S49" s="404"/>
      <c r="T49" s="138"/>
    </row>
    <row r="50" spans="1:20" s="10" customFormat="1" ht="15.5" outlineLevel="1" x14ac:dyDescent="0.35">
      <c r="A50" s="451"/>
      <c r="B50" s="451"/>
      <c r="C50" s="451" t="s">
        <v>286</v>
      </c>
      <c r="D50" s="451">
        <v>45</v>
      </c>
      <c r="E50" s="451">
        <v>39</v>
      </c>
      <c r="F50" s="10" t="s">
        <v>685</v>
      </c>
      <c r="G50" s="140">
        <v>11</v>
      </c>
      <c r="H50" s="10">
        <v>6556</v>
      </c>
      <c r="I50" s="140">
        <v>9750</v>
      </c>
      <c r="J50" s="140">
        <f t="shared" ref="J50:J57" si="10">+G50/H50*I50</f>
        <v>16.359060402684563</v>
      </c>
      <c r="K50" s="140">
        <f t="shared" ref="K50:K57" si="11">+G50+J50</f>
        <v>27.359060402684563</v>
      </c>
      <c r="L50" s="453">
        <v>0.3</v>
      </c>
      <c r="M50" s="140">
        <f t="shared" si="7"/>
        <v>35.56677852348993</v>
      </c>
      <c r="N50" s="140">
        <v>65</v>
      </c>
      <c r="O50" s="140">
        <v>45</v>
      </c>
      <c r="S50" s="404"/>
      <c r="T50" s="138"/>
    </row>
    <row r="51" spans="1:20" s="10" customFormat="1" ht="15.5" outlineLevel="1" x14ac:dyDescent="0.35">
      <c r="A51" s="451"/>
      <c r="B51" s="451"/>
      <c r="C51" s="451" t="s">
        <v>286</v>
      </c>
      <c r="D51" s="451">
        <v>46</v>
      </c>
      <c r="E51" s="451">
        <v>40</v>
      </c>
      <c r="F51" s="10" t="s">
        <v>685</v>
      </c>
      <c r="G51" s="140">
        <v>11</v>
      </c>
      <c r="H51" s="10">
        <v>6556</v>
      </c>
      <c r="I51" s="140">
        <v>9750</v>
      </c>
      <c r="J51" s="140">
        <f t="shared" si="10"/>
        <v>16.359060402684563</v>
      </c>
      <c r="K51" s="140">
        <f t="shared" si="11"/>
        <v>27.359060402684563</v>
      </c>
      <c r="L51" s="453">
        <v>0.3</v>
      </c>
      <c r="M51" s="140">
        <f t="shared" si="7"/>
        <v>35.56677852348993</v>
      </c>
      <c r="N51" s="140">
        <v>65</v>
      </c>
      <c r="O51" s="140">
        <v>45</v>
      </c>
      <c r="S51" s="404"/>
      <c r="T51" s="138"/>
    </row>
    <row r="52" spans="1:20" s="10" customFormat="1" ht="15.5" outlineLevel="1" x14ac:dyDescent="0.35">
      <c r="A52" s="451"/>
      <c r="B52" s="451"/>
      <c r="C52" s="451" t="s">
        <v>286</v>
      </c>
      <c r="D52" s="451">
        <v>47</v>
      </c>
      <c r="E52" s="451">
        <v>41</v>
      </c>
      <c r="F52" s="10" t="s">
        <v>685</v>
      </c>
      <c r="G52" s="140">
        <v>11</v>
      </c>
      <c r="H52" s="10">
        <v>6556</v>
      </c>
      <c r="I52" s="140">
        <v>9750</v>
      </c>
      <c r="J52" s="140">
        <f t="shared" si="10"/>
        <v>16.359060402684563</v>
      </c>
      <c r="K52" s="140">
        <f t="shared" si="11"/>
        <v>27.359060402684563</v>
      </c>
      <c r="L52" s="453">
        <v>0.3</v>
      </c>
      <c r="M52" s="140">
        <f t="shared" si="7"/>
        <v>35.56677852348993</v>
      </c>
      <c r="N52" s="140">
        <v>65</v>
      </c>
      <c r="O52" s="140">
        <v>45</v>
      </c>
      <c r="S52" s="404"/>
      <c r="T52" s="138"/>
    </row>
    <row r="53" spans="1:20" s="10" customFormat="1" ht="15" customHeight="1" outlineLevel="2" x14ac:dyDescent="0.35">
      <c r="A53" s="451"/>
      <c r="B53" s="451"/>
      <c r="C53" s="451" t="s">
        <v>286</v>
      </c>
      <c r="D53" s="451">
        <v>48</v>
      </c>
      <c r="E53" s="451">
        <v>41</v>
      </c>
      <c r="F53" s="10" t="s">
        <v>685</v>
      </c>
      <c r="G53" s="140">
        <v>11</v>
      </c>
      <c r="H53" s="10">
        <v>6556</v>
      </c>
      <c r="I53" s="140">
        <v>9750</v>
      </c>
      <c r="J53" s="140">
        <f t="shared" si="10"/>
        <v>16.359060402684563</v>
      </c>
      <c r="K53" s="140">
        <f t="shared" si="11"/>
        <v>27.359060402684563</v>
      </c>
      <c r="L53" s="453">
        <v>0.3</v>
      </c>
      <c r="M53" s="140">
        <f t="shared" si="7"/>
        <v>35.56677852348993</v>
      </c>
      <c r="N53" s="140">
        <v>65</v>
      </c>
      <c r="O53" s="140">
        <v>45</v>
      </c>
      <c r="S53" s="404"/>
      <c r="T53" s="138"/>
    </row>
    <row r="54" spans="1:20" s="10" customFormat="1" ht="15" customHeight="1" outlineLevel="1" x14ac:dyDescent="0.35">
      <c r="A54" s="451"/>
      <c r="B54" s="451"/>
      <c r="C54" s="451" t="s">
        <v>513</v>
      </c>
      <c r="D54" s="451">
        <v>50</v>
      </c>
      <c r="E54" s="451">
        <v>36</v>
      </c>
      <c r="F54" s="10" t="s">
        <v>514</v>
      </c>
      <c r="G54" s="140">
        <v>12</v>
      </c>
      <c r="H54" s="10">
        <v>6556</v>
      </c>
      <c r="I54" s="140">
        <v>9750</v>
      </c>
      <c r="J54" s="140">
        <f t="shared" si="10"/>
        <v>17.846247712019526</v>
      </c>
      <c r="K54" s="140">
        <f t="shared" si="11"/>
        <v>29.846247712019526</v>
      </c>
      <c r="L54" s="453">
        <v>0.3</v>
      </c>
      <c r="M54" s="140">
        <f t="shared" si="7"/>
        <v>38.800122025625384</v>
      </c>
      <c r="N54" s="140">
        <v>65</v>
      </c>
      <c r="O54" s="140">
        <v>45</v>
      </c>
      <c r="S54" s="404"/>
      <c r="T54" s="138"/>
    </row>
    <row r="55" spans="1:20" s="10" customFormat="1" ht="15" customHeight="1" outlineLevel="1" x14ac:dyDescent="0.35">
      <c r="A55" s="451"/>
      <c r="B55" s="451"/>
      <c r="C55" s="451" t="s">
        <v>513</v>
      </c>
      <c r="D55" s="451">
        <v>51</v>
      </c>
      <c r="E55" s="451">
        <v>37</v>
      </c>
      <c r="F55" s="10" t="s">
        <v>514</v>
      </c>
      <c r="G55" s="140">
        <v>12</v>
      </c>
      <c r="H55" s="10">
        <v>6556</v>
      </c>
      <c r="I55" s="140">
        <v>9750</v>
      </c>
      <c r="J55" s="140">
        <f t="shared" si="10"/>
        <v>17.846247712019526</v>
      </c>
      <c r="K55" s="140">
        <f t="shared" si="11"/>
        <v>29.846247712019526</v>
      </c>
      <c r="L55" s="453">
        <v>0.3</v>
      </c>
      <c r="M55" s="140">
        <f t="shared" si="7"/>
        <v>38.800122025625384</v>
      </c>
      <c r="N55" s="141">
        <v>65</v>
      </c>
      <c r="O55" s="140">
        <v>45</v>
      </c>
      <c r="S55" s="404"/>
      <c r="T55" s="138"/>
    </row>
    <row r="56" spans="1:20" s="10" customFormat="1" ht="15" customHeight="1" outlineLevel="1" x14ac:dyDescent="0.35">
      <c r="A56" s="451"/>
      <c r="B56" s="451"/>
      <c r="C56" s="451" t="s">
        <v>513</v>
      </c>
      <c r="D56" s="451">
        <v>52</v>
      </c>
      <c r="E56" s="451">
        <v>36</v>
      </c>
      <c r="F56" s="10" t="s">
        <v>524</v>
      </c>
      <c r="G56" s="140">
        <v>14</v>
      </c>
      <c r="H56" s="10">
        <v>6556</v>
      </c>
      <c r="I56" s="140">
        <v>9750</v>
      </c>
      <c r="J56" s="140">
        <f t="shared" si="10"/>
        <v>20.820622330689446</v>
      </c>
      <c r="K56" s="140">
        <f t="shared" si="11"/>
        <v>34.820622330689446</v>
      </c>
      <c r="L56" s="453">
        <v>0.3</v>
      </c>
      <c r="M56" s="140">
        <f t="shared" si="7"/>
        <v>45.26680902989628</v>
      </c>
      <c r="N56" s="140">
        <v>65</v>
      </c>
      <c r="O56" s="140">
        <v>45</v>
      </c>
      <c r="S56" s="404"/>
      <c r="T56" s="138"/>
    </row>
    <row r="57" spans="1:20" s="10" customFormat="1" ht="15" customHeight="1" outlineLevel="1" x14ac:dyDescent="0.35">
      <c r="A57" s="451"/>
      <c r="B57" s="451"/>
      <c r="C57" s="451" t="s">
        <v>513</v>
      </c>
      <c r="D57" s="451">
        <v>54</v>
      </c>
      <c r="E57" s="451">
        <v>38</v>
      </c>
      <c r="F57" s="10" t="s">
        <v>524</v>
      </c>
      <c r="G57" s="140">
        <v>14</v>
      </c>
      <c r="H57" s="10">
        <v>6556</v>
      </c>
      <c r="I57" s="140">
        <v>9750</v>
      </c>
      <c r="J57" s="140">
        <f t="shared" si="10"/>
        <v>20.820622330689446</v>
      </c>
      <c r="K57" s="140">
        <f t="shared" si="11"/>
        <v>34.820622330689446</v>
      </c>
      <c r="L57" s="453">
        <v>0.3</v>
      </c>
      <c r="M57" s="140">
        <f>+K57*L57+K57</f>
        <v>45.26680902989628</v>
      </c>
      <c r="N57" s="140">
        <v>65</v>
      </c>
      <c r="O57" s="140">
        <v>45</v>
      </c>
      <c r="R57" s="324"/>
      <c r="S57" s="404"/>
      <c r="T57" s="138"/>
    </row>
    <row r="58" spans="1:20" s="10" customFormat="1" ht="15" customHeight="1" outlineLevel="1" x14ac:dyDescent="0.35">
      <c r="F58" s="11" t="s">
        <v>563</v>
      </c>
      <c r="G58" s="140"/>
      <c r="I58" s="140"/>
      <c r="J58" s="140"/>
      <c r="K58" s="140"/>
      <c r="L58" s="453"/>
      <c r="M58" s="140"/>
      <c r="N58" s="140"/>
      <c r="O58" s="140"/>
      <c r="R58" s="324"/>
      <c r="S58" s="404"/>
      <c r="T58" s="138"/>
    </row>
    <row r="59" spans="1:20" s="10" customFormat="1" ht="15.5" outlineLevel="1" x14ac:dyDescent="0.35">
      <c r="A59" s="451"/>
      <c r="B59" s="451"/>
      <c r="C59" s="451" t="s">
        <v>547</v>
      </c>
      <c r="D59" s="451">
        <v>55</v>
      </c>
      <c r="E59" s="451">
        <v>40</v>
      </c>
      <c r="F59" s="10" t="s">
        <v>550</v>
      </c>
      <c r="G59" s="10">
        <v>35</v>
      </c>
      <c r="H59" s="56">
        <v>1079</v>
      </c>
      <c r="I59" s="140">
        <f t="shared" ref="I59:I65" si="12">+H59+552</f>
        <v>1631</v>
      </c>
      <c r="J59" s="140">
        <f t="shared" ref="J59:J65" si="13">+G59/H59*I59</f>
        <v>52.905468025949951</v>
      </c>
      <c r="K59" s="140">
        <f t="shared" ref="K59:K65" si="14">+G59+J59</f>
        <v>87.905468025949943</v>
      </c>
      <c r="L59" s="453">
        <v>0.3</v>
      </c>
      <c r="M59" s="140">
        <f t="shared" ref="M59:M65" si="15">+K59*L59+K59</f>
        <v>114.27710843373492</v>
      </c>
      <c r="N59" s="140">
        <v>120</v>
      </c>
      <c r="O59" s="140">
        <v>65</v>
      </c>
      <c r="S59" s="404"/>
      <c r="T59" s="138"/>
    </row>
    <row r="60" spans="1:20" s="10" customFormat="1" ht="15.5" outlineLevel="1" x14ac:dyDescent="0.35">
      <c r="A60" s="451"/>
      <c r="B60" s="451"/>
      <c r="C60" s="451" t="s">
        <v>562</v>
      </c>
      <c r="D60" s="451">
        <v>56</v>
      </c>
      <c r="E60" s="451">
        <v>36</v>
      </c>
      <c r="F60" s="10" t="s">
        <v>548</v>
      </c>
      <c r="G60" s="10">
        <v>16</v>
      </c>
      <c r="H60" s="56">
        <v>1079</v>
      </c>
      <c r="I60" s="140">
        <f t="shared" si="12"/>
        <v>1631</v>
      </c>
      <c r="J60" s="140">
        <f t="shared" si="13"/>
        <v>24.185356811862835</v>
      </c>
      <c r="K60" s="140">
        <f t="shared" si="14"/>
        <v>40.185356811862832</v>
      </c>
      <c r="L60" s="453">
        <v>0.3</v>
      </c>
      <c r="M60" s="140">
        <f t="shared" si="15"/>
        <v>52.240963855421683</v>
      </c>
      <c r="N60" s="140">
        <v>65</v>
      </c>
      <c r="O60" s="140">
        <v>25</v>
      </c>
      <c r="S60" s="404"/>
      <c r="T60" s="138"/>
    </row>
    <row r="61" spans="1:20" s="10" customFormat="1" ht="15.5" outlineLevel="1" x14ac:dyDescent="0.35">
      <c r="A61" s="451"/>
      <c r="B61" s="451"/>
      <c r="C61" s="451" t="s">
        <v>562</v>
      </c>
      <c r="D61" s="451">
        <v>57</v>
      </c>
      <c r="E61" s="451">
        <v>37</v>
      </c>
      <c r="F61" s="10" t="s">
        <v>548</v>
      </c>
      <c r="G61" s="10">
        <v>16</v>
      </c>
      <c r="H61" s="56">
        <v>1079</v>
      </c>
      <c r="I61" s="140">
        <f t="shared" si="12"/>
        <v>1631</v>
      </c>
      <c r="J61" s="140">
        <f t="shared" si="13"/>
        <v>24.185356811862835</v>
      </c>
      <c r="K61" s="140">
        <f t="shared" si="14"/>
        <v>40.185356811862832</v>
      </c>
      <c r="L61" s="453">
        <v>0.3</v>
      </c>
      <c r="M61" s="140">
        <f t="shared" si="15"/>
        <v>52.240963855421683</v>
      </c>
      <c r="N61" s="140">
        <v>65</v>
      </c>
      <c r="O61" s="140">
        <v>25</v>
      </c>
      <c r="S61" s="404"/>
      <c r="T61" s="138"/>
    </row>
    <row r="62" spans="1:20" s="10" customFormat="1" ht="15.5" outlineLevel="1" x14ac:dyDescent="0.35">
      <c r="A62" s="451"/>
      <c r="B62" s="451"/>
      <c r="C62" s="451" t="s">
        <v>562</v>
      </c>
      <c r="D62" s="451">
        <v>58</v>
      </c>
      <c r="E62" s="451">
        <v>37</v>
      </c>
      <c r="F62" s="10" t="s">
        <v>548</v>
      </c>
      <c r="G62" s="10">
        <v>16</v>
      </c>
      <c r="H62" s="56">
        <v>1079</v>
      </c>
      <c r="I62" s="140">
        <f t="shared" si="12"/>
        <v>1631</v>
      </c>
      <c r="J62" s="140">
        <f t="shared" si="13"/>
        <v>24.185356811862835</v>
      </c>
      <c r="K62" s="140">
        <f t="shared" si="14"/>
        <v>40.185356811862832</v>
      </c>
      <c r="L62" s="453">
        <v>0.3</v>
      </c>
      <c r="M62" s="140">
        <f t="shared" si="15"/>
        <v>52.240963855421683</v>
      </c>
      <c r="N62" s="140">
        <v>65</v>
      </c>
      <c r="O62" s="140">
        <v>25</v>
      </c>
      <c r="S62" s="404"/>
      <c r="T62" s="138"/>
    </row>
    <row r="63" spans="1:20" s="10" customFormat="1" ht="15.5" outlineLevel="1" x14ac:dyDescent="0.35">
      <c r="A63" s="451"/>
      <c r="B63" s="451"/>
      <c r="C63" s="451" t="s">
        <v>562</v>
      </c>
      <c r="D63" s="451">
        <v>59</v>
      </c>
      <c r="E63" s="451">
        <v>39</v>
      </c>
      <c r="F63" s="10" t="s">
        <v>548</v>
      </c>
      <c r="G63" s="10">
        <v>16</v>
      </c>
      <c r="H63" s="56">
        <v>1079</v>
      </c>
      <c r="I63" s="140">
        <f t="shared" si="12"/>
        <v>1631</v>
      </c>
      <c r="J63" s="140">
        <f t="shared" si="13"/>
        <v>24.185356811862835</v>
      </c>
      <c r="K63" s="140">
        <f t="shared" si="14"/>
        <v>40.185356811862832</v>
      </c>
      <c r="L63" s="453">
        <v>0.3</v>
      </c>
      <c r="M63" s="140">
        <f t="shared" si="15"/>
        <v>52.240963855421683</v>
      </c>
      <c r="N63" s="140">
        <v>65</v>
      </c>
      <c r="O63" s="140">
        <v>25</v>
      </c>
      <c r="S63" s="404"/>
      <c r="T63" s="138"/>
    </row>
    <row r="64" spans="1:20" s="10" customFormat="1" ht="15.5" outlineLevel="1" x14ac:dyDescent="0.35">
      <c r="A64" s="451"/>
      <c r="B64" s="451"/>
      <c r="C64" s="451" t="s">
        <v>562</v>
      </c>
      <c r="D64" s="451">
        <v>60</v>
      </c>
      <c r="E64" s="451">
        <v>40</v>
      </c>
      <c r="F64" s="10" t="s">
        <v>549</v>
      </c>
      <c r="G64" s="10">
        <v>15</v>
      </c>
      <c r="H64" s="56">
        <v>1079</v>
      </c>
      <c r="I64" s="140">
        <f t="shared" si="12"/>
        <v>1631</v>
      </c>
      <c r="J64" s="140">
        <f t="shared" si="13"/>
        <v>22.673772011121407</v>
      </c>
      <c r="K64" s="140">
        <f t="shared" si="14"/>
        <v>37.673772011121407</v>
      </c>
      <c r="L64" s="453">
        <v>0.3</v>
      </c>
      <c r="M64" s="140">
        <f t="shared" si="15"/>
        <v>48.975903614457827</v>
      </c>
      <c r="N64" s="140">
        <v>70</v>
      </c>
      <c r="O64" s="140"/>
      <c r="S64" s="404"/>
      <c r="T64" s="138"/>
    </row>
    <row r="65" spans="1:20" s="10" customFormat="1" ht="15.5" outlineLevel="1" x14ac:dyDescent="0.35">
      <c r="A65" s="451"/>
      <c r="B65" s="451"/>
      <c r="C65" s="451" t="s">
        <v>562</v>
      </c>
      <c r="D65" s="451">
        <v>61</v>
      </c>
      <c r="E65" s="451">
        <v>44</v>
      </c>
      <c r="F65" s="10" t="s">
        <v>549</v>
      </c>
      <c r="G65" s="10">
        <v>15</v>
      </c>
      <c r="H65" s="56">
        <v>1079</v>
      </c>
      <c r="I65" s="140">
        <f t="shared" si="12"/>
        <v>1631</v>
      </c>
      <c r="J65" s="140">
        <f t="shared" si="13"/>
        <v>22.673772011121407</v>
      </c>
      <c r="K65" s="140">
        <f t="shared" si="14"/>
        <v>37.673772011121407</v>
      </c>
      <c r="L65" s="453">
        <v>0.3</v>
      </c>
      <c r="M65" s="140">
        <f t="shared" si="15"/>
        <v>48.975903614457827</v>
      </c>
      <c r="N65" s="140">
        <v>70</v>
      </c>
      <c r="O65" s="140"/>
      <c r="S65" s="404"/>
      <c r="T65" s="138"/>
    </row>
    <row r="66" spans="1:20" s="10" customFormat="1" ht="15.5" outlineLevel="1" x14ac:dyDescent="0.35">
      <c r="B66" s="11"/>
      <c r="F66" s="11" t="s">
        <v>554</v>
      </c>
      <c r="G66" s="141"/>
      <c r="H66" s="141"/>
      <c r="I66" s="141"/>
      <c r="J66" s="141"/>
      <c r="K66" s="141"/>
      <c r="L66" s="141"/>
      <c r="M66" s="141"/>
      <c r="N66" s="141"/>
      <c r="O66" s="141"/>
      <c r="S66" s="404"/>
      <c r="T66" s="138"/>
    </row>
    <row r="67" spans="1:20" s="10" customFormat="1" ht="15.5" outlineLevel="1" x14ac:dyDescent="0.35">
      <c r="A67" s="451"/>
      <c r="B67" s="764" t="s">
        <v>561</v>
      </c>
      <c r="C67" s="764" t="s">
        <v>555</v>
      </c>
      <c r="D67" s="451">
        <v>63</v>
      </c>
      <c r="E67" s="451">
        <v>7</v>
      </c>
      <c r="F67" s="10" t="s">
        <v>556</v>
      </c>
      <c r="G67" s="141">
        <v>7.52</v>
      </c>
      <c r="H67" s="141">
        <v>376</v>
      </c>
      <c r="I67" s="141">
        <v>864</v>
      </c>
      <c r="J67" s="140">
        <f t="shared" ref="J67:J74" si="16">+G67/H67*I67</f>
        <v>17.28</v>
      </c>
      <c r="K67" s="140">
        <f t="shared" ref="K67:K74" si="17">+G67+J67</f>
        <v>24.8</v>
      </c>
      <c r="L67" s="453">
        <v>0.3</v>
      </c>
      <c r="M67" s="140">
        <f t="shared" ref="M67:M74" si="18">+K67*L67+K67</f>
        <v>32.24</v>
      </c>
      <c r="N67" s="141">
        <v>50</v>
      </c>
      <c r="O67" s="141"/>
      <c r="S67" s="404"/>
      <c r="T67" s="138"/>
    </row>
    <row r="68" spans="1:20" s="10" customFormat="1" ht="15.5" outlineLevel="1" x14ac:dyDescent="0.35">
      <c r="A68" s="451"/>
      <c r="B68" s="764" t="s">
        <v>561</v>
      </c>
      <c r="C68" s="764" t="s">
        <v>555</v>
      </c>
      <c r="D68" s="451">
        <v>66</v>
      </c>
      <c r="E68" s="451">
        <v>7</v>
      </c>
      <c r="F68" s="10" t="s">
        <v>557</v>
      </c>
      <c r="G68" s="141">
        <v>7.52</v>
      </c>
      <c r="H68" s="141">
        <v>376</v>
      </c>
      <c r="I68" s="141">
        <v>864</v>
      </c>
      <c r="J68" s="140">
        <f t="shared" si="16"/>
        <v>17.28</v>
      </c>
      <c r="K68" s="140">
        <f t="shared" si="17"/>
        <v>24.8</v>
      </c>
      <c r="L68" s="453">
        <v>0.3</v>
      </c>
      <c r="M68" s="140">
        <f t="shared" si="18"/>
        <v>32.24</v>
      </c>
      <c r="N68" s="141">
        <v>50</v>
      </c>
      <c r="O68" s="141"/>
      <c r="S68" s="404"/>
      <c r="T68" s="138"/>
    </row>
    <row r="69" spans="1:20" s="10" customFormat="1" ht="15.5" outlineLevel="1" x14ac:dyDescent="0.35">
      <c r="A69" s="451"/>
      <c r="B69" s="764" t="s">
        <v>561</v>
      </c>
      <c r="C69" s="764" t="s">
        <v>555</v>
      </c>
      <c r="D69" s="451">
        <v>69</v>
      </c>
      <c r="E69" s="451">
        <v>12</v>
      </c>
      <c r="F69" s="10" t="s">
        <v>557</v>
      </c>
      <c r="G69" s="141">
        <v>7.52</v>
      </c>
      <c r="H69" s="141">
        <v>376</v>
      </c>
      <c r="I69" s="141">
        <v>864</v>
      </c>
      <c r="J69" s="140">
        <f t="shared" si="16"/>
        <v>17.28</v>
      </c>
      <c r="K69" s="140">
        <f t="shared" si="17"/>
        <v>24.8</v>
      </c>
      <c r="L69" s="453">
        <v>0.3</v>
      </c>
      <c r="M69" s="140">
        <f t="shared" si="18"/>
        <v>32.24</v>
      </c>
      <c r="N69" s="141">
        <v>50</v>
      </c>
      <c r="O69" s="141"/>
      <c r="S69" s="404"/>
      <c r="T69" s="138"/>
    </row>
    <row r="70" spans="1:20" s="10" customFormat="1" ht="15.5" outlineLevel="1" x14ac:dyDescent="0.35">
      <c r="A70" s="451"/>
      <c r="B70" s="764" t="s">
        <v>561</v>
      </c>
      <c r="C70" s="764" t="s">
        <v>555</v>
      </c>
      <c r="D70" s="451">
        <v>71</v>
      </c>
      <c r="E70" s="451">
        <v>12</v>
      </c>
      <c r="F70" s="10" t="s">
        <v>558</v>
      </c>
      <c r="G70" s="141">
        <v>7.52</v>
      </c>
      <c r="H70" s="141">
        <v>376</v>
      </c>
      <c r="I70" s="141">
        <v>864</v>
      </c>
      <c r="J70" s="140">
        <f t="shared" si="16"/>
        <v>17.28</v>
      </c>
      <c r="K70" s="140">
        <f t="shared" si="17"/>
        <v>24.8</v>
      </c>
      <c r="L70" s="453">
        <v>0.3</v>
      </c>
      <c r="M70" s="140">
        <f t="shared" si="18"/>
        <v>32.24</v>
      </c>
      <c r="N70" s="141">
        <v>50</v>
      </c>
      <c r="O70" s="141"/>
      <c r="S70" s="404"/>
      <c r="T70" s="138"/>
    </row>
    <row r="71" spans="1:20" s="10" customFormat="1" ht="15.5" outlineLevel="1" x14ac:dyDescent="0.35">
      <c r="A71" s="451"/>
      <c r="B71" s="764" t="s">
        <v>561</v>
      </c>
      <c r="C71" s="764" t="s">
        <v>555</v>
      </c>
      <c r="D71" s="451">
        <v>75</v>
      </c>
      <c r="E71" s="451">
        <v>8</v>
      </c>
      <c r="F71" s="10" t="s">
        <v>559</v>
      </c>
      <c r="G71" s="141">
        <v>7.52</v>
      </c>
      <c r="H71" s="141">
        <v>376</v>
      </c>
      <c r="I71" s="141">
        <v>864</v>
      </c>
      <c r="J71" s="140">
        <f t="shared" si="16"/>
        <v>17.28</v>
      </c>
      <c r="K71" s="140">
        <f t="shared" si="17"/>
        <v>24.8</v>
      </c>
      <c r="L71" s="453">
        <v>0.3</v>
      </c>
      <c r="M71" s="140">
        <f t="shared" si="18"/>
        <v>32.24</v>
      </c>
      <c r="N71" s="141">
        <v>60</v>
      </c>
      <c r="O71" s="141"/>
      <c r="S71" s="404"/>
      <c r="T71" s="138"/>
    </row>
    <row r="72" spans="1:20" s="10" customFormat="1" ht="15.5" outlineLevel="1" x14ac:dyDescent="0.35">
      <c r="A72" s="451"/>
      <c r="B72" s="764" t="s">
        <v>561</v>
      </c>
      <c r="C72" s="764" t="s">
        <v>555</v>
      </c>
      <c r="D72" s="451">
        <v>76</v>
      </c>
      <c r="E72" s="451">
        <v>7</v>
      </c>
      <c r="F72" s="10" t="s">
        <v>560</v>
      </c>
      <c r="G72" s="141">
        <v>7.52</v>
      </c>
      <c r="H72" s="141">
        <v>376</v>
      </c>
      <c r="I72" s="141">
        <v>864</v>
      </c>
      <c r="J72" s="140">
        <f t="shared" si="16"/>
        <v>17.28</v>
      </c>
      <c r="K72" s="140">
        <f t="shared" si="17"/>
        <v>24.8</v>
      </c>
      <c r="L72" s="453">
        <v>0.3</v>
      </c>
      <c r="M72" s="140">
        <f t="shared" si="18"/>
        <v>32.24</v>
      </c>
      <c r="N72" s="141">
        <v>60</v>
      </c>
      <c r="O72" s="141"/>
      <c r="S72" s="404"/>
      <c r="T72" s="138"/>
    </row>
    <row r="73" spans="1:20" s="10" customFormat="1" ht="15.5" outlineLevel="1" x14ac:dyDescent="0.35">
      <c r="A73" s="451"/>
      <c r="B73" s="764" t="s">
        <v>561</v>
      </c>
      <c r="C73" s="764" t="s">
        <v>555</v>
      </c>
      <c r="D73" s="451">
        <v>78</v>
      </c>
      <c r="E73" s="451">
        <v>8</v>
      </c>
      <c r="F73" s="10" t="s">
        <v>560</v>
      </c>
      <c r="G73" s="141">
        <v>7.52</v>
      </c>
      <c r="H73" s="141">
        <v>376</v>
      </c>
      <c r="I73" s="141">
        <v>864</v>
      </c>
      <c r="J73" s="140">
        <f t="shared" si="16"/>
        <v>17.28</v>
      </c>
      <c r="K73" s="140">
        <f t="shared" si="17"/>
        <v>24.8</v>
      </c>
      <c r="L73" s="453">
        <v>0.3</v>
      </c>
      <c r="M73" s="140">
        <f t="shared" si="18"/>
        <v>32.24</v>
      </c>
      <c r="N73" s="141">
        <v>60</v>
      </c>
      <c r="O73" s="141"/>
      <c r="S73" s="404"/>
      <c r="T73" s="138"/>
    </row>
    <row r="74" spans="1:20" s="10" customFormat="1" ht="15.5" x14ac:dyDescent="0.35">
      <c r="A74" s="451"/>
      <c r="B74" s="764" t="s">
        <v>561</v>
      </c>
      <c r="C74" s="764" t="s">
        <v>555</v>
      </c>
      <c r="D74" s="451">
        <v>79</v>
      </c>
      <c r="E74" s="451">
        <v>12</v>
      </c>
      <c r="F74" s="10" t="s">
        <v>560</v>
      </c>
      <c r="G74" s="141">
        <v>7.52</v>
      </c>
      <c r="H74" s="141">
        <v>376</v>
      </c>
      <c r="I74" s="141">
        <v>864</v>
      </c>
      <c r="J74" s="140">
        <f t="shared" si="16"/>
        <v>17.28</v>
      </c>
      <c r="K74" s="140">
        <f t="shared" si="17"/>
        <v>24.8</v>
      </c>
      <c r="L74" s="453">
        <v>0.3</v>
      </c>
      <c r="M74" s="140">
        <f t="shared" si="18"/>
        <v>32.24</v>
      </c>
      <c r="N74" s="141">
        <v>60</v>
      </c>
      <c r="O74" s="141"/>
      <c r="S74" s="404"/>
      <c r="T74" s="138"/>
    </row>
    <row r="75" spans="1:20" s="10" customFormat="1" ht="15" customHeight="1" x14ac:dyDescent="0.35">
      <c r="B75" s="11"/>
      <c r="C75" s="11" t="s">
        <v>676</v>
      </c>
      <c r="G75" s="140"/>
      <c r="I75" s="140"/>
      <c r="J75" s="140"/>
      <c r="K75" s="140"/>
      <c r="L75" s="453"/>
      <c r="M75" s="140"/>
      <c r="N75" s="140"/>
      <c r="O75" s="140"/>
      <c r="S75" s="404"/>
      <c r="T75" s="138"/>
    </row>
    <row r="76" spans="1:20" s="10" customFormat="1" ht="15" customHeight="1" x14ac:dyDescent="0.35">
      <c r="A76" s="451"/>
      <c r="B76" s="764"/>
      <c r="C76" s="451"/>
      <c r="D76" s="451">
        <v>83</v>
      </c>
      <c r="E76" s="451">
        <v>7</v>
      </c>
      <c r="F76" s="10" t="s">
        <v>641</v>
      </c>
      <c r="G76" s="140">
        <v>11.1875</v>
      </c>
      <c r="I76" s="140"/>
      <c r="J76" s="140">
        <v>2.1739130434782608</v>
      </c>
      <c r="K76" s="140">
        <f>+G76+J76</f>
        <v>13.361413043478262</v>
      </c>
      <c r="L76" s="453">
        <v>0.3</v>
      </c>
      <c r="M76" s="140">
        <f>+K76*1.3</f>
        <v>17.369836956521741</v>
      </c>
      <c r="N76" s="140">
        <v>25</v>
      </c>
      <c r="O76" s="140"/>
      <c r="R76" s="10" t="s">
        <v>959</v>
      </c>
      <c r="S76" s="404"/>
      <c r="T76" s="138"/>
    </row>
    <row r="77" spans="1:20" s="10" customFormat="1" ht="15" customHeight="1" x14ac:dyDescent="0.35">
      <c r="A77" s="451"/>
      <c r="B77" s="764"/>
      <c r="C77" s="451" t="s">
        <v>639</v>
      </c>
      <c r="D77" s="451">
        <v>84</v>
      </c>
      <c r="E77" s="451">
        <v>6</v>
      </c>
      <c r="F77" s="10" t="s">
        <v>640</v>
      </c>
      <c r="G77" s="140">
        <v>11.1875</v>
      </c>
      <c r="I77" s="140"/>
      <c r="J77" s="140">
        <v>2.1739130434782608</v>
      </c>
      <c r="K77" s="140">
        <f>+G77+J77</f>
        <v>13.361413043478262</v>
      </c>
      <c r="L77" s="453">
        <v>0.3</v>
      </c>
      <c r="M77" s="140">
        <f>+K77*1.3</f>
        <v>17.369836956521741</v>
      </c>
      <c r="N77" s="140">
        <v>25</v>
      </c>
      <c r="O77" s="140"/>
      <c r="R77" s="10" t="s">
        <v>12</v>
      </c>
      <c r="S77" s="404">
        <v>46078</v>
      </c>
      <c r="T77" s="138"/>
    </row>
    <row r="78" spans="1:20" s="10" customFormat="1" ht="15.5" x14ac:dyDescent="0.35">
      <c r="A78" s="451"/>
      <c r="B78" s="764"/>
      <c r="C78" s="451" t="s">
        <v>642</v>
      </c>
      <c r="D78" s="451">
        <v>85</v>
      </c>
      <c r="E78" s="451">
        <v>7</v>
      </c>
      <c r="F78" s="10" t="s">
        <v>643</v>
      </c>
      <c r="G78" s="140">
        <v>10</v>
      </c>
      <c r="J78" s="140">
        <v>2.1739130434782608</v>
      </c>
      <c r="K78" s="140">
        <f>+G78+J78</f>
        <v>12.173913043478262</v>
      </c>
      <c r="L78" s="453">
        <v>0.3</v>
      </c>
      <c r="M78" s="140">
        <f>+K78*1.3</f>
        <v>15.82608695652174</v>
      </c>
      <c r="N78" s="140">
        <v>25</v>
      </c>
      <c r="O78" s="140"/>
      <c r="R78" s="10" t="s">
        <v>12</v>
      </c>
      <c r="S78" s="404">
        <v>46097</v>
      </c>
      <c r="T78" s="138"/>
    </row>
    <row r="79" spans="1:20" s="10" customFormat="1" ht="15.5" x14ac:dyDescent="0.35">
      <c r="B79" s="11"/>
      <c r="F79" s="11" t="s">
        <v>683</v>
      </c>
      <c r="G79" s="140"/>
      <c r="I79" s="140"/>
      <c r="J79" s="140"/>
      <c r="K79" s="140"/>
      <c r="L79" s="452"/>
      <c r="M79" s="140"/>
      <c r="N79" s="140"/>
      <c r="O79" s="140"/>
      <c r="S79" s="404"/>
      <c r="T79" s="138"/>
    </row>
    <row r="80" spans="1:20" s="57" customFormat="1" ht="15.5" x14ac:dyDescent="0.35">
      <c r="A80" s="67"/>
      <c r="B80" s="67" t="s">
        <v>656</v>
      </c>
      <c r="C80" s="67" t="s">
        <v>656</v>
      </c>
      <c r="D80" s="67">
        <v>89</v>
      </c>
      <c r="E80" s="67">
        <v>40</v>
      </c>
      <c r="F80" s="67" t="s">
        <v>2354</v>
      </c>
      <c r="G80" s="885">
        <v>23</v>
      </c>
      <c r="H80" s="456">
        <v>6911</v>
      </c>
      <c r="I80" s="450">
        <v>4716</v>
      </c>
      <c r="J80" s="450">
        <f>+G80/H80*I80</f>
        <v>15.694979018955289</v>
      </c>
      <c r="K80" s="450">
        <f>+G80+J80</f>
        <v>38.694979018955287</v>
      </c>
      <c r="L80" s="584">
        <v>0.3</v>
      </c>
      <c r="M80" s="450">
        <f>+K80*L80+K80</f>
        <v>50.303472724641871</v>
      </c>
      <c r="N80" s="885">
        <v>55</v>
      </c>
      <c r="O80" s="147"/>
      <c r="R80" s="57" t="s">
        <v>1097</v>
      </c>
      <c r="S80" s="480">
        <v>46106</v>
      </c>
      <c r="T80" s="337"/>
    </row>
    <row r="81" spans="1:22" s="57" customFormat="1" ht="15.5" x14ac:dyDescent="0.35">
      <c r="A81" s="67"/>
      <c r="B81" s="67" t="s">
        <v>656</v>
      </c>
      <c r="C81" s="67" t="s">
        <v>656</v>
      </c>
      <c r="D81" s="67">
        <v>89</v>
      </c>
      <c r="E81" s="67">
        <v>40</v>
      </c>
      <c r="F81" s="57" t="s">
        <v>2354</v>
      </c>
      <c r="G81" s="147">
        <v>23</v>
      </c>
      <c r="H81" s="56">
        <v>6911</v>
      </c>
      <c r="I81" s="140">
        <v>4716</v>
      </c>
      <c r="J81" s="140">
        <f>+G81/H81*I81</f>
        <v>15.694979018955289</v>
      </c>
      <c r="K81" s="140">
        <f>+G81+J81</f>
        <v>38.694979018955287</v>
      </c>
      <c r="L81" s="453">
        <v>0.3</v>
      </c>
      <c r="M81" s="140">
        <f>+K81*L81+K81</f>
        <v>50.303472724641871</v>
      </c>
      <c r="N81" s="147">
        <v>55</v>
      </c>
      <c r="O81" s="147"/>
      <c r="S81" s="480"/>
      <c r="T81" s="337"/>
    </row>
    <row r="82" spans="1:22" s="57" customFormat="1" ht="15.5" x14ac:dyDescent="0.35">
      <c r="B82" s="11"/>
      <c r="C82" s="11"/>
      <c r="E82" s="11"/>
      <c r="F82" s="11" t="s">
        <v>701</v>
      </c>
      <c r="G82" s="140"/>
      <c r="H82" s="56"/>
      <c r="I82" s="140"/>
      <c r="J82" s="140"/>
      <c r="K82" s="140"/>
      <c r="L82" s="453"/>
      <c r="M82" s="140"/>
      <c r="N82" s="140"/>
      <c r="O82" s="140"/>
      <c r="P82" s="10"/>
      <c r="Q82" s="10"/>
      <c r="R82" s="10"/>
      <c r="S82" s="404"/>
      <c r="T82" s="138"/>
      <c r="U82" s="10"/>
      <c r="V82" s="10"/>
    </row>
    <row r="83" spans="1:22" s="57" customFormat="1" ht="15.5" x14ac:dyDescent="0.35">
      <c r="A83" s="66"/>
      <c r="B83" s="66"/>
      <c r="C83" s="66" t="s">
        <v>718</v>
      </c>
      <c r="D83" s="66">
        <v>92</v>
      </c>
      <c r="E83" s="66">
        <v>40</v>
      </c>
      <c r="F83" s="57" t="s">
        <v>707</v>
      </c>
      <c r="G83" s="147">
        <v>15</v>
      </c>
      <c r="H83" s="65">
        <v>4607</v>
      </c>
      <c r="I83" s="147">
        <f>7503-H83</f>
        <v>2896</v>
      </c>
      <c r="J83" s="147">
        <f>+G83/H83*I83</f>
        <v>9.4291295854135004</v>
      </c>
      <c r="K83" s="147">
        <f>+G83+J83</f>
        <v>24.429129585413499</v>
      </c>
      <c r="L83" s="478">
        <v>0.3</v>
      </c>
      <c r="M83" s="147">
        <f>+K83*L83+K83</f>
        <v>31.757868461037546</v>
      </c>
      <c r="N83" s="143">
        <v>55</v>
      </c>
      <c r="O83" s="143">
        <v>25</v>
      </c>
      <c r="S83" s="480"/>
      <c r="T83" s="337"/>
    </row>
    <row r="84" spans="1:22" s="345" customFormat="1" ht="15.5" x14ac:dyDescent="0.35">
      <c r="B84" s="252"/>
      <c r="C84" s="252" t="s">
        <v>710</v>
      </c>
      <c r="D84" s="252">
        <v>93</v>
      </c>
      <c r="E84" s="252">
        <v>39</v>
      </c>
      <c r="F84" s="252" t="s">
        <v>711</v>
      </c>
      <c r="G84" s="490">
        <v>16</v>
      </c>
      <c r="H84" s="768">
        <v>4607</v>
      </c>
      <c r="I84" s="490">
        <f>7503-H84</f>
        <v>2896</v>
      </c>
      <c r="J84" s="490">
        <f>+G84/H84*I84</f>
        <v>10.057738224441067</v>
      </c>
      <c r="K84" s="490">
        <f>+G84+J84</f>
        <v>26.057738224441067</v>
      </c>
      <c r="L84" s="769">
        <v>0.3</v>
      </c>
      <c r="M84" s="490">
        <f>+K84*L84+K84</f>
        <v>33.875059691773387</v>
      </c>
      <c r="N84" s="479">
        <v>55</v>
      </c>
      <c r="O84" s="479"/>
      <c r="P84" s="252"/>
      <c r="Q84" s="252"/>
      <c r="R84" s="252"/>
      <c r="S84" s="742"/>
      <c r="T84" s="424"/>
      <c r="U84" s="252"/>
      <c r="V84" s="252"/>
    </row>
    <row r="85" spans="1:22" x14ac:dyDescent="0.35">
      <c r="F85" s="3" t="s">
        <v>924</v>
      </c>
      <c r="G85" s="145"/>
      <c r="I85" s="173"/>
      <c r="J85" s="459"/>
      <c r="K85" s="471"/>
      <c r="L85" s="468"/>
      <c r="M85" s="145"/>
      <c r="N85" s="173"/>
      <c r="O85" s="173"/>
      <c r="S85" s="467"/>
      <c r="T85" s="420"/>
    </row>
    <row r="86" spans="1:22" x14ac:dyDescent="0.35">
      <c r="A86" s="92"/>
      <c r="B86" s="92" t="s">
        <v>908</v>
      </c>
      <c r="C86" s="597" t="s">
        <v>910</v>
      </c>
      <c r="D86" s="92">
        <v>98</v>
      </c>
      <c r="E86" s="767">
        <v>8.5</v>
      </c>
      <c r="F86" s="245" t="s">
        <v>911</v>
      </c>
      <c r="G86" s="146">
        <v>13</v>
      </c>
      <c r="H86" s="173">
        <v>1162</v>
      </c>
      <c r="I86" s="173">
        <v>2629</v>
      </c>
      <c r="J86" s="459">
        <f t="shared" ref="J86:J93" si="19">+G86/H86*I86</f>
        <v>29.412220309810671</v>
      </c>
      <c r="K86" s="471">
        <f t="shared" ref="K86:K93" si="20">+G86+J86</f>
        <v>42.412220309810671</v>
      </c>
      <c r="L86" s="468">
        <v>0.4</v>
      </c>
      <c r="M86" s="145">
        <f t="shared" ref="M86:M93" si="21">+K86*1.4</f>
        <v>59.377108433734932</v>
      </c>
      <c r="N86" s="173">
        <v>50</v>
      </c>
      <c r="O86" s="173"/>
      <c r="S86" s="467"/>
      <c r="T86" s="420"/>
    </row>
    <row r="87" spans="1:22" x14ac:dyDescent="0.35">
      <c r="A87" s="92"/>
      <c r="B87" s="92" t="s">
        <v>908</v>
      </c>
      <c r="C87" s="597" t="s">
        <v>910</v>
      </c>
      <c r="D87" s="92">
        <v>99</v>
      </c>
      <c r="E87" s="767">
        <v>10</v>
      </c>
      <c r="F87" s="245" t="s">
        <v>911</v>
      </c>
      <c r="G87" s="146">
        <v>13</v>
      </c>
      <c r="H87" s="173">
        <v>1162</v>
      </c>
      <c r="I87" s="173">
        <v>2629</v>
      </c>
      <c r="J87" s="459">
        <f t="shared" si="19"/>
        <v>29.412220309810671</v>
      </c>
      <c r="K87" s="471">
        <f t="shared" si="20"/>
        <v>42.412220309810671</v>
      </c>
      <c r="L87" s="468">
        <v>0.4</v>
      </c>
      <c r="M87" s="145">
        <f t="shared" si="21"/>
        <v>59.377108433734932</v>
      </c>
      <c r="N87" s="173">
        <v>50</v>
      </c>
      <c r="O87" s="173"/>
      <c r="S87" s="467"/>
      <c r="T87" s="420"/>
    </row>
    <row r="88" spans="1:22" hidden="1" x14ac:dyDescent="0.35">
      <c r="A88" s="594" t="s">
        <v>561</v>
      </c>
      <c r="B88" s="594"/>
      <c r="C88" s="597" t="s">
        <v>555</v>
      </c>
      <c r="D88" s="92">
        <v>114</v>
      </c>
      <c r="E88" s="745">
        <v>7</v>
      </c>
      <c r="F88" s="371" t="s">
        <v>1508</v>
      </c>
      <c r="G88" s="176">
        <v>6.8571428571428568</v>
      </c>
      <c r="H88" s="12">
        <v>3550</v>
      </c>
      <c r="I88" s="176">
        <v>5698</v>
      </c>
      <c r="J88" s="410">
        <f t="shared" si="19"/>
        <v>11.006197183098591</v>
      </c>
      <c r="K88" s="176">
        <f t="shared" si="20"/>
        <v>17.863340040241447</v>
      </c>
      <c r="L88" s="411"/>
      <c r="M88" s="176">
        <f t="shared" si="21"/>
        <v>25.008676056338025</v>
      </c>
      <c r="N88" s="176">
        <v>45</v>
      </c>
      <c r="O88" s="12"/>
      <c r="R88" t="s">
        <v>1006</v>
      </c>
      <c r="S88" s="6">
        <v>46079</v>
      </c>
    </row>
    <row r="89" spans="1:22" x14ac:dyDescent="0.35">
      <c r="A89" s="594" t="s">
        <v>561</v>
      </c>
      <c r="B89" s="594"/>
      <c r="C89" s="597" t="s">
        <v>555</v>
      </c>
      <c r="D89" s="92">
        <v>115</v>
      </c>
      <c r="E89" s="745">
        <v>7</v>
      </c>
      <c r="F89" s="245" t="s">
        <v>1503</v>
      </c>
      <c r="G89" s="173">
        <v>6.8571428571428568</v>
      </c>
      <c r="H89">
        <v>3550</v>
      </c>
      <c r="I89" s="173">
        <v>5698</v>
      </c>
      <c r="J89" s="402">
        <f t="shared" si="19"/>
        <v>11.006197183098591</v>
      </c>
      <c r="K89" s="173">
        <f t="shared" si="20"/>
        <v>17.863340040241447</v>
      </c>
      <c r="L89" s="174"/>
      <c r="M89" s="173">
        <f t="shared" si="21"/>
        <v>25.008676056338025</v>
      </c>
      <c r="N89" s="173">
        <v>45</v>
      </c>
    </row>
    <row r="90" spans="1:22" x14ac:dyDescent="0.35">
      <c r="A90" s="594" t="s">
        <v>561</v>
      </c>
      <c r="B90" s="594"/>
      <c r="C90" s="597" t="s">
        <v>555</v>
      </c>
      <c r="D90" s="92">
        <v>136</v>
      </c>
      <c r="E90" s="745">
        <v>7</v>
      </c>
      <c r="F90" s="245" t="s">
        <v>1505</v>
      </c>
      <c r="G90" s="173">
        <v>6.8571428571428568</v>
      </c>
      <c r="H90">
        <v>3550</v>
      </c>
      <c r="I90" s="173">
        <v>5698</v>
      </c>
      <c r="J90" s="402">
        <f t="shared" si="19"/>
        <v>11.006197183098591</v>
      </c>
      <c r="K90" s="173">
        <f t="shared" si="20"/>
        <v>17.863340040241447</v>
      </c>
      <c r="L90" s="174"/>
      <c r="M90" s="173">
        <f t="shared" si="21"/>
        <v>25.008676056338025</v>
      </c>
      <c r="N90" s="173">
        <v>45</v>
      </c>
    </row>
    <row r="91" spans="1:22" x14ac:dyDescent="0.35">
      <c r="A91" s="594" t="s">
        <v>561</v>
      </c>
      <c r="B91" s="594"/>
      <c r="C91" s="597" t="s">
        <v>555</v>
      </c>
      <c r="D91" s="92">
        <v>139</v>
      </c>
      <c r="E91" s="745">
        <v>9</v>
      </c>
      <c r="F91" s="245" t="s">
        <v>1506</v>
      </c>
      <c r="G91" s="173">
        <v>6.8571428571428568</v>
      </c>
      <c r="H91">
        <v>3550</v>
      </c>
      <c r="I91" s="173">
        <v>5698</v>
      </c>
      <c r="J91" s="402">
        <f t="shared" si="19"/>
        <v>11.006197183098591</v>
      </c>
      <c r="K91" s="173">
        <f t="shared" si="20"/>
        <v>17.863340040241447</v>
      </c>
      <c r="L91" s="174"/>
      <c r="M91" s="173">
        <f t="shared" si="21"/>
        <v>25.008676056338025</v>
      </c>
      <c r="N91" s="173">
        <v>45</v>
      </c>
    </row>
    <row r="92" spans="1:22" x14ac:dyDescent="0.35">
      <c r="A92" s="594" t="s">
        <v>561</v>
      </c>
      <c r="B92" s="594"/>
      <c r="C92" s="597" t="s">
        <v>555</v>
      </c>
      <c r="D92" s="92">
        <v>140</v>
      </c>
      <c r="E92" s="745">
        <v>7</v>
      </c>
      <c r="F92" s="245" t="s">
        <v>1506</v>
      </c>
      <c r="G92" s="173">
        <v>6.8571428571428568</v>
      </c>
      <c r="H92">
        <v>3550</v>
      </c>
      <c r="I92" s="173">
        <v>5698</v>
      </c>
      <c r="J92" s="402">
        <f t="shared" si="19"/>
        <v>11.006197183098591</v>
      </c>
      <c r="K92" s="173">
        <f t="shared" si="20"/>
        <v>17.863340040241447</v>
      </c>
      <c r="L92" s="174"/>
      <c r="M92" s="173">
        <f t="shared" si="21"/>
        <v>25.008676056338025</v>
      </c>
      <c r="N92" s="173">
        <v>45</v>
      </c>
    </row>
    <row r="93" spans="1:22" x14ac:dyDescent="0.35">
      <c r="A93" s="594" t="s">
        <v>561</v>
      </c>
      <c r="B93" s="594"/>
      <c r="C93" s="597" t="s">
        <v>555</v>
      </c>
      <c r="D93" s="92">
        <v>140</v>
      </c>
      <c r="E93" s="745">
        <v>7</v>
      </c>
      <c r="F93" s="245" t="s">
        <v>2356</v>
      </c>
      <c r="G93" s="173">
        <v>6.8571428571428568</v>
      </c>
      <c r="H93">
        <v>3550</v>
      </c>
      <c r="I93" s="173">
        <v>5698</v>
      </c>
      <c r="J93" s="402">
        <f t="shared" si="19"/>
        <v>11.006197183098591</v>
      </c>
      <c r="K93" s="173">
        <f t="shared" si="20"/>
        <v>17.863340040241447</v>
      </c>
      <c r="L93" s="174"/>
      <c r="M93" s="173">
        <f t="shared" si="21"/>
        <v>25.008676056338025</v>
      </c>
      <c r="N93" s="173">
        <v>45</v>
      </c>
    </row>
    <row r="94" spans="1:22" x14ac:dyDescent="0.35">
      <c r="B94" s="3"/>
      <c r="C94" s="256" t="s">
        <v>797</v>
      </c>
      <c r="E94" s="366"/>
      <c r="G94" s="173"/>
      <c r="I94" s="173"/>
      <c r="J94" s="173"/>
      <c r="K94" s="173"/>
      <c r="L94" s="174"/>
      <c r="M94" s="173"/>
      <c r="N94" s="173"/>
    </row>
    <row r="95" spans="1:22" x14ac:dyDescent="0.35">
      <c r="A95" s="92"/>
      <c r="B95" s="594"/>
      <c r="C95" s="597" t="s">
        <v>1523</v>
      </c>
      <c r="D95" s="92"/>
      <c r="E95" s="745">
        <v>7</v>
      </c>
      <c r="F95" s="245" t="s">
        <v>1525</v>
      </c>
      <c r="G95" s="173">
        <v>7.6</v>
      </c>
      <c r="H95">
        <v>354</v>
      </c>
      <c r="I95" s="173">
        <v>500</v>
      </c>
      <c r="J95" s="402">
        <f t="shared" ref="J95:J101" si="22">+G95/H95*I95</f>
        <v>10.734463276836157</v>
      </c>
      <c r="K95" s="173">
        <f t="shared" ref="K95:K101" si="23">+G95+J95</f>
        <v>18.334463276836157</v>
      </c>
      <c r="L95" s="174"/>
      <c r="M95" s="173">
        <f t="shared" ref="M95:M101" si="24">+K95*1.4</f>
        <v>25.66824858757062</v>
      </c>
      <c r="N95" s="173">
        <v>40</v>
      </c>
    </row>
    <row r="96" spans="1:22" x14ac:dyDescent="0.35">
      <c r="A96" s="92"/>
      <c r="B96" s="594"/>
      <c r="C96" s="597" t="s">
        <v>1523</v>
      </c>
      <c r="D96" s="92"/>
      <c r="E96" s="745">
        <v>7</v>
      </c>
      <c r="F96" s="245" t="s">
        <v>2358</v>
      </c>
      <c r="G96" s="173">
        <v>7.6</v>
      </c>
      <c r="H96">
        <v>354</v>
      </c>
      <c r="I96" s="173">
        <v>500</v>
      </c>
      <c r="J96" s="402">
        <f>+G96/H96*I96</f>
        <v>10.734463276836157</v>
      </c>
      <c r="K96" s="173">
        <f>+G96+J96</f>
        <v>18.334463276836157</v>
      </c>
      <c r="L96" s="174"/>
      <c r="M96" s="173">
        <f>+K96*1.4</f>
        <v>25.66824858757062</v>
      </c>
      <c r="N96" s="173">
        <v>40</v>
      </c>
    </row>
    <row r="97" spans="1:19" hidden="1" x14ac:dyDescent="0.35">
      <c r="A97" s="92"/>
      <c r="B97" s="594"/>
      <c r="C97" s="597" t="s">
        <v>1523</v>
      </c>
      <c r="D97" s="92"/>
      <c r="E97" s="745">
        <v>7</v>
      </c>
      <c r="F97" s="371" t="s">
        <v>1526</v>
      </c>
      <c r="G97" s="176">
        <v>7.6</v>
      </c>
      <c r="H97" s="12">
        <v>354</v>
      </c>
      <c r="I97" s="176">
        <v>500</v>
      </c>
      <c r="J97" s="410">
        <f t="shared" si="22"/>
        <v>10.734463276836157</v>
      </c>
      <c r="K97" s="176">
        <f t="shared" si="23"/>
        <v>18.334463276836157</v>
      </c>
      <c r="L97" s="411"/>
      <c r="M97" s="176">
        <f t="shared" si="24"/>
        <v>25.66824858757062</v>
      </c>
      <c r="N97" s="176">
        <v>40</v>
      </c>
      <c r="R97" t="s">
        <v>3139</v>
      </c>
      <c r="S97" s="6">
        <v>46136</v>
      </c>
    </row>
    <row r="98" spans="1:19" hidden="1" x14ac:dyDescent="0.35">
      <c r="A98" s="92"/>
      <c r="B98" s="594"/>
      <c r="C98" s="597" t="s">
        <v>1523</v>
      </c>
      <c r="D98" s="92"/>
      <c r="E98" s="745">
        <v>8</v>
      </c>
      <c r="F98" s="371" t="s">
        <v>1526</v>
      </c>
      <c r="G98" s="176">
        <v>7.6</v>
      </c>
      <c r="H98" s="12">
        <v>354</v>
      </c>
      <c r="I98" s="176">
        <v>500</v>
      </c>
      <c r="J98" s="410">
        <f t="shared" si="22"/>
        <v>10.734463276836157</v>
      </c>
      <c r="K98" s="176">
        <f t="shared" si="23"/>
        <v>18.334463276836157</v>
      </c>
      <c r="L98" s="411"/>
      <c r="M98" s="176">
        <f t="shared" si="24"/>
        <v>25.66824858757062</v>
      </c>
      <c r="N98" s="176">
        <v>40</v>
      </c>
      <c r="O98" s="12"/>
      <c r="R98" t="s">
        <v>2758</v>
      </c>
      <c r="S98" s="6">
        <v>46086</v>
      </c>
    </row>
    <row r="99" spans="1:19" hidden="1" x14ac:dyDescent="0.35">
      <c r="A99" s="92"/>
      <c r="B99" s="594"/>
      <c r="C99" s="597" t="s">
        <v>1523</v>
      </c>
      <c r="D99" s="92"/>
      <c r="E99" s="745">
        <v>8</v>
      </c>
      <c r="F99" s="371" t="s">
        <v>1526</v>
      </c>
      <c r="G99" s="176">
        <v>7.6</v>
      </c>
      <c r="H99" s="12">
        <v>354</v>
      </c>
      <c r="I99" s="176">
        <v>500</v>
      </c>
      <c r="J99" s="410">
        <f t="shared" si="22"/>
        <v>10.734463276836157</v>
      </c>
      <c r="K99" s="176">
        <f t="shared" si="23"/>
        <v>18.334463276836157</v>
      </c>
      <c r="L99" s="411"/>
      <c r="M99" s="176">
        <f t="shared" si="24"/>
        <v>25.66824858757062</v>
      </c>
      <c r="N99" s="176">
        <v>40</v>
      </c>
      <c r="O99" s="12"/>
      <c r="R99" t="s">
        <v>3003</v>
      </c>
      <c r="S99" s="6">
        <v>46112</v>
      </c>
    </row>
    <row r="100" spans="1:19" x14ac:dyDescent="0.35">
      <c r="A100" s="92"/>
      <c r="B100" s="594"/>
      <c r="C100" s="597" t="s">
        <v>1523</v>
      </c>
      <c r="D100" s="92"/>
      <c r="E100" s="745">
        <v>8</v>
      </c>
      <c r="F100" s="245" t="s">
        <v>1526</v>
      </c>
      <c r="G100" s="173">
        <v>7.6</v>
      </c>
      <c r="H100">
        <v>354</v>
      </c>
      <c r="I100" s="173">
        <v>500</v>
      </c>
      <c r="J100" s="402">
        <f t="shared" si="22"/>
        <v>10.734463276836157</v>
      </c>
      <c r="K100" s="173">
        <f t="shared" si="23"/>
        <v>18.334463276836157</v>
      </c>
      <c r="L100" s="174"/>
      <c r="M100" s="173">
        <f t="shared" si="24"/>
        <v>25.66824858757062</v>
      </c>
      <c r="N100" s="173">
        <v>40</v>
      </c>
    </row>
    <row r="101" spans="1:19" hidden="1" x14ac:dyDescent="0.35">
      <c r="B101" s="3"/>
      <c r="C101" s="233" t="s">
        <v>1523</v>
      </c>
      <c r="E101" s="366">
        <v>10</v>
      </c>
      <c r="F101" s="371" t="s">
        <v>2397</v>
      </c>
      <c r="G101" s="173">
        <v>7.6</v>
      </c>
      <c r="H101">
        <v>354</v>
      </c>
      <c r="I101" s="173">
        <v>500</v>
      </c>
      <c r="J101" s="402">
        <f t="shared" si="22"/>
        <v>10.734463276836157</v>
      </c>
      <c r="K101" s="173">
        <f t="shared" si="23"/>
        <v>18.334463276836157</v>
      </c>
      <c r="L101" s="174"/>
      <c r="M101" s="173">
        <f t="shared" si="24"/>
        <v>25.66824858757062</v>
      </c>
      <c r="N101" s="173">
        <v>40</v>
      </c>
      <c r="R101" t="s">
        <v>2396</v>
      </c>
      <c r="S101" t="s">
        <v>2398</v>
      </c>
    </row>
    <row r="102" spans="1:19" x14ac:dyDescent="0.35">
      <c r="A102" s="3"/>
      <c r="B102" s="3"/>
      <c r="C102" s="232" t="s">
        <v>1554</v>
      </c>
      <c r="E102" s="366"/>
      <c r="F102" s="245"/>
      <c r="G102" s="173"/>
      <c r="I102" s="173"/>
      <c r="J102" s="402"/>
      <c r="K102" s="173"/>
      <c r="L102" s="174"/>
      <c r="M102" s="173"/>
      <c r="N102" s="173"/>
      <c r="S102" s="6"/>
    </row>
    <row r="103" spans="1:19" x14ac:dyDescent="0.35">
      <c r="A103" s="594"/>
      <c r="B103" s="594"/>
      <c r="C103" s="597" t="s">
        <v>1563</v>
      </c>
      <c r="D103" s="92"/>
      <c r="E103" s="745">
        <v>38</v>
      </c>
      <c r="F103" s="245" t="s">
        <v>1565</v>
      </c>
      <c r="G103" s="173">
        <v>7</v>
      </c>
      <c r="H103">
        <v>1090</v>
      </c>
      <c r="I103" s="173">
        <v>1099</v>
      </c>
      <c r="J103" s="402">
        <f t="shared" ref="J103:J116" si="25">+G103/H103*I103</f>
        <v>7.0577981651376147</v>
      </c>
      <c r="K103" s="173">
        <f t="shared" ref="K103:K116" si="26">+G103+J103</f>
        <v>14.057798165137616</v>
      </c>
      <c r="L103" s="174"/>
      <c r="M103" s="173">
        <f t="shared" ref="M103:M116" si="27">+K103*1.4</f>
        <v>19.680917431192661</v>
      </c>
      <c r="N103" s="173">
        <v>40</v>
      </c>
    </row>
    <row r="104" spans="1:19" hidden="1" x14ac:dyDescent="0.35">
      <c r="A104" s="3"/>
      <c r="B104" s="3"/>
      <c r="C104" s="233" t="s">
        <v>1563</v>
      </c>
      <c r="E104" s="366">
        <v>40</v>
      </c>
      <c r="F104" s="371" t="s">
        <v>1565</v>
      </c>
      <c r="G104" s="176">
        <v>7</v>
      </c>
      <c r="H104" s="12">
        <v>1090</v>
      </c>
      <c r="I104" s="176">
        <v>1099</v>
      </c>
      <c r="J104" s="410">
        <f t="shared" si="25"/>
        <v>7.0577981651376147</v>
      </c>
      <c r="K104" s="176">
        <f t="shared" si="26"/>
        <v>14.057798165137616</v>
      </c>
      <c r="L104" s="411"/>
      <c r="M104" s="176">
        <f t="shared" si="27"/>
        <v>19.680917431192661</v>
      </c>
      <c r="N104" s="176">
        <v>40</v>
      </c>
      <c r="R104" t="s">
        <v>12</v>
      </c>
      <c r="S104" s="6">
        <v>46030</v>
      </c>
    </row>
    <row r="105" spans="1:19" x14ac:dyDescent="0.35">
      <c r="A105" s="594"/>
      <c r="B105" s="594"/>
      <c r="C105" s="597" t="s">
        <v>1563</v>
      </c>
      <c r="D105" s="92"/>
      <c r="E105" s="745">
        <v>39</v>
      </c>
      <c r="F105" s="245" t="s">
        <v>1565</v>
      </c>
      <c r="G105" s="173">
        <v>7</v>
      </c>
      <c r="H105">
        <v>1090</v>
      </c>
      <c r="I105" s="173">
        <v>1099</v>
      </c>
      <c r="J105" s="402">
        <f t="shared" si="25"/>
        <v>7.0577981651376147</v>
      </c>
      <c r="K105" s="173">
        <f t="shared" si="26"/>
        <v>14.057798165137616</v>
      </c>
      <c r="L105" s="174"/>
      <c r="M105" s="173">
        <f t="shared" si="27"/>
        <v>19.680917431192661</v>
      </c>
      <c r="N105" s="173">
        <v>40</v>
      </c>
    </row>
    <row r="106" spans="1:19" x14ac:dyDescent="0.35">
      <c r="A106" s="594"/>
      <c r="B106" s="594"/>
      <c r="C106" s="597" t="s">
        <v>1563</v>
      </c>
      <c r="D106" s="92"/>
      <c r="E106" s="745">
        <v>40</v>
      </c>
      <c r="F106" s="245" t="s">
        <v>1565</v>
      </c>
      <c r="G106" s="173">
        <v>7</v>
      </c>
      <c r="H106">
        <v>1090</v>
      </c>
      <c r="I106" s="173">
        <v>1099</v>
      </c>
      <c r="J106" s="402">
        <f t="shared" si="25"/>
        <v>7.0577981651376147</v>
      </c>
      <c r="K106" s="173">
        <f t="shared" si="26"/>
        <v>14.057798165137616</v>
      </c>
      <c r="L106" s="174"/>
      <c r="M106" s="173">
        <f t="shared" si="27"/>
        <v>19.680917431192661</v>
      </c>
      <c r="N106" s="173">
        <v>40</v>
      </c>
    </row>
    <row r="107" spans="1:19" hidden="1" x14ac:dyDescent="0.35">
      <c r="A107" s="3"/>
      <c r="B107" s="3"/>
      <c r="C107" s="233" t="s">
        <v>1563</v>
      </c>
      <c r="E107" s="366">
        <v>41</v>
      </c>
      <c r="F107" s="371" t="s">
        <v>1565</v>
      </c>
      <c r="G107" s="173">
        <v>7</v>
      </c>
      <c r="H107">
        <v>1090</v>
      </c>
      <c r="I107" s="173">
        <v>1099</v>
      </c>
      <c r="J107" s="402">
        <f t="shared" si="25"/>
        <v>7.0577981651376147</v>
      </c>
      <c r="K107" s="173">
        <f t="shared" si="26"/>
        <v>14.057798165137616</v>
      </c>
      <c r="L107" s="174"/>
      <c r="M107" s="173">
        <f t="shared" si="27"/>
        <v>19.680917431192661</v>
      </c>
      <c r="N107" s="173">
        <v>40</v>
      </c>
      <c r="R107" t="s">
        <v>2307</v>
      </c>
      <c r="S107" s="6">
        <v>46046</v>
      </c>
    </row>
    <row r="108" spans="1:19" hidden="1" x14ac:dyDescent="0.35">
      <c r="A108" s="594"/>
      <c r="B108" s="594"/>
      <c r="C108" s="597" t="s">
        <v>1563</v>
      </c>
      <c r="D108" s="92"/>
      <c r="E108" s="745">
        <v>41</v>
      </c>
      <c r="F108" s="371" t="s">
        <v>1565</v>
      </c>
      <c r="G108" s="176">
        <v>7</v>
      </c>
      <c r="H108" s="12">
        <v>1090</v>
      </c>
      <c r="I108" s="176">
        <v>1099</v>
      </c>
      <c r="J108" s="410">
        <f t="shared" si="25"/>
        <v>7.0577981651376147</v>
      </c>
      <c r="K108" s="176">
        <f t="shared" si="26"/>
        <v>14.057798165137616</v>
      </c>
      <c r="L108" s="411"/>
      <c r="M108" s="176">
        <f t="shared" si="27"/>
        <v>19.680917431192661</v>
      </c>
      <c r="N108" s="176">
        <v>40</v>
      </c>
      <c r="O108" s="12"/>
      <c r="R108" t="s">
        <v>1075</v>
      </c>
      <c r="S108" s="6">
        <v>46055</v>
      </c>
    </row>
    <row r="109" spans="1:19" x14ac:dyDescent="0.35">
      <c r="A109" s="594"/>
      <c r="B109" s="594"/>
      <c r="C109" s="597" t="s">
        <v>1563</v>
      </c>
      <c r="D109" s="92"/>
      <c r="E109" s="745">
        <v>42</v>
      </c>
      <c r="F109" s="245" t="s">
        <v>1565</v>
      </c>
      <c r="G109" s="173">
        <v>7</v>
      </c>
      <c r="H109">
        <v>1090</v>
      </c>
      <c r="I109" s="173">
        <v>1099</v>
      </c>
      <c r="J109" s="402">
        <f t="shared" si="25"/>
        <v>7.0577981651376147</v>
      </c>
      <c r="K109" s="173">
        <f t="shared" si="26"/>
        <v>14.057798165137616</v>
      </c>
      <c r="L109" s="174"/>
      <c r="M109" s="173">
        <f t="shared" si="27"/>
        <v>19.680917431192661</v>
      </c>
      <c r="N109" s="173">
        <v>40</v>
      </c>
    </row>
    <row r="110" spans="1:19" x14ac:dyDescent="0.35">
      <c r="A110" s="594"/>
      <c r="B110" s="594"/>
      <c r="C110" s="597" t="s">
        <v>1563</v>
      </c>
      <c r="D110" s="92"/>
      <c r="E110" s="745">
        <v>42</v>
      </c>
      <c r="F110" s="245" t="s">
        <v>1565</v>
      </c>
      <c r="G110" s="173">
        <v>7</v>
      </c>
      <c r="H110">
        <v>1090</v>
      </c>
      <c r="I110" s="173">
        <v>1099</v>
      </c>
      <c r="J110" s="402">
        <f t="shared" si="25"/>
        <v>7.0577981651376147</v>
      </c>
      <c r="K110" s="173">
        <f t="shared" si="26"/>
        <v>14.057798165137616</v>
      </c>
      <c r="L110" s="174"/>
      <c r="M110" s="173">
        <f t="shared" si="27"/>
        <v>19.680917431192661</v>
      </c>
      <c r="N110" s="173">
        <v>40</v>
      </c>
    </row>
    <row r="111" spans="1:19" x14ac:dyDescent="0.35">
      <c r="A111" s="594"/>
      <c r="B111" s="594"/>
      <c r="C111" s="597" t="s">
        <v>1563</v>
      </c>
      <c r="D111" s="92"/>
      <c r="E111" s="745">
        <v>42</v>
      </c>
      <c r="F111" s="245" t="s">
        <v>1565</v>
      </c>
      <c r="G111" s="173">
        <v>7</v>
      </c>
      <c r="H111">
        <v>1090</v>
      </c>
      <c r="I111" s="173">
        <v>1099</v>
      </c>
      <c r="J111" s="402">
        <f t="shared" si="25"/>
        <v>7.0577981651376147</v>
      </c>
      <c r="K111" s="173">
        <f t="shared" si="26"/>
        <v>14.057798165137616</v>
      </c>
      <c r="L111" s="174"/>
      <c r="M111" s="173">
        <f t="shared" si="27"/>
        <v>19.680917431192661</v>
      </c>
      <c r="N111" s="173">
        <v>40</v>
      </c>
    </row>
    <row r="112" spans="1:19" hidden="1" x14ac:dyDescent="0.35">
      <c r="A112" s="594"/>
      <c r="B112" s="594"/>
      <c r="C112" s="597" t="s">
        <v>1563</v>
      </c>
      <c r="D112" s="92"/>
      <c r="E112" s="745">
        <v>39</v>
      </c>
      <c r="F112" s="371" t="s">
        <v>1566</v>
      </c>
      <c r="G112" s="176">
        <v>7</v>
      </c>
      <c r="H112" s="12">
        <v>1090</v>
      </c>
      <c r="I112" s="176">
        <v>1099</v>
      </c>
      <c r="J112" s="410">
        <f t="shared" si="25"/>
        <v>7.0577981651376147</v>
      </c>
      <c r="K112" s="176">
        <f t="shared" si="26"/>
        <v>14.057798165137616</v>
      </c>
      <c r="L112" s="411"/>
      <c r="M112" s="176">
        <f t="shared" si="27"/>
        <v>19.680917431192661</v>
      </c>
      <c r="N112" s="176">
        <v>40</v>
      </c>
      <c r="O112" s="12"/>
      <c r="R112" t="s">
        <v>2659</v>
      </c>
      <c r="S112" s="6">
        <v>46079</v>
      </c>
    </row>
    <row r="113" spans="1:19" hidden="1" x14ac:dyDescent="0.35">
      <c r="A113" s="594"/>
      <c r="B113" s="594"/>
      <c r="C113" s="597" t="s">
        <v>1563</v>
      </c>
      <c r="D113" s="92"/>
      <c r="E113" s="745">
        <v>39</v>
      </c>
      <c r="F113" s="371" t="s">
        <v>1566</v>
      </c>
      <c r="G113" s="176">
        <v>7</v>
      </c>
      <c r="H113" s="12">
        <v>1090</v>
      </c>
      <c r="I113" s="176">
        <v>1099</v>
      </c>
      <c r="J113" s="410">
        <f>+G113/H113*I113</f>
        <v>7.0577981651376147</v>
      </c>
      <c r="K113" s="176">
        <f>+G113+J113</f>
        <v>14.057798165137616</v>
      </c>
      <c r="L113" s="411"/>
      <c r="M113" s="176">
        <f>+K113*1.4</f>
        <v>19.680917431192661</v>
      </c>
      <c r="N113" s="176">
        <v>40</v>
      </c>
      <c r="O113" s="12"/>
      <c r="R113" t="s">
        <v>12</v>
      </c>
      <c r="S113" s="6">
        <v>46085</v>
      </c>
    </row>
    <row r="114" spans="1:19" hidden="1" x14ac:dyDescent="0.35">
      <c r="A114" s="3"/>
      <c r="B114" s="3"/>
      <c r="C114" s="233" t="s">
        <v>1563</v>
      </c>
      <c r="E114" s="366">
        <v>40</v>
      </c>
      <c r="F114" s="371" t="s">
        <v>1566</v>
      </c>
      <c r="G114" s="176">
        <v>7</v>
      </c>
      <c r="H114" s="12">
        <v>1090</v>
      </c>
      <c r="I114" s="176">
        <v>1099</v>
      </c>
      <c r="J114" s="410">
        <f t="shared" si="25"/>
        <v>7.0577981651376147</v>
      </c>
      <c r="K114" s="176">
        <f t="shared" si="26"/>
        <v>14.057798165137616</v>
      </c>
      <c r="L114" s="411"/>
      <c r="M114" s="176">
        <f t="shared" si="27"/>
        <v>19.680917431192661</v>
      </c>
      <c r="N114" s="176">
        <v>40</v>
      </c>
      <c r="R114" t="s">
        <v>2261</v>
      </c>
      <c r="S114" s="6">
        <v>46034</v>
      </c>
    </row>
    <row r="115" spans="1:19" hidden="1" x14ac:dyDescent="0.35">
      <c r="A115" s="3"/>
      <c r="B115" s="3"/>
      <c r="C115" s="233" t="s">
        <v>1563</v>
      </c>
      <c r="E115" s="366">
        <v>40</v>
      </c>
      <c r="F115" s="371" t="s">
        <v>1566</v>
      </c>
      <c r="G115" s="176">
        <v>7</v>
      </c>
      <c r="H115" s="12">
        <v>1090</v>
      </c>
      <c r="I115" s="176">
        <v>1099</v>
      </c>
      <c r="J115" s="410">
        <f t="shared" si="25"/>
        <v>7.0577981651376147</v>
      </c>
      <c r="K115" s="176">
        <f t="shared" si="26"/>
        <v>14.057798165137616</v>
      </c>
      <c r="L115" s="411"/>
      <c r="M115" s="176">
        <f t="shared" si="27"/>
        <v>19.680917431192661</v>
      </c>
      <c r="N115" s="176">
        <v>40</v>
      </c>
      <c r="R115" t="s">
        <v>12</v>
      </c>
      <c r="S115" s="6">
        <v>46030</v>
      </c>
    </row>
    <row r="116" spans="1:19" x14ac:dyDescent="0.35">
      <c r="A116" s="594"/>
      <c r="B116" s="594"/>
      <c r="C116" s="597" t="s">
        <v>1563</v>
      </c>
      <c r="D116" s="92"/>
      <c r="E116" s="745">
        <v>42</v>
      </c>
      <c r="F116" s="245" t="s">
        <v>1566</v>
      </c>
      <c r="G116" s="173">
        <v>7</v>
      </c>
      <c r="H116">
        <v>1090</v>
      </c>
      <c r="I116" s="173">
        <v>1099</v>
      </c>
      <c r="J116" s="402">
        <f t="shared" si="25"/>
        <v>7.0577981651376147</v>
      </c>
      <c r="K116" s="173">
        <f t="shared" si="26"/>
        <v>14.057798165137616</v>
      </c>
      <c r="L116" s="174"/>
      <c r="M116" s="173">
        <f t="shared" si="27"/>
        <v>19.680917431192661</v>
      </c>
      <c r="N116" s="173">
        <v>40</v>
      </c>
    </row>
    <row r="117" spans="1:19" hidden="1" x14ac:dyDescent="0.35">
      <c r="A117" s="594"/>
      <c r="B117" s="594"/>
      <c r="C117" s="597" t="s">
        <v>1563</v>
      </c>
      <c r="E117" s="366">
        <v>42</v>
      </c>
      <c r="F117" s="371" t="s">
        <v>1567</v>
      </c>
      <c r="G117" s="176">
        <v>7</v>
      </c>
      <c r="H117" s="12">
        <v>1090</v>
      </c>
      <c r="I117" s="176">
        <v>1099</v>
      </c>
      <c r="J117" s="410">
        <f t="shared" ref="J117:J123" si="28">+G117/H117*I117</f>
        <v>7.0577981651376147</v>
      </c>
      <c r="K117" s="176">
        <f t="shared" ref="K117:K123" si="29">+G117+J117</f>
        <v>14.057798165137616</v>
      </c>
      <c r="L117" s="411"/>
      <c r="M117" s="176">
        <f t="shared" ref="M117:M126" si="30">+K117*1.4</f>
        <v>19.680917431192661</v>
      </c>
      <c r="N117" s="176">
        <v>40</v>
      </c>
      <c r="O117" s="12"/>
      <c r="R117" t="s">
        <v>12</v>
      </c>
      <c r="S117" s="6">
        <v>46055</v>
      </c>
    </row>
    <row r="118" spans="1:19" hidden="1" x14ac:dyDescent="0.35">
      <c r="A118" s="594"/>
      <c r="B118" s="594"/>
      <c r="C118" s="597" t="s">
        <v>1563</v>
      </c>
      <c r="E118" s="366">
        <v>42</v>
      </c>
      <c r="F118" s="371" t="s">
        <v>1567</v>
      </c>
      <c r="G118" s="176">
        <v>7</v>
      </c>
      <c r="H118" s="12">
        <v>1090</v>
      </c>
      <c r="I118" s="176">
        <v>1099</v>
      </c>
      <c r="J118" s="410">
        <f>+G118/H118*I118</f>
        <v>7.0577981651376147</v>
      </c>
      <c r="K118" s="176">
        <f>+G118+J118</f>
        <v>14.057798165137616</v>
      </c>
      <c r="L118" s="411"/>
      <c r="M118" s="176">
        <f>+K118*1.4</f>
        <v>19.680917431192661</v>
      </c>
      <c r="N118" s="176">
        <v>40</v>
      </c>
      <c r="O118" s="12"/>
      <c r="R118" t="s">
        <v>12</v>
      </c>
      <c r="S118" s="6">
        <v>46056</v>
      </c>
    </row>
    <row r="119" spans="1:19" x14ac:dyDescent="0.35">
      <c r="A119" s="594"/>
      <c r="B119" s="594"/>
      <c r="C119" s="597" t="s">
        <v>1563</v>
      </c>
      <c r="D119" s="92"/>
      <c r="E119" s="745">
        <v>9</v>
      </c>
      <c r="F119" s="245" t="s">
        <v>1575</v>
      </c>
      <c r="G119" s="173">
        <v>7</v>
      </c>
      <c r="H119">
        <v>1090</v>
      </c>
      <c r="I119" s="173">
        <v>1099</v>
      </c>
      <c r="J119" s="402">
        <f t="shared" si="28"/>
        <v>7.0577981651376147</v>
      </c>
      <c r="K119" s="173">
        <f t="shared" si="29"/>
        <v>14.057798165137616</v>
      </c>
      <c r="L119" s="174"/>
      <c r="M119" s="173">
        <f t="shared" si="30"/>
        <v>19.680917431192661</v>
      </c>
      <c r="N119" s="173">
        <v>35</v>
      </c>
    </row>
    <row r="120" spans="1:19" x14ac:dyDescent="0.35">
      <c r="A120" s="594"/>
      <c r="B120" s="594"/>
      <c r="C120" s="597" t="s">
        <v>1563</v>
      </c>
      <c r="D120" s="92"/>
      <c r="E120" s="745">
        <v>12</v>
      </c>
      <c r="F120" s="245" t="s">
        <v>1575</v>
      </c>
      <c r="G120" s="173">
        <v>7</v>
      </c>
      <c r="H120">
        <v>1090</v>
      </c>
      <c r="I120" s="173">
        <v>1099</v>
      </c>
      <c r="J120" s="402">
        <f t="shared" si="28"/>
        <v>7.0577981651376147</v>
      </c>
      <c r="K120" s="173">
        <f t="shared" si="29"/>
        <v>14.057798165137616</v>
      </c>
      <c r="L120" s="174"/>
      <c r="M120" s="173">
        <f t="shared" si="30"/>
        <v>19.680917431192661</v>
      </c>
      <c r="N120" s="173">
        <v>35</v>
      </c>
    </row>
    <row r="121" spans="1:19" hidden="1" x14ac:dyDescent="0.35">
      <c r="A121" s="3"/>
      <c r="B121" s="3"/>
      <c r="C121" s="233" t="s">
        <v>1563</v>
      </c>
      <c r="E121" s="366">
        <v>40</v>
      </c>
      <c r="F121" s="371" t="s">
        <v>2151</v>
      </c>
      <c r="G121" s="176">
        <v>7</v>
      </c>
      <c r="H121" s="12">
        <v>1090</v>
      </c>
      <c r="I121" s="176">
        <v>1099</v>
      </c>
      <c r="J121" s="410">
        <f t="shared" si="28"/>
        <v>7.0577981651376147</v>
      </c>
      <c r="K121" s="176">
        <f t="shared" si="29"/>
        <v>14.057798165137616</v>
      </c>
      <c r="L121" s="411"/>
      <c r="M121" s="176">
        <f t="shared" si="30"/>
        <v>19.680917431192661</v>
      </c>
      <c r="N121" s="176">
        <v>40</v>
      </c>
      <c r="R121" t="s">
        <v>1820</v>
      </c>
      <c r="S121" s="6">
        <v>46025</v>
      </c>
    </row>
    <row r="122" spans="1:19" hidden="1" x14ac:dyDescent="0.35">
      <c r="A122" s="3"/>
      <c r="B122" s="3"/>
      <c r="C122" s="233" t="s">
        <v>1563</v>
      </c>
      <c r="E122" s="366">
        <v>41</v>
      </c>
      <c r="F122" s="371" t="s">
        <v>1572</v>
      </c>
      <c r="G122" s="176">
        <v>7</v>
      </c>
      <c r="H122" s="12">
        <v>1090</v>
      </c>
      <c r="I122" s="176">
        <v>1099</v>
      </c>
      <c r="J122" s="410">
        <f t="shared" si="28"/>
        <v>7.0577981651376147</v>
      </c>
      <c r="K122" s="176">
        <f t="shared" si="29"/>
        <v>14.057798165137616</v>
      </c>
      <c r="L122" s="411"/>
      <c r="M122" s="176">
        <f t="shared" si="30"/>
        <v>19.680917431192661</v>
      </c>
      <c r="N122" s="176">
        <v>40</v>
      </c>
      <c r="R122" t="s">
        <v>1820</v>
      </c>
      <c r="S122" s="6">
        <v>46030</v>
      </c>
    </row>
    <row r="123" spans="1:19" x14ac:dyDescent="0.35">
      <c r="A123" s="92"/>
      <c r="B123" s="594"/>
      <c r="C123" s="597" t="s">
        <v>1563</v>
      </c>
      <c r="E123" s="745">
        <v>38</v>
      </c>
      <c r="F123" s="371" t="s">
        <v>2355</v>
      </c>
      <c r="G123" s="173">
        <v>7</v>
      </c>
      <c r="H123">
        <v>1090</v>
      </c>
      <c r="I123" s="173">
        <v>1099</v>
      </c>
      <c r="J123" s="402">
        <f t="shared" si="28"/>
        <v>7.0577981651376147</v>
      </c>
      <c r="K123" s="173">
        <f t="shared" si="29"/>
        <v>14.057798165137616</v>
      </c>
      <c r="L123" s="174"/>
      <c r="M123" s="173">
        <f t="shared" si="30"/>
        <v>19.680917431192661</v>
      </c>
      <c r="N123" s="173">
        <v>35</v>
      </c>
      <c r="R123" t="s">
        <v>12</v>
      </c>
      <c r="S123" s="6">
        <v>46087</v>
      </c>
    </row>
    <row r="124" spans="1:19" x14ac:dyDescent="0.35">
      <c r="A124" s="92"/>
      <c r="B124" s="594"/>
      <c r="C124" s="597" t="s">
        <v>1563</v>
      </c>
      <c r="E124" s="745">
        <v>41</v>
      </c>
      <c r="F124" s="245" t="s">
        <v>2355</v>
      </c>
      <c r="G124" s="173">
        <v>7</v>
      </c>
      <c r="H124">
        <v>1090</v>
      </c>
      <c r="I124" s="173">
        <v>1099</v>
      </c>
      <c r="J124" s="402">
        <f>+G124/H124*I124</f>
        <v>7.0577981651376147</v>
      </c>
      <c r="K124" s="173">
        <f>+G124+J124</f>
        <v>14.057798165137616</v>
      </c>
      <c r="L124" s="174"/>
      <c r="M124" s="173">
        <f t="shared" si="30"/>
        <v>19.680917431192661</v>
      </c>
      <c r="N124" s="173">
        <v>35</v>
      </c>
    </row>
    <row r="125" spans="1:19" x14ac:dyDescent="0.35">
      <c r="A125" s="92"/>
      <c r="B125" s="594"/>
      <c r="C125" s="597" t="s">
        <v>1563</v>
      </c>
      <c r="E125" s="745">
        <v>40</v>
      </c>
      <c r="F125" s="245" t="s">
        <v>1574</v>
      </c>
      <c r="G125" s="173">
        <v>7</v>
      </c>
      <c r="H125">
        <v>1090</v>
      </c>
      <c r="I125" s="173">
        <v>1099</v>
      </c>
      <c r="J125" s="402">
        <f>+G125/H125*I125</f>
        <v>7.0577981651376147</v>
      </c>
      <c r="K125" s="173">
        <f>+G125+J125</f>
        <v>14.057798165137616</v>
      </c>
      <c r="L125" s="174"/>
      <c r="M125" s="173">
        <f t="shared" si="30"/>
        <v>19.680917431192661</v>
      </c>
      <c r="N125" s="173">
        <v>35</v>
      </c>
    </row>
    <row r="126" spans="1:19" x14ac:dyDescent="0.35">
      <c r="A126" s="92"/>
      <c r="B126" s="594"/>
      <c r="C126" s="597" t="s">
        <v>2359</v>
      </c>
      <c r="E126" s="745">
        <v>42</v>
      </c>
      <c r="F126" s="245" t="s">
        <v>2360</v>
      </c>
      <c r="G126" s="173">
        <v>7</v>
      </c>
      <c r="H126">
        <v>1090</v>
      </c>
      <c r="I126" s="173">
        <v>1099</v>
      </c>
      <c r="J126" s="402">
        <f>+G126/H126*I126</f>
        <v>7.0577981651376147</v>
      </c>
      <c r="K126" s="173">
        <f>+G126+J126</f>
        <v>14.057798165137616</v>
      </c>
      <c r="L126" s="174"/>
      <c r="M126" s="173">
        <f t="shared" si="30"/>
        <v>19.680917431192661</v>
      </c>
      <c r="N126" s="173">
        <v>35</v>
      </c>
    </row>
    <row r="127" spans="1:19" x14ac:dyDescent="0.35">
      <c r="A127" s="594"/>
      <c r="B127" s="594"/>
      <c r="C127" s="597" t="s">
        <v>1768</v>
      </c>
      <c r="E127" s="745">
        <v>8</v>
      </c>
      <c r="F127" s="245" t="s">
        <v>1767</v>
      </c>
      <c r="G127" s="173">
        <v>20</v>
      </c>
      <c r="I127" s="173"/>
      <c r="J127" s="173"/>
      <c r="K127" s="173"/>
      <c r="M127" s="173"/>
      <c r="N127" s="173">
        <v>65</v>
      </c>
    </row>
    <row r="128" spans="1:19" x14ac:dyDescent="0.35">
      <c r="A128" s="594"/>
      <c r="B128" s="594"/>
      <c r="C128" s="597" t="s">
        <v>656</v>
      </c>
      <c r="E128" s="745"/>
      <c r="F128" s="245" t="s">
        <v>2353</v>
      </c>
      <c r="G128" s="173"/>
      <c r="I128" s="173"/>
      <c r="J128" s="173"/>
      <c r="K128" s="173"/>
      <c r="M128" s="173"/>
      <c r="N128" s="173"/>
      <c r="O128">
        <v>65</v>
      </c>
    </row>
    <row r="129" spans="1:19" s="3" customFormat="1" x14ac:dyDescent="0.35">
      <c r="C129" s="232" t="s">
        <v>2135</v>
      </c>
      <c r="D129" s="232"/>
      <c r="F129" s="340"/>
      <c r="G129" s="256"/>
      <c r="H129" s="256"/>
      <c r="I129" s="146"/>
      <c r="K129" s="146"/>
      <c r="L129" s="146"/>
      <c r="M129" s="146"/>
      <c r="O129" s="146"/>
      <c r="P129" s="146"/>
      <c r="Q129" s="146"/>
    </row>
    <row r="130" spans="1:19" hidden="1" x14ac:dyDescent="0.35">
      <c r="A130" s="3"/>
      <c r="B130" s="3"/>
      <c r="C130" s="233" t="s">
        <v>2137</v>
      </c>
      <c r="D130" s="233"/>
      <c r="E130" s="366">
        <v>8</v>
      </c>
      <c r="F130" s="371" t="s">
        <v>2138</v>
      </c>
      <c r="G130" s="176">
        <v>8</v>
      </c>
      <c r="H130" s="12">
        <v>246</v>
      </c>
      <c r="I130" s="176">
        <v>232</v>
      </c>
      <c r="J130" s="176">
        <f>+G130/H130*I130</f>
        <v>7.5447154471544726</v>
      </c>
      <c r="K130" s="176">
        <f>+G130+J130</f>
        <v>15.544715447154474</v>
      </c>
      <c r="L130" s="12"/>
      <c r="M130" s="176">
        <f>16*1.5</f>
        <v>24</v>
      </c>
      <c r="N130" s="176">
        <v>30</v>
      </c>
      <c r="O130" s="12"/>
      <c r="P130" s="12"/>
      <c r="Q130" s="12"/>
      <c r="R130" t="s">
        <v>12</v>
      </c>
      <c r="S130" s="6">
        <v>46072</v>
      </c>
    </row>
    <row r="131" spans="1:19" x14ac:dyDescent="0.35">
      <c r="A131" s="3"/>
      <c r="B131" s="3"/>
      <c r="C131" s="233" t="s">
        <v>2137</v>
      </c>
      <c r="D131" s="233"/>
      <c r="E131" s="366">
        <v>8</v>
      </c>
      <c r="F131" s="245" t="s">
        <v>2138</v>
      </c>
      <c r="G131" s="173">
        <v>8</v>
      </c>
      <c r="H131">
        <v>246</v>
      </c>
      <c r="I131" s="173">
        <v>232</v>
      </c>
      <c r="J131" s="173">
        <f t="shared" ref="J131:J159" si="31">+G131/H131*I131</f>
        <v>7.5447154471544726</v>
      </c>
      <c r="K131" s="173">
        <f t="shared" ref="K131:K159" si="32">+G131+J131</f>
        <v>15.544715447154474</v>
      </c>
      <c r="M131" s="173">
        <f t="shared" ref="M131:M190" si="33">16*1.5</f>
        <v>24</v>
      </c>
      <c r="N131" s="173">
        <v>30</v>
      </c>
    </row>
    <row r="132" spans="1:19" x14ac:dyDescent="0.35">
      <c r="A132" s="3"/>
      <c r="B132" s="3"/>
      <c r="C132" s="233" t="s">
        <v>2137</v>
      </c>
      <c r="D132" s="233"/>
      <c r="E132" s="366">
        <v>9</v>
      </c>
      <c r="F132" s="245" t="s">
        <v>2138</v>
      </c>
      <c r="G132" s="173">
        <v>8</v>
      </c>
      <c r="H132">
        <v>246</v>
      </c>
      <c r="I132" s="173">
        <v>232</v>
      </c>
      <c r="J132" s="173">
        <f t="shared" si="31"/>
        <v>7.5447154471544726</v>
      </c>
      <c r="K132" s="173">
        <f t="shared" si="32"/>
        <v>15.544715447154474</v>
      </c>
      <c r="M132" s="173">
        <f t="shared" si="33"/>
        <v>24</v>
      </c>
      <c r="N132" s="173">
        <v>30</v>
      </c>
    </row>
    <row r="133" spans="1:19" x14ac:dyDescent="0.35">
      <c r="A133" s="3"/>
      <c r="B133" s="3"/>
      <c r="C133" s="233" t="s">
        <v>2137</v>
      </c>
      <c r="D133" s="233"/>
      <c r="E133" s="366">
        <v>10</v>
      </c>
      <c r="F133" s="245" t="s">
        <v>2138</v>
      </c>
      <c r="G133" s="173">
        <v>8</v>
      </c>
      <c r="H133">
        <v>246</v>
      </c>
      <c r="I133" s="173">
        <v>232</v>
      </c>
      <c r="J133" s="173">
        <f t="shared" si="31"/>
        <v>7.5447154471544726</v>
      </c>
      <c r="K133" s="173">
        <f t="shared" si="32"/>
        <v>15.544715447154474</v>
      </c>
      <c r="M133" s="173">
        <f t="shared" si="33"/>
        <v>24</v>
      </c>
      <c r="N133" s="173">
        <v>30</v>
      </c>
    </row>
    <row r="134" spans="1:19" x14ac:dyDescent="0.35">
      <c r="A134" s="3"/>
      <c r="B134" s="3"/>
      <c r="C134" s="233" t="s">
        <v>2137</v>
      </c>
      <c r="D134" s="233"/>
      <c r="E134" s="366">
        <v>10</v>
      </c>
      <c r="F134" s="245" t="s">
        <v>2138</v>
      </c>
      <c r="G134" s="173">
        <v>8</v>
      </c>
      <c r="H134">
        <v>246</v>
      </c>
      <c r="I134" s="173">
        <v>232</v>
      </c>
      <c r="J134" s="173">
        <f t="shared" si="31"/>
        <v>7.5447154471544726</v>
      </c>
      <c r="K134" s="173">
        <f t="shared" si="32"/>
        <v>15.544715447154474</v>
      </c>
      <c r="M134" s="173">
        <f t="shared" si="33"/>
        <v>24</v>
      </c>
      <c r="N134" s="173">
        <v>30</v>
      </c>
    </row>
    <row r="135" spans="1:19" x14ac:dyDescent="0.35">
      <c r="A135" s="3"/>
      <c r="B135" s="3"/>
      <c r="C135" s="233" t="s">
        <v>2137</v>
      </c>
      <c r="D135" s="233"/>
      <c r="E135" s="366">
        <v>10</v>
      </c>
      <c r="F135" s="245" t="s">
        <v>2138</v>
      </c>
      <c r="G135" s="173">
        <v>8</v>
      </c>
      <c r="H135">
        <v>246</v>
      </c>
      <c r="I135" s="173">
        <v>232</v>
      </c>
      <c r="J135" s="173">
        <f t="shared" si="31"/>
        <v>7.5447154471544726</v>
      </c>
      <c r="K135" s="173">
        <f t="shared" si="32"/>
        <v>15.544715447154474</v>
      </c>
      <c r="M135" s="173">
        <f t="shared" si="33"/>
        <v>24</v>
      </c>
      <c r="N135" s="173">
        <v>30</v>
      </c>
    </row>
    <row r="136" spans="1:19" x14ac:dyDescent="0.35">
      <c r="A136" s="3"/>
      <c r="B136" s="3"/>
      <c r="C136" s="233" t="s">
        <v>2137</v>
      </c>
      <c r="D136" s="233"/>
      <c r="E136" s="366">
        <v>11</v>
      </c>
      <c r="F136" s="245" t="s">
        <v>2138</v>
      </c>
      <c r="G136" s="173">
        <v>8</v>
      </c>
      <c r="H136">
        <v>246</v>
      </c>
      <c r="I136" s="173">
        <v>232</v>
      </c>
      <c r="J136" s="173">
        <f t="shared" si="31"/>
        <v>7.5447154471544726</v>
      </c>
      <c r="K136" s="173">
        <f t="shared" si="32"/>
        <v>15.544715447154474</v>
      </c>
      <c r="M136" s="173">
        <f t="shared" si="33"/>
        <v>24</v>
      </c>
      <c r="N136" s="173">
        <v>30</v>
      </c>
    </row>
    <row r="137" spans="1:19" hidden="1" x14ac:dyDescent="0.35">
      <c r="A137" s="3"/>
      <c r="B137" s="3"/>
      <c r="C137" s="233" t="s">
        <v>2137</v>
      </c>
      <c r="D137" s="233"/>
      <c r="E137" s="366">
        <v>12</v>
      </c>
      <c r="F137" s="371" t="s">
        <v>2138</v>
      </c>
      <c r="G137" s="176">
        <v>8</v>
      </c>
      <c r="H137" s="12">
        <v>246</v>
      </c>
      <c r="I137" s="176">
        <v>232</v>
      </c>
      <c r="J137" s="176">
        <f t="shared" si="31"/>
        <v>7.5447154471544726</v>
      </c>
      <c r="K137" s="176">
        <f t="shared" si="32"/>
        <v>15.544715447154474</v>
      </c>
      <c r="L137" s="12"/>
      <c r="M137" s="176">
        <f t="shared" si="33"/>
        <v>24</v>
      </c>
      <c r="N137" s="176">
        <v>30</v>
      </c>
      <c r="O137" s="12"/>
      <c r="P137" s="12"/>
      <c r="Q137" s="12"/>
      <c r="R137" t="s">
        <v>2300</v>
      </c>
      <c r="S137" s="6">
        <v>46045</v>
      </c>
    </row>
    <row r="138" spans="1:19" x14ac:dyDescent="0.35">
      <c r="A138" s="3"/>
      <c r="B138" s="3"/>
      <c r="C138" s="233" t="s">
        <v>2137</v>
      </c>
      <c r="D138" s="233"/>
      <c r="E138" s="366">
        <v>12</v>
      </c>
      <c r="F138" s="371" t="s">
        <v>2138</v>
      </c>
      <c r="G138" s="176">
        <v>8</v>
      </c>
      <c r="H138" s="12">
        <v>246</v>
      </c>
      <c r="I138" s="176">
        <v>232</v>
      </c>
      <c r="J138" s="176">
        <f t="shared" si="31"/>
        <v>7.5447154471544726</v>
      </c>
      <c r="K138" s="176">
        <f t="shared" si="32"/>
        <v>15.544715447154474</v>
      </c>
      <c r="L138" s="12"/>
      <c r="M138" s="176">
        <f t="shared" si="33"/>
        <v>24</v>
      </c>
      <c r="N138" s="176">
        <v>30</v>
      </c>
      <c r="R138" t="s">
        <v>2888</v>
      </c>
      <c r="S138" s="6">
        <v>46106</v>
      </c>
    </row>
    <row r="139" spans="1:19" x14ac:dyDescent="0.35">
      <c r="A139" s="3"/>
      <c r="B139" s="3"/>
      <c r="C139" s="233" t="s">
        <v>2137</v>
      </c>
      <c r="D139" s="233"/>
      <c r="E139" s="366">
        <v>12</v>
      </c>
      <c r="F139" s="245" t="s">
        <v>2138</v>
      </c>
      <c r="G139" s="173">
        <v>8</v>
      </c>
      <c r="H139">
        <v>246</v>
      </c>
      <c r="I139" s="173">
        <v>232</v>
      </c>
      <c r="J139" s="173">
        <f t="shared" si="31"/>
        <v>7.5447154471544726</v>
      </c>
      <c r="K139" s="173">
        <f t="shared" si="32"/>
        <v>15.544715447154474</v>
      </c>
      <c r="M139" s="173">
        <f t="shared" si="33"/>
        <v>24</v>
      </c>
      <c r="N139" s="173">
        <v>30</v>
      </c>
    </row>
    <row r="140" spans="1:19" x14ac:dyDescent="0.35">
      <c r="A140" s="3"/>
      <c r="B140" s="3"/>
      <c r="C140" s="233" t="s">
        <v>2137</v>
      </c>
      <c r="D140" s="233"/>
      <c r="E140" s="366">
        <v>8</v>
      </c>
      <c r="F140" s="371" t="s">
        <v>2139</v>
      </c>
      <c r="G140" s="176">
        <v>8</v>
      </c>
      <c r="H140" s="12">
        <v>246</v>
      </c>
      <c r="I140" s="176">
        <v>232</v>
      </c>
      <c r="J140" s="176">
        <f t="shared" si="31"/>
        <v>7.5447154471544726</v>
      </c>
      <c r="K140" s="176">
        <f t="shared" si="32"/>
        <v>15.544715447154474</v>
      </c>
      <c r="L140" s="12"/>
      <c r="M140" s="176">
        <f t="shared" si="33"/>
        <v>24</v>
      </c>
      <c r="N140" s="176">
        <v>30</v>
      </c>
      <c r="R140" t="s">
        <v>12</v>
      </c>
      <c r="S140" s="6">
        <v>46098</v>
      </c>
    </row>
    <row r="141" spans="1:19" x14ac:dyDescent="0.35">
      <c r="A141" s="3"/>
      <c r="B141" s="3"/>
      <c r="C141" s="233" t="s">
        <v>2137</v>
      </c>
      <c r="D141" s="233"/>
      <c r="E141" s="366">
        <v>8</v>
      </c>
      <c r="F141" s="245" t="s">
        <v>2139</v>
      </c>
      <c r="G141" s="173">
        <v>8</v>
      </c>
      <c r="H141">
        <v>246</v>
      </c>
      <c r="I141" s="173">
        <v>232</v>
      </c>
      <c r="J141" s="173">
        <f t="shared" si="31"/>
        <v>7.5447154471544726</v>
      </c>
      <c r="K141" s="173">
        <f t="shared" si="32"/>
        <v>15.544715447154474</v>
      </c>
      <c r="M141" s="173">
        <f t="shared" si="33"/>
        <v>24</v>
      </c>
      <c r="N141" s="173">
        <v>30</v>
      </c>
    </row>
    <row r="142" spans="1:19" x14ac:dyDescent="0.35">
      <c r="A142" s="3"/>
      <c r="B142" s="3"/>
      <c r="C142" s="233" t="s">
        <v>2137</v>
      </c>
      <c r="D142" s="233"/>
      <c r="E142" s="366">
        <v>9</v>
      </c>
      <c r="F142" s="245" t="s">
        <v>2139</v>
      </c>
      <c r="G142" s="173">
        <v>8</v>
      </c>
      <c r="H142">
        <v>246</v>
      </c>
      <c r="I142" s="173">
        <v>232</v>
      </c>
      <c r="J142" s="173">
        <f t="shared" si="31"/>
        <v>7.5447154471544726</v>
      </c>
      <c r="K142" s="173">
        <f t="shared" si="32"/>
        <v>15.544715447154474</v>
      </c>
      <c r="M142" s="173">
        <f t="shared" si="33"/>
        <v>24</v>
      </c>
      <c r="N142" s="173">
        <v>30</v>
      </c>
    </row>
    <row r="143" spans="1:19" x14ac:dyDescent="0.35">
      <c r="A143" s="3"/>
      <c r="B143" s="3"/>
      <c r="C143" s="233" t="s">
        <v>2137</v>
      </c>
      <c r="D143" s="233"/>
      <c r="E143" s="366">
        <v>9</v>
      </c>
      <c r="F143" s="245" t="s">
        <v>2139</v>
      </c>
      <c r="G143" s="173">
        <v>8</v>
      </c>
      <c r="H143">
        <v>246</v>
      </c>
      <c r="I143" s="173">
        <v>232</v>
      </c>
      <c r="J143" s="173">
        <f t="shared" si="31"/>
        <v>7.5447154471544726</v>
      </c>
      <c r="K143" s="173">
        <f t="shared" si="32"/>
        <v>15.544715447154474</v>
      </c>
      <c r="M143" s="173">
        <f t="shared" si="33"/>
        <v>24</v>
      </c>
      <c r="N143" s="173">
        <v>30</v>
      </c>
    </row>
    <row r="144" spans="1:19" x14ac:dyDescent="0.35">
      <c r="A144" s="3"/>
      <c r="B144" s="3"/>
      <c r="C144" s="233" t="s">
        <v>2137</v>
      </c>
      <c r="D144" s="233"/>
      <c r="E144" s="366">
        <v>10</v>
      </c>
      <c r="F144" s="245" t="s">
        <v>2139</v>
      </c>
      <c r="G144" s="173">
        <v>8</v>
      </c>
      <c r="H144">
        <v>246</v>
      </c>
      <c r="I144" s="173">
        <v>232</v>
      </c>
      <c r="J144" s="173">
        <f t="shared" si="31"/>
        <v>7.5447154471544726</v>
      </c>
      <c r="K144" s="173">
        <f t="shared" si="32"/>
        <v>15.544715447154474</v>
      </c>
      <c r="M144" s="173">
        <f t="shared" si="33"/>
        <v>24</v>
      </c>
      <c r="N144" s="173">
        <v>30</v>
      </c>
    </row>
    <row r="145" spans="1:19" x14ac:dyDescent="0.35">
      <c r="A145" s="3"/>
      <c r="B145" s="3"/>
      <c r="C145" s="233" t="s">
        <v>2137</v>
      </c>
      <c r="D145" s="233"/>
      <c r="E145" s="366">
        <v>10</v>
      </c>
      <c r="F145" s="245" t="s">
        <v>2139</v>
      </c>
      <c r="G145" s="173">
        <v>8</v>
      </c>
      <c r="H145">
        <v>246</v>
      </c>
      <c r="I145" s="173">
        <v>232</v>
      </c>
      <c r="J145" s="173">
        <f t="shared" si="31"/>
        <v>7.5447154471544726</v>
      </c>
      <c r="K145" s="173">
        <f t="shared" si="32"/>
        <v>15.544715447154474</v>
      </c>
      <c r="M145" s="173">
        <f t="shared" si="33"/>
        <v>24</v>
      </c>
      <c r="N145" s="173">
        <v>30</v>
      </c>
    </row>
    <row r="146" spans="1:19" x14ac:dyDescent="0.35">
      <c r="A146" s="3"/>
      <c r="B146" s="3"/>
      <c r="C146" s="233" t="s">
        <v>2137</v>
      </c>
      <c r="D146" s="233"/>
      <c r="E146" s="366">
        <v>11</v>
      </c>
      <c r="F146" s="245" t="s">
        <v>2139</v>
      </c>
      <c r="G146" s="173">
        <v>8</v>
      </c>
      <c r="H146">
        <v>246</v>
      </c>
      <c r="I146" s="173">
        <v>232</v>
      </c>
      <c r="J146" s="173">
        <f t="shared" si="31"/>
        <v>7.5447154471544726</v>
      </c>
      <c r="K146" s="173">
        <f t="shared" si="32"/>
        <v>15.544715447154474</v>
      </c>
      <c r="M146" s="173">
        <f t="shared" si="33"/>
        <v>24</v>
      </c>
      <c r="N146" s="173">
        <v>30</v>
      </c>
    </row>
    <row r="147" spans="1:19" x14ac:dyDescent="0.35">
      <c r="A147" s="3"/>
      <c r="B147" s="3"/>
      <c r="C147" s="233" t="s">
        <v>2137</v>
      </c>
      <c r="D147" s="233"/>
      <c r="E147" s="366">
        <v>12</v>
      </c>
      <c r="F147" s="245" t="s">
        <v>2139</v>
      </c>
      <c r="G147" s="173">
        <v>8</v>
      </c>
      <c r="H147">
        <v>246</v>
      </c>
      <c r="I147" s="173">
        <v>232</v>
      </c>
      <c r="J147" s="173">
        <f t="shared" si="31"/>
        <v>7.5447154471544726</v>
      </c>
      <c r="K147" s="173">
        <f t="shared" si="32"/>
        <v>15.544715447154474</v>
      </c>
      <c r="M147" s="173">
        <f t="shared" si="33"/>
        <v>24</v>
      </c>
      <c r="N147" s="173">
        <v>30</v>
      </c>
    </row>
    <row r="148" spans="1:19" x14ac:dyDescent="0.35">
      <c r="A148" s="3"/>
      <c r="B148" s="3"/>
      <c r="C148" s="233" t="s">
        <v>2137</v>
      </c>
      <c r="D148" s="233"/>
      <c r="E148" s="366">
        <v>12</v>
      </c>
      <c r="F148" s="245" t="s">
        <v>2139</v>
      </c>
      <c r="G148" s="173">
        <v>8</v>
      </c>
      <c r="H148">
        <v>246</v>
      </c>
      <c r="I148" s="173">
        <v>232</v>
      </c>
      <c r="J148" s="173">
        <f t="shared" si="31"/>
        <v>7.5447154471544726</v>
      </c>
      <c r="K148" s="173">
        <f t="shared" si="32"/>
        <v>15.544715447154474</v>
      </c>
      <c r="M148" s="173">
        <f t="shared" si="33"/>
        <v>24</v>
      </c>
      <c r="N148" s="173">
        <v>30</v>
      </c>
    </row>
    <row r="149" spans="1:19" x14ac:dyDescent="0.35">
      <c r="A149" s="3"/>
      <c r="B149" s="3"/>
      <c r="C149" s="233" t="s">
        <v>2137</v>
      </c>
      <c r="D149" s="233"/>
      <c r="E149" s="366">
        <v>12</v>
      </c>
      <c r="F149" s="245" t="s">
        <v>2139</v>
      </c>
      <c r="G149" s="173">
        <v>8</v>
      </c>
      <c r="H149">
        <v>246</v>
      </c>
      <c r="I149" s="173">
        <v>232</v>
      </c>
      <c r="J149" s="173">
        <f t="shared" si="31"/>
        <v>7.5447154471544726</v>
      </c>
      <c r="K149" s="173">
        <f t="shared" si="32"/>
        <v>15.544715447154474</v>
      </c>
      <c r="M149" s="173">
        <f t="shared" si="33"/>
        <v>24</v>
      </c>
      <c r="N149" s="173">
        <v>30</v>
      </c>
    </row>
    <row r="150" spans="1:19" x14ac:dyDescent="0.35">
      <c r="A150" s="3"/>
      <c r="B150" s="3"/>
      <c r="C150" s="233" t="s">
        <v>2137</v>
      </c>
      <c r="D150" s="233"/>
      <c r="E150" s="366">
        <v>8</v>
      </c>
      <c r="F150" s="371" t="s">
        <v>2140</v>
      </c>
      <c r="G150" s="176">
        <v>8</v>
      </c>
      <c r="H150" s="12">
        <v>246</v>
      </c>
      <c r="I150" s="176">
        <v>232</v>
      </c>
      <c r="J150" s="176">
        <f t="shared" si="31"/>
        <v>7.5447154471544726</v>
      </c>
      <c r="K150" s="176">
        <f t="shared" si="32"/>
        <v>15.544715447154474</v>
      </c>
      <c r="L150" s="12"/>
      <c r="M150" s="176">
        <f t="shared" si="33"/>
        <v>24</v>
      </c>
      <c r="N150" s="176">
        <v>30</v>
      </c>
      <c r="R150" t="s">
        <v>12</v>
      </c>
      <c r="S150" s="6">
        <v>46130</v>
      </c>
    </row>
    <row r="151" spans="1:19" x14ac:dyDescent="0.35">
      <c r="A151" s="3"/>
      <c r="B151" s="3"/>
      <c r="C151" s="233" t="s">
        <v>2137</v>
      </c>
      <c r="D151" s="233"/>
      <c r="E151" s="366">
        <v>9</v>
      </c>
      <c r="F151" s="245" t="s">
        <v>2140</v>
      </c>
      <c r="G151" s="173">
        <v>8</v>
      </c>
      <c r="H151">
        <v>246</v>
      </c>
      <c r="I151" s="173">
        <v>232</v>
      </c>
      <c r="J151" s="173">
        <f t="shared" si="31"/>
        <v>7.5447154471544726</v>
      </c>
      <c r="K151" s="173">
        <f t="shared" si="32"/>
        <v>15.544715447154474</v>
      </c>
      <c r="M151" s="173">
        <f t="shared" si="33"/>
        <v>24</v>
      </c>
      <c r="N151" s="173">
        <v>30</v>
      </c>
    </row>
    <row r="152" spans="1:19" x14ac:dyDescent="0.35">
      <c r="A152" s="3"/>
      <c r="B152" s="3"/>
      <c r="C152" s="233" t="s">
        <v>2137</v>
      </c>
      <c r="D152" s="233"/>
      <c r="E152" s="366">
        <v>9</v>
      </c>
      <c r="F152" s="245" t="s">
        <v>2140</v>
      </c>
      <c r="G152" s="173">
        <v>8</v>
      </c>
      <c r="H152">
        <v>246</v>
      </c>
      <c r="I152" s="173">
        <v>232</v>
      </c>
      <c r="J152" s="173">
        <f t="shared" si="31"/>
        <v>7.5447154471544726</v>
      </c>
      <c r="K152" s="173">
        <f t="shared" si="32"/>
        <v>15.544715447154474</v>
      </c>
      <c r="M152" s="173">
        <f t="shared" si="33"/>
        <v>24</v>
      </c>
      <c r="N152" s="173">
        <v>30</v>
      </c>
    </row>
    <row r="153" spans="1:19" hidden="1" x14ac:dyDescent="0.35">
      <c r="A153" s="3"/>
      <c r="B153" s="3"/>
      <c r="C153" s="233" t="s">
        <v>2137</v>
      </c>
      <c r="D153" s="233"/>
      <c r="E153" s="366">
        <v>10</v>
      </c>
      <c r="F153" s="371" t="s">
        <v>2140</v>
      </c>
      <c r="G153" s="176">
        <v>8</v>
      </c>
      <c r="H153" s="12">
        <v>246</v>
      </c>
      <c r="I153" s="176">
        <v>232</v>
      </c>
      <c r="J153" s="176">
        <f t="shared" si="31"/>
        <v>7.5447154471544726</v>
      </c>
      <c r="K153" s="176">
        <f t="shared" si="32"/>
        <v>15.544715447154474</v>
      </c>
      <c r="L153" s="12"/>
      <c r="M153" s="176">
        <f t="shared" si="33"/>
        <v>24</v>
      </c>
      <c r="N153" s="176">
        <v>30</v>
      </c>
      <c r="O153" s="12"/>
      <c r="R153" t="s">
        <v>1820</v>
      </c>
      <c r="S153" s="6">
        <v>46049</v>
      </c>
    </row>
    <row r="154" spans="1:19" x14ac:dyDescent="0.35">
      <c r="A154" s="3"/>
      <c r="B154" s="3"/>
      <c r="C154" s="233" t="s">
        <v>2137</v>
      </c>
      <c r="D154" s="233"/>
      <c r="E154" s="366">
        <v>11</v>
      </c>
      <c r="F154" s="245" t="s">
        <v>2140</v>
      </c>
      <c r="G154" s="173">
        <v>8</v>
      </c>
      <c r="H154">
        <v>246</v>
      </c>
      <c r="I154" s="173">
        <v>232</v>
      </c>
      <c r="J154" s="173">
        <f t="shared" si="31"/>
        <v>7.5447154471544726</v>
      </c>
      <c r="K154" s="173">
        <f t="shared" si="32"/>
        <v>15.544715447154474</v>
      </c>
      <c r="M154" s="173">
        <f t="shared" si="33"/>
        <v>24</v>
      </c>
      <c r="N154" s="173">
        <v>30</v>
      </c>
    </row>
    <row r="155" spans="1:19" x14ac:dyDescent="0.35">
      <c r="A155" s="3"/>
      <c r="B155" s="3"/>
      <c r="C155" s="233" t="s">
        <v>2137</v>
      </c>
      <c r="D155" s="233"/>
      <c r="E155" s="366">
        <v>8</v>
      </c>
      <c r="F155" s="245" t="s">
        <v>2141</v>
      </c>
      <c r="G155" s="173">
        <v>8</v>
      </c>
      <c r="H155">
        <v>246</v>
      </c>
      <c r="I155" s="173">
        <v>232</v>
      </c>
      <c r="J155" s="173">
        <f t="shared" si="31"/>
        <v>7.5447154471544726</v>
      </c>
      <c r="K155" s="173">
        <f t="shared" si="32"/>
        <v>15.544715447154474</v>
      </c>
      <c r="M155" s="173">
        <f t="shared" si="33"/>
        <v>24</v>
      </c>
      <c r="N155" s="173">
        <v>30</v>
      </c>
    </row>
    <row r="156" spans="1:19" hidden="1" x14ac:dyDescent="0.35">
      <c r="A156" s="3"/>
      <c r="B156" s="3"/>
      <c r="C156" s="233" t="s">
        <v>2137</v>
      </c>
      <c r="D156" s="233"/>
      <c r="E156" s="366">
        <v>9</v>
      </c>
      <c r="F156" s="371" t="s">
        <v>2141</v>
      </c>
      <c r="G156" s="173">
        <v>8</v>
      </c>
      <c r="H156">
        <v>246</v>
      </c>
      <c r="I156" s="173">
        <v>232</v>
      </c>
      <c r="J156" s="173">
        <f t="shared" si="31"/>
        <v>7.5447154471544726</v>
      </c>
      <c r="K156" s="173">
        <f t="shared" si="32"/>
        <v>15.544715447154474</v>
      </c>
      <c r="M156" s="173">
        <f t="shared" si="33"/>
        <v>24</v>
      </c>
      <c r="N156" s="173">
        <v>30</v>
      </c>
      <c r="R156" t="s">
        <v>1111</v>
      </c>
      <c r="S156" s="6">
        <v>46055</v>
      </c>
    </row>
    <row r="157" spans="1:19" hidden="1" x14ac:dyDescent="0.35">
      <c r="A157" s="3"/>
      <c r="B157" s="3"/>
      <c r="C157" s="233" t="s">
        <v>2137</v>
      </c>
      <c r="D157" s="233"/>
      <c r="E157" s="366">
        <v>10</v>
      </c>
      <c r="F157" s="371" t="s">
        <v>2141</v>
      </c>
      <c r="G157" s="176">
        <v>8</v>
      </c>
      <c r="H157" s="12">
        <v>246</v>
      </c>
      <c r="I157" s="176">
        <v>232</v>
      </c>
      <c r="J157" s="176">
        <f t="shared" si="31"/>
        <v>7.5447154471544726</v>
      </c>
      <c r="K157" s="176">
        <f t="shared" si="32"/>
        <v>15.544715447154474</v>
      </c>
      <c r="L157" s="12"/>
      <c r="M157" s="176">
        <f t="shared" si="33"/>
        <v>24</v>
      </c>
      <c r="N157" s="176">
        <v>30</v>
      </c>
      <c r="R157" t="s">
        <v>401</v>
      </c>
      <c r="S157" s="6">
        <v>46030</v>
      </c>
    </row>
    <row r="158" spans="1:19" hidden="1" x14ac:dyDescent="0.35">
      <c r="A158" s="3"/>
      <c r="B158" s="3"/>
      <c r="C158" s="233" t="s">
        <v>2137</v>
      </c>
      <c r="D158" s="233"/>
      <c r="E158" s="366">
        <v>10</v>
      </c>
      <c r="F158" s="371" t="s">
        <v>2141</v>
      </c>
      <c r="G158" s="176">
        <v>8</v>
      </c>
      <c r="H158" s="12">
        <v>246</v>
      </c>
      <c r="I158" s="176">
        <v>232</v>
      </c>
      <c r="J158" s="176">
        <f t="shared" si="31"/>
        <v>7.5447154471544726</v>
      </c>
      <c r="K158" s="176">
        <f t="shared" si="32"/>
        <v>15.544715447154474</v>
      </c>
      <c r="L158" s="12"/>
      <c r="M158" s="176">
        <f t="shared" si="33"/>
        <v>24</v>
      </c>
      <c r="N158" s="176">
        <v>30</v>
      </c>
      <c r="R158" t="s">
        <v>12</v>
      </c>
      <c r="S158" s="6">
        <v>46032</v>
      </c>
    </row>
    <row r="159" spans="1:19" hidden="1" x14ac:dyDescent="0.35">
      <c r="A159" s="3"/>
      <c r="B159" s="3"/>
      <c r="C159" s="233" t="s">
        <v>2137</v>
      </c>
      <c r="D159" s="233"/>
      <c r="E159" s="366">
        <v>12</v>
      </c>
      <c r="F159" s="371" t="s">
        <v>2141</v>
      </c>
      <c r="G159" s="176">
        <v>8</v>
      </c>
      <c r="H159" s="12">
        <v>246</v>
      </c>
      <c r="I159" s="176">
        <v>232</v>
      </c>
      <c r="J159" s="176">
        <f t="shared" si="31"/>
        <v>7.5447154471544726</v>
      </c>
      <c r="K159" s="176">
        <f t="shared" si="32"/>
        <v>15.544715447154474</v>
      </c>
      <c r="L159" s="12"/>
      <c r="M159" s="176">
        <f t="shared" si="33"/>
        <v>24</v>
      </c>
      <c r="N159" s="176">
        <v>30</v>
      </c>
      <c r="R159" t="s">
        <v>12</v>
      </c>
      <c r="S159" s="6">
        <v>46034</v>
      </c>
    </row>
    <row r="160" spans="1:19" x14ac:dyDescent="0.35">
      <c r="A160" s="3"/>
      <c r="B160" s="3"/>
      <c r="C160" s="365">
        <v>46082</v>
      </c>
      <c r="D160" s="233"/>
      <c r="E160" s="366"/>
      <c r="F160" s="245"/>
      <c r="G160" s="173"/>
      <c r="I160" s="173"/>
      <c r="J160" s="173"/>
      <c r="K160" s="173"/>
      <c r="M160" s="173"/>
      <c r="N160" s="173"/>
      <c r="S160" s="6"/>
    </row>
    <row r="161" spans="1:19" x14ac:dyDescent="0.35">
      <c r="A161" s="3"/>
      <c r="B161" s="3"/>
      <c r="C161" s="233" t="s">
        <v>2856</v>
      </c>
      <c r="D161" s="233"/>
      <c r="E161" s="366">
        <v>38</v>
      </c>
      <c r="F161" s="245" t="s">
        <v>2850</v>
      </c>
      <c r="G161" s="173">
        <v>7</v>
      </c>
      <c r="H161">
        <v>203</v>
      </c>
      <c r="I161" s="173">
        <v>65</v>
      </c>
      <c r="J161" s="173">
        <f t="shared" ref="J161:J190" si="34">+G161/H161*I161</f>
        <v>2.2413793103448274</v>
      </c>
      <c r="K161" s="173">
        <f t="shared" ref="K161:K190" si="35">+G161+J161</f>
        <v>9.2413793103448274</v>
      </c>
      <c r="M161" s="173">
        <f t="shared" si="33"/>
        <v>24</v>
      </c>
      <c r="N161" s="173">
        <v>35</v>
      </c>
      <c r="S161" s="6"/>
    </row>
    <row r="162" spans="1:19" x14ac:dyDescent="0.35">
      <c r="A162" s="3"/>
      <c r="B162" s="3"/>
      <c r="C162" s="233" t="s">
        <v>2856</v>
      </c>
      <c r="D162" s="233"/>
      <c r="E162" s="366">
        <v>39</v>
      </c>
      <c r="F162" s="245" t="s">
        <v>2850</v>
      </c>
      <c r="G162" s="173">
        <v>7</v>
      </c>
      <c r="H162">
        <v>203</v>
      </c>
      <c r="I162" s="173">
        <v>65</v>
      </c>
      <c r="J162" s="173">
        <f t="shared" si="34"/>
        <v>2.2413793103448274</v>
      </c>
      <c r="K162" s="173">
        <f t="shared" si="35"/>
        <v>9.2413793103448274</v>
      </c>
      <c r="M162" s="173">
        <f t="shared" si="33"/>
        <v>24</v>
      </c>
      <c r="N162" s="173">
        <v>35</v>
      </c>
      <c r="S162" s="6"/>
    </row>
    <row r="163" spans="1:19" hidden="1" x14ac:dyDescent="0.35">
      <c r="A163" s="3"/>
      <c r="B163" s="3"/>
      <c r="C163" s="233" t="s">
        <v>2856</v>
      </c>
      <c r="D163" s="233"/>
      <c r="E163" s="366">
        <v>40</v>
      </c>
      <c r="F163" s="371" t="s">
        <v>2850</v>
      </c>
      <c r="G163" s="176">
        <v>7</v>
      </c>
      <c r="H163" s="12">
        <v>203</v>
      </c>
      <c r="I163" s="176">
        <v>65</v>
      </c>
      <c r="J163" s="176">
        <f t="shared" si="34"/>
        <v>2.2413793103448274</v>
      </c>
      <c r="K163" s="176">
        <f t="shared" si="35"/>
        <v>9.2413793103448274</v>
      </c>
      <c r="L163" s="12"/>
      <c r="M163" s="176">
        <f t="shared" si="33"/>
        <v>24</v>
      </c>
      <c r="N163" s="176">
        <v>35</v>
      </c>
      <c r="R163" t="s">
        <v>1464</v>
      </c>
      <c r="S163" s="6">
        <v>46111</v>
      </c>
    </row>
    <row r="164" spans="1:19" hidden="1" x14ac:dyDescent="0.35">
      <c r="A164" s="3"/>
      <c r="B164" s="3"/>
      <c r="C164" s="233" t="s">
        <v>2856</v>
      </c>
      <c r="D164" s="233"/>
      <c r="E164" s="366">
        <v>41</v>
      </c>
      <c r="F164" s="371" t="s">
        <v>2850</v>
      </c>
      <c r="G164" s="176">
        <v>7</v>
      </c>
      <c r="H164" s="12">
        <v>203</v>
      </c>
      <c r="I164" s="176">
        <v>65</v>
      </c>
      <c r="J164" s="176">
        <f t="shared" si="34"/>
        <v>2.2413793103448274</v>
      </c>
      <c r="K164" s="176">
        <f t="shared" si="35"/>
        <v>9.2413793103448274</v>
      </c>
      <c r="L164" s="12"/>
      <c r="M164" s="176">
        <f t="shared" si="33"/>
        <v>24</v>
      </c>
      <c r="N164" s="176">
        <v>35</v>
      </c>
      <c r="R164" t="s">
        <v>12</v>
      </c>
      <c r="S164" s="6">
        <v>46101</v>
      </c>
    </row>
    <row r="165" spans="1:19" x14ac:dyDescent="0.35">
      <c r="A165" s="3"/>
      <c r="B165" s="3"/>
      <c r="C165" s="233" t="s">
        <v>2856</v>
      </c>
      <c r="D165" s="233"/>
      <c r="E165" s="366">
        <v>42</v>
      </c>
      <c r="F165" s="371" t="s">
        <v>2850</v>
      </c>
      <c r="G165" s="176">
        <v>7</v>
      </c>
      <c r="H165" s="12">
        <v>203</v>
      </c>
      <c r="I165" s="176">
        <v>65</v>
      </c>
      <c r="J165" s="176">
        <f t="shared" si="34"/>
        <v>2.2413793103448274</v>
      </c>
      <c r="K165" s="176">
        <f t="shared" si="35"/>
        <v>9.2413793103448274</v>
      </c>
      <c r="L165" s="12"/>
      <c r="M165" s="176">
        <f t="shared" si="33"/>
        <v>24</v>
      </c>
      <c r="N165" s="176">
        <v>35</v>
      </c>
      <c r="R165" t="s">
        <v>2261</v>
      </c>
      <c r="S165" s="6">
        <v>46141</v>
      </c>
    </row>
    <row r="166" spans="1:19" x14ac:dyDescent="0.35">
      <c r="A166" s="3"/>
      <c r="B166" s="3"/>
      <c r="C166" s="233" t="s">
        <v>2856</v>
      </c>
      <c r="D166" s="233"/>
      <c r="E166" s="366">
        <v>38</v>
      </c>
      <c r="F166" s="245" t="s">
        <v>2851</v>
      </c>
      <c r="G166" s="173">
        <v>7</v>
      </c>
      <c r="H166">
        <v>203</v>
      </c>
      <c r="I166" s="173">
        <v>65</v>
      </c>
      <c r="J166" s="173">
        <f t="shared" si="34"/>
        <v>2.2413793103448274</v>
      </c>
      <c r="K166" s="173">
        <f t="shared" si="35"/>
        <v>9.2413793103448274</v>
      </c>
      <c r="M166" s="173">
        <f t="shared" si="33"/>
        <v>24</v>
      </c>
      <c r="N166" s="173">
        <v>35</v>
      </c>
      <c r="S166" s="6"/>
    </row>
    <row r="167" spans="1:19" x14ac:dyDescent="0.35">
      <c r="A167" s="3"/>
      <c r="B167" s="3"/>
      <c r="C167" s="233" t="s">
        <v>2856</v>
      </c>
      <c r="D167" s="233"/>
      <c r="E167" s="366">
        <v>39</v>
      </c>
      <c r="F167" s="245" t="s">
        <v>2851</v>
      </c>
      <c r="G167" s="173">
        <v>7</v>
      </c>
      <c r="H167">
        <v>203</v>
      </c>
      <c r="I167" s="173">
        <v>65</v>
      </c>
      <c r="J167" s="173">
        <f t="shared" si="34"/>
        <v>2.2413793103448274</v>
      </c>
      <c r="K167" s="173">
        <f t="shared" si="35"/>
        <v>9.2413793103448274</v>
      </c>
      <c r="M167" s="173">
        <f t="shared" si="33"/>
        <v>24</v>
      </c>
      <c r="N167" s="173">
        <v>35</v>
      </c>
      <c r="S167" s="6"/>
    </row>
    <row r="168" spans="1:19" x14ac:dyDescent="0.35">
      <c r="A168" s="3"/>
      <c r="B168" s="3"/>
      <c r="C168" s="233" t="s">
        <v>2856</v>
      </c>
      <c r="D168" s="233"/>
      <c r="E168" s="366">
        <v>40</v>
      </c>
      <c r="F168" s="245" t="s">
        <v>2851</v>
      </c>
      <c r="G168" s="173">
        <v>7</v>
      </c>
      <c r="H168">
        <v>203</v>
      </c>
      <c r="I168" s="173">
        <v>65</v>
      </c>
      <c r="J168" s="173">
        <f t="shared" si="34"/>
        <v>2.2413793103448274</v>
      </c>
      <c r="K168" s="173">
        <f t="shared" si="35"/>
        <v>9.2413793103448274</v>
      </c>
      <c r="M168" s="173">
        <f t="shared" si="33"/>
        <v>24</v>
      </c>
      <c r="N168" s="173">
        <v>35</v>
      </c>
      <c r="S168" s="6"/>
    </row>
    <row r="169" spans="1:19" hidden="1" x14ac:dyDescent="0.35">
      <c r="A169" s="3"/>
      <c r="B169" s="3"/>
      <c r="C169" s="233" t="s">
        <v>2856</v>
      </c>
      <c r="D169" s="233"/>
      <c r="E169" s="366">
        <v>41</v>
      </c>
      <c r="F169" s="371" t="s">
        <v>2851</v>
      </c>
      <c r="G169" s="176">
        <v>7</v>
      </c>
      <c r="H169" s="12">
        <v>203</v>
      </c>
      <c r="I169" s="176">
        <v>65</v>
      </c>
      <c r="J169" s="176">
        <f t="shared" si="34"/>
        <v>2.2413793103448274</v>
      </c>
      <c r="K169" s="176">
        <f t="shared" si="35"/>
        <v>9.2413793103448274</v>
      </c>
      <c r="L169" s="12"/>
      <c r="M169" s="176">
        <f t="shared" si="33"/>
        <v>24</v>
      </c>
      <c r="N169" s="176">
        <v>35</v>
      </c>
      <c r="R169" t="s">
        <v>12</v>
      </c>
      <c r="S169" s="6">
        <v>46102</v>
      </c>
    </row>
    <row r="170" spans="1:19" hidden="1" x14ac:dyDescent="0.35">
      <c r="A170" s="3"/>
      <c r="B170" s="3"/>
      <c r="C170" s="233" t="s">
        <v>2856</v>
      </c>
      <c r="D170" s="233"/>
      <c r="E170" s="366">
        <v>42</v>
      </c>
      <c r="F170" s="371" t="s">
        <v>2851</v>
      </c>
      <c r="G170" s="176">
        <v>7</v>
      </c>
      <c r="H170" s="12">
        <v>203</v>
      </c>
      <c r="I170" s="176">
        <v>65</v>
      </c>
      <c r="J170" s="176">
        <f t="shared" si="34"/>
        <v>2.2413793103448274</v>
      </c>
      <c r="K170" s="176">
        <f t="shared" si="35"/>
        <v>9.2413793103448274</v>
      </c>
      <c r="L170" s="12"/>
      <c r="M170" s="176">
        <f t="shared" si="33"/>
        <v>24</v>
      </c>
      <c r="N170" s="176">
        <v>35</v>
      </c>
      <c r="R170" t="s">
        <v>12</v>
      </c>
      <c r="S170" s="6">
        <v>46101</v>
      </c>
    </row>
    <row r="171" spans="1:19" x14ac:dyDescent="0.35">
      <c r="A171" s="3"/>
      <c r="B171" s="3"/>
      <c r="C171" s="233" t="s">
        <v>2856</v>
      </c>
      <c r="D171" s="233"/>
      <c r="E171" s="366">
        <v>38</v>
      </c>
      <c r="F171" s="245" t="s">
        <v>2852</v>
      </c>
      <c r="G171" s="173">
        <v>7</v>
      </c>
      <c r="H171">
        <v>203</v>
      </c>
      <c r="I171" s="173">
        <v>65</v>
      </c>
      <c r="J171" s="173">
        <f t="shared" si="34"/>
        <v>2.2413793103448274</v>
      </c>
      <c r="K171" s="173">
        <f t="shared" si="35"/>
        <v>9.2413793103448274</v>
      </c>
      <c r="M171" s="173">
        <f t="shared" si="33"/>
        <v>24</v>
      </c>
      <c r="N171" s="173">
        <v>35</v>
      </c>
      <c r="S171" s="6"/>
    </row>
    <row r="172" spans="1:19" x14ac:dyDescent="0.35">
      <c r="A172" s="3"/>
      <c r="B172" s="3"/>
      <c r="C172" s="233" t="s">
        <v>2856</v>
      </c>
      <c r="D172" s="233"/>
      <c r="E172" s="366">
        <v>39</v>
      </c>
      <c r="F172" s="245" t="s">
        <v>2852</v>
      </c>
      <c r="G172" s="173">
        <v>7</v>
      </c>
      <c r="H172">
        <v>203</v>
      </c>
      <c r="I172" s="173">
        <v>65</v>
      </c>
      <c r="J172" s="173">
        <f t="shared" si="34"/>
        <v>2.2413793103448274</v>
      </c>
      <c r="K172" s="173">
        <f t="shared" si="35"/>
        <v>9.2413793103448274</v>
      </c>
      <c r="M172" s="173">
        <f t="shared" si="33"/>
        <v>24</v>
      </c>
      <c r="N172" s="173">
        <v>35</v>
      </c>
      <c r="S172" s="6"/>
    </row>
    <row r="173" spans="1:19" hidden="1" x14ac:dyDescent="0.35">
      <c r="A173" s="3"/>
      <c r="B173" s="3"/>
      <c r="C173" s="233" t="s">
        <v>2856</v>
      </c>
      <c r="D173" s="233"/>
      <c r="E173" s="366">
        <v>40</v>
      </c>
      <c r="F173" s="371" t="s">
        <v>2852</v>
      </c>
      <c r="G173" s="176">
        <v>7</v>
      </c>
      <c r="H173" s="12">
        <v>203</v>
      </c>
      <c r="I173" s="176">
        <v>65</v>
      </c>
      <c r="J173" s="176">
        <f t="shared" si="34"/>
        <v>2.2413793103448274</v>
      </c>
      <c r="K173" s="176">
        <f t="shared" si="35"/>
        <v>9.2413793103448274</v>
      </c>
      <c r="L173" s="12"/>
      <c r="M173" s="176">
        <f t="shared" si="33"/>
        <v>24</v>
      </c>
      <c r="N173" s="176">
        <v>35</v>
      </c>
      <c r="R173" t="s">
        <v>1111</v>
      </c>
      <c r="S173" s="6">
        <v>46119</v>
      </c>
    </row>
    <row r="174" spans="1:19" x14ac:dyDescent="0.35">
      <c r="A174" s="3"/>
      <c r="B174" s="3"/>
      <c r="C174" s="233" t="s">
        <v>2856</v>
      </c>
      <c r="D174" s="233"/>
      <c r="E174" s="366">
        <v>41</v>
      </c>
      <c r="F174" s="245" t="s">
        <v>2852</v>
      </c>
      <c r="G174" s="173">
        <v>7</v>
      </c>
      <c r="H174">
        <v>203</v>
      </c>
      <c r="I174" s="173">
        <v>65</v>
      </c>
      <c r="J174" s="173">
        <f t="shared" si="34"/>
        <v>2.2413793103448274</v>
      </c>
      <c r="K174" s="173">
        <f t="shared" si="35"/>
        <v>9.2413793103448274</v>
      </c>
      <c r="M174" s="173">
        <f t="shared" si="33"/>
        <v>24</v>
      </c>
      <c r="N174" s="173">
        <v>35</v>
      </c>
      <c r="S174" s="6"/>
    </row>
    <row r="175" spans="1:19" x14ac:dyDescent="0.35">
      <c r="A175" s="3"/>
      <c r="B175" s="3"/>
      <c r="C175" s="233" t="s">
        <v>2856</v>
      </c>
      <c r="D175" s="233"/>
      <c r="E175" s="366">
        <v>42</v>
      </c>
      <c r="F175" s="245" t="s">
        <v>2852</v>
      </c>
      <c r="G175" s="173">
        <v>7</v>
      </c>
      <c r="H175">
        <v>203</v>
      </c>
      <c r="I175" s="173">
        <v>65</v>
      </c>
      <c r="J175" s="173">
        <f t="shared" si="34"/>
        <v>2.2413793103448274</v>
      </c>
      <c r="K175" s="173">
        <f t="shared" si="35"/>
        <v>9.2413793103448274</v>
      </c>
      <c r="M175" s="173">
        <f t="shared" si="33"/>
        <v>24</v>
      </c>
      <c r="N175" s="173">
        <v>35</v>
      </c>
      <c r="S175" s="6"/>
    </row>
    <row r="176" spans="1:19" x14ac:dyDescent="0.35">
      <c r="A176" s="3"/>
      <c r="B176" s="3"/>
      <c r="C176" s="233" t="s">
        <v>2856</v>
      </c>
      <c r="D176" s="233"/>
      <c r="E176" s="366">
        <v>38</v>
      </c>
      <c r="F176" s="245" t="s">
        <v>2853</v>
      </c>
      <c r="G176" s="173">
        <v>7</v>
      </c>
      <c r="H176">
        <v>203</v>
      </c>
      <c r="I176" s="173">
        <v>65</v>
      </c>
      <c r="J176" s="173">
        <f t="shared" si="34"/>
        <v>2.2413793103448274</v>
      </c>
      <c r="K176" s="173">
        <f t="shared" si="35"/>
        <v>9.2413793103448274</v>
      </c>
      <c r="M176" s="173">
        <f t="shared" si="33"/>
        <v>24</v>
      </c>
      <c r="N176" s="173">
        <v>35</v>
      </c>
      <c r="S176" s="6"/>
    </row>
    <row r="177" spans="1:20" x14ac:dyDescent="0.35">
      <c r="A177" s="3"/>
      <c r="B177" s="3"/>
      <c r="C177" s="233" t="s">
        <v>2856</v>
      </c>
      <c r="D177" s="233"/>
      <c r="E177" s="366">
        <v>39</v>
      </c>
      <c r="F177" s="245" t="s">
        <v>2853</v>
      </c>
      <c r="G177" s="173">
        <v>7</v>
      </c>
      <c r="H177">
        <v>203</v>
      </c>
      <c r="I177" s="173">
        <v>65</v>
      </c>
      <c r="J177" s="173">
        <f t="shared" si="34"/>
        <v>2.2413793103448274</v>
      </c>
      <c r="K177" s="173">
        <f t="shared" si="35"/>
        <v>9.2413793103448274</v>
      </c>
      <c r="M177" s="173">
        <f t="shared" si="33"/>
        <v>24</v>
      </c>
      <c r="N177" s="173">
        <v>35</v>
      </c>
      <c r="S177" s="6"/>
    </row>
    <row r="178" spans="1:20" x14ac:dyDescent="0.35">
      <c r="A178" s="3"/>
      <c r="B178" s="3"/>
      <c r="C178" s="233" t="s">
        <v>2856</v>
      </c>
      <c r="D178" s="233"/>
      <c r="E178" s="366">
        <v>40</v>
      </c>
      <c r="F178" s="245" t="s">
        <v>2853</v>
      </c>
      <c r="G178" s="173">
        <v>7</v>
      </c>
      <c r="H178">
        <v>203</v>
      </c>
      <c r="I178" s="173">
        <v>65</v>
      </c>
      <c r="J178" s="173">
        <f t="shared" si="34"/>
        <v>2.2413793103448274</v>
      </c>
      <c r="K178" s="173">
        <f t="shared" si="35"/>
        <v>9.2413793103448274</v>
      </c>
      <c r="M178" s="173">
        <f t="shared" si="33"/>
        <v>24</v>
      </c>
      <c r="N178" s="173">
        <v>35</v>
      </c>
      <c r="S178" s="6"/>
    </row>
    <row r="179" spans="1:20" x14ac:dyDescent="0.35">
      <c r="A179" s="3"/>
      <c r="B179" s="3"/>
      <c r="C179" s="233" t="s">
        <v>2856</v>
      </c>
      <c r="D179" s="233"/>
      <c r="E179" s="366">
        <v>41</v>
      </c>
      <c r="F179" s="245" t="s">
        <v>2853</v>
      </c>
      <c r="G179" s="173">
        <v>7</v>
      </c>
      <c r="H179">
        <v>203</v>
      </c>
      <c r="I179" s="173">
        <v>65</v>
      </c>
      <c r="J179" s="173">
        <f t="shared" si="34"/>
        <v>2.2413793103448274</v>
      </c>
      <c r="K179" s="173">
        <f t="shared" si="35"/>
        <v>9.2413793103448274</v>
      </c>
      <c r="M179" s="173">
        <f t="shared" si="33"/>
        <v>24</v>
      </c>
      <c r="N179" s="173">
        <v>35</v>
      </c>
      <c r="S179" s="6"/>
    </row>
    <row r="180" spans="1:20" x14ac:dyDescent="0.35">
      <c r="A180" s="3"/>
      <c r="B180" s="3"/>
      <c r="C180" s="233" t="s">
        <v>2856</v>
      </c>
      <c r="D180" s="233"/>
      <c r="E180" s="366">
        <v>42</v>
      </c>
      <c r="F180" s="245" t="s">
        <v>2853</v>
      </c>
      <c r="G180" s="173">
        <v>7</v>
      </c>
      <c r="H180">
        <v>203</v>
      </c>
      <c r="I180" s="173">
        <v>65</v>
      </c>
      <c r="J180" s="173">
        <f t="shared" si="34"/>
        <v>2.2413793103448274</v>
      </c>
      <c r="K180" s="173">
        <f t="shared" si="35"/>
        <v>9.2413793103448274</v>
      </c>
      <c r="M180" s="173">
        <f t="shared" si="33"/>
        <v>24</v>
      </c>
      <c r="N180" s="173">
        <v>35</v>
      </c>
      <c r="S180" s="6"/>
    </row>
    <row r="181" spans="1:20" x14ac:dyDescent="0.35">
      <c r="A181" s="3"/>
      <c r="B181" s="3"/>
      <c r="C181" s="233" t="s">
        <v>2856</v>
      </c>
      <c r="D181" s="233"/>
      <c r="E181" s="366">
        <v>38</v>
      </c>
      <c r="F181" s="245" t="s">
        <v>2854</v>
      </c>
      <c r="G181" s="173">
        <v>7</v>
      </c>
      <c r="H181">
        <v>203</v>
      </c>
      <c r="I181" s="173">
        <v>65</v>
      </c>
      <c r="J181" s="173">
        <f t="shared" si="34"/>
        <v>2.2413793103448274</v>
      </c>
      <c r="K181" s="173">
        <f t="shared" si="35"/>
        <v>9.2413793103448274</v>
      </c>
      <c r="M181" s="173">
        <f t="shared" si="33"/>
        <v>24</v>
      </c>
      <c r="N181" s="173">
        <v>35</v>
      </c>
      <c r="S181" s="6"/>
    </row>
    <row r="182" spans="1:20" x14ac:dyDescent="0.35">
      <c r="A182" s="3"/>
      <c r="B182" s="3"/>
      <c r="C182" s="233" t="s">
        <v>2856</v>
      </c>
      <c r="D182" s="233"/>
      <c r="E182" s="366">
        <v>39</v>
      </c>
      <c r="F182" s="245" t="s">
        <v>2854</v>
      </c>
      <c r="G182" s="173">
        <v>7</v>
      </c>
      <c r="H182">
        <v>203</v>
      </c>
      <c r="I182" s="173">
        <v>65</v>
      </c>
      <c r="J182" s="173">
        <f t="shared" si="34"/>
        <v>2.2413793103448274</v>
      </c>
      <c r="K182" s="173">
        <f t="shared" si="35"/>
        <v>9.2413793103448274</v>
      </c>
      <c r="M182" s="173">
        <f t="shared" si="33"/>
        <v>24</v>
      </c>
      <c r="N182" s="173">
        <v>35</v>
      </c>
      <c r="S182" s="6"/>
    </row>
    <row r="183" spans="1:20" x14ac:dyDescent="0.35">
      <c r="A183" s="3"/>
      <c r="B183" s="3"/>
      <c r="C183" s="233" t="s">
        <v>2856</v>
      </c>
      <c r="D183" s="233"/>
      <c r="E183" s="366">
        <v>40</v>
      </c>
      <c r="F183" s="245" t="s">
        <v>2854</v>
      </c>
      <c r="G183" s="173">
        <v>7</v>
      </c>
      <c r="H183">
        <v>203</v>
      </c>
      <c r="I183" s="173">
        <v>65</v>
      </c>
      <c r="J183" s="173">
        <f t="shared" si="34"/>
        <v>2.2413793103448274</v>
      </c>
      <c r="K183" s="173">
        <f t="shared" si="35"/>
        <v>9.2413793103448274</v>
      </c>
      <c r="M183" s="173">
        <f t="shared" si="33"/>
        <v>24</v>
      </c>
      <c r="N183" s="173">
        <v>35</v>
      </c>
      <c r="S183" s="6"/>
    </row>
    <row r="184" spans="1:20" x14ac:dyDescent="0.35">
      <c r="A184" s="3"/>
      <c r="B184" s="3"/>
      <c r="C184" s="233" t="s">
        <v>2856</v>
      </c>
      <c r="D184" s="233"/>
      <c r="E184" s="366">
        <v>41</v>
      </c>
      <c r="F184" s="245" t="s">
        <v>2854</v>
      </c>
      <c r="G184" s="173">
        <v>7</v>
      </c>
      <c r="H184">
        <v>203</v>
      </c>
      <c r="I184" s="173">
        <v>65</v>
      </c>
      <c r="J184" s="173">
        <f t="shared" si="34"/>
        <v>2.2413793103448274</v>
      </c>
      <c r="K184" s="173">
        <f t="shared" si="35"/>
        <v>9.2413793103448274</v>
      </c>
      <c r="M184" s="173">
        <f t="shared" si="33"/>
        <v>24</v>
      </c>
      <c r="N184" s="173">
        <v>35</v>
      </c>
      <c r="S184" s="6"/>
    </row>
    <row r="185" spans="1:20" x14ac:dyDescent="0.35">
      <c r="A185" s="3"/>
      <c r="B185" s="3"/>
      <c r="C185" s="233" t="s">
        <v>2856</v>
      </c>
      <c r="D185" s="233"/>
      <c r="E185" s="366">
        <v>42</v>
      </c>
      <c r="F185" s="245" t="s">
        <v>2854</v>
      </c>
      <c r="G185" s="173">
        <v>7</v>
      </c>
      <c r="H185">
        <v>203</v>
      </c>
      <c r="I185" s="173">
        <v>65</v>
      </c>
      <c r="J185" s="173">
        <f t="shared" si="34"/>
        <v>2.2413793103448274</v>
      </c>
      <c r="K185" s="173">
        <f t="shared" si="35"/>
        <v>9.2413793103448274</v>
      </c>
      <c r="M185" s="173">
        <f t="shared" si="33"/>
        <v>24</v>
      </c>
      <c r="N185" s="173">
        <v>35</v>
      </c>
      <c r="S185" s="6"/>
    </row>
    <row r="186" spans="1:20" x14ac:dyDescent="0.35">
      <c r="A186" s="3"/>
      <c r="B186" s="3"/>
      <c r="C186" s="233" t="s">
        <v>2856</v>
      </c>
      <c r="D186" s="233"/>
      <c r="E186" s="366">
        <v>38</v>
      </c>
      <c r="F186" s="245" t="s">
        <v>2855</v>
      </c>
      <c r="G186" s="173">
        <v>7</v>
      </c>
      <c r="H186">
        <v>203</v>
      </c>
      <c r="I186" s="173">
        <v>65</v>
      </c>
      <c r="J186" s="173">
        <f t="shared" si="34"/>
        <v>2.2413793103448274</v>
      </c>
      <c r="K186" s="173">
        <f t="shared" si="35"/>
        <v>9.2413793103448274</v>
      </c>
      <c r="M186" s="173">
        <f t="shared" si="33"/>
        <v>24</v>
      </c>
      <c r="N186" s="173">
        <v>35</v>
      </c>
      <c r="S186" s="6"/>
    </row>
    <row r="187" spans="1:20" x14ac:dyDescent="0.35">
      <c r="A187" s="3"/>
      <c r="B187" s="3"/>
      <c r="C187" s="233" t="s">
        <v>2856</v>
      </c>
      <c r="D187" s="233"/>
      <c r="E187" s="366">
        <v>39</v>
      </c>
      <c r="F187" s="245" t="s">
        <v>2855</v>
      </c>
      <c r="G187" s="173">
        <v>7</v>
      </c>
      <c r="H187">
        <v>203</v>
      </c>
      <c r="I187" s="173">
        <v>65</v>
      </c>
      <c r="J187" s="173">
        <f t="shared" si="34"/>
        <v>2.2413793103448274</v>
      </c>
      <c r="K187" s="173">
        <f t="shared" si="35"/>
        <v>9.2413793103448274</v>
      </c>
      <c r="M187" s="173">
        <f t="shared" si="33"/>
        <v>24</v>
      </c>
      <c r="N187" s="173">
        <v>35</v>
      </c>
      <c r="S187" s="6"/>
    </row>
    <row r="188" spans="1:20" x14ac:dyDescent="0.35">
      <c r="A188" s="3"/>
      <c r="B188" s="3"/>
      <c r="C188" s="233" t="s">
        <v>2856</v>
      </c>
      <c r="D188" s="233"/>
      <c r="E188" s="366">
        <v>40</v>
      </c>
      <c r="F188" s="245" t="s">
        <v>2855</v>
      </c>
      <c r="G188" s="173">
        <v>7</v>
      </c>
      <c r="H188">
        <v>203</v>
      </c>
      <c r="I188" s="173">
        <v>65</v>
      </c>
      <c r="J188" s="173">
        <f t="shared" si="34"/>
        <v>2.2413793103448274</v>
      </c>
      <c r="K188" s="173">
        <f t="shared" si="35"/>
        <v>9.2413793103448274</v>
      </c>
      <c r="M188" s="173">
        <f t="shared" si="33"/>
        <v>24</v>
      </c>
      <c r="N188" s="173">
        <v>35</v>
      </c>
      <c r="S188" s="6"/>
    </row>
    <row r="189" spans="1:20" hidden="1" x14ac:dyDescent="0.35">
      <c r="A189" s="3"/>
      <c r="B189" s="3"/>
      <c r="C189" s="233" t="s">
        <v>2856</v>
      </c>
      <c r="D189" s="233"/>
      <c r="E189" s="366">
        <v>41</v>
      </c>
      <c r="F189" s="371" t="s">
        <v>2855</v>
      </c>
      <c r="G189" s="176">
        <v>7</v>
      </c>
      <c r="H189" s="12">
        <v>203</v>
      </c>
      <c r="I189" s="176">
        <v>65</v>
      </c>
      <c r="J189" s="176">
        <f t="shared" si="34"/>
        <v>2.2413793103448274</v>
      </c>
      <c r="K189" s="176">
        <f t="shared" si="35"/>
        <v>9.2413793103448274</v>
      </c>
      <c r="L189" s="12"/>
      <c r="M189" s="176">
        <f t="shared" si="33"/>
        <v>24</v>
      </c>
      <c r="N189" s="176">
        <v>35</v>
      </c>
      <c r="R189" t="s">
        <v>1464</v>
      </c>
      <c r="S189" s="6">
        <v>46111</v>
      </c>
    </row>
    <row r="190" spans="1:20" hidden="1" x14ac:dyDescent="0.35">
      <c r="A190" s="3"/>
      <c r="B190" s="3"/>
      <c r="C190" s="233" t="s">
        <v>2856</v>
      </c>
      <c r="D190" s="233"/>
      <c r="E190" s="366">
        <v>42</v>
      </c>
      <c r="F190" s="371" t="s">
        <v>2855</v>
      </c>
      <c r="G190" s="176">
        <v>7</v>
      </c>
      <c r="H190" s="12">
        <v>203</v>
      </c>
      <c r="I190" s="176">
        <v>65</v>
      </c>
      <c r="J190" s="176">
        <f t="shared" si="34"/>
        <v>2.2413793103448274</v>
      </c>
      <c r="K190" s="176">
        <f t="shared" si="35"/>
        <v>9.2413793103448274</v>
      </c>
      <c r="L190" s="12"/>
      <c r="M190" s="176">
        <f t="shared" si="33"/>
        <v>24</v>
      </c>
      <c r="N190" s="176">
        <v>35</v>
      </c>
      <c r="R190" t="s">
        <v>2380</v>
      </c>
      <c r="S190" s="6">
        <v>46139</v>
      </c>
    </row>
    <row r="191" spans="1:20" x14ac:dyDescent="0.35">
      <c r="A191" s="3"/>
      <c r="B191" s="3"/>
      <c r="C191" s="233"/>
      <c r="D191" s="233"/>
      <c r="E191" s="366"/>
      <c r="F191" s="245"/>
      <c r="G191" s="173"/>
      <c r="I191" s="173"/>
      <c r="J191" s="173"/>
      <c r="K191" s="173"/>
      <c r="M191" s="173"/>
      <c r="N191" s="173"/>
      <c r="S191" s="6"/>
    </row>
    <row r="192" spans="1:20" s="10" customFormat="1" ht="15.5" outlineLevel="1" x14ac:dyDescent="0.35">
      <c r="B192" s="11"/>
      <c r="D192" s="454"/>
      <c r="E192" s="454"/>
      <c r="F192" s="11" t="s">
        <v>156</v>
      </c>
      <c r="G192" s="136">
        <f>SUM(G5:G84)</f>
        <v>790.71147058823522</v>
      </c>
      <c r="H192" s="136"/>
      <c r="I192" s="136"/>
      <c r="J192" s="136"/>
      <c r="K192" s="136"/>
      <c r="L192" s="136"/>
      <c r="M192" s="136">
        <f>SUM(M5:M84)</f>
        <v>2452.9755879550903</v>
      </c>
      <c r="N192" s="136">
        <f>SUM(N5:N84)</f>
        <v>3450</v>
      </c>
      <c r="O192" s="141"/>
      <c r="S192" s="404"/>
      <c r="T192" s="419"/>
    </row>
    <row r="193" spans="2:22" s="10" customFormat="1" ht="21" outlineLevel="1" x14ac:dyDescent="0.5">
      <c r="B193" s="11"/>
      <c r="D193" s="454"/>
      <c r="E193" s="454"/>
      <c r="F193" s="502" t="s">
        <v>190</v>
      </c>
      <c r="G193" s="189"/>
      <c r="J193" s="189"/>
      <c r="K193" s="189"/>
      <c r="L193" s="452"/>
      <c r="M193" s="140"/>
      <c r="N193" s="136"/>
      <c r="O193" s="141"/>
      <c r="S193" s="404"/>
      <c r="T193" s="419"/>
    </row>
    <row r="194" spans="2:22" s="109" customFormat="1" ht="15.5" outlineLevel="1" x14ac:dyDescent="0.35">
      <c r="B194" s="278"/>
      <c r="D194" s="109">
        <v>1</v>
      </c>
      <c r="F194" s="109" t="s">
        <v>974</v>
      </c>
      <c r="G194" s="325">
        <v>5</v>
      </c>
      <c r="H194" s="494">
        <v>1050</v>
      </c>
      <c r="I194" s="325">
        <f>+H194+1335+200</f>
        <v>2585</v>
      </c>
      <c r="J194" s="325">
        <f>+G194/H194*I194</f>
        <v>12.30952380952381</v>
      </c>
      <c r="K194" s="325">
        <f>+G194+J194</f>
        <v>17.30952380952381</v>
      </c>
      <c r="L194" s="495">
        <v>0.3</v>
      </c>
      <c r="M194" s="325">
        <f>+K194*L194+K194</f>
        <v>22.502380952380953</v>
      </c>
      <c r="N194" s="325">
        <v>25</v>
      </c>
      <c r="O194" s="325"/>
      <c r="R194" s="505"/>
      <c r="S194" s="489"/>
      <c r="T194" s="423"/>
    </row>
    <row r="195" spans="2:22" s="109" customFormat="1" ht="15.5" outlineLevel="1" x14ac:dyDescent="0.35">
      <c r="B195" s="278"/>
      <c r="D195" s="109">
        <v>2</v>
      </c>
      <c r="F195" s="109" t="s">
        <v>684</v>
      </c>
      <c r="G195" s="325">
        <v>7</v>
      </c>
      <c r="H195" s="494"/>
      <c r="I195" s="325"/>
      <c r="J195" s="325"/>
      <c r="K195" s="325"/>
      <c r="L195" s="495"/>
      <c r="M195" s="325"/>
      <c r="N195" s="325">
        <v>35</v>
      </c>
      <c r="O195" s="325"/>
      <c r="R195" s="505" t="s">
        <v>928</v>
      </c>
      <c r="S195" s="489">
        <v>45226</v>
      </c>
      <c r="T195" s="423">
        <f>+N195*7500</f>
        <v>262500</v>
      </c>
    </row>
    <row r="196" spans="2:22" s="109" customFormat="1" ht="15.5" outlineLevel="1" x14ac:dyDescent="0.35">
      <c r="B196" s="278"/>
      <c r="D196" s="109">
        <v>3</v>
      </c>
      <c r="F196" s="109" t="s">
        <v>975</v>
      </c>
      <c r="G196" s="325">
        <v>5</v>
      </c>
      <c r="H196" s="494">
        <v>1050</v>
      </c>
      <c r="I196" s="325">
        <f>+H196+1335+200</f>
        <v>2585</v>
      </c>
      <c r="J196" s="325">
        <f>+G196/H196*I196</f>
        <v>12.30952380952381</v>
      </c>
      <c r="K196" s="325">
        <f>+G196+J196</f>
        <v>17.30952380952381</v>
      </c>
      <c r="L196" s="495">
        <v>0.3</v>
      </c>
      <c r="M196" s="325">
        <f>+K196*L196+K196</f>
        <v>22.502380952380953</v>
      </c>
      <c r="N196" s="325">
        <v>25</v>
      </c>
      <c r="O196" s="325"/>
      <c r="R196" s="505"/>
      <c r="S196" s="489"/>
      <c r="T196" s="423"/>
    </row>
    <row r="197" spans="2:22" s="109" customFormat="1" ht="15.5" outlineLevel="1" x14ac:dyDescent="0.35">
      <c r="B197" s="278"/>
      <c r="C197" s="278" t="s">
        <v>596</v>
      </c>
      <c r="G197" s="325"/>
      <c r="H197" s="494"/>
      <c r="I197" s="325"/>
      <c r="J197" s="325"/>
      <c r="K197" s="325"/>
      <c r="L197" s="495"/>
      <c r="M197" s="325"/>
      <c r="N197" s="325"/>
      <c r="O197" s="325"/>
      <c r="R197" s="505"/>
      <c r="S197" s="489"/>
      <c r="T197" s="423"/>
    </row>
    <row r="198" spans="2:22" s="252" customFormat="1" ht="15.5" x14ac:dyDescent="0.35">
      <c r="B198" s="109"/>
      <c r="C198" s="109"/>
      <c r="D198" s="109">
        <v>4</v>
      </c>
      <c r="E198" s="109"/>
      <c r="F198" s="733" t="s">
        <v>604</v>
      </c>
      <c r="G198" s="325">
        <v>7</v>
      </c>
      <c r="H198" s="494">
        <v>8183</v>
      </c>
      <c r="I198" s="325">
        <v>13183</v>
      </c>
      <c r="J198" s="325">
        <f>+G198/H198*I198</f>
        <v>11.277159965782721</v>
      </c>
      <c r="K198" s="325">
        <f>+G198+J198</f>
        <v>18.277159965782722</v>
      </c>
      <c r="L198" s="495">
        <v>0.3</v>
      </c>
      <c r="M198" s="325">
        <f>+K198*L198+K198</f>
        <v>23.76030795551754</v>
      </c>
      <c r="N198" s="325">
        <v>35</v>
      </c>
      <c r="O198" s="325"/>
      <c r="P198" s="109"/>
      <c r="Q198" s="109"/>
      <c r="R198" s="109"/>
      <c r="S198" s="489"/>
      <c r="T198" s="423"/>
      <c r="U198" s="109"/>
      <c r="V198" s="109"/>
    </row>
    <row r="199" spans="2:22" s="252" customFormat="1" ht="15.5" x14ac:dyDescent="0.35">
      <c r="B199" s="109"/>
      <c r="C199" s="109"/>
      <c r="D199" s="109">
        <v>5</v>
      </c>
      <c r="E199" s="109"/>
      <c r="F199" s="733" t="s">
        <v>604</v>
      </c>
      <c r="G199" s="325">
        <v>7</v>
      </c>
      <c r="H199" s="494">
        <v>8183</v>
      </c>
      <c r="I199" s="325">
        <v>13183</v>
      </c>
      <c r="J199" s="325">
        <f>+G199/H199*I199</f>
        <v>11.277159965782721</v>
      </c>
      <c r="K199" s="325">
        <f>+G199+J199</f>
        <v>18.277159965782722</v>
      </c>
      <c r="L199" s="495">
        <v>0.3</v>
      </c>
      <c r="M199" s="325">
        <f>+K199*L199+K199</f>
        <v>23.76030795551754</v>
      </c>
      <c r="N199" s="325">
        <v>35</v>
      </c>
      <c r="O199" s="325"/>
      <c r="P199" s="109"/>
      <c r="Q199" s="109"/>
      <c r="R199" s="109"/>
      <c r="S199" s="489"/>
      <c r="T199" s="423"/>
      <c r="U199" s="109"/>
      <c r="V199" s="109"/>
    </row>
    <row r="200" spans="2:22" s="252" customFormat="1" ht="15.5" x14ac:dyDescent="0.35">
      <c r="B200" s="109"/>
      <c r="C200" s="109"/>
      <c r="D200" s="109">
        <v>6</v>
      </c>
      <c r="E200" s="109"/>
      <c r="F200" s="733" t="s">
        <v>605</v>
      </c>
      <c r="G200" s="325">
        <v>7</v>
      </c>
      <c r="H200" s="494">
        <v>8183</v>
      </c>
      <c r="I200" s="325">
        <v>13183</v>
      </c>
      <c r="J200" s="325">
        <f>+G200/H200*I200</f>
        <v>11.277159965782721</v>
      </c>
      <c r="K200" s="325">
        <f>+G200+J200</f>
        <v>18.277159965782722</v>
      </c>
      <c r="L200" s="495">
        <v>0.3</v>
      </c>
      <c r="M200" s="325">
        <f>+K200*L200+K200</f>
        <v>23.76030795551754</v>
      </c>
      <c r="N200" s="325">
        <v>35</v>
      </c>
      <c r="O200" s="325"/>
      <c r="P200" s="109"/>
      <c r="Q200" s="109"/>
      <c r="R200" s="109"/>
      <c r="S200" s="489"/>
      <c r="T200" s="423"/>
      <c r="U200" s="109"/>
      <c r="V200" s="109"/>
    </row>
    <row r="201" spans="2:22" s="252" customFormat="1" ht="15.5" x14ac:dyDescent="0.35">
      <c r="B201" s="109"/>
      <c r="C201" s="109"/>
      <c r="D201" s="109">
        <v>7</v>
      </c>
      <c r="E201" s="109"/>
      <c r="F201" s="733" t="s">
        <v>606</v>
      </c>
      <c r="G201" s="325">
        <v>7</v>
      </c>
      <c r="H201" s="494">
        <v>8183</v>
      </c>
      <c r="I201" s="325">
        <v>13183</v>
      </c>
      <c r="J201" s="325">
        <f>+G201/H201*I201</f>
        <v>11.277159965782721</v>
      </c>
      <c r="K201" s="325">
        <f>+G201+J201</f>
        <v>18.277159965782722</v>
      </c>
      <c r="L201" s="495">
        <v>0.3</v>
      </c>
      <c r="M201" s="325">
        <f>+K201*L201+K201</f>
        <v>23.76030795551754</v>
      </c>
      <c r="N201" s="325">
        <v>35</v>
      </c>
      <c r="O201" s="325"/>
      <c r="P201" s="109"/>
      <c r="Q201" s="109"/>
      <c r="R201" s="109"/>
      <c r="S201" s="489"/>
      <c r="T201" s="423"/>
      <c r="U201" s="109"/>
      <c r="V201" s="109"/>
    </row>
    <row r="202" spans="2:22" s="252" customFormat="1" ht="15.5" x14ac:dyDescent="0.35">
      <c r="B202" s="109"/>
      <c r="C202" s="109"/>
      <c r="D202" s="109">
        <v>8</v>
      </c>
      <c r="E202" s="109"/>
      <c r="F202" s="733" t="s">
        <v>606</v>
      </c>
      <c r="G202" s="325">
        <v>7</v>
      </c>
      <c r="H202" s="494">
        <v>8183</v>
      </c>
      <c r="I202" s="325">
        <v>13183</v>
      </c>
      <c r="J202" s="325">
        <f>+G202/H202*I202</f>
        <v>11.277159965782721</v>
      </c>
      <c r="K202" s="325">
        <f>+G202+J202</f>
        <v>18.277159965782722</v>
      </c>
      <c r="L202" s="495">
        <v>0.3</v>
      </c>
      <c r="M202" s="325">
        <f>+K202*L202+K202</f>
        <v>23.76030795551754</v>
      </c>
      <c r="N202" s="325">
        <v>35</v>
      </c>
      <c r="O202" s="325"/>
      <c r="P202" s="109"/>
      <c r="Q202" s="109"/>
      <c r="R202" s="109"/>
      <c r="S202" s="489"/>
      <c r="T202" s="423"/>
      <c r="U202" s="109"/>
      <c r="V202" s="109"/>
    </row>
    <row r="203" spans="2:22" s="252" customFormat="1" ht="15.5" x14ac:dyDescent="0.35">
      <c r="B203" s="109"/>
      <c r="C203" s="109"/>
      <c r="D203" s="109"/>
      <c r="E203" s="109"/>
      <c r="F203" s="741" t="s">
        <v>683</v>
      </c>
      <c r="G203" s="325"/>
      <c r="H203" s="494"/>
      <c r="I203" s="325"/>
      <c r="J203" s="325"/>
      <c r="K203" s="325"/>
      <c r="L203" s="495"/>
      <c r="M203" s="325"/>
      <c r="N203" s="325"/>
      <c r="O203" s="325"/>
      <c r="P203" s="109"/>
      <c r="Q203" s="109"/>
      <c r="R203" s="109"/>
      <c r="S203" s="489"/>
      <c r="T203" s="423"/>
      <c r="U203" s="109"/>
      <c r="V203" s="109"/>
    </row>
    <row r="204" spans="2:22" s="109" customFormat="1" ht="15.5" x14ac:dyDescent="0.35">
      <c r="B204" s="76" t="s">
        <v>655</v>
      </c>
      <c r="C204" s="252"/>
      <c r="D204" s="252">
        <v>9</v>
      </c>
      <c r="E204" s="252"/>
      <c r="F204" s="252" t="s">
        <v>973</v>
      </c>
      <c r="G204" s="490">
        <v>8</v>
      </c>
      <c r="H204" s="494">
        <v>6911</v>
      </c>
      <c r="I204" s="325">
        <v>4716</v>
      </c>
      <c r="J204" s="325">
        <f>+G204/H204*I204</f>
        <v>5.4591231370279267</v>
      </c>
      <c r="K204" s="325">
        <f>+G204+J204</f>
        <v>13.459123137027927</v>
      </c>
      <c r="L204" s="495">
        <v>0.3</v>
      </c>
      <c r="M204" s="325">
        <f>+K204*L204+K204</f>
        <v>17.496860078136304</v>
      </c>
      <c r="N204" s="325">
        <v>35</v>
      </c>
      <c r="O204" s="325"/>
      <c r="P204" s="252"/>
      <c r="Q204" s="252"/>
      <c r="R204" s="252"/>
      <c r="S204" s="742"/>
      <c r="T204" s="424"/>
      <c r="U204" s="252"/>
      <c r="V204" s="252"/>
    </row>
    <row r="205" spans="2:22" s="13" customFormat="1" ht="15.5" x14ac:dyDescent="0.35">
      <c r="B205" s="369"/>
      <c r="C205" s="13" t="s">
        <v>881</v>
      </c>
      <c r="D205" s="252">
        <v>11</v>
      </c>
      <c r="F205" s="13" t="s">
        <v>604</v>
      </c>
      <c r="G205" s="344">
        <v>8</v>
      </c>
      <c r="H205" s="13">
        <v>6066</v>
      </c>
      <c r="I205" s="344">
        <v>6015</v>
      </c>
      <c r="J205" s="325">
        <f>+G205/H205*I205</f>
        <v>7.9327398615232445</v>
      </c>
      <c r="K205" s="325">
        <f>+G205+J205</f>
        <v>15.932739861523245</v>
      </c>
      <c r="L205" s="495">
        <v>0.3</v>
      </c>
      <c r="M205" s="325">
        <f>+K205*L205+K205</f>
        <v>20.71256181998022</v>
      </c>
      <c r="N205" s="325">
        <v>35</v>
      </c>
      <c r="O205" s="325"/>
      <c r="S205" s="743"/>
      <c r="T205" s="744"/>
    </row>
    <row r="206" spans="2:22" s="13" customFormat="1" ht="15.5" x14ac:dyDescent="0.35">
      <c r="B206" s="369"/>
      <c r="C206" s="13" t="s">
        <v>881</v>
      </c>
      <c r="D206" s="252">
        <v>12</v>
      </c>
      <c r="F206" s="13" t="s">
        <v>972</v>
      </c>
      <c r="G206" s="344">
        <v>8</v>
      </c>
      <c r="H206" s="13">
        <v>6066</v>
      </c>
      <c r="I206" s="344">
        <v>6015</v>
      </c>
      <c r="J206" s="325">
        <f>+G206/H206*I206</f>
        <v>7.9327398615232445</v>
      </c>
      <c r="K206" s="325">
        <f>+G206+J206</f>
        <v>15.932739861523245</v>
      </c>
      <c r="L206" s="495">
        <v>0.3</v>
      </c>
      <c r="M206" s="325">
        <f>+K206*L206+K206</f>
        <v>20.71256181998022</v>
      </c>
      <c r="N206" s="325">
        <v>35</v>
      </c>
      <c r="O206" s="325"/>
      <c r="S206" s="743"/>
      <c r="T206" s="744"/>
    </row>
    <row r="207" spans="2:22" ht="15.5" x14ac:dyDescent="0.35">
      <c r="B207" s="3"/>
      <c r="F207" s="3" t="s">
        <v>945</v>
      </c>
      <c r="G207" s="173"/>
      <c r="I207" s="173"/>
      <c r="J207" s="140"/>
      <c r="K207" s="140"/>
      <c r="L207" s="453"/>
      <c r="M207" s="140"/>
      <c r="N207" s="140"/>
      <c r="O207" s="140"/>
      <c r="S207" s="467"/>
      <c r="T207" s="420"/>
    </row>
    <row r="208" spans="2:22" x14ac:dyDescent="0.35">
      <c r="C208" s="233" t="s">
        <v>577</v>
      </c>
      <c r="D208">
        <v>13</v>
      </c>
      <c r="E208" s="366"/>
      <c r="F208" s="670" t="s">
        <v>1538</v>
      </c>
      <c r="G208" s="146">
        <v>8</v>
      </c>
      <c r="H208" s="173">
        <v>3687</v>
      </c>
      <c r="I208" s="173">
        <v>3582</v>
      </c>
      <c r="J208" s="145">
        <f>+G208/H208*I208</f>
        <v>7.7721724979658262</v>
      </c>
      <c r="K208" s="145">
        <f>+G208+J208</f>
        <v>15.772172497965826</v>
      </c>
      <c r="L208" s="468">
        <v>1.4</v>
      </c>
      <c r="M208" s="145">
        <f>+K208*1.4</f>
        <v>22.081041497152157</v>
      </c>
      <c r="N208" s="173">
        <v>35</v>
      </c>
      <c r="O208" s="173"/>
      <c r="Q208" s="92"/>
      <c r="R208" s="6"/>
      <c r="S208" s="467"/>
      <c r="T208" s="420"/>
    </row>
    <row r="209" spans="1:20" x14ac:dyDescent="0.35">
      <c r="C209" s="233" t="s">
        <v>577</v>
      </c>
      <c r="D209">
        <v>14</v>
      </c>
      <c r="E209" s="366"/>
      <c r="F209" s="670" t="s">
        <v>1539</v>
      </c>
      <c r="G209" s="146">
        <v>8</v>
      </c>
      <c r="H209" s="173">
        <v>3687</v>
      </c>
      <c r="I209" s="173">
        <v>3582</v>
      </c>
      <c r="J209" s="145">
        <f>+G209/H209*I209</f>
        <v>7.7721724979658262</v>
      </c>
      <c r="K209" s="145">
        <f>+G209+J209</f>
        <v>15.772172497965826</v>
      </c>
      <c r="L209" s="468">
        <v>1.4</v>
      </c>
      <c r="M209" s="145">
        <f>+K209*1.4</f>
        <v>22.081041497152157</v>
      </c>
      <c r="N209" s="173">
        <v>35</v>
      </c>
      <c r="O209" s="173"/>
      <c r="Q209" s="92"/>
      <c r="R209" s="6"/>
      <c r="S209" s="467"/>
      <c r="T209" s="420"/>
    </row>
    <row r="210" spans="1:20" x14ac:dyDescent="0.35">
      <c r="C210" s="597" t="s">
        <v>577</v>
      </c>
      <c r="D210" s="92">
        <v>15</v>
      </c>
      <c r="E210" s="745"/>
      <c r="F210" s="371" t="s">
        <v>1540</v>
      </c>
      <c r="G210" s="370">
        <v>8</v>
      </c>
      <c r="H210" s="176">
        <v>3687</v>
      </c>
      <c r="I210" s="176">
        <v>3582</v>
      </c>
      <c r="J210" s="342">
        <f>+G210/H210*I210</f>
        <v>7.7721724979658262</v>
      </c>
      <c r="K210" s="342">
        <f>+G210+J210</f>
        <v>15.772172497965826</v>
      </c>
      <c r="L210" s="470">
        <v>1.4</v>
      </c>
      <c r="M210" s="342">
        <f>+K210*1.4</f>
        <v>22.081041497152157</v>
      </c>
      <c r="N210" s="176">
        <v>35</v>
      </c>
      <c r="O210" s="176"/>
      <c r="P210" s="12"/>
      <c r="Q210" s="12"/>
      <c r="R210" s="6" t="s">
        <v>12</v>
      </c>
      <c r="S210" s="467">
        <v>46056</v>
      </c>
      <c r="T210" s="420"/>
    </row>
    <row r="211" spans="1:20" x14ac:dyDescent="0.35">
      <c r="C211" s="233"/>
      <c r="E211" s="366"/>
      <c r="F211" s="371" t="s">
        <v>1541</v>
      </c>
      <c r="G211" s="370">
        <v>8</v>
      </c>
      <c r="H211" s="176"/>
      <c r="I211" s="176"/>
      <c r="J211" s="342"/>
      <c r="K211" s="342"/>
      <c r="L211" s="470"/>
      <c r="M211" s="342">
        <f>+K211*1.4</f>
        <v>0</v>
      </c>
      <c r="N211" s="176">
        <v>35</v>
      </c>
      <c r="O211" s="173"/>
      <c r="R211" s="6" t="s">
        <v>2267</v>
      </c>
      <c r="S211" s="467">
        <v>46042</v>
      </c>
      <c r="T211" s="420"/>
    </row>
    <row r="212" spans="1:20" x14ac:dyDescent="0.35">
      <c r="C212" s="233"/>
      <c r="E212" s="366"/>
      <c r="F212" s="670" t="s">
        <v>1542</v>
      </c>
      <c r="G212" s="146">
        <v>8</v>
      </c>
      <c r="H212" s="173"/>
      <c r="I212" s="173"/>
      <c r="J212" s="145"/>
      <c r="K212" s="145"/>
      <c r="L212" s="468"/>
      <c r="M212" s="145">
        <f>+K212*1.4</f>
        <v>0</v>
      </c>
      <c r="N212" s="173">
        <v>35</v>
      </c>
      <c r="O212" s="173"/>
      <c r="Q212" s="92"/>
      <c r="R212" s="6"/>
      <c r="S212" s="467"/>
      <c r="T212" s="420"/>
    </row>
    <row r="213" spans="1:20" x14ac:dyDescent="0.35">
      <c r="C213" s="365">
        <v>45597</v>
      </c>
      <c r="E213" s="366"/>
      <c r="F213" s="245"/>
      <c r="G213" s="146"/>
      <c r="H213" s="173"/>
      <c r="I213" s="173"/>
      <c r="J213" s="145"/>
      <c r="K213" s="145"/>
      <c r="L213" s="468"/>
      <c r="M213" s="145"/>
      <c r="N213" s="173"/>
      <c r="O213" s="173"/>
      <c r="R213" s="6"/>
      <c r="S213" s="467"/>
      <c r="T213" s="420"/>
    </row>
    <row r="214" spans="1:20" x14ac:dyDescent="0.35">
      <c r="A214" s="3"/>
      <c r="B214" s="3"/>
      <c r="C214" s="233" t="s">
        <v>1327</v>
      </c>
      <c r="D214">
        <v>19</v>
      </c>
      <c r="E214" s="366"/>
      <c r="F214" s="670" t="s">
        <v>1317</v>
      </c>
      <c r="G214" s="173">
        <v>10</v>
      </c>
      <c r="H214">
        <v>1222</v>
      </c>
      <c r="I214" s="173">
        <v>453</v>
      </c>
      <c r="J214" s="402">
        <f t="shared" ref="J214:J223" si="36">+G214/H214*I214</f>
        <v>3.7070376432078564</v>
      </c>
      <c r="K214" s="173">
        <f t="shared" ref="K214:K223" si="37">+G214+J214</f>
        <v>13.707037643207856</v>
      </c>
      <c r="L214" s="174"/>
      <c r="M214" s="173">
        <f t="shared" ref="M214:M223" si="38">+K214*1.4</f>
        <v>19.189852700490999</v>
      </c>
      <c r="N214" s="173">
        <v>35</v>
      </c>
      <c r="Q214" s="92"/>
    </row>
    <row r="215" spans="1:20" x14ac:dyDescent="0.35">
      <c r="A215" s="3"/>
      <c r="B215" s="3"/>
      <c r="C215" s="233" t="s">
        <v>1327</v>
      </c>
      <c r="D215">
        <v>20</v>
      </c>
      <c r="E215" s="366"/>
      <c r="F215" s="670" t="s">
        <v>1317</v>
      </c>
      <c r="G215" s="173">
        <v>10</v>
      </c>
      <c r="H215">
        <v>1222</v>
      </c>
      <c r="I215" s="173">
        <v>453</v>
      </c>
      <c r="J215" s="402">
        <f t="shared" si="36"/>
        <v>3.7070376432078564</v>
      </c>
      <c r="K215" s="173">
        <f t="shared" si="37"/>
        <v>13.707037643207856</v>
      </c>
      <c r="L215" s="174"/>
      <c r="M215" s="173">
        <f t="shared" si="38"/>
        <v>19.189852700490999</v>
      </c>
      <c r="N215" s="173">
        <v>35</v>
      </c>
      <c r="Q215" s="92"/>
    </row>
    <row r="216" spans="1:20" s="13" customFormat="1" x14ac:dyDescent="0.35">
      <c r="A216" s="369"/>
      <c r="B216" s="369"/>
      <c r="C216" s="368" t="s">
        <v>1327</v>
      </c>
      <c r="D216" s="13">
        <v>24</v>
      </c>
      <c r="E216" s="399"/>
      <c r="F216" s="435" t="s">
        <v>1535</v>
      </c>
      <c r="G216" s="344">
        <v>10</v>
      </c>
      <c r="H216" s="13">
        <v>1222</v>
      </c>
      <c r="I216" s="344">
        <v>453</v>
      </c>
      <c r="J216" s="443">
        <f t="shared" si="36"/>
        <v>3.7070376432078564</v>
      </c>
      <c r="K216" s="344">
        <f t="shared" si="37"/>
        <v>13.707037643207856</v>
      </c>
      <c r="L216" s="444"/>
      <c r="M216" s="344">
        <f t="shared" si="38"/>
        <v>19.189852700490999</v>
      </c>
      <c r="N216" s="344">
        <v>35</v>
      </c>
    </row>
    <row r="217" spans="1:20" x14ac:dyDescent="0.35">
      <c r="A217" s="3"/>
      <c r="B217" s="3"/>
      <c r="C217" s="233" t="s">
        <v>1327</v>
      </c>
      <c r="D217">
        <v>25</v>
      </c>
      <c r="E217" s="366"/>
      <c r="F217" s="670" t="s">
        <v>1536</v>
      </c>
      <c r="G217" s="173">
        <v>10</v>
      </c>
      <c r="H217">
        <v>1222</v>
      </c>
      <c r="I217" s="173">
        <v>453</v>
      </c>
      <c r="J217" s="402">
        <f t="shared" si="36"/>
        <v>3.7070376432078564</v>
      </c>
      <c r="K217" s="173">
        <f t="shared" si="37"/>
        <v>13.707037643207856</v>
      </c>
      <c r="L217" s="174"/>
      <c r="M217" s="173">
        <f t="shared" si="38"/>
        <v>19.189852700490999</v>
      </c>
      <c r="N217" s="173">
        <v>35</v>
      </c>
      <c r="Q217" s="92"/>
    </row>
    <row r="218" spans="1:20" s="13" customFormat="1" x14ac:dyDescent="0.35">
      <c r="A218" s="369"/>
      <c r="B218" s="369"/>
      <c r="C218" s="368" t="s">
        <v>1327</v>
      </c>
      <c r="D218" s="13">
        <v>26</v>
      </c>
      <c r="E218" s="399"/>
      <c r="F218" s="435" t="s">
        <v>1325</v>
      </c>
      <c r="G218" s="344">
        <v>12</v>
      </c>
      <c r="H218" s="13">
        <v>1222</v>
      </c>
      <c r="I218" s="344">
        <v>453</v>
      </c>
      <c r="J218" s="443">
        <f t="shared" si="36"/>
        <v>4.4484451718494276</v>
      </c>
      <c r="K218" s="344">
        <f t="shared" si="37"/>
        <v>16.448445171849428</v>
      </c>
      <c r="L218" s="444"/>
      <c r="M218" s="344">
        <f t="shared" si="38"/>
        <v>23.0278232405892</v>
      </c>
      <c r="N218" s="344">
        <v>35</v>
      </c>
    </row>
    <row r="219" spans="1:20" x14ac:dyDescent="0.35">
      <c r="B219" s="3"/>
      <c r="C219" s="233" t="s">
        <v>1327</v>
      </c>
      <c r="D219">
        <v>27</v>
      </c>
      <c r="E219" s="366"/>
      <c r="F219" s="670" t="s">
        <v>2284</v>
      </c>
      <c r="G219" s="173">
        <v>12</v>
      </c>
      <c r="H219">
        <v>1222</v>
      </c>
      <c r="I219" s="173">
        <v>453</v>
      </c>
      <c r="J219" s="402">
        <f t="shared" si="36"/>
        <v>4.4484451718494276</v>
      </c>
      <c r="K219" s="173">
        <f t="shared" si="37"/>
        <v>16.448445171849428</v>
      </c>
      <c r="L219" s="174"/>
      <c r="M219" s="173">
        <f t="shared" si="38"/>
        <v>23.0278232405892</v>
      </c>
      <c r="N219" s="173">
        <v>35</v>
      </c>
      <c r="Q219" s="92"/>
    </row>
    <row r="220" spans="1:20" x14ac:dyDescent="0.35">
      <c r="B220" s="3"/>
      <c r="C220" s="233" t="s">
        <v>1327</v>
      </c>
      <c r="D220">
        <v>28</v>
      </c>
      <c r="E220" s="366"/>
      <c r="F220" s="670" t="s">
        <v>1322</v>
      </c>
      <c r="G220" s="173">
        <v>12</v>
      </c>
      <c r="H220">
        <v>1222</v>
      </c>
      <c r="I220" s="173">
        <v>453</v>
      </c>
      <c r="J220" s="402">
        <f t="shared" si="36"/>
        <v>4.4484451718494276</v>
      </c>
      <c r="K220" s="173">
        <f t="shared" si="37"/>
        <v>16.448445171849428</v>
      </c>
      <c r="L220" s="174"/>
      <c r="M220" s="173">
        <f t="shared" si="38"/>
        <v>23.0278232405892</v>
      </c>
      <c r="N220" s="173">
        <v>35</v>
      </c>
      <c r="Q220" s="92"/>
    </row>
    <row r="221" spans="1:20" s="13" customFormat="1" x14ac:dyDescent="0.35">
      <c r="B221" s="369"/>
      <c r="C221" s="368" t="s">
        <v>1327</v>
      </c>
      <c r="D221" s="13">
        <v>29</v>
      </c>
      <c r="E221" s="399"/>
      <c r="F221" s="435" t="s">
        <v>1324</v>
      </c>
      <c r="G221" s="344">
        <v>8</v>
      </c>
      <c r="H221" s="13">
        <v>1222</v>
      </c>
      <c r="I221" s="344">
        <v>453</v>
      </c>
      <c r="J221" s="443">
        <f t="shared" si="36"/>
        <v>2.9656301145662849</v>
      </c>
      <c r="K221" s="344">
        <f t="shared" si="37"/>
        <v>10.965630114566284</v>
      </c>
      <c r="L221" s="444"/>
      <c r="M221" s="344">
        <f t="shared" si="38"/>
        <v>15.351882160392798</v>
      </c>
      <c r="N221" s="344"/>
      <c r="R221" s="13" t="s">
        <v>1534</v>
      </c>
    </row>
    <row r="222" spans="1:20" x14ac:dyDescent="0.35">
      <c r="B222" s="3"/>
      <c r="C222" s="233" t="s">
        <v>1327</v>
      </c>
      <c r="E222" s="366"/>
      <c r="F222" s="670" t="s">
        <v>1537</v>
      </c>
      <c r="G222" s="173">
        <v>12</v>
      </c>
      <c r="H222">
        <v>1222</v>
      </c>
      <c r="I222" s="173">
        <v>453</v>
      </c>
      <c r="J222" s="402">
        <f t="shared" si="36"/>
        <v>4.4484451718494276</v>
      </c>
      <c r="K222" s="173">
        <f t="shared" si="37"/>
        <v>16.448445171849428</v>
      </c>
      <c r="L222" s="174"/>
      <c r="M222" s="173">
        <f t="shared" si="38"/>
        <v>23.0278232405892</v>
      </c>
      <c r="N222" s="173">
        <v>35</v>
      </c>
    </row>
    <row r="223" spans="1:20" x14ac:dyDescent="0.35">
      <c r="B223" s="3"/>
      <c r="C223" s="233" t="s">
        <v>1327</v>
      </c>
      <c r="E223" s="366"/>
      <c r="F223" s="670" t="s">
        <v>1537</v>
      </c>
      <c r="G223" s="173">
        <v>12</v>
      </c>
      <c r="H223">
        <v>1222</v>
      </c>
      <c r="I223" s="173">
        <v>453</v>
      </c>
      <c r="J223" s="402">
        <f t="shared" si="36"/>
        <v>4.4484451718494276</v>
      </c>
      <c r="K223" s="173">
        <f t="shared" si="37"/>
        <v>16.448445171849428</v>
      </c>
      <c r="L223" s="174"/>
      <c r="M223" s="173">
        <f t="shared" si="38"/>
        <v>23.0278232405892</v>
      </c>
      <c r="N223" s="173">
        <v>35</v>
      </c>
      <c r="Q223" s="92"/>
    </row>
    <row r="224" spans="1:20" x14ac:dyDescent="0.35">
      <c r="B224" s="3"/>
      <c r="C224" s="233"/>
      <c r="E224" s="366"/>
      <c r="F224" s="245"/>
      <c r="G224" s="173"/>
      <c r="I224" s="173"/>
      <c r="J224" s="402"/>
      <c r="K224" s="173"/>
      <c r="L224" s="174"/>
      <c r="M224" s="173"/>
      <c r="N224" s="173"/>
    </row>
    <row r="225" spans="2:22" ht="15.5" x14ac:dyDescent="0.35">
      <c r="B225" s="3"/>
      <c r="C225" s="11" t="s">
        <v>1439</v>
      </c>
      <c r="E225" s="366"/>
      <c r="F225" s="245"/>
      <c r="G225" s="173"/>
      <c r="I225" s="173"/>
      <c r="J225" s="402"/>
      <c r="K225" s="173"/>
      <c r="L225" s="174"/>
      <c r="M225" s="173"/>
      <c r="N225" s="173"/>
    </row>
    <row r="226" spans="2:22" x14ac:dyDescent="0.35">
      <c r="B226" s="3"/>
      <c r="C226" s="233" t="s">
        <v>561</v>
      </c>
      <c r="E226" s="366"/>
      <c r="F226" s="670" t="s">
        <v>1422</v>
      </c>
      <c r="G226" s="173">
        <v>5.4285714285714288</v>
      </c>
      <c r="H226">
        <v>3550</v>
      </c>
      <c r="I226" s="173">
        <v>5698</v>
      </c>
      <c r="J226" s="402">
        <f>+G226/H226*I226</f>
        <v>8.7132394366197179</v>
      </c>
      <c r="K226" s="173">
        <f>+G226+J226</f>
        <v>14.141810865191147</v>
      </c>
      <c r="L226" s="174"/>
      <c r="M226" s="173">
        <f>+K226*1.4</f>
        <v>19.798535211267605</v>
      </c>
      <c r="N226" s="173">
        <v>30</v>
      </c>
      <c r="O226">
        <v>30</v>
      </c>
      <c r="Q226" s="92"/>
    </row>
    <row r="227" spans="2:22" s="13" customFormat="1" x14ac:dyDescent="0.35">
      <c r="B227" s="369"/>
      <c r="C227" s="368" t="s">
        <v>561</v>
      </c>
      <c r="E227" s="399"/>
      <c r="F227" s="435" t="s">
        <v>1493</v>
      </c>
      <c r="G227" s="344">
        <v>5.4285714285714288</v>
      </c>
      <c r="H227" s="13">
        <v>3550</v>
      </c>
      <c r="I227" s="344">
        <v>5698</v>
      </c>
      <c r="J227" s="443">
        <f>+G227/H227*I227</f>
        <v>8.7132394366197179</v>
      </c>
      <c r="K227" s="344">
        <f>+G227+J227</f>
        <v>14.141810865191147</v>
      </c>
      <c r="L227" s="444"/>
      <c r="M227" s="344">
        <f>+K227*1.4</f>
        <v>19.798535211267605</v>
      </c>
      <c r="N227" s="344">
        <v>30</v>
      </c>
      <c r="O227" s="13">
        <v>30</v>
      </c>
    </row>
    <row r="228" spans="2:22" s="13" customFormat="1" x14ac:dyDescent="0.35">
      <c r="B228" s="369"/>
      <c r="C228" s="368" t="s">
        <v>561</v>
      </c>
      <c r="E228" s="399"/>
      <c r="F228" s="435" t="s">
        <v>1481</v>
      </c>
      <c r="G228" s="344">
        <v>5.4285714285714288</v>
      </c>
      <c r="H228" s="13">
        <v>3550</v>
      </c>
      <c r="I228" s="344">
        <v>5698</v>
      </c>
      <c r="J228" s="443">
        <f>+G228/H228*I228</f>
        <v>8.7132394366197179</v>
      </c>
      <c r="K228" s="344">
        <f>+G228+J228</f>
        <v>14.141810865191147</v>
      </c>
      <c r="L228" s="444"/>
      <c r="M228" s="344">
        <f>+K228*1.4</f>
        <v>19.798535211267605</v>
      </c>
      <c r="N228" s="344">
        <v>30</v>
      </c>
      <c r="O228" s="13">
        <v>30</v>
      </c>
    </row>
    <row r="229" spans="2:22" s="10" customFormat="1" ht="15.5" outlineLevel="1" x14ac:dyDescent="0.35">
      <c r="B229" s="11"/>
      <c r="D229" s="454"/>
      <c r="E229" s="454"/>
      <c r="F229" s="11" t="s">
        <v>157</v>
      </c>
      <c r="G229" s="136">
        <f t="shared" ref="G229:N229" si="39">SUM(G194:G204)</f>
        <v>60</v>
      </c>
      <c r="H229" s="136">
        <f t="shared" si="39"/>
        <v>49926</v>
      </c>
      <c r="I229" s="136">
        <f t="shared" si="39"/>
        <v>75801</v>
      </c>
      <c r="J229" s="136">
        <f t="shared" si="39"/>
        <v>86.463970584989156</v>
      </c>
      <c r="K229" s="136">
        <f t="shared" si="39"/>
        <v>139.46397058498914</v>
      </c>
      <c r="L229" s="136">
        <f t="shared" si="39"/>
        <v>2.4</v>
      </c>
      <c r="M229" s="136">
        <f t="shared" si="39"/>
        <v>181.30316176048589</v>
      </c>
      <c r="N229" s="136">
        <f t="shared" si="39"/>
        <v>295</v>
      </c>
      <c r="O229" s="141"/>
      <c r="R229" s="136"/>
      <c r="S229" s="534"/>
      <c r="T229" s="421"/>
    </row>
    <row r="230" spans="2:22" s="57" customFormat="1" ht="15.5" x14ac:dyDescent="0.35">
      <c r="B230" s="11"/>
      <c r="C230" s="10">
        <v>2022</v>
      </c>
      <c r="D230" s="454">
        <v>72</v>
      </c>
      <c r="E230" s="454">
        <v>-44</v>
      </c>
      <c r="F230" s="11">
        <f>+D230+E230</f>
        <v>28</v>
      </c>
      <c r="G230" s="141"/>
      <c r="H230" s="141"/>
      <c r="I230" s="141"/>
      <c r="J230" s="141"/>
      <c r="K230" s="141"/>
      <c r="L230" s="141"/>
      <c r="M230" s="140"/>
      <c r="N230" s="141"/>
      <c r="O230" s="141"/>
      <c r="P230" s="10"/>
      <c r="Q230" s="10"/>
      <c r="R230" s="141"/>
      <c r="S230" s="529"/>
      <c r="T230" s="429"/>
      <c r="U230" s="10"/>
      <c r="V230" s="10"/>
    </row>
    <row r="231" spans="2:22" s="57" customFormat="1" ht="15.5" x14ac:dyDescent="0.35">
      <c r="B231" s="11"/>
      <c r="C231" s="10">
        <v>2023</v>
      </c>
      <c r="D231" s="10"/>
      <c r="E231" s="10"/>
      <c r="F231" s="10">
        <v>32</v>
      </c>
      <c r="G231" s="140"/>
      <c r="H231" s="56"/>
      <c r="I231" s="140"/>
      <c r="J231" s="140"/>
      <c r="K231" s="140"/>
      <c r="L231" s="453"/>
      <c r="M231" s="140"/>
      <c r="N231" s="140"/>
      <c r="O231" s="140"/>
      <c r="P231" s="10"/>
      <c r="Q231" s="10"/>
      <c r="R231" s="10"/>
      <c r="S231" s="404"/>
      <c r="T231" s="138"/>
      <c r="U231" s="10"/>
      <c r="V231" s="10"/>
    </row>
    <row r="233" spans="2:22" s="10" customFormat="1" ht="15" customHeight="1" outlineLevel="1" x14ac:dyDescent="0.35">
      <c r="B233" s="11"/>
      <c r="C233" s="11" t="s">
        <v>232</v>
      </c>
      <c r="D233" s="454"/>
      <c r="E233" s="454"/>
      <c r="F233" s="11"/>
      <c r="G233" s="136"/>
      <c r="H233" s="136"/>
      <c r="I233" s="136"/>
      <c r="J233" s="136"/>
      <c r="K233" s="136"/>
      <c r="L233" s="136"/>
      <c r="M233" s="140">
        <f>+K233*L233+K233</f>
        <v>0</v>
      </c>
      <c r="N233" s="136"/>
      <c r="O233" s="141"/>
      <c r="P233" s="141"/>
      <c r="Q233" s="141"/>
      <c r="R233" s="136"/>
      <c r="S233" s="534"/>
      <c r="T233" s="421"/>
    </row>
    <row r="234" spans="2:22" x14ac:dyDescent="0.35">
      <c r="B234" s="330"/>
      <c r="C234" s="233"/>
      <c r="F234" s="330" t="s">
        <v>871</v>
      </c>
      <c r="G234" s="173"/>
      <c r="H234" s="4"/>
      <c r="I234" s="173"/>
      <c r="J234" s="145"/>
      <c r="K234" s="145"/>
      <c r="L234" s="468"/>
      <c r="M234" s="145"/>
      <c r="N234" s="173"/>
      <c r="O234" s="173"/>
      <c r="S234" s="467"/>
      <c r="T234" s="420"/>
    </row>
    <row r="235" spans="2:22" x14ac:dyDescent="0.35">
      <c r="B235" s="3"/>
      <c r="C235" s="233" t="s">
        <v>257</v>
      </c>
      <c r="D235">
        <v>1</v>
      </c>
      <c r="F235" s="92" t="s">
        <v>1468</v>
      </c>
      <c r="G235" s="173">
        <v>18</v>
      </c>
      <c r="H235">
        <v>6066</v>
      </c>
      <c r="I235" s="173">
        <v>6015</v>
      </c>
      <c r="J235" s="459">
        <f>+G235/H235*I235</f>
        <v>17.848664688427299</v>
      </c>
      <c r="K235" s="471">
        <f>+G235+J235</f>
        <v>35.848664688427299</v>
      </c>
      <c r="L235" s="468">
        <v>0.4</v>
      </c>
      <c r="M235" s="145">
        <f>+K235*1.4</f>
        <v>50.188130563798218</v>
      </c>
      <c r="N235" s="173">
        <v>35</v>
      </c>
      <c r="O235" s="173"/>
      <c r="S235" s="467"/>
      <c r="T235" s="420"/>
    </row>
    <row r="236" spans="2:22" x14ac:dyDescent="0.35">
      <c r="B236" s="3"/>
      <c r="C236" s="233" t="s">
        <v>865</v>
      </c>
      <c r="D236">
        <v>3</v>
      </c>
      <c r="F236" s="92" t="s">
        <v>867</v>
      </c>
      <c r="G236" s="173">
        <v>6</v>
      </c>
      <c r="H236">
        <v>6066</v>
      </c>
      <c r="I236" s="173">
        <v>6015</v>
      </c>
      <c r="J236" s="459">
        <f>+G236/H236*I236</f>
        <v>5.9495548961424332</v>
      </c>
      <c r="K236" s="471">
        <f>+G236+J236</f>
        <v>11.949554896142434</v>
      </c>
      <c r="L236" s="468">
        <v>0.4</v>
      </c>
      <c r="M236" s="145">
        <f>+K236*1.4</f>
        <v>16.729376854599408</v>
      </c>
      <c r="N236" s="173">
        <v>25</v>
      </c>
      <c r="O236" s="173"/>
      <c r="S236" s="467"/>
      <c r="T236" s="420"/>
    </row>
    <row r="237" spans="2:22" x14ac:dyDescent="0.35">
      <c r="B237" s="3"/>
      <c r="C237" s="233"/>
      <c r="E237" s="366"/>
      <c r="F237" s="92" t="s">
        <v>2281</v>
      </c>
      <c r="G237" s="145"/>
      <c r="H237" s="173"/>
      <c r="I237" s="173"/>
      <c r="J237" s="145"/>
      <c r="K237" s="145"/>
      <c r="L237" s="468"/>
      <c r="M237" s="145"/>
      <c r="N237" s="173"/>
      <c r="O237" s="173"/>
      <c r="S237" s="467"/>
      <c r="T237" s="420"/>
    </row>
    <row r="238" spans="2:22" s="10" customFormat="1" ht="15.5" outlineLevel="1" x14ac:dyDescent="0.35">
      <c r="B238" s="11"/>
      <c r="D238" s="454"/>
      <c r="E238" s="454"/>
      <c r="F238" s="476" t="s">
        <v>1516</v>
      </c>
      <c r="G238" s="136"/>
      <c r="H238" s="136"/>
      <c r="I238" s="136"/>
      <c r="J238" s="136"/>
      <c r="K238" s="136"/>
      <c r="L238" s="136"/>
      <c r="M238" s="136"/>
      <c r="N238" s="136"/>
      <c r="O238" s="141"/>
      <c r="P238" s="141"/>
      <c r="Q238" s="141"/>
      <c r="R238" s="136"/>
      <c r="S238" s="534"/>
      <c r="T238" s="421"/>
    </row>
    <row r="239" spans="2:22" hidden="1" x14ac:dyDescent="0.35">
      <c r="B239" s="3"/>
      <c r="C239" s="597" t="s">
        <v>1412</v>
      </c>
      <c r="E239" s="366"/>
      <c r="F239" s="371" t="s">
        <v>1445</v>
      </c>
      <c r="G239" s="176">
        <v>12</v>
      </c>
      <c r="H239" s="12">
        <v>3550</v>
      </c>
      <c r="I239" s="176">
        <v>5698</v>
      </c>
      <c r="J239" s="410">
        <f>+G239/H239*I239</f>
        <v>19.260845070422537</v>
      </c>
      <c r="K239" s="176">
        <f>+G239+J239</f>
        <v>31.260845070422537</v>
      </c>
      <c r="L239" s="411"/>
      <c r="M239" s="176">
        <f>+K239*1.4</f>
        <v>43.76518309859155</v>
      </c>
      <c r="N239" s="176">
        <v>60</v>
      </c>
      <c r="R239" t="s">
        <v>12</v>
      </c>
      <c r="S239" s="6">
        <v>46034</v>
      </c>
    </row>
    <row r="240" spans="2:22" hidden="1" x14ac:dyDescent="0.35">
      <c r="B240" s="3"/>
      <c r="C240" s="597"/>
      <c r="E240" s="366"/>
      <c r="F240" s="371" t="s">
        <v>1468</v>
      </c>
      <c r="G240" s="176"/>
      <c r="H240" s="12"/>
      <c r="I240" s="176"/>
      <c r="J240" s="410"/>
      <c r="K240" s="176"/>
      <c r="L240" s="411"/>
      <c r="M240" s="176"/>
      <c r="N240" s="176"/>
      <c r="O240" s="12"/>
      <c r="R240" t="s">
        <v>12</v>
      </c>
      <c r="S240" s="6">
        <v>46095</v>
      </c>
    </row>
    <row r="241" spans="1:19" x14ac:dyDescent="0.35">
      <c r="B241" s="3"/>
      <c r="C241" s="597"/>
      <c r="E241" s="366"/>
      <c r="F241" s="670" t="s">
        <v>2279</v>
      </c>
      <c r="G241" s="173">
        <v>6</v>
      </c>
      <c r="H241">
        <v>3550</v>
      </c>
      <c r="I241" s="173">
        <v>5698</v>
      </c>
      <c r="J241" s="402">
        <f>+G241/H241*I241</f>
        <v>9.6304225352112685</v>
      </c>
      <c r="K241" s="173">
        <f>+G241+J241</f>
        <v>15.630422535211268</v>
      </c>
      <c r="L241" s="174"/>
      <c r="M241" s="173">
        <f>+K241*1.4</f>
        <v>21.882591549295775</v>
      </c>
      <c r="N241" s="173">
        <v>35</v>
      </c>
    </row>
    <row r="242" spans="1:19" x14ac:dyDescent="0.35">
      <c r="B242" s="3"/>
      <c r="C242" s="597"/>
      <c r="E242" s="366"/>
      <c r="F242" s="670" t="s">
        <v>2280</v>
      </c>
      <c r="G242" s="173">
        <v>6</v>
      </c>
      <c r="H242">
        <v>3550</v>
      </c>
      <c r="I242" s="173">
        <v>5698</v>
      </c>
      <c r="J242" s="402">
        <f>+G242/H242*I242</f>
        <v>9.6304225352112685</v>
      </c>
      <c r="K242" s="173">
        <f>+G242+J242</f>
        <v>15.630422535211268</v>
      </c>
      <c r="L242" s="174"/>
      <c r="M242" s="173">
        <f>+K242*1.4</f>
        <v>21.882591549295775</v>
      </c>
      <c r="N242" s="173">
        <v>35</v>
      </c>
    </row>
    <row r="243" spans="1:19" x14ac:dyDescent="0.35">
      <c r="B243" s="3"/>
      <c r="C243" s="597" t="s">
        <v>1499</v>
      </c>
      <c r="E243" s="366"/>
      <c r="F243" s="670" t="s">
        <v>1498</v>
      </c>
      <c r="G243" s="173">
        <v>12</v>
      </c>
      <c r="H243">
        <v>3550</v>
      </c>
      <c r="I243" s="173">
        <v>5698</v>
      </c>
      <c r="J243" s="402">
        <f>+G243/H243*I243</f>
        <v>19.260845070422537</v>
      </c>
      <c r="K243" s="173">
        <f>+G243+J243</f>
        <v>31.260845070422537</v>
      </c>
      <c r="L243" s="174"/>
      <c r="M243" s="173">
        <f>+K243*1.4</f>
        <v>43.76518309859155</v>
      </c>
      <c r="N243" s="173">
        <v>45</v>
      </c>
      <c r="O243" t="e">
        <f>SUM(#REF!)</f>
        <v>#REF!</v>
      </c>
      <c r="P243" s="583"/>
      <c r="Q243" s="583"/>
    </row>
    <row r="244" spans="1:19" x14ac:dyDescent="0.35">
      <c r="B244" s="3"/>
      <c r="C244" s="597" t="s">
        <v>2277</v>
      </c>
      <c r="E244" s="366"/>
      <c r="F244" s="670" t="s">
        <v>2278</v>
      </c>
      <c r="G244" s="173"/>
      <c r="I244" s="173"/>
      <c r="J244" s="402"/>
      <c r="K244" s="173"/>
      <c r="L244" s="174"/>
      <c r="M244" s="173"/>
      <c r="N244" s="173"/>
      <c r="P244" s="583"/>
      <c r="Q244" s="583"/>
    </row>
    <row r="245" spans="1:19" ht="18.5" x14ac:dyDescent="0.45">
      <c r="B245" s="3"/>
      <c r="C245" s="597"/>
      <c r="E245" s="366"/>
      <c r="F245" s="598" t="s">
        <v>2070</v>
      </c>
      <c r="G245" s="173"/>
      <c r="I245" s="173"/>
      <c r="J245" s="402"/>
      <c r="K245" s="173"/>
      <c r="L245" s="174"/>
      <c r="M245" s="173"/>
      <c r="N245" s="173"/>
      <c r="P245" s="583"/>
      <c r="Q245" s="583"/>
    </row>
    <row r="246" spans="1:19" hidden="1" x14ac:dyDescent="0.35">
      <c r="A246" s="3"/>
      <c r="B246" s="3"/>
      <c r="C246" s="233"/>
      <c r="D246" s="233" t="s">
        <v>232</v>
      </c>
      <c r="E246" s="366">
        <v>1</v>
      </c>
      <c r="F246" s="371" t="s">
        <v>2033</v>
      </c>
      <c r="G246" s="371">
        <v>85</v>
      </c>
      <c r="H246" s="176">
        <f t="shared" ref="H246:H267" si="40">+G246/7</f>
        <v>12.142857142857142</v>
      </c>
      <c r="I246" s="12">
        <v>4072</v>
      </c>
      <c r="J246" s="176">
        <v>3073</v>
      </c>
      <c r="K246" s="176">
        <f t="shared" ref="K246:K267" si="41">+H246/I246*J246</f>
        <v>9.163801571709234</v>
      </c>
      <c r="L246" s="176">
        <f t="shared" ref="L246:L267" si="42">+H246+K246</f>
        <v>21.306658714566375</v>
      </c>
      <c r="M246" s="59"/>
      <c r="N246" s="176">
        <f t="shared" ref="N246:N267" si="43">+L246*1.5</f>
        <v>31.959988071849562</v>
      </c>
      <c r="O246" s="176">
        <v>45</v>
      </c>
      <c r="R246" t="s">
        <v>2196</v>
      </c>
      <c r="S246" s="6">
        <v>46034</v>
      </c>
    </row>
    <row r="247" spans="1:19" s="740" customFormat="1" x14ac:dyDescent="0.35">
      <c r="A247" s="735"/>
      <c r="B247" s="735"/>
      <c r="C247" s="736"/>
      <c r="D247" s="736"/>
      <c r="E247" s="737">
        <v>2</v>
      </c>
      <c r="F247" s="738" t="s">
        <v>2033</v>
      </c>
      <c r="G247" s="738"/>
      <c r="H247" s="739"/>
      <c r="J247" s="739"/>
      <c r="K247" s="739"/>
      <c r="L247" s="739"/>
      <c r="M247" s="877"/>
      <c r="N247" s="739"/>
      <c r="O247" s="739"/>
    </row>
    <row r="248" spans="1:19" hidden="1" x14ac:dyDescent="0.35">
      <c r="A248" s="594"/>
      <c r="B248" s="594"/>
      <c r="C248" s="597"/>
      <c r="D248" s="597"/>
      <c r="E248" s="745">
        <v>3</v>
      </c>
      <c r="F248" s="371" t="s">
        <v>2033</v>
      </c>
      <c r="G248" s="371"/>
      <c r="H248" s="176"/>
      <c r="I248" s="12"/>
      <c r="J248" s="176"/>
      <c r="K248" s="176"/>
      <c r="L248" s="176"/>
      <c r="M248" s="59"/>
      <c r="N248" s="176"/>
      <c r="O248" s="176">
        <v>30</v>
      </c>
      <c r="R248" t="s">
        <v>2811</v>
      </c>
      <c r="S248" s="6">
        <v>46099</v>
      </c>
    </row>
    <row r="249" spans="1:19" x14ac:dyDescent="0.35">
      <c r="A249" s="3"/>
      <c r="B249" s="3"/>
      <c r="C249" s="233"/>
      <c r="D249" s="233"/>
      <c r="E249" s="366">
        <v>5</v>
      </c>
      <c r="F249" s="670" t="s">
        <v>2034</v>
      </c>
      <c r="G249" s="245">
        <v>85</v>
      </c>
      <c r="H249" s="173">
        <f t="shared" si="40"/>
        <v>12.142857142857142</v>
      </c>
      <c r="I249">
        <v>4072</v>
      </c>
      <c r="J249" s="173">
        <v>3073</v>
      </c>
      <c r="K249" s="173">
        <f t="shared" si="41"/>
        <v>9.163801571709234</v>
      </c>
      <c r="L249" s="173">
        <f t="shared" si="42"/>
        <v>21.306658714566375</v>
      </c>
      <c r="N249" s="173">
        <f t="shared" si="43"/>
        <v>31.959988071849562</v>
      </c>
      <c r="O249" s="173">
        <v>45</v>
      </c>
    </row>
    <row r="250" spans="1:19" x14ac:dyDescent="0.35">
      <c r="A250" s="3"/>
      <c r="B250" s="3"/>
      <c r="C250" s="233"/>
      <c r="D250" s="233"/>
      <c r="E250" s="366">
        <v>6</v>
      </c>
      <c r="F250" s="670" t="s">
        <v>2034</v>
      </c>
      <c r="G250" s="245">
        <v>85</v>
      </c>
      <c r="H250" s="173">
        <f t="shared" si="40"/>
        <v>12.142857142857142</v>
      </c>
      <c r="I250">
        <v>4072</v>
      </c>
      <c r="J250" s="173">
        <v>3073</v>
      </c>
      <c r="K250" s="173">
        <f t="shared" si="41"/>
        <v>9.163801571709234</v>
      </c>
      <c r="L250" s="173">
        <f t="shared" si="42"/>
        <v>21.306658714566375</v>
      </c>
      <c r="N250" s="173">
        <f t="shared" si="43"/>
        <v>31.959988071849562</v>
      </c>
      <c r="O250" s="173">
        <v>45</v>
      </c>
    </row>
    <row r="251" spans="1:19" s="740" customFormat="1" x14ac:dyDescent="0.35">
      <c r="A251" s="735"/>
      <c r="B251" s="735"/>
      <c r="C251" s="736"/>
      <c r="D251" s="736"/>
      <c r="E251" s="737">
        <v>7</v>
      </c>
      <c r="F251" s="738" t="s">
        <v>2034</v>
      </c>
      <c r="G251" s="738"/>
      <c r="H251" s="739"/>
      <c r="J251" s="739"/>
      <c r="K251" s="739"/>
      <c r="L251" s="739"/>
      <c r="M251" s="877"/>
      <c r="N251" s="739"/>
      <c r="O251" s="739"/>
    </row>
    <row r="252" spans="1:19" hidden="1" x14ac:dyDescent="0.35">
      <c r="A252" s="3"/>
      <c r="B252" s="3"/>
      <c r="C252" s="233"/>
      <c r="D252" s="233"/>
      <c r="E252" s="366">
        <v>8</v>
      </c>
      <c r="F252" s="372" t="s">
        <v>2034</v>
      </c>
      <c r="G252" s="372"/>
      <c r="H252" s="373"/>
      <c r="I252" s="343"/>
      <c r="J252" s="373"/>
      <c r="K252" s="373"/>
      <c r="L252" s="373"/>
      <c r="M252" s="878"/>
      <c r="N252" s="373"/>
      <c r="O252" s="373"/>
      <c r="R252" t="s">
        <v>2282</v>
      </c>
      <c r="S252" s="6">
        <v>46046</v>
      </c>
    </row>
    <row r="253" spans="1:19" x14ac:dyDescent="0.35">
      <c r="A253" s="3"/>
      <c r="B253" s="3"/>
      <c r="C253" s="233"/>
      <c r="D253" s="233"/>
      <c r="E253" s="366">
        <v>9</v>
      </c>
      <c r="F253" s="670" t="s">
        <v>2033</v>
      </c>
      <c r="G253" s="245">
        <v>85</v>
      </c>
      <c r="H253" s="173">
        <f t="shared" si="40"/>
        <v>12.142857142857142</v>
      </c>
      <c r="I253">
        <v>4072</v>
      </c>
      <c r="J253" s="173">
        <v>3073</v>
      </c>
      <c r="K253" s="173">
        <f t="shared" si="41"/>
        <v>9.163801571709234</v>
      </c>
      <c r="L253" s="173">
        <f t="shared" si="42"/>
        <v>21.306658714566375</v>
      </c>
      <c r="N253" s="173">
        <f t="shared" si="43"/>
        <v>31.959988071849562</v>
      </c>
      <c r="O253" s="173">
        <v>45</v>
      </c>
    </row>
    <row r="254" spans="1:19" x14ac:dyDescent="0.35">
      <c r="A254" s="3"/>
      <c r="B254" s="3"/>
      <c r="C254" s="233"/>
      <c r="D254" s="233"/>
      <c r="E254" s="366">
        <v>10</v>
      </c>
      <c r="F254" s="670" t="s">
        <v>2035</v>
      </c>
      <c r="G254" s="245">
        <v>85</v>
      </c>
      <c r="H254" s="173">
        <f t="shared" si="40"/>
        <v>12.142857142857142</v>
      </c>
      <c r="I254">
        <v>4072</v>
      </c>
      <c r="J254" s="173">
        <v>3073</v>
      </c>
      <c r="K254" s="173">
        <f t="shared" si="41"/>
        <v>9.163801571709234</v>
      </c>
      <c r="L254" s="173">
        <f t="shared" si="42"/>
        <v>21.306658714566375</v>
      </c>
      <c r="N254" s="173">
        <f t="shared" si="43"/>
        <v>31.959988071849562</v>
      </c>
      <c r="O254" s="173">
        <v>45</v>
      </c>
    </row>
    <row r="255" spans="1:19" s="740" customFormat="1" x14ac:dyDescent="0.35">
      <c r="A255" s="735"/>
      <c r="B255" s="735"/>
      <c r="C255" s="736"/>
      <c r="D255" s="736"/>
      <c r="E255" s="737">
        <v>13</v>
      </c>
      <c r="F255" s="738" t="s">
        <v>2036</v>
      </c>
      <c r="G255" s="738">
        <v>85</v>
      </c>
      <c r="H255" s="739">
        <f t="shared" si="40"/>
        <v>12.142857142857142</v>
      </c>
      <c r="I255" s="740">
        <v>4072</v>
      </c>
      <c r="J255" s="739">
        <v>3073</v>
      </c>
      <c r="K255" s="739">
        <f t="shared" si="41"/>
        <v>9.163801571709234</v>
      </c>
      <c r="L255" s="739">
        <f t="shared" si="42"/>
        <v>21.306658714566375</v>
      </c>
      <c r="M255" s="877"/>
      <c r="N255" s="739">
        <f t="shared" si="43"/>
        <v>31.959988071849562</v>
      </c>
      <c r="O255" s="739">
        <v>55</v>
      </c>
    </row>
    <row r="256" spans="1:19" s="740" customFormat="1" x14ac:dyDescent="0.35">
      <c r="A256" s="735"/>
      <c r="B256" s="735"/>
      <c r="C256" s="736"/>
      <c r="D256" s="736"/>
      <c r="E256" s="737">
        <v>14</v>
      </c>
      <c r="F256" s="738" t="s">
        <v>2036</v>
      </c>
      <c r="G256" s="738"/>
      <c r="H256" s="739"/>
      <c r="J256" s="739"/>
      <c r="K256" s="739"/>
      <c r="L256" s="739"/>
      <c r="M256" s="877"/>
      <c r="N256" s="739"/>
      <c r="O256" s="739"/>
    </row>
    <row r="257" spans="1:19" hidden="1" x14ac:dyDescent="0.35">
      <c r="A257" s="594"/>
      <c r="B257" s="594"/>
      <c r="C257" s="597"/>
      <c r="D257" s="597"/>
      <c r="E257" s="745">
        <v>15</v>
      </c>
      <c r="F257" s="371" t="s">
        <v>2036</v>
      </c>
      <c r="G257" s="371"/>
      <c r="H257" s="176"/>
      <c r="I257" s="12"/>
      <c r="J257" s="176"/>
      <c r="K257" s="176"/>
      <c r="L257" s="176"/>
      <c r="M257" s="59"/>
      <c r="N257" s="176"/>
      <c r="O257" s="176"/>
      <c r="R257" t="s">
        <v>12</v>
      </c>
      <c r="S257" s="6">
        <v>46100</v>
      </c>
    </row>
    <row r="258" spans="1:19" s="740" customFormat="1" x14ac:dyDescent="0.35">
      <c r="A258" s="735"/>
      <c r="B258" s="735"/>
      <c r="C258" s="736"/>
      <c r="D258" s="736" t="s">
        <v>2039</v>
      </c>
      <c r="E258" s="737">
        <v>17</v>
      </c>
      <c r="F258" s="738" t="s">
        <v>2038</v>
      </c>
      <c r="G258" s="738">
        <v>85</v>
      </c>
      <c r="H258" s="739">
        <f t="shared" si="40"/>
        <v>12.142857142857142</v>
      </c>
      <c r="I258" s="740">
        <v>4072</v>
      </c>
      <c r="J258" s="739">
        <v>3073</v>
      </c>
      <c r="K258" s="739">
        <f t="shared" si="41"/>
        <v>9.163801571709234</v>
      </c>
      <c r="L258" s="739">
        <f t="shared" si="42"/>
        <v>21.306658714566375</v>
      </c>
      <c r="M258" s="877"/>
      <c r="N258" s="739">
        <f t="shared" si="43"/>
        <v>31.959988071849562</v>
      </c>
      <c r="O258" s="739">
        <v>55</v>
      </c>
    </row>
    <row r="259" spans="1:19" s="740" customFormat="1" x14ac:dyDescent="0.35">
      <c r="A259" s="735"/>
      <c r="B259" s="735"/>
      <c r="C259" s="736"/>
      <c r="D259" s="736" t="s">
        <v>2039</v>
      </c>
      <c r="E259" s="737">
        <v>18</v>
      </c>
      <c r="F259" s="738" t="s">
        <v>2038</v>
      </c>
      <c r="G259" s="738">
        <v>85</v>
      </c>
      <c r="H259" s="739">
        <f t="shared" si="40"/>
        <v>12.142857142857142</v>
      </c>
      <c r="I259" s="740">
        <v>4072</v>
      </c>
      <c r="J259" s="739">
        <v>3073</v>
      </c>
      <c r="K259" s="739">
        <f t="shared" si="41"/>
        <v>9.163801571709234</v>
      </c>
      <c r="L259" s="739">
        <f t="shared" si="42"/>
        <v>21.306658714566375</v>
      </c>
      <c r="M259" s="877"/>
      <c r="N259" s="739">
        <f t="shared" si="43"/>
        <v>31.959988071849562</v>
      </c>
      <c r="O259" s="739">
        <v>55</v>
      </c>
    </row>
    <row r="260" spans="1:19" s="740" customFormat="1" x14ac:dyDescent="0.35">
      <c r="A260" s="735"/>
      <c r="B260" s="735"/>
      <c r="C260" s="736"/>
      <c r="D260" s="736" t="s">
        <v>2039</v>
      </c>
      <c r="E260" s="737">
        <v>19</v>
      </c>
      <c r="F260" s="738" t="s">
        <v>2038</v>
      </c>
      <c r="G260" s="738">
        <v>85</v>
      </c>
      <c r="H260" s="739">
        <f t="shared" si="40"/>
        <v>12.142857142857142</v>
      </c>
      <c r="I260" s="740">
        <v>4072</v>
      </c>
      <c r="J260" s="739">
        <v>3073</v>
      </c>
      <c r="K260" s="739">
        <f t="shared" si="41"/>
        <v>9.163801571709234</v>
      </c>
      <c r="L260" s="739">
        <f t="shared" si="42"/>
        <v>21.306658714566375</v>
      </c>
      <c r="M260" s="877"/>
      <c r="N260" s="739">
        <f t="shared" si="43"/>
        <v>31.959988071849562</v>
      </c>
      <c r="O260" s="739">
        <v>55</v>
      </c>
    </row>
    <row r="261" spans="1:19" hidden="1" x14ac:dyDescent="0.35">
      <c r="A261" s="3"/>
      <c r="B261" s="3"/>
      <c r="C261" s="233"/>
      <c r="D261" s="233"/>
      <c r="E261" s="366">
        <v>20</v>
      </c>
      <c r="F261" s="371" t="s">
        <v>2038</v>
      </c>
      <c r="G261" s="371"/>
      <c r="H261" s="176"/>
      <c r="I261" s="12"/>
      <c r="J261" s="176"/>
      <c r="K261" s="176"/>
      <c r="L261" s="176"/>
      <c r="M261" s="59"/>
      <c r="N261" s="176"/>
      <c r="O261" s="176"/>
      <c r="R261" t="s">
        <v>2466</v>
      </c>
      <c r="S261" s="6">
        <v>46055</v>
      </c>
    </row>
    <row r="262" spans="1:19" x14ac:dyDescent="0.35">
      <c r="A262" s="3"/>
      <c r="B262" s="3"/>
      <c r="C262" s="233"/>
      <c r="D262" s="233"/>
      <c r="E262" s="366">
        <v>21</v>
      </c>
      <c r="F262" s="670" t="s">
        <v>2038</v>
      </c>
      <c r="G262" s="245"/>
      <c r="H262" s="173"/>
      <c r="J262" s="173"/>
      <c r="K262" s="173"/>
      <c r="L262" s="173"/>
      <c r="N262" s="173"/>
      <c r="O262" s="173"/>
    </row>
    <row r="263" spans="1:19" s="740" customFormat="1" x14ac:dyDescent="0.35">
      <c r="A263" s="735"/>
      <c r="B263" s="735"/>
      <c r="C263" s="736"/>
      <c r="D263" s="736" t="s">
        <v>2040</v>
      </c>
      <c r="E263" s="737">
        <v>24</v>
      </c>
      <c r="F263" s="738" t="s">
        <v>2041</v>
      </c>
      <c r="G263" s="738">
        <v>85</v>
      </c>
      <c r="H263" s="739">
        <f t="shared" si="40"/>
        <v>12.142857142857142</v>
      </c>
      <c r="I263" s="740">
        <v>4072</v>
      </c>
      <c r="J263" s="739">
        <v>3073</v>
      </c>
      <c r="K263" s="739">
        <f t="shared" si="41"/>
        <v>9.163801571709234</v>
      </c>
      <c r="L263" s="739">
        <f t="shared" si="42"/>
        <v>21.306658714566375</v>
      </c>
      <c r="M263" s="877"/>
      <c r="N263" s="739">
        <f t="shared" si="43"/>
        <v>31.959988071849562</v>
      </c>
      <c r="O263" s="739">
        <v>45</v>
      </c>
    </row>
    <row r="264" spans="1:19" x14ac:dyDescent="0.35">
      <c r="A264" s="3"/>
      <c r="B264" s="3"/>
      <c r="C264" s="233"/>
      <c r="D264" s="233"/>
      <c r="E264" s="366">
        <v>25</v>
      </c>
      <c r="F264" s="670" t="s">
        <v>2041</v>
      </c>
      <c r="G264" s="245"/>
      <c r="H264" s="173"/>
      <c r="J264" s="173"/>
      <c r="K264" s="173"/>
      <c r="L264" s="173"/>
      <c r="N264" s="173"/>
      <c r="O264" s="173"/>
    </row>
    <row r="265" spans="1:19" hidden="1" x14ac:dyDescent="0.35">
      <c r="A265" s="594"/>
      <c r="B265" s="594"/>
      <c r="C265" s="597"/>
      <c r="D265" s="597" t="s">
        <v>2040</v>
      </c>
      <c r="E265" s="745">
        <v>26</v>
      </c>
      <c r="F265" s="371" t="s">
        <v>2042</v>
      </c>
      <c r="G265" s="371">
        <v>85</v>
      </c>
      <c r="H265" s="176">
        <f t="shared" si="40"/>
        <v>12.142857142857142</v>
      </c>
      <c r="I265" s="12">
        <v>4072</v>
      </c>
      <c r="J265" s="176">
        <v>3073</v>
      </c>
      <c r="K265" s="176">
        <f t="shared" si="41"/>
        <v>9.163801571709234</v>
      </c>
      <c r="L265" s="176">
        <f t="shared" si="42"/>
        <v>21.306658714566375</v>
      </c>
      <c r="M265" s="59"/>
      <c r="N265" s="176">
        <f t="shared" si="43"/>
        <v>31.959988071849562</v>
      </c>
      <c r="O265" s="176">
        <v>45</v>
      </c>
      <c r="R265" t="s">
        <v>1097</v>
      </c>
      <c r="S265" s="6">
        <v>46097</v>
      </c>
    </row>
    <row r="266" spans="1:19" x14ac:dyDescent="0.35">
      <c r="A266" s="3"/>
      <c r="B266" s="3"/>
      <c r="C266" s="233"/>
      <c r="D266" s="233"/>
      <c r="E266" s="366">
        <v>28</v>
      </c>
      <c r="F266" s="670" t="s">
        <v>2043</v>
      </c>
      <c r="G266" s="245"/>
      <c r="H266" s="173"/>
      <c r="J266" s="173"/>
      <c r="K266" s="173"/>
      <c r="L266" s="173"/>
      <c r="N266" s="173"/>
      <c r="O266" s="173"/>
    </row>
    <row r="267" spans="1:19" s="740" customFormat="1" x14ac:dyDescent="0.35">
      <c r="A267" s="735"/>
      <c r="B267" s="735"/>
      <c r="C267" s="736"/>
      <c r="D267" s="736" t="s">
        <v>2040</v>
      </c>
      <c r="E267" s="737">
        <v>29</v>
      </c>
      <c r="F267" s="738" t="s">
        <v>2044</v>
      </c>
      <c r="G267" s="738">
        <v>85</v>
      </c>
      <c r="H267" s="739">
        <f t="shared" si="40"/>
        <v>12.142857142857142</v>
      </c>
      <c r="I267" s="740">
        <v>4072</v>
      </c>
      <c r="J267" s="739">
        <v>3073</v>
      </c>
      <c r="K267" s="739">
        <f t="shared" si="41"/>
        <v>9.163801571709234</v>
      </c>
      <c r="L267" s="739">
        <f t="shared" si="42"/>
        <v>21.306658714566375</v>
      </c>
      <c r="M267" s="877"/>
      <c r="N267" s="739">
        <f t="shared" si="43"/>
        <v>31.959988071849562</v>
      </c>
      <c r="O267" s="739">
        <v>45</v>
      </c>
    </row>
    <row r="268" spans="1:19" x14ac:dyDescent="0.35">
      <c r="A268" s="3"/>
      <c r="B268" s="3"/>
      <c r="C268" s="233"/>
      <c r="D268" s="233"/>
      <c r="E268" s="366">
        <v>30</v>
      </c>
      <c r="F268" s="670" t="s">
        <v>2044</v>
      </c>
      <c r="G268" s="245"/>
      <c r="H268" s="173"/>
      <c r="J268" s="173"/>
      <c r="K268" s="173"/>
      <c r="L268" s="173"/>
      <c r="N268" s="173"/>
      <c r="O268" s="173"/>
    </row>
    <row r="269" spans="1:19" x14ac:dyDescent="0.35">
      <c r="A269" s="3"/>
      <c r="B269" s="3"/>
      <c r="C269" s="233"/>
      <c r="D269" s="233"/>
      <c r="E269" s="366">
        <v>31</v>
      </c>
      <c r="F269" s="670" t="s">
        <v>2044</v>
      </c>
      <c r="G269" s="245"/>
      <c r="H269" s="173"/>
      <c r="J269" s="173"/>
      <c r="K269" s="173"/>
      <c r="L269" s="173"/>
      <c r="N269" s="173"/>
      <c r="O269" s="173"/>
    </row>
    <row r="270" spans="1:19" x14ac:dyDescent="0.35">
      <c r="A270" s="3"/>
      <c r="B270" s="3"/>
      <c r="C270" s="233"/>
      <c r="D270" s="233"/>
      <c r="E270" s="366">
        <v>32</v>
      </c>
      <c r="F270" s="670" t="s">
        <v>2075</v>
      </c>
      <c r="G270" s="245"/>
      <c r="H270" s="173"/>
      <c r="J270" s="173"/>
      <c r="K270" s="173"/>
      <c r="L270" s="173"/>
      <c r="N270" s="173"/>
      <c r="O270" s="173"/>
    </row>
    <row r="271" spans="1:19" hidden="1" x14ac:dyDescent="0.35">
      <c r="A271" s="3"/>
      <c r="B271" s="3"/>
      <c r="C271" s="233"/>
      <c r="D271" s="233"/>
      <c r="E271" s="366">
        <v>37</v>
      </c>
      <c r="F271" s="371" t="s">
        <v>2046</v>
      </c>
      <c r="G271" s="371">
        <v>85</v>
      </c>
      <c r="H271" s="176">
        <f>+G271/7</f>
        <v>12.142857142857142</v>
      </c>
      <c r="I271" s="12">
        <v>4072</v>
      </c>
      <c r="J271" s="176">
        <v>3073</v>
      </c>
      <c r="K271" s="176">
        <f>+H271/I271*J271</f>
        <v>9.163801571709234</v>
      </c>
      <c r="L271" s="176">
        <f>+H271+K271</f>
        <v>21.306658714566375</v>
      </c>
      <c r="M271" s="59"/>
      <c r="N271" s="176">
        <f>+L271*1.5</f>
        <v>31.959988071849562</v>
      </c>
      <c r="O271" s="176">
        <v>45</v>
      </c>
      <c r="P271" s="12"/>
      <c r="Q271" s="12"/>
      <c r="R271" t="s">
        <v>12</v>
      </c>
      <c r="S271" s="6">
        <v>46030</v>
      </c>
    </row>
    <row r="272" spans="1:19" s="740" customFormat="1" x14ac:dyDescent="0.35">
      <c r="A272" s="735"/>
      <c r="B272" s="735"/>
      <c r="C272" s="736"/>
      <c r="D272" s="736"/>
      <c r="E272" s="737">
        <v>38</v>
      </c>
      <c r="F272" s="738" t="s">
        <v>2046</v>
      </c>
      <c r="G272" s="738">
        <v>85</v>
      </c>
      <c r="H272" s="739">
        <f>+G272/7</f>
        <v>12.142857142857142</v>
      </c>
      <c r="I272" s="740">
        <v>4072</v>
      </c>
      <c r="J272" s="739">
        <v>3073</v>
      </c>
      <c r="K272" s="739">
        <f>+H272/I272*J272</f>
        <v>9.163801571709234</v>
      </c>
      <c r="L272" s="739">
        <f>+H272+K272</f>
        <v>21.306658714566375</v>
      </c>
      <c r="M272" s="877"/>
      <c r="N272" s="739">
        <f>+L272*1.5</f>
        <v>31.959988071849562</v>
      </c>
      <c r="O272" s="739">
        <v>45</v>
      </c>
    </row>
    <row r="273" spans="1:19" hidden="1" x14ac:dyDescent="0.35">
      <c r="A273" s="594"/>
      <c r="B273" s="594"/>
      <c r="C273" s="597"/>
      <c r="D273" s="597"/>
      <c r="E273" s="745">
        <v>39</v>
      </c>
      <c r="F273" s="371" t="s">
        <v>2046</v>
      </c>
      <c r="G273" s="371">
        <v>85</v>
      </c>
      <c r="H273" s="176">
        <f>+G273/7</f>
        <v>12.142857142857142</v>
      </c>
      <c r="I273" s="12">
        <v>4072</v>
      </c>
      <c r="J273" s="176">
        <v>3073</v>
      </c>
      <c r="K273" s="176">
        <f>+H273/I273*J273</f>
        <v>9.163801571709234</v>
      </c>
      <c r="L273" s="176">
        <f>+H273+K273</f>
        <v>21.306658714566375</v>
      </c>
      <c r="M273" s="59"/>
      <c r="N273" s="176">
        <f>+L273*1.5</f>
        <v>31.959988071849562</v>
      </c>
      <c r="O273" s="176">
        <v>45</v>
      </c>
      <c r="R273" t="s">
        <v>12</v>
      </c>
      <c r="S273" s="6">
        <v>46085</v>
      </c>
    </row>
    <row r="274" spans="1:19" ht="14" hidden="1" customHeight="1" x14ac:dyDescent="0.35">
      <c r="A274" s="3"/>
      <c r="B274" s="3"/>
      <c r="C274" s="233"/>
      <c r="D274" s="233"/>
      <c r="E274" s="366">
        <v>40</v>
      </c>
      <c r="F274" s="670" t="s">
        <v>2275</v>
      </c>
      <c r="G274" s="245">
        <v>85</v>
      </c>
      <c r="H274" s="173">
        <f>+G274/7</f>
        <v>12.142857142857142</v>
      </c>
      <c r="I274">
        <v>4072</v>
      </c>
      <c r="J274" s="173">
        <v>3073</v>
      </c>
      <c r="K274" s="173">
        <f>+H274/I274*J274</f>
        <v>9.163801571709234</v>
      </c>
      <c r="L274" s="173">
        <f>+H274+K274</f>
        <v>21.306658714566375</v>
      </c>
      <c r="N274" s="173">
        <f>+L274*1.5</f>
        <v>31.959988071849562</v>
      </c>
      <c r="O274" s="173">
        <v>45</v>
      </c>
    </row>
    <row r="275" spans="1:19" hidden="1" x14ac:dyDescent="0.35">
      <c r="A275" s="594"/>
      <c r="B275" s="594"/>
      <c r="C275" s="597"/>
      <c r="D275" s="597"/>
      <c r="E275" s="745">
        <v>41</v>
      </c>
      <c r="F275" s="371" t="s">
        <v>2076</v>
      </c>
      <c r="G275" s="371">
        <v>85</v>
      </c>
      <c r="H275" s="176">
        <f>+G275/7</f>
        <v>12.142857142857142</v>
      </c>
      <c r="I275" s="12">
        <v>4072</v>
      </c>
      <c r="J275" s="176">
        <v>3073</v>
      </c>
      <c r="K275" s="176">
        <f>+H275/I275*J275</f>
        <v>9.163801571709234</v>
      </c>
      <c r="L275" s="176">
        <f>+H275+K275</f>
        <v>21.306658714566375</v>
      </c>
      <c r="M275" s="59"/>
      <c r="N275" s="176">
        <f>+L275*1.5</f>
        <v>31.959988071849562</v>
      </c>
      <c r="O275" s="176">
        <v>45</v>
      </c>
      <c r="R275" t="s">
        <v>2757</v>
      </c>
      <c r="S275" s="6">
        <v>46081</v>
      </c>
    </row>
    <row r="276" spans="1:19" hidden="1" x14ac:dyDescent="0.35">
      <c r="A276" s="3"/>
      <c r="B276" s="3"/>
      <c r="C276" s="233"/>
      <c r="D276" s="233"/>
      <c r="E276" s="366"/>
      <c r="F276" s="371" t="s">
        <v>2276</v>
      </c>
      <c r="G276" s="371"/>
      <c r="H276" s="176"/>
      <c r="I276" s="12"/>
      <c r="J276" s="176"/>
      <c r="K276" s="176"/>
      <c r="L276" s="176"/>
      <c r="M276" s="59"/>
      <c r="N276" s="176"/>
      <c r="O276" s="176"/>
      <c r="R276" t="s">
        <v>2481</v>
      </c>
      <c r="S276" s="6">
        <v>46058</v>
      </c>
    </row>
    <row r="277" spans="1:19" s="3" customFormat="1" x14ac:dyDescent="0.35">
      <c r="C277" s="232" t="s">
        <v>2787</v>
      </c>
      <c r="D277" s="232"/>
      <c r="E277" s="340"/>
      <c r="F277" s="256"/>
      <c r="G277" s="256"/>
      <c r="H277" s="146"/>
      <c r="J277" s="146"/>
      <c r="K277" s="146"/>
      <c r="L277" s="146"/>
      <c r="M277" s="58"/>
      <c r="N277" s="146"/>
      <c r="O277" s="146"/>
      <c r="R277" s="181"/>
    </row>
    <row r="278" spans="1:19" x14ac:dyDescent="0.35">
      <c r="A278" s="3"/>
      <c r="B278" s="3"/>
      <c r="C278" s="233" t="s">
        <v>2788</v>
      </c>
      <c r="D278" s="233"/>
      <c r="E278" s="366"/>
      <c r="F278" s="245" t="s">
        <v>2789</v>
      </c>
      <c r="G278" s="245">
        <v>11</v>
      </c>
      <c r="H278" s="173">
        <v>198</v>
      </c>
      <c r="I278">
        <f>69+55+20+5</f>
        <v>149</v>
      </c>
      <c r="J278" s="402">
        <f>+G278/H278*I278</f>
        <v>8.2777777777777768</v>
      </c>
      <c r="K278" s="173">
        <f>+G278+J278</f>
        <v>19.277777777777779</v>
      </c>
      <c r="L278" s="173"/>
      <c r="M278" s="2">
        <f>+K278*1.5</f>
        <v>28.916666666666668</v>
      </c>
      <c r="N278" s="173">
        <v>55</v>
      </c>
      <c r="R278" s="6"/>
    </row>
    <row r="279" spans="1:19" x14ac:dyDescent="0.35">
      <c r="A279" s="3"/>
      <c r="B279" s="3"/>
      <c r="C279" s="233" t="s">
        <v>2788</v>
      </c>
      <c r="D279" s="233"/>
      <c r="E279" s="366"/>
      <c r="F279" s="245" t="s">
        <v>2789</v>
      </c>
      <c r="G279" s="245">
        <v>11</v>
      </c>
      <c r="H279" s="173">
        <v>198</v>
      </c>
      <c r="I279">
        <f t="shared" ref="I279:I322" si="44">69+55+20+5</f>
        <v>149</v>
      </c>
      <c r="J279" s="402">
        <f t="shared" ref="J279:J322" si="45">+G279/H279*I279</f>
        <v>8.2777777777777768</v>
      </c>
      <c r="K279" s="173">
        <f t="shared" ref="K279:K322" si="46">+G279+J279</f>
        <v>19.277777777777779</v>
      </c>
      <c r="L279" s="173"/>
      <c r="M279" s="2">
        <f t="shared" ref="M279:M322" si="47">+K279*1.5</f>
        <v>28.916666666666668</v>
      </c>
      <c r="N279" s="173">
        <v>55</v>
      </c>
      <c r="R279" s="6"/>
    </row>
    <row r="280" spans="1:19" hidden="1" x14ac:dyDescent="0.35">
      <c r="A280" s="3"/>
      <c r="B280" s="3"/>
      <c r="C280" s="233" t="s">
        <v>2788</v>
      </c>
      <c r="D280" s="233"/>
      <c r="E280" s="366"/>
      <c r="F280" s="371" t="s">
        <v>2790</v>
      </c>
      <c r="G280" s="371">
        <v>11</v>
      </c>
      <c r="H280" s="176">
        <v>198</v>
      </c>
      <c r="I280" s="12">
        <f t="shared" si="44"/>
        <v>149</v>
      </c>
      <c r="J280" s="410">
        <f t="shared" si="45"/>
        <v>8.2777777777777768</v>
      </c>
      <c r="K280" s="176">
        <f t="shared" si="46"/>
        <v>19.277777777777779</v>
      </c>
      <c r="L280" s="176"/>
      <c r="M280" s="59">
        <f t="shared" si="47"/>
        <v>28.916666666666668</v>
      </c>
      <c r="N280" s="176">
        <v>55</v>
      </c>
      <c r="R280" s="6" t="s">
        <v>12</v>
      </c>
      <c r="S280" s="6">
        <v>46102</v>
      </c>
    </row>
    <row r="281" spans="1:19" x14ac:dyDescent="0.35">
      <c r="A281" s="3"/>
      <c r="B281" s="3"/>
      <c r="C281" s="233" t="s">
        <v>2788</v>
      </c>
      <c r="D281" s="233"/>
      <c r="E281" s="366"/>
      <c r="F281" s="245" t="s">
        <v>2790</v>
      </c>
      <c r="G281" s="245">
        <v>11</v>
      </c>
      <c r="H281" s="173">
        <v>198</v>
      </c>
      <c r="I281">
        <f t="shared" si="44"/>
        <v>149</v>
      </c>
      <c r="J281" s="402">
        <f t="shared" si="45"/>
        <v>8.2777777777777768</v>
      </c>
      <c r="K281" s="173">
        <f t="shared" si="46"/>
        <v>19.277777777777779</v>
      </c>
      <c r="L281" s="173"/>
      <c r="M281" s="2">
        <f t="shared" si="47"/>
        <v>28.916666666666668</v>
      </c>
      <c r="N281" s="173">
        <v>55</v>
      </c>
      <c r="R281" s="6"/>
    </row>
    <row r="282" spans="1:19" hidden="1" x14ac:dyDescent="0.35">
      <c r="A282" s="3"/>
      <c r="B282" s="3"/>
      <c r="C282" s="233" t="s">
        <v>2788</v>
      </c>
      <c r="D282" s="233"/>
      <c r="E282" s="366"/>
      <c r="F282" s="371" t="s">
        <v>2791</v>
      </c>
      <c r="G282" s="371">
        <v>11</v>
      </c>
      <c r="H282" s="176">
        <v>198</v>
      </c>
      <c r="I282" s="12">
        <f t="shared" si="44"/>
        <v>149</v>
      </c>
      <c r="J282" s="410">
        <f t="shared" si="45"/>
        <v>8.2777777777777768</v>
      </c>
      <c r="K282" s="176">
        <f t="shared" si="46"/>
        <v>19.277777777777779</v>
      </c>
      <c r="L282" s="176"/>
      <c r="M282" s="59">
        <f t="shared" si="47"/>
        <v>28.916666666666668</v>
      </c>
      <c r="N282" s="176">
        <v>55</v>
      </c>
      <c r="R282" s="6" t="s">
        <v>1464</v>
      </c>
      <c r="S282" s="6">
        <v>46111</v>
      </c>
    </row>
    <row r="283" spans="1:19" hidden="1" x14ac:dyDescent="0.35">
      <c r="A283" s="3"/>
      <c r="B283" s="3"/>
      <c r="C283" s="233" t="s">
        <v>2788</v>
      </c>
      <c r="D283" s="233"/>
      <c r="E283" s="366"/>
      <c r="F283" s="371" t="s">
        <v>2791</v>
      </c>
      <c r="G283" s="371">
        <v>11</v>
      </c>
      <c r="H283" s="176">
        <v>198</v>
      </c>
      <c r="I283" s="12">
        <f t="shared" si="44"/>
        <v>149</v>
      </c>
      <c r="J283" s="410">
        <f t="shared" si="45"/>
        <v>8.2777777777777768</v>
      </c>
      <c r="K283" s="176">
        <f t="shared" si="46"/>
        <v>19.277777777777779</v>
      </c>
      <c r="L283" s="176"/>
      <c r="M283" s="59">
        <f t="shared" si="47"/>
        <v>28.916666666666668</v>
      </c>
      <c r="N283" s="176">
        <v>55</v>
      </c>
      <c r="R283" s="6" t="s">
        <v>12</v>
      </c>
      <c r="S283" s="6">
        <v>46114</v>
      </c>
    </row>
    <row r="284" spans="1:19" hidden="1" x14ac:dyDescent="0.35">
      <c r="A284" s="3"/>
      <c r="B284" s="3"/>
      <c r="C284" s="233" t="s">
        <v>2788</v>
      </c>
      <c r="D284" s="233"/>
      <c r="E284" s="366"/>
      <c r="F284" s="371" t="s">
        <v>2792</v>
      </c>
      <c r="G284" s="371">
        <v>11</v>
      </c>
      <c r="H284" s="176">
        <v>198</v>
      </c>
      <c r="I284" s="12">
        <f t="shared" si="44"/>
        <v>149</v>
      </c>
      <c r="J284" s="410">
        <f t="shared" si="45"/>
        <v>8.2777777777777768</v>
      </c>
      <c r="K284" s="176">
        <f t="shared" si="46"/>
        <v>19.277777777777779</v>
      </c>
      <c r="L284" s="176"/>
      <c r="M284" s="59">
        <f t="shared" si="47"/>
        <v>28.916666666666668</v>
      </c>
      <c r="N284" s="176">
        <v>50</v>
      </c>
      <c r="R284" s="6" t="s">
        <v>12</v>
      </c>
      <c r="S284" s="6">
        <v>46119</v>
      </c>
    </row>
    <row r="285" spans="1:19" hidden="1" x14ac:dyDescent="0.35">
      <c r="A285" s="3"/>
      <c r="B285" s="3"/>
      <c r="C285" s="233" t="s">
        <v>2788</v>
      </c>
      <c r="D285" s="233"/>
      <c r="E285" s="366"/>
      <c r="F285" s="371" t="s">
        <v>2792</v>
      </c>
      <c r="G285" s="371">
        <v>11</v>
      </c>
      <c r="H285" s="176">
        <v>198</v>
      </c>
      <c r="I285" s="12">
        <f t="shared" si="44"/>
        <v>149</v>
      </c>
      <c r="J285" s="410">
        <f t="shared" si="45"/>
        <v>8.2777777777777768</v>
      </c>
      <c r="K285" s="176">
        <f t="shared" si="46"/>
        <v>19.277777777777779</v>
      </c>
      <c r="L285" s="176"/>
      <c r="M285" s="59">
        <f t="shared" si="47"/>
        <v>28.916666666666668</v>
      </c>
      <c r="N285" s="176">
        <v>50</v>
      </c>
      <c r="R285" s="6" t="s">
        <v>3093</v>
      </c>
      <c r="S285" s="6">
        <v>46122</v>
      </c>
    </row>
    <row r="286" spans="1:19" hidden="1" x14ac:dyDescent="0.35">
      <c r="A286" s="3"/>
      <c r="B286" s="3"/>
      <c r="C286" s="233" t="s">
        <v>2788</v>
      </c>
      <c r="D286" s="233"/>
      <c r="E286" s="366"/>
      <c r="F286" s="371" t="s">
        <v>2793</v>
      </c>
      <c r="G286" s="371">
        <v>11</v>
      </c>
      <c r="H286" s="176">
        <v>198</v>
      </c>
      <c r="I286" s="12">
        <f t="shared" si="44"/>
        <v>149</v>
      </c>
      <c r="J286" s="410">
        <f t="shared" si="45"/>
        <v>8.2777777777777768</v>
      </c>
      <c r="K286" s="176">
        <f t="shared" si="46"/>
        <v>19.277777777777779</v>
      </c>
      <c r="L286" s="176"/>
      <c r="M286" s="59">
        <f t="shared" si="47"/>
        <v>28.916666666666668</v>
      </c>
      <c r="N286" s="176">
        <v>50</v>
      </c>
      <c r="R286" s="6" t="s">
        <v>1111</v>
      </c>
      <c r="S286" s="6">
        <v>46119</v>
      </c>
    </row>
    <row r="287" spans="1:19" x14ac:dyDescent="0.35">
      <c r="A287" s="3"/>
      <c r="B287" s="3"/>
      <c r="C287" s="233" t="s">
        <v>2788</v>
      </c>
      <c r="D287" s="233"/>
      <c r="E287" s="366"/>
      <c r="F287" s="245" t="s">
        <v>2793</v>
      </c>
      <c r="G287" s="245">
        <v>11</v>
      </c>
      <c r="H287" s="173">
        <v>198</v>
      </c>
      <c r="I287">
        <f t="shared" si="44"/>
        <v>149</v>
      </c>
      <c r="J287" s="402">
        <f t="shared" si="45"/>
        <v>8.2777777777777768</v>
      </c>
      <c r="K287" s="173">
        <f t="shared" si="46"/>
        <v>19.277777777777779</v>
      </c>
      <c r="L287" s="173"/>
      <c r="M287" s="2">
        <f t="shared" si="47"/>
        <v>28.916666666666668</v>
      </c>
      <c r="N287" s="173">
        <v>50</v>
      </c>
      <c r="R287" s="6"/>
    </row>
    <row r="288" spans="1:19" hidden="1" x14ac:dyDescent="0.35">
      <c r="A288" s="3"/>
      <c r="B288" s="3"/>
      <c r="C288" s="233" t="s">
        <v>2788</v>
      </c>
      <c r="D288" s="233"/>
      <c r="E288" s="366"/>
      <c r="F288" s="371" t="s">
        <v>2794</v>
      </c>
      <c r="G288" s="371">
        <v>11</v>
      </c>
      <c r="H288" s="176">
        <v>198</v>
      </c>
      <c r="I288" s="12">
        <f t="shared" si="44"/>
        <v>149</v>
      </c>
      <c r="J288" s="410">
        <f t="shared" si="45"/>
        <v>8.2777777777777768</v>
      </c>
      <c r="K288" s="176">
        <f t="shared" si="46"/>
        <v>19.277777777777779</v>
      </c>
      <c r="L288" s="176"/>
      <c r="M288" s="59">
        <f t="shared" si="47"/>
        <v>28.916666666666668</v>
      </c>
      <c r="N288" s="176">
        <v>50</v>
      </c>
      <c r="R288" s="6" t="s">
        <v>12</v>
      </c>
      <c r="S288" s="6">
        <v>46136</v>
      </c>
    </row>
    <row r="289" spans="1:19" x14ac:dyDescent="0.35">
      <c r="A289" s="3"/>
      <c r="B289" s="3"/>
      <c r="C289" s="233" t="s">
        <v>2788</v>
      </c>
      <c r="D289" s="233"/>
      <c r="E289" s="366"/>
      <c r="F289" s="245" t="s">
        <v>2794</v>
      </c>
      <c r="G289" s="245">
        <v>11</v>
      </c>
      <c r="H289" s="173">
        <v>198</v>
      </c>
      <c r="I289">
        <f t="shared" si="44"/>
        <v>149</v>
      </c>
      <c r="J289" s="402">
        <f t="shared" si="45"/>
        <v>8.2777777777777768</v>
      </c>
      <c r="K289" s="173">
        <f t="shared" si="46"/>
        <v>19.277777777777779</v>
      </c>
      <c r="L289" s="173"/>
      <c r="M289" s="2">
        <f t="shared" si="47"/>
        <v>28.916666666666668</v>
      </c>
      <c r="N289" s="173">
        <v>50</v>
      </c>
      <c r="R289" s="6"/>
    </row>
    <row r="290" spans="1:19" hidden="1" x14ac:dyDescent="0.35">
      <c r="A290" s="3"/>
      <c r="B290" s="3"/>
      <c r="C290" s="233" t="s">
        <v>2788</v>
      </c>
      <c r="D290" s="233"/>
      <c r="E290" s="366"/>
      <c r="F290" s="371" t="s">
        <v>2813</v>
      </c>
      <c r="G290" s="371">
        <v>2</v>
      </c>
      <c r="H290" s="176">
        <v>198</v>
      </c>
      <c r="I290" s="12">
        <f t="shared" si="44"/>
        <v>149</v>
      </c>
      <c r="J290" s="410">
        <f t="shared" si="45"/>
        <v>1.5050505050505052</v>
      </c>
      <c r="K290" s="176">
        <f t="shared" si="46"/>
        <v>3.5050505050505052</v>
      </c>
      <c r="L290" s="176"/>
      <c r="M290" s="59">
        <f t="shared" si="47"/>
        <v>5.2575757575757578</v>
      </c>
      <c r="N290" s="176">
        <v>10</v>
      </c>
      <c r="O290" s="173"/>
      <c r="R290" s="6" t="s">
        <v>2811</v>
      </c>
      <c r="S290" s="6">
        <v>46099</v>
      </c>
    </row>
    <row r="291" spans="1:19" hidden="1" x14ac:dyDescent="0.35">
      <c r="A291" s="3"/>
      <c r="B291" s="3"/>
      <c r="C291" s="233" t="s">
        <v>2788</v>
      </c>
      <c r="D291" s="233"/>
      <c r="E291" s="366"/>
      <c r="F291" s="371" t="s">
        <v>2813</v>
      </c>
      <c r="G291" s="371">
        <v>2</v>
      </c>
      <c r="H291" s="176">
        <v>198</v>
      </c>
      <c r="I291" s="12">
        <f t="shared" si="44"/>
        <v>149</v>
      </c>
      <c r="J291" s="410">
        <f t="shared" si="45"/>
        <v>1.5050505050505052</v>
      </c>
      <c r="K291" s="176">
        <f t="shared" si="46"/>
        <v>3.5050505050505052</v>
      </c>
      <c r="L291" s="176"/>
      <c r="M291" s="59">
        <f t="shared" si="47"/>
        <v>5.2575757575757578</v>
      </c>
      <c r="N291" s="176">
        <v>10</v>
      </c>
      <c r="O291" s="173"/>
      <c r="R291" s="6" t="s">
        <v>1075</v>
      </c>
      <c r="S291" s="6">
        <v>46129</v>
      </c>
    </row>
    <row r="292" spans="1:19" hidden="1" x14ac:dyDescent="0.35">
      <c r="A292" s="3"/>
      <c r="B292" s="3"/>
      <c r="C292" s="233" t="s">
        <v>2788</v>
      </c>
      <c r="D292" s="233"/>
      <c r="E292" s="366"/>
      <c r="F292" s="371" t="s">
        <v>2813</v>
      </c>
      <c r="G292" s="371">
        <v>2</v>
      </c>
      <c r="H292" s="176">
        <v>198</v>
      </c>
      <c r="I292" s="12">
        <f t="shared" si="44"/>
        <v>149</v>
      </c>
      <c r="J292" s="410">
        <f t="shared" si="45"/>
        <v>1.5050505050505052</v>
      </c>
      <c r="K292" s="176">
        <f t="shared" si="46"/>
        <v>3.5050505050505052</v>
      </c>
      <c r="L292" s="176"/>
      <c r="M292" s="59">
        <f t="shared" si="47"/>
        <v>5.2575757575757578</v>
      </c>
      <c r="N292" s="176">
        <v>10</v>
      </c>
      <c r="O292" s="173"/>
      <c r="R292" s="6" t="s">
        <v>12</v>
      </c>
      <c r="S292" s="6">
        <v>46140</v>
      </c>
    </row>
    <row r="293" spans="1:19" x14ac:dyDescent="0.35">
      <c r="A293" s="3"/>
      <c r="B293" s="3"/>
      <c r="C293" s="233" t="s">
        <v>2788</v>
      </c>
      <c r="D293" s="233"/>
      <c r="E293" s="366"/>
      <c r="F293" s="371" t="s">
        <v>2813</v>
      </c>
      <c r="G293" s="371">
        <v>2</v>
      </c>
      <c r="H293" s="176">
        <v>198</v>
      </c>
      <c r="I293" s="12">
        <f t="shared" si="44"/>
        <v>149</v>
      </c>
      <c r="J293" s="410">
        <f t="shared" si="45"/>
        <v>1.5050505050505052</v>
      </c>
      <c r="K293" s="176">
        <f t="shared" si="46"/>
        <v>3.5050505050505052</v>
      </c>
      <c r="L293" s="176"/>
      <c r="M293" s="59">
        <f t="shared" si="47"/>
        <v>5.2575757575757578</v>
      </c>
      <c r="N293" s="176">
        <v>10</v>
      </c>
      <c r="O293" s="173"/>
      <c r="R293" s="6" t="s">
        <v>3181</v>
      </c>
      <c r="S293" s="6">
        <v>46141</v>
      </c>
    </row>
    <row r="294" spans="1:19" x14ac:dyDescent="0.35">
      <c r="A294" s="3"/>
      <c r="B294" s="3"/>
      <c r="C294" s="233" t="s">
        <v>2788</v>
      </c>
      <c r="D294" s="233"/>
      <c r="E294" s="366"/>
      <c r="F294" s="245" t="s">
        <v>2813</v>
      </c>
      <c r="G294" s="245">
        <v>2</v>
      </c>
      <c r="H294" s="173">
        <v>198</v>
      </c>
      <c r="I294">
        <f t="shared" si="44"/>
        <v>149</v>
      </c>
      <c r="J294" s="402">
        <f t="shared" si="45"/>
        <v>1.5050505050505052</v>
      </c>
      <c r="K294" s="173">
        <f t="shared" si="46"/>
        <v>3.5050505050505052</v>
      </c>
      <c r="L294" s="173"/>
      <c r="M294" s="2">
        <f t="shared" si="47"/>
        <v>5.2575757575757578</v>
      </c>
      <c r="N294" s="173">
        <v>10</v>
      </c>
      <c r="O294" s="173"/>
      <c r="R294" s="6"/>
    </row>
    <row r="295" spans="1:19" x14ac:dyDescent="0.35">
      <c r="A295" s="3"/>
      <c r="B295" s="3"/>
      <c r="C295" s="233" t="s">
        <v>2788</v>
      </c>
      <c r="D295" s="233"/>
      <c r="E295" s="366"/>
      <c r="F295" s="245" t="s">
        <v>2813</v>
      </c>
      <c r="G295" s="245">
        <v>2</v>
      </c>
      <c r="H295" s="173">
        <v>198</v>
      </c>
      <c r="I295">
        <f t="shared" si="44"/>
        <v>149</v>
      </c>
      <c r="J295" s="402">
        <f t="shared" si="45"/>
        <v>1.5050505050505052</v>
      </c>
      <c r="K295" s="173">
        <f t="shared" si="46"/>
        <v>3.5050505050505052</v>
      </c>
      <c r="L295" s="173"/>
      <c r="M295" s="2">
        <f t="shared" si="47"/>
        <v>5.2575757575757578</v>
      </c>
      <c r="N295" s="173">
        <v>10</v>
      </c>
      <c r="O295" s="173"/>
      <c r="R295" s="6"/>
    </row>
    <row r="296" spans="1:19" x14ac:dyDescent="0.35">
      <c r="A296" s="3"/>
      <c r="B296" s="3"/>
      <c r="C296" s="233" t="s">
        <v>2788</v>
      </c>
      <c r="D296" s="233"/>
      <c r="E296" s="366"/>
      <c r="F296" s="245" t="s">
        <v>2813</v>
      </c>
      <c r="G296" s="245">
        <v>2</v>
      </c>
      <c r="H296" s="173">
        <v>198</v>
      </c>
      <c r="I296">
        <f t="shared" si="44"/>
        <v>149</v>
      </c>
      <c r="J296" s="402">
        <f t="shared" si="45"/>
        <v>1.5050505050505052</v>
      </c>
      <c r="K296" s="173">
        <f t="shared" si="46"/>
        <v>3.5050505050505052</v>
      </c>
      <c r="L296" s="173"/>
      <c r="M296" s="2">
        <f t="shared" si="47"/>
        <v>5.2575757575757578</v>
      </c>
      <c r="N296" s="173">
        <v>10</v>
      </c>
      <c r="O296" s="173"/>
      <c r="R296" s="6"/>
    </row>
    <row r="297" spans="1:19" x14ac:dyDescent="0.35">
      <c r="A297" s="3"/>
      <c r="B297" s="3"/>
      <c r="C297" s="233" t="s">
        <v>2788</v>
      </c>
      <c r="D297" s="233"/>
      <c r="E297" s="366"/>
      <c r="F297" s="245" t="s">
        <v>2813</v>
      </c>
      <c r="G297" s="245">
        <v>2</v>
      </c>
      <c r="H297" s="173">
        <v>198</v>
      </c>
      <c r="I297">
        <f t="shared" si="44"/>
        <v>149</v>
      </c>
      <c r="J297" s="402">
        <f t="shared" si="45"/>
        <v>1.5050505050505052</v>
      </c>
      <c r="K297" s="173">
        <f t="shared" si="46"/>
        <v>3.5050505050505052</v>
      </c>
      <c r="L297" s="173"/>
      <c r="M297" s="2">
        <f t="shared" si="47"/>
        <v>5.2575757575757578</v>
      </c>
      <c r="N297" s="173">
        <v>10</v>
      </c>
      <c r="O297" s="173"/>
      <c r="R297" s="6"/>
    </row>
    <row r="298" spans="1:19" x14ac:dyDescent="0.35">
      <c r="A298" s="3"/>
      <c r="B298" s="3"/>
      <c r="C298" s="233" t="s">
        <v>2788</v>
      </c>
      <c r="D298" s="233"/>
      <c r="E298" s="366"/>
      <c r="F298" s="245" t="s">
        <v>2813</v>
      </c>
      <c r="G298" s="245">
        <v>2</v>
      </c>
      <c r="H298" s="173">
        <v>198</v>
      </c>
      <c r="I298">
        <f t="shared" si="44"/>
        <v>149</v>
      </c>
      <c r="J298" s="402">
        <f t="shared" si="45"/>
        <v>1.5050505050505052</v>
      </c>
      <c r="K298" s="173">
        <f t="shared" si="46"/>
        <v>3.5050505050505052</v>
      </c>
      <c r="L298" s="173"/>
      <c r="M298" s="2">
        <f t="shared" si="47"/>
        <v>5.2575757575757578</v>
      </c>
      <c r="N298" s="173">
        <v>10</v>
      </c>
      <c r="O298" s="173"/>
      <c r="R298" s="6"/>
    </row>
    <row r="299" spans="1:19" x14ac:dyDescent="0.35">
      <c r="A299" s="3"/>
      <c r="B299" s="3"/>
      <c r="C299" s="233" t="s">
        <v>2788</v>
      </c>
      <c r="D299" s="233"/>
      <c r="E299" s="366"/>
      <c r="F299" s="245" t="s">
        <v>2813</v>
      </c>
      <c r="G299" s="245">
        <v>2</v>
      </c>
      <c r="H299" s="173">
        <v>198</v>
      </c>
      <c r="I299">
        <f t="shared" si="44"/>
        <v>149</v>
      </c>
      <c r="J299" s="402">
        <f t="shared" si="45"/>
        <v>1.5050505050505052</v>
      </c>
      <c r="K299" s="173">
        <f t="shared" si="46"/>
        <v>3.5050505050505052</v>
      </c>
      <c r="L299" s="173"/>
      <c r="M299" s="2">
        <f t="shared" si="47"/>
        <v>5.2575757575757578</v>
      </c>
      <c r="N299" s="173">
        <v>10</v>
      </c>
      <c r="O299" s="173"/>
      <c r="R299" s="6"/>
    </row>
    <row r="300" spans="1:19" x14ac:dyDescent="0.35">
      <c r="A300" s="3"/>
      <c r="B300" s="3"/>
      <c r="C300" s="233" t="s">
        <v>2788</v>
      </c>
      <c r="D300" s="233"/>
      <c r="E300" s="366"/>
      <c r="F300" s="245" t="s">
        <v>2813</v>
      </c>
      <c r="G300" s="245">
        <v>2</v>
      </c>
      <c r="H300" s="173">
        <v>198</v>
      </c>
      <c r="I300">
        <f t="shared" si="44"/>
        <v>149</v>
      </c>
      <c r="J300" s="402">
        <f t="shared" si="45"/>
        <v>1.5050505050505052</v>
      </c>
      <c r="K300" s="173">
        <f t="shared" si="46"/>
        <v>3.5050505050505052</v>
      </c>
      <c r="L300" s="173"/>
      <c r="M300" s="2">
        <f t="shared" si="47"/>
        <v>5.2575757575757578</v>
      </c>
      <c r="N300" s="173">
        <v>10</v>
      </c>
      <c r="O300" s="173"/>
      <c r="R300" s="6"/>
    </row>
    <row r="301" spans="1:19" x14ac:dyDescent="0.35">
      <c r="A301" s="3"/>
      <c r="B301" s="3"/>
      <c r="C301" s="233" t="s">
        <v>2788</v>
      </c>
      <c r="D301" s="233"/>
      <c r="E301" s="366"/>
      <c r="F301" s="245" t="s">
        <v>2813</v>
      </c>
      <c r="G301" s="245">
        <v>2</v>
      </c>
      <c r="H301" s="173">
        <v>198</v>
      </c>
      <c r="I301">
        <f t="shared" si="44"/>
        <v>149</v>
      </c>
      <c r="J301" s="402">
        <f t="shared" si="45"/>
        <v>1.5050505050505052</v>
      </c>
      <c r="K301" s="173">
        <f t="shared" si="46"/>
        <v>3.5050505050505052</v>
      </c>
      <c r="L301" s="173"/>
      <c r="M301" s="2">
        <f t="shared" si="47"/>
        <v>5.2575757575757578</v>
      </c>
      <c r="N301" s="173">
        <v>10</v>
      </c>
      <c r="O301" s="173"/>
      <c r="R301" s="6"/>
    </row>
    <row r="302" spans="1:19" x14ac:dyDescent="0.35">
      <c r="A302" s="3"/>
      <c r="B302" s="3"/>
      <c r="C302" s="233" t="s">
        <v>2788</v>
      </c>
      <c r="D302" s="233"/>
      <c r="E302" s="366"/>
      <c r="F302" s="245" t="s">
        <v>2813</v>
      </c>
      <c r="G302" s="245">
        <v>2</v>
      </c>
      <c r="H302" s="173">
        <v>198</v>
      </c>
      <c r="I302">
        <f t="shared" si="44"/>
        <v>149</v>
      </c>
      <c r="J302" s="402">
        <f t="shared" si="45"/>
        <v>1.5050505050505052</v>
      </c>
      <c r="K302" s="173">
        <f t="shared" si="46"/>
        <v>3.5050505050505052</v>
      </c>
      <c r="L302" s="173"/>
      <c r="M302" s="2">
        <f t="shared" si="47"/>
        <v>5.2575757575757578</v>
      </c>
      <c r="N302" s="173">
        <v>10</v>
      </c>
      <c r="O302" s="173"/>
      <c r="R302" s="6"/>
    </row>
    <row r="303" spans="1:19" x14ac:dyDescent="0.35">
      <c r="A303" s="3"/>
      <c r="B303" s="3"/>
      <c r="C303" s="233" t="s">
        <v>2788</v>
      </c>
      <c r="D303" s="233"/>
      <c r="E303" s="366"/>
      <c r="F303" s="245" t="s">
        <v>2813</v>
      </c>
      <c r="G303" s="245">
        <v>2</v>
      </c>
      <c r="H303" s="173">
        <v>198</v>
      </c>
      <c r="I303">
        <f t="shared" si="44"/>
        <v>149</v>
      </c>
      <c r="J303" s="402">
        <f t="shared" si="45"/>
        <v>1.5050505050505052</v>
      </c>
      <c r="K303" s="173">
        <f t="shared" si="46"/>
        <v>3.5050505050505052</v>
      </c>
      <c r="L303" s="173"/>
      <c r="M303" s="2">
        <f t="shared" si="47"/>
        <v>5.2575757575757578</v>
      </c>
      <c r="N303" s="173">
        <v>10</v>
      </c>
      <c r="O303" s="173"/>
      <c r="R303" s="6"/>
    </row>
    <row r="304" spans="1:19" x14ac:dyDescent="0.35">
      <c r="A304" s="3"/>
      <c r="B304" s="3"/>
      <c r="C304" s="233" t="s">
        <v>2788</v>
      </c>
      <c r="D304" s="233"/>
      <c r="E304" s="366"/>
      <c r="F304" s="245" t="s">
        <v>2813</v>
      </c>
      <c r="G304" s="245">
        <v>2</v>
      </c>
      <c r="H304" s="173">
        <v>198</v>
      </c>
      <c r="I304">
        <f t="shared" si="44"/>
        <v>149</v>
      </c>
      <c r="J304" s="402">
        <f t="shared" si="45"/>
        <v>1.5050505050505052</v>
      </c>
      <c r="K304" s="173">
        <f t="shared" si="46"/>
        <v>3.5050505050505052</v>
      </c>
      <c r="L304" s="173"/>
      <c r="M304" s="2">
        <f t="shared" si="47"/>
        <v>5.2575757575757578</v>
      </c>
      <c r="N304" s="173">
        <v>10</v>
      </c>
      <c r="O304" s="173"/>
      <c r="R304" s="6"/>
    </row>
    <row r="305" spans="1:18" x14ac:dyDescent="0.35">
      <c r="A305" s="3"/>
      <c r="B305" s="3"/>
      <c r="C305" s="233" t="s">
        <v>2788</v>
      </c>
      <c r="D305" s="233"/>
      <c r="E305" s="366"/>
      <c r="F305" s="245" t="s">
        <v>2813</v>
      </c>
      <c r="G305" s="245">
        <v>2</v>
      </c>
      <c r="H305" s="173">
        <v>198</v>
      </c>
      <c r="I305">
        <f t="shared" si="44"/>
        <v>149</v>
      </c>
      <c r="J305" s="402">
        <f t="shared" si="45"/>
        <v>1.5050505050505052</v>
      </c>
      <c r="K305" s="173">
        <f t="shared" si="46"/>
        <v>3.5050505050505052</v>
      </c>
      <c r="L305" s="173"/>
      <c r="M305" s="2">
        <f t="shared" si="47"/>
        <v>5.2575757575757578</v>
      </c>
      <c r="N305" s="173">
        <v>10</v>
      </c>
      <c r="O305" s="173"/>
      <c r="R305" s="6"/>
    </row>
    <row r="306" spans="1:18" x14ac:dyDescent="0.35">
      <c r="A306" s="3"/>
      <c r="B306" s="3"/>
      <c r="C306" s="233" t="s">
        <v>2788</v>
      </c>
      <c r="D306" s="233"/>
      <c r="E306" s="366"/>
      <c r="F306" s="245" t="s">
        <v>2813</v>
      </c>
      <c r="G306" s="245">
        <v>2</v>
      </c>
      <c r="H306" s="173">
        <v>198</v>
      </c>
      <c r="I306">
        <f t="shared" si="44"/>
        <v>149</v>
      </c>
      <c r="J306" s="402">
        <f t="shared" si="45"/>
        <v>1.5050505050505052</v>
      </c>
      <c r="K306" s="173">
        <f t="shared" si="46"/>
        <v>3.5050505050505052</v>
      </c>
      <c r="L306" s="173"/>
      <c r="M306" s="2">
        <f t="shared" si="47"/>
        <v>5.2575757575757578</v>
      </c>
      <c r="N306" s="173">
        <v>10</v>
      </c>
      <c r="O306" s="173"/>
      <c r="R306" s="6"/>
    </row>
    <row r="307" spans="1:18" x14ac:dyDescent="0.35">
      <c r="A307" s="3"/>
      <c r="B307" s="3"/>
      <c r="C307" s="233" t="s">
        <v>2788</v>
      </c>
      <c r="D307" s="233"/>
      <c r="E307" s="366"/>
      <c r="F307" s="245" t="s">
        <v>2813</v>
      </c>
      <c r="G307" s="245">
        <v>2</v>
      </c>
      <c r="H307" s="173">
        <v>198</v>
      </c>
      <c r="I307">
        <f t="shared" si="44"/>
        <v>149</v>
      </c>
      <c r="J307" s="402">
        <f t="shared" si="45"/>
        <v>1.5050505050505052</v>
      </c>
      <c r="K307" s="173">
        <f t="shared" si="46"/>
        <v>3.5050505050505052</v>
      </c>
      <c r="L307" s="173"/>
      <c r="M307" s="2">
        <f t="shared" si="47"/>
        <v>5.2575757575757578</v>
      </c>
      <c r="N307" s="173">
        <v>10</v>
      </c>
      <c r="O307" s="173"/>
      <c r="R307" s="6"/>
    </row>
    <row r="308" spans="1:18" x14ac:dyDescent="0.35">
      <c r="A308" s="3"/>
      <c r="B308" s="3"/>
      <c r="C308" s="233" t="s">
        <v>2788</v>
      </c>
      <c r="D308" s="233"/>
      <c r="E308" s="366"/>
      <c r="F308" s="245" t="s">
        <v>2813</v>
      </c>
      <c r="G308" s="245">
        <v>2</v>
      </c>
      <c r="H308" s="173">
        <v>198</v>
      </c>
      <c r="I308">
        <f t="shared" si="44"/>
        <v>149</v>
      </c>
      <c r="J308" s="402">
        <f t="shared" si="45"/>
        <v>1.5050505050505052</v>
      </c>
      <c r="K308" s="173">
        <f t="shared" si="46"/>
        <v>3.5050505050505052</v>
      </c>
      <c r="L308" s="173"/>
      <c r="M308" s="2">
        <f t="shared" si="47"/>
        <v>5.2575757575757578</v>
      </c>
      <c r="N308" s="173">
        <v>10</v>
      </c>
      <c r="O308" s="173"/>
      <c r="R308" s="6"/>
    </row>
    <row r="309" spans="1:18" x14ac:dyDescent="0.35">
      <c r="A309" s="3"/>
      <c r="B309" s="3"/>
      <c r="C309" s="233" t="s">
        <v>2788</v>
      </c>
      <c r="D309" s="233"/>
      <c r="E309" s="366"/>
      <c r="F309" s="245" t="s">
        <v>2813</v>
      </c>
      <c r="G309" s="245">
        <v>2</v>
      </c>
      <c r="H309" s="173">
        <v>198</v>
      </c>
      <c r="I309">
        <f t="shared" si="44"/>
        <v>149</v>
      </c>
      <c r="J309" s="402">
        <f t="shared" si="45"/>
        <v>1.5050505050505052</v>
      </c>
      <c r="K309" s="173">
        <f t="shared" si="46"/>
        <v>3.5050505050505052</v>
      </c>
      <c r="L309" s="173"/>
      <c r="M309" s="2">
        <f t="shared" si="47"/>
        <v>5.2575757575757578</v>
      </c>
      <c r="N309" s="173">
        <v>10</v>
      </c>
      <c r="O309" s="173"/>
      <c r="R309" s="6"/>
    </row>
    <row r="310" spans="1:18" x14ac:dyDescent="0.35">
      <c r="A310" s="3"/>
      <c r="B310" s="3"/>
      <c r="C310" s="233" t="s">
        <v>2788</v>
      </c>
      <c r="D310" s="233"/>
      <c r="E310" s="366"/>
      <c r="F310" s="245" t="s">
        <v>2813</v>
      </c>
      <c r="G310" s="245">
        <v>2</v>
      </c>
      <c r="H310" s="173">
        <v>198</v>
      </c>
      <c r="I310">
        <f t="shared" si="44"/>
        <v>149</v>
      </c>
      <c r="J310" s="402">
        <f t="shared" si="45"/>
        <v>1.5050505050505052</v>
      </c>
      <c r="K310" s="173">
        <f t="shared" si="46"/>
        <v>3.5050505050505052</v>
      </c>
      <c r="L310" s="173"/>
      <c r="M310" s="2">
        <f t="shared" si="47"/>
        <v>5.2575757575757578</v>
      </c>
      <c r="N310" s="173">
        <v>10</v>
      </c>
      <c r="O310" s="173"/>
      <c r="R310" s="6"/>
    </row>
    <row r="311" spans="1:18" x14ac:dyDescent="0.35">
      <c r="A311" s="3"/>
      <c r="B311" s="3"/>
      <c r="C311" s="233" t="s">
        <v>2788</v>
      </c>
      <c r="D311" s="233"/>
      <c r="E311" s="366"/>
      <c r="F311" s="245" t="s">
        <v>2813</v>
      </c>
      <c r="G311" s="245">
        <v>2</v>
      </c>
      <c r="H311" s="173">
        <v>198</v>
      </c>
      <c r="I311">
        <f t="shared" si="44"/>
        <v>149</v>
      </c>
      <c r="J311" s="402">
        <f t="shared" si="45"/>
        <v>1.5050505050505052</v>
      </c>
      <c r="K311" s="173">
        <f t="shared" si="46"/>
        <v>3.5050505050505052</v>
      </c>
      <c r="L311" s="173"/>
      <c r="M311" s="2">
        <f t="shared" si="47"/>
        <v>5.2575757575757578</v>
      </c>
      <c r="N311" s="173">
        <v>10</v>
      </c>
      <c r="O311" s="173"/>
      <c r="R311" s="6"/>
    </row>
    <row r="312" spans="1:18" x14ac:dyDescent="0.35">
      <c r="A312" s="3"/>
      <c r="B312" s="3"/>
      <c r="C312" s="233" t="s">
        <v>2788</v>
      </c>
      <c r="D312" s="233"/>
      <c r="E312" s="366"/>
      <c r="F312" s="245" t="s">
        <v>2813</v>
      </c>
      <c r="G312" s="245">
        <v>2</v>
      </c>
      <c r="H312" s="173">
        <v>198</v>
      </c>
      <c r="I312">
        <f t="shared" si="44"/>
        <v>149</v>
      </c>
      <c r="J312" s="402">
        <f t="shared" si="45"/>
        <v>1.5050505050505052</v>
      </c>
      <c r="K312" s="173">
        <f t="shared" si="46"/>
        <v>3.5050505050505052</v>
      </c>
      <c r="L312" s="173"/>
      <c r="M312" s="2">
        <f t="shared" si="47"/>
        <v>5.2575757575757578</v>
      </c>
      <c r="N312" s="173">
        <v>10</v>
      </c>
      <c r="O312" s="173"/>
      <c r="R312" s="6"/>
    </row>
    <row r="313" spans="1:18" x14ac:dyDescent="0.35">
      <c r="A313" s="3"/>
      <c r="B313" s="3"/>
      <c r="C313" s="233" t="s">
        <v>2788</v>
      </c>
      <c r="D313" s="233"/>
      <c r="E313" s="366"/>
      <c r="F313" s="245" t="s">
        <v>2813</v>
      </c>
      <c r="G313" s="245">
        <v>2</v>
      </c>
      <c r="H313" s="173">
        <v>198</v>
      </c>
      <c r="I313">
        <f t="shared" si="44"/>
        <v>149</v>
      </c>
      <c r="J313" s="402">
        <f t="shared" si="45"/>
        <v>1.5050505050505052</v>
      </c>
      <c r="K313" s="173">
        <f t="shared" si="46"/>
        <v>3.5050505050505052</v>
      </c>
      <c r="L313" s="173"/>
      <c r="M313" s="2">
        <f t="shared" si="47"/>
        <v>5.2575757575757578</v>
      </c>
      <c r="N313" s="173">
        <v>10</v>
      </c>
      <c r="O313" s="173"/>
      <c r="R313" s="6"/>
    </row>
    <row r="314" spans="1:18" x14ac:dyDescent="0.35">
      <c r="A314" s="3"/>
      <c r="B314" s="3"/>
      <c r="C314" s="233" t="s">
        <v>2788</v>
      </c>
      <c r="D314" s="233"/>
      <c r="E314" s="366"/>
      <c r="F314" s="245" t="s">
        <v>2813</v>
      </c>
      <c r="G314" s="245">
        <v>2</v>
      </c>
      <c r="H314" s="173">
        <v>198</v>
      </c>
      <c r="I314">
        <f t="shared" si="44"/>
        <v>149</v>
      </c>
      <c r="J314" s="402">
        <f t="shared" si="45"/>
        <v>1.5050505050505052</v>
      </c>
      <c r="K314" s="173">
        <f t="shared" si="46"/>
        <v>3.5050505050505052</v>
      </c>
      <c r="L314" s="173"/>
      <c r="M314" s="2">
        <f t="shared" si="47"/>
        <v>5.2575757575757578</v>
      </c>
      <c r="N314" s="173">
        <v>10</v>
      </c>
      <c r="O314" s="173"/>
      <c r="R314" s="6"/>
    </row>
    <row r="315" spans="1:18" x14ac:dyDescent="0.35">
      <c r="A315" s="3"/>
      <c r="B315" s="3"/>
      <c r="C315" s="233" t="s">
        <v>2788</v>
      </c>
      <c r="D315" s="233"/>
      <c r="E315" s="366"/>
      <c r="F315" s="245" t="s">
        <v>2813</v>
      </c>
      <c r="G315" s="245">
        <v>2</v>
      </c>
      <c r="H315" s="173">
        <v>198</v>
      </c>
      <c r="I315">
        <f t="shared" si="44"/>
        <v>149</v>
      </c>
      <c r="J315" s="402">
        <f t="shared" si="45"/>
        <v>1.5050505050505052</v>
      </c>
      <c r="K315" s="173">
        <f t="shared" si="46"/>
        <v>3.5050505050505052</v>
      </c>
      <c r="L315" s="173"/>
      <c r="M315" s="2">
        <f t="shared" si="47"/>
        <v>5.2575757575757578</v>
      </c>
      <c r="N315" s="173">
        <v>10</v>
      </c>
      <c r="O315" s="173"/>
      <c r="R315" s="6"/>
    </row>
    <row r="316" spans="1:18" x14ac:dyDescent="0.35">
      <c r="A316" s="3"/>
      <c r="B316" s="3"/>
      <c r="C316" s="233" t="s">
        <v>2788</v>
      </c>
      <c r="D316" s="233"/>
      <c r="E316" s="366"/>
      <c r="F316" s="245" t="s">
        <v>2813</v>
      </c>
      <c r="G316" s="245">
        <v>2</v>
      </c>
      <c r="H316" s="173">
        <v>198</v>
      </c>
      <c r="I316">
        <f t="shared" si="44"/>
        <v>149</v>
      </c>
      <c r="J316" s="402">
        <f t="shared" si="45"/>
        <v>1.5050505050505052</v>
      </c>
      <c r="K316" s="173">
        <f t="shared" si="46"/>
        <v>3.5050505050505052</v>
      </c>
      <c r="L316" s="173"/>
      <c r="M316" s="2">
        <f t="shared" si="47"/>
        <v>5.2575757575757578</v>
      </c>
      <c r="N316" s="173">
        <v>10</v>
      </c>
      <c r="O316" s="173"/>
      <c r="R316" s="6"/>
    </row>
    <row r="317" spans="1:18" x14ac:dyDescent="0.35">
      <c r="A317" s="3"/>
      <c r="B317" s="3"/>
      <c r="C317" s="233" t="s">
        <v>2788</v>
      </c>
      <c r="D317" s="233"/>
      <c r="E317" s="366"/>
      <c r="F317" s="245" t="s">
        <v>2813</v>
      </c>
      <c r="G317" s="245">
        <v>2</v>
      </c>
      <c r="H317" s="173">
        <v>198</v>
      </c>
      <c r="I317">
        <f t="shared" si="44"/>
        <v>149</v>
      </c>
      <c r="J317" s="402">
        <f t="shared" si="45"/>
        <v>1.5050505050505052</v>
      </c>
      <c r="K317" s="173">
        <f t="shared" si="46"/>
        <v>3.5050505050505052</v>
      </c>
      <c r="L317" s="173"/>
      <c r="M317" s="2">
        <f t="shared" si="47"/>
        <v>5.2575757575757578</v>
      </c>
      <c r="N317" s="173">
        <v>10</v>
      </c>
      <c r="O317" s="173"/>
      <c r="R317" s="6"/>
    </row>
    <row r="318" spans="1:18" x14ac:dyDescent="0.35">
      <c r="A318" s="3"/>
      <c r="B318" s="3"/>
      <c r="C318" s="233" t="s">
        <v>2788</v>
      </c>
      <c r="D318" s="233"/>
      <c r="E318" s="366"/>
      <c r="F318" s="245" t="s">
        <v>2813</v>
      </c>
      <c r="G318" s="245">
        <v>2</v>
      </c>
      <c r="H318" s="173">
        <v>198</v>
      </c>
      <c r="I318">
        <f t="shared" si="44"/>
        <v>149</v>
      </c>
      <c r="J318" s="402">
        <f t="shared" si="45"/>
        <v>1.5050505050505052</v>
      </c>
      <c r="K318" s="173">
        <f t="shared" si="46"/>
        <v>3.5050505050505052</v>
      </c>
      <c r="L318" s="173"/>
      <c r="M318" s="2">
        <f t="shared" si="47"/>
        <v>5.2575757575757578</v>
      </c>
      <c r="N318" s="173">
        <v>10</v>
      </c>
      <c r="O318" s="173"/>
      <c r="R318" s="6"/>
    </row>
    <row r="319" spans="1:18" x14ac:dyDescent="0.35">
      <c r="A319" s="3"/>
      <c r="B319" s="3"/>
      <c r="C319" s="233" t="s">
        <v>2788</v>
      </c>
      <c r="D319" s="233"/>
      <c r="E319" s="366"/>
      <c r="F319" s="245" t="s">
        <v>2813</v>
      </c>
      <c r="G319" s="245">
        <v>2</v>
      </c>
      <c r="H319" s="173">
        <v>198</v>
      </c>
      <c r="I319">
        <f t="shared" si="44"/>
        <v>149</v>
      </c>
      <c r="J319" s="402">
        <f t="shared" si="45"/>
        <v>1.5050505050505052</v>
      </c>
      <c r="K319" s="173">
        <f t="shared" si="46"/>
        <v>3.5050505050505052</v>
      </c>
      <c r="L319" s="173"/>
      <c r="M319" s="2">
        <f t="shared" si="47"/>
        <v>5.2575757575757578</v>
      </c>
      <c r="N319" s="173">
        <v>10</v>
      </c>
      <c r="O319" s="173"/>
      <c r="R319" s="6"/>
    </row>
    <row r="320" spans="1:18" x14ac:dyDescent="0.35">
      <c r="A320" s="3"/>
      <c r="B320" s="3"/>
      <c r="C320" s="233" t="s">
        <v>2788</v>
      </c>
      <c r="D320" s="233"/>
      <c r="E320" s="366"/>
      <c r="F320" s="245" t="s">
        <v>2813</v>
      </c>
      <c r="G320" s="245">
        <v>2</v>
      </c>
      <c r="H320" s="173">
        <v>198</v>
      </c>
      <c r="I320">
        <f t="shared" si="44"/>
        <v>149</v>
      </c>
      <c r="J320" s="402">
        <f t="shared" si="45"/>
        <v>1.5050505050505052</v>
      </c>
      <c r="K320" s="173">
        <f t="shared" si="46"/>
        <v>3.5050505050505052</v>
      </c>
      <c r="L320" s="173"/>
      <c r="M320" s="2">
        <f t="shared" si="47"/>
        <v>5.2575757575757578</v>
      </c>
      <c r="N320" s="173">
        <v>10</v>
      </c>
      <c r="O320" s="173"/>
      <c r="R320" s="6"/>
    </row>
    <row r="321" spans="1:19" x14ac:dyDescent="0.35">
      <c r="A321" s="3"/>
      <c r="B321" s="3"/>
      <c r="C321" s="233" t="s">
        <v>2788</v>
      </c>
      <c r="D321" s="233"/>
      <c r="E321" s="366"/>
      <c r="F321" s="245" t="s">
        <v>2813</v>
      </c>
      <c r="G321" s="245">
        <v>2</v>
      </c>
      <c r="H321" s="173">
        <v>198</v>
      </c>
      <c r="I321">
        <f t="shared" si="44"/>
        <v>149</v>
      </c>
      <c r="J321" s="402">
        <f t="shared" si="45"/>
        <v>1.5050505050505052</v>
      </c>
      <c r="K321" s="173">
        <f t="shared" si="46"/>
        <v>3.5050505050505052</v>
      </c>
      <c r="L321" s="173"/>
      <c r="M321" s="2">
        <f t="shared" si="47"/>
        <v>5.2575757575757578</v>
      </c>
      <c r="N321" s="173">
        <v>10</v>
      </c>
      <c r="O321" s="173"/>
      <c r="R321" s="6"/>
    </row>
    <row r="322" spans="1:19" x14ac:dyDescent="0.35">
      <c r="A322" s="3"/>
      <c r="B322" s="3"/>
      <c r="C322" s="233" t="s">
        <v>2788</v>
      </c>
      <c r="D322" s="233"/>
      <c r="E322" s="366"/>
      <c r="F322" s="245" t="s">
        <v>2813</v>
      </c>
      <c r="G322" s="245">
        <v>2</v>
      </c>
      <c r="H322" s="173">
        <v>198</v>
      </c>
      <c r="I322">
        <f t="shared" si="44"/>
        <v>149</v>
      </c>
      <c r="J322" s="402">
        <f t="shared" si="45"/>
        <v>1.5050505050505052</v>
      </c>
      <c r="K322" s="173">
        <f t="shared" si="46"/>
        <v>3.5050505050505052</v>
      </c>
      <c r="L322" s="173"/>
      <c r="M322" s="2">
        <f t="shared" si="47"/>
        <v>5.2575757575757578</v>
      </c>
      <c r="N322" s="173">
        <v>10</v>
      </c>
      <c r="O322" s="173"/>
      <c r="R322" s="6"/>
    </row>
    <row r="323" spans="1:19" x14ac:dyDescent="0.35">
      <c r="A323" s="3"/>
      <c r="B323" s="3"/>
      <c r="D323" s="233"/>
      <c r="E323" s="366"/>
      <c r="F323" s="903" t="s">
        <v>2999</v>
      </c>
      <c r="G323" s="245"/>
      <c r="H323" s="173"/>
      <c r="J323" s="402"/>
      <c r="K323" s="173"/>
      <c r="L323" s="173"/>
      <c r="N323" s="173"/>
      <c r="O323" s="173"/>
      <c r="R323" s="6"/>
    </row>
    <row r="324" spans="1:19" x14ac:dyDescent="0.35">
      <c r="A324" s="3"/>
      <c r="B324" s="3"/>
      <c r="C324" s="233" t="s">
        <v>2990</v>
      </c>
      <c r="D324" s="233"/>
      <c r="E324" s="366"/>
      <c r="F324" s="245" t="s">
        <v>2991</v>
      </c>
      <c r="G324" s="245">
        <v>11</v>
      </c>
      <c r="H324" s="173">
        <v>198</v>
      </c>
      <c r="I324">
        <v>109</v>
      </c>
      <c r="J324" s="402">
        <f t="shared" ref="J324:J341" si="48">+G324/H324*I324</f>
        <v>6.0555555555555554</v>
      </c>
      <c r="K324" s="173">
        <f t="shared" ref="K324:K341" si="49">+G324+J324</f>
        <v>17.055555555555557</v>
      </c>
      <c r="L324" s="173"/>
      <c r="M324" s="2">
        <f t="shared" ref="M324:M341" si="50">+K324*1.5</f>
        <v>25.583333333333336</v>
      </c>
      <c r="N324" s="173">
        <v>45</v>
      </c>
      <c r="O324" s="173"/>
      <c r="R324" s="6"/>
    </row>
    <row r="325" spans="1:19" x14ac:dyDescent="0.35">
      <c r="A325" s="3"/>
      <c r="B325" s="3"/>
      <c r="C325" s="233" t="s">
        <v>2990</v>
      </c>
      <c r="D325" s="233"/>
      <c r="E325" s="366"/>
      <c r="F325" s="245" t="s">
        <v>2991</v>
      </c>
      <c r="G325" s="245">
        <v>11</v>
      </c>
      <c r="H325" s="173">
        <v>198</v>
      </c>
      <c r="I325">
        <v>109</v>
      </c>
      <c r="J325" s="402">
        <f t="shared" si="48"/>
        <v>6.0555555555555554</v>
      </c>
      <c r="K325" s="173">
        <f t="shared" si="49"/>
        <v>17.055555555555557</v>
      </c>
      <c r="L325" s="173"/>
      <c r="M325" s="2">
        <f t="shared" si="50"/>
        <v>25.583333333333336</v>
      </c>
      <c r="N325" s="173">
        <v>45</v>
      </c>
      <c r="O325" s="173"/>
      <c r="R325" s="6"/>
    </row>
    <row r="326" spans="1:19" x14ac:dyDescent="0.35">
      <c r="A326" s="3"/>
      <c r="B326" s="3"/>
      <c r="C326" s="233" t="s">
        <v>2990</v>
      </c>
      <c r="D326" s="233"/>
      <c r="E326" s="366"/>
      <c r="F326" s="371" t="s">
        <v>2992</v>
      </c>
      <c r="G326" s="371">
        <v>11</v>
      </c>
      <c r="H326" s="176">
        <v>198</v>
      </c>
      <c r="I326" s="12">
        <v>109</v>
      </c>
      <c r="J326" s="410">
        <f t="shared" si="48"/>
        <v>6.0555555555555554</v>
      </c>
      <c r="K326" s="176">
        <f t="shared" si="49"/>
        <v>17.055555555555557</v>
      </c>
      <c r="L326" s="176"/>
      <c r="M326" s="59">
        <f t="shared" si="50"/>
        <v>25.583333333333336</v>
      </c>
      <c r="N326" s="176">
        <v>45</v>
      </c>
      <c r="O326" s="173"/>
      <c r="R326" s="6" t="s">
        <v>12</v>
      </c>
      <c r="S326" s="6">
        <v>46136</v>
      </c>
    </row>
    <row r="327" spans="1:19" x14ac:dyDescent="0.35">
      <c r="A327" s="3"/>
      <c r="B327" s="3"/>
      <c r="C327" s="233" t="s">
        <v>2990</v>
      </c>
      <c r="D327" s="233"/>
      <c r="E327" s="366"/>
      <c r="F327" s="245" t="s">
        <v>2992</v>
      </c>
      <c r="G327" s="245">
        <v>11</v>
      </c>
      <c r="H327" s="173">
        <v>198</v>
      </c>
      <c r="I327">
        <v>109</v>
      </c>
      <c r="J327" s="402">
        <f t="shared" si="48"/>
        <v>6.0555555555555554</v>
      </c>
      <c r="K327" s="173">
        <f t="shared" si="49"/>
        <v>17.055555555555557</v>
      </c>
      <c r="L327" s="173"/>
      <c r="M327" s="2">
        <f t="shared" si="50"/>
        <v>25.583333333333336</v>
      </c>
      <c r="N327" s="173">
        <v>45</v>
      </c>
      <c r="O327" s="173"/>
      <c r="R327" s="6"/>
    </row>
    <row r="328" spans="1:19" x14ac:dyDescent="0.35">
      <c r="A328" s="3"/>
      <c r="B328" s="3"/>
      <c r="C328" s="233" t="s">
        <v>2990</v>
      </c>
      <c r="D328" s="233"/>
      <c r="E328" s="366"/>
      <c r="F328" s="371" t="s">
        <v>2993</v>
      </c>
      <c r="G328" s="371">
        <v>11</v>
      </c>
      <c r="H328" s="176">
        <v>198</v>
      </c>
      <c r="I328" s="12">
        <v>109</v>
      </c>
      <c r="J328" s="410">
        <f t="shared" si="48"/>
        <v>6.0555555555555554</v>
      </c>
      <c r="K328" s="176">
        <f t="shared" si="49"/>
        <v>17.055555555555557</v>
      </c>
      <c r="L328" s="176"/>
      <c r="M328" s="59">
        <f t="shared" si="50"/>
        <v>25.583333333333336</v>
      </c>
      <c r="N328" s="176">
        <v>45</v>
      </c>
      <c r="O328" s="173"/>
      <c r="R328" s="6" t="s">
        <v>3181</v>
      </c>
      <c r="S328" s="6">
        <v>46141</v>
      </c>
    </row>
    <row r="329" spans="1:19" x14ac:dyDescent="0.35">
      <c r="A329" s="3"/>
      <c r="B329" s="3"/>
      <c r="C329" s="233" t="s">
        <v>2990</v>
      </c>
      <c r="D329" s="233"/>
      <c r="E329" s="366"/>
      <c r="F329" s="245" t="s">
        <v>2993</v>
      </c>
      <c r="G329" s="245">
        <v>11</v>
      </c>
      <c r="H329" s="173">
        <v>198</v>
      </c>
      <c r="I329">
        <v>109</v>
      </c>
      <c r="J329" s="402">
        <f t="shared" si="48"/>
        <v>6.0555555555555554</v>
      </c>
      <c r="K329" s="173">
        <f t="shared" si="49"/>
        <v>17.055555555555557</v>
      </c>
      <c r="L329" s="173"/>
      <c r="M329" s="2">
        <f t="shared" si="50"/>
        <v>25.583333333333336</v>
      </c>
      <c r="N329" s="173">
        <v>45</v>
      </c>
      <c r="O329" s="173"/>
      <c r="R329" s="6"/>
    </row>
    <row r="330" spans="1:19" x14ac:dyDescent="0.35">
      <c r="A330" s="3"/>
      <c r="B330" s="3"/>
      <c r="C330" s="233" t="s">
        <v>2990</v>
      </c>
      <c r="D330" s="233"/>
      <c r="E330" s="366"/>
      <c r="F330" s="245" t="s">
        <v>2994</v>
      </c>
      <c r="G330" s="245">
        <v>11</v>
      </c>
      <c r="H330" s="173">
        <v>198</v>
      </c>
      <c r="I330">
        <v>109</v>
      </c>
      <c r="J330" s="402">
        <f t="shared" si="48"/>
        <v>6.0555555555555554</v>
      </c>
      <c r="K330" s="173">
        <f t="shared" si="49"/>
        <v>17.055555555555557</v>
      </c>
      <c r="L330" s="173"/>
      <c r="M330" s="2">
        <f t="shared" si="50"/>
        <v>25.583333333333336</v>
      </c>
      <c r="N330" s="173">
        <v>55</v>
      </c>
      <c r="O330" s="173"/>
      <c r="R330" s="6"/>
    </row>
    <row r="331" spans="1:19" x14ac:dyDescent="0.35">
      <c r="A331" s="3"/>
      <c r="B331" s="3"/>
      <c r="C331" s="233" t="s">
        <v>2990</v>
      </c>
      <c r="D331" s="233"/>
      <c r="E331" s="366"/>
      <c r="F331" s="245" t="s">
        <v>2994</v>
      </c>
      <c r="G331" s="245">
        <v>11</v>
      </c>
      <c r="H331" s="173">
        <v>198</v>
      </c>
      <c r="I331">
        <v>109</v>
      </c>
      <c r="J331" s="402">
        <f t="shared" si="48"/>
        <v>6.0555555555555554</v>
      </c>
      <c r="K331" s="173">
        <f t="shared" si="49"/>
        <v>17.055555555555557</v>
      </c>
      <c r="L331" s="173"/>
      <c r="M331" s="2">
        <f t="shared" si="50"/>
        <v>25.583333333333336</v>
      </c>
      <c r="N331" s="173">
        <v>55</v>
      </c>
      <c r="O331" s="173"/>
      <c r="R331" s="6"/>
    </row>
    <row r="332" spans="1:19" x14ac:dyDescent="0.35">
      <c r="A332" s="3"/>
      <c r="B332" s="3"/>
      <c r="C332" s="233" t="s">
        <v>2990</v>
      </c>
      <c r="D332" s="233"/>
      <c r="E332" s="366"/>
      <c r="F332" s="371" t="s">
        <v>2995</v>
      </c>
      <c r="G332" s="371">
        <v>11</v>
      </c>
      <c r="H332" s="176">
        <v>198</v>
      </c>
      <c r="I332" s="12">
        <v>109</v>
      </c>
      <c r="J332" s="410">
        <f t="shared" si="48"/>
        <v>6.0555555555555554</v>
      </c>
      <c r="K332" s="176">
        <f t="shared" si="49"/>
        <v>17.055555555555557</v>
      </c>
      <c r="L332" s="176"/>
      <c r="M332" s="59">
        <f t="shared" si="50"/>
        <v>25.583333333333336</v>
      </c>
      <c r="N332" s="176">
        <v>55</v>
      </c>
      <c r="O332" s="173"/>
      <c r="R332" s="6" t="s">
        <v>3140</v>
      </c>
      <c r="S332" s="6">
        <v>46130</v>
      </c>
    </row>
    <row r="333" spans="1:19" x14ac:dyDescent="0.35">
      <c r="A333" s="3"/>
      <c r="B333" s="3"/>
      <c r="C333" s="233" t="s">
        <v>2990</v>
      </c>
      <c r="D333" s="233"/>
      <c r="E333" s="366"/>
      <c r="F333" s="245" t="s">
        <v>2995</v>
      </c>
      <c r="G333" s="245">
        <v>11</v>
      </c>
      <c r="H333" s="173">
        <v>198</v>
      </c>
      <c r="I333">
        <v>109</v>
      </c>
      <c r="J333" s="402">
        <f t="shared" si="48"/>
        <v>6.0555555555555554</v>
      </c>
      <c r="K333" s="173">
        <f t="shared" si="49"/>
        <v>17.055555555555557</v>
      </c>
      <c r="L333" s="173"/>
      <c r="M333" s="2">
        <f t="shared" si="50"/>
        <v>25.583333333333336</v>
      </c>
      <c r="N333" s="173">
        <v>55</v>
      </c>
      <c r="O333" s="173"/>
      <c r="R333" s="6"/>
    </row>
    <row r="334" spans="1:19" x14ac:dyDescent="0.35">
      <c r="A334" s="3"/>
      <c r="B334" s="3"/>
      <c r="C334" s="233" t="s">
        <v>2990</v>
      </c>
      <c r="D334" s="233"/>
      <c r="E334" s="366"/>
      <c r="F334" s="245" t="s">
        <v>2996</v>
      </c>
      <c r="G334" s="245">
        <v>11</v>
      </c>
      <c r="H334" s="173">
        <v>198</v>
      </c>
      <c r="I334">
        <v>109</v>
      </c>
      <c r="J334" s="402">
        <f t="shared" si="48"/>
        <v>6.0555555555555554</v>
      </c>
      <c r="K334" s="173">
        <f t="shared" si="49"/>
        <v>17.055555555555557</v>
      </c>
      <c r="L334" s="173"/>
      <c r="M334" s="2">
        <f t="shared" si="50"/>
        <v>25.583333333333336</v>
      </c>
      <c r="N334" s="173">
        <v>55</v>
      </c>
      <c r="O334" s="173"/>
      <c r="R334" s="6"/>
    </row>
    <row r="335" spans="1:19" x14ac:dyDescent="0.35">
      <c r="A335" s="3"/>
      <c r="B335" s="3"/>
      <c r="C335" s="233" t="s">
        <v>2990</v>
      </c>
      <c r="D335" s="233"/>
      <c r="E335" s="366"/>
      <c r="F335" s="245" t="s">
        <v>2996</v>
      </c>
      <c r="G335" s="245">
        <v>11</v>
      </c>
      <c r="H335" s="173">
        <v>198</v>
      </c>
      <c r="I335">
        <v>109</v>
      </c>
      <c r="J335" s="402">
        <f t="shared" si="48"/>
        <v>6.0555555555555554</v>
      </c>
      <c r="K335" s="173">
        <f t="shared" si="49"/>
        <v>17.055555555555557</v>
      </c>
      <c r="L335" s="173"/>
      <c r="M335" s="2">
        <f t="shared" si="50"/>
        <v>25.583333333333336</v>
      </c>
      <c r="N335" s="173">
        <v>55</v>
      </c>
      <c r="O335" s="173"/>
      <c r="R335" s="6"/>
    </row>
    <row r="336" spans="1:19" x14ac:dyDescent="0.35">
      <c r="A336" s="3"/>
      <c r="B336" s="3"/>
      <c r="C336" s="233" t="s">
        <v>2990</v>
      </c>
      <c r="D336" s="233"/>
      <c r="E336" s="366"/>
      <c r="F336" s="245" t="s">
        <v>2997</v>
      </c>
      <c r="G336" s="245">
        <v>11</v>
      </c>
      <c r="H336" s="173">
        <v>198</v>
      </c>
      <c r="I336">
        <v>109</v>
      </c>
      <c r="J336" s="402">
        <f t="shared" si="48"/>
        <v>6.0555555555555554</v>
      </c>
      <c r="K336" s="173">
        <f t="shared" si="49"/>
        <v>17.055555555555557</v>
      </c>
      <c r="L336" s="173"/>
      <c r="M336" s="2">
        <f t="shared" si="50"/>
        <v>25.583333333333336</v>
      </c>
      <c r="N336" s="173">
        <v>50</v>
      </c>
      <c r="O336" s="173"/>
      <c r="R336" s="6"/>
    </row>
    <row r="337" spans="1:21" x14ac:dyDescent="0.35">
      <c r="A337" s="3"/>
      <c r="B337" s="3"/>
      <c r="C337" s="233" t="s">
        <v>2990</v>
      </c>
      <c r="D337" s="233"/>
      <c r="E337" s="366"/>
      <c r="F337" s="245" t="s">
        <v>2997</v>
      </c>
      <c r="G337" s="245">
        <v>11</v>
      </c>
      <c r="H337" s="173">
        <v>198</v>
      </c>
      <c r="I337">
        <v>109</v>
      </c>
      <c r="J337" s="402">
        <f t="shared" si="48"/>
        <v>6.0555555555555554</v>
      </c>
      <c r="K337" s="173">
        <f t="shared" si="49"/>
        <v>17.055555555555557</v>
      </c>
      <c r="L337" s="173"/>
      <c r="M337" s="2">
        <f t="shared" si="50"/>
        <v>25.583333333333336</v>
      </c>
      <c r="N337" s="173">
        <v>50</v>
      </c>
      <c r="O337" s="173"/>
      <c r="Q337">
        <f>16*6</f>
        <v>96</v>
      </c>
      <c r="R337" s="6"/>
    </row>
    <row r="338" spans="1:21" x14ac:dyDescent="0.35">
      <c r="A338" s="3"/>
      <c r="B338" s="3"/>
      <c r="C338" s="233" t="s">
        <v>2990</v>
      </c>
      <c r="D338" s="233"/>
      <c r="E338" s="366"/>
      <c r="F338" s="245" t="s">
        <v>2997</v>
      </c>
      <c r="G338" s="245">
        <v>11</v>
      </c>
      <c r="H338" s="173">
        <v>198</v>
      </c>
      <c r="I338">
        <v>109</v>
      </c>
      <c r="J338" s="402">
        <f t="shared" si="48"/>
        <v>6.0555555555555554</v>
      </c>
      <c r="K338" s="173">
        <f t="shared" si="49"/>
        <v>17.055555555555557</v>
      </c>
      <c r="L338" s="173"/>
      <c r="M338" s="2">
        <f t="shared" si="50"/>
        <v>25.583333333333336</v>
      </c>
      <c r="N338" s="173">
        <v>50</v>
      </c>
      <c r="O338" s="173"/>
      <c r="R338" s="6"/>
    </row>
    <row r="339" spans="1:21" x14ac:dyDescent="0.35">
      <c r="A339" s="3"/>
      <c r="B339" s="3"/>
      <c r="C339" s="233" t="s">
        <v>2990</v>
      </c>
      <c r="D339" s="233"/>
      <c r="E339" s="366"/>
      <c r="F339" s="245" t="s">
        <v>2998</v>
      </c>
      <c r="G339" s="245">
        <v>11</v>
      </c>
      <c r="H339" s="173">
        <v>198</v>
      </c>
      <c r="I339">
        <v>109</v>
      </c>
      <c r="J339" s="402">
        <f t="shared" si="48"/>
        <v>6.0555555555555554</v>
      </c>
      <c r="K339" s="173">
        <f t="shared" si="49"/>
        <v>17.055555555555557</v>
      </c>
      <c r="L339" s="173"/>
      <c r="M339" s="2">
        <f t="shared" si="50"/>
        <v>25.583333333333336</v>
      </c>
      <c r="N339" s="173">
        <v>50</v>
      </c>
      <c r="O339" s="173"/>
      <c r="R339" s="6"/>
    </row>
    <row r="340" spans="1:21" x14ac:dyDescent="0.35">
      <c r="A340" s="3"/>
      <c r="B340" s="3"/>
      <c r="C340" s="233" t="s">
        <v>2990</v>
      </c>
      <c r="D340" s="233"/>
      <c r="E340" s="366"/>
      <c r="F340" s="245" t="s">
        <v>2998</v>
      </c>
      <c r="G340" s="245">
        <v>11</v>
      </c>
      <c r="H340" s="173">
        <v>198</v>
      </c>
      <c r="I340">
        <v>109</v>
      </c>
      <c r="J340" s="402">
        <f t="shared" si="48"/>
        <v>6.0555555555555554</v>
      </c>
      <c r="K340" s="173">
        <f t="shared" si="49"/>
        <v>17.055555555555557</v>
      </c>
      <c r="L340" s="173"/>
      <c r="M340" s="2">
        <f t="shared" si="50"/>
        <v>25.583333333333336</v>
      </c>
      <c r="N340" s="173">
        <v>50</v>
      </c>
      <c r="O340" s="173"/>
      <c r="R340" s="6"/>
    </row>
    <row r="341" spans="1:21" x14ac:dyDescent="0.35">
      <c r="A341" s="3"/>
      <c r="B341" s="3"/>
      <c r="C341" s="233" t="s">
        <v>2990</v>
      </c>
      <c r="D341" s="233"/>
      <c r="E341" s="366"/>
      <c r="F341" s="245" t="s">
        <v>2998</v>
      </c>
      <c r="G341" s="245">
        <v>11</v>
      </c>
      <c r="H341" s="173">
        <v>198</v>
      </c>
      <c r="I341">
        <v>109</v>
      </c>
      <c r="J341" s="402">
        <f t="shared" si="48"/>
        <v>6.0555555555555554</v>
      </c>
      <c r="K341" s="173">
        <f t="shared" si="49"/>
        <v>17.055555555555557</v>
      </c>
      <c r="L341" s="173"/>
      <c r="M341" s="2">
        <f t="shared" si="50"/>
        <v>25.583333333333336</v>
      </c>
      <c r="N341" s="173">
        <v>50</v>
      </c>
      <c r="O341" s="173"/>
      <c r="R341" s="6"/>
    </row>
    <row r="342" spans="1:21" x14ac:dyDescent="0.35">
      <c r="A342" s="3"/>
      <c r="B342" s="3"/>
      <c r="C342" s="233"/>
      <c r="D342" s="233"/>
      <c r="E342" s="366"/>
      <c r="F342" s="245"/>
      <c r="G342" s="245">
        <f>SUM(G324:G341)</f>
        <v>198</v>
      </c>
      <c r="H342" s="173"/>
      <c r="J342" s="402"/>
      <c r="K342" s="173"/>
      <c r="L342" s="173"/>
      <c r="N342" s="173"/>
      <c r="O342" s="173"/>
      <c r="R342" s="6"/>
    </row>
    <row r="343" spans="1:21" x14ac:dyDescent="0.35">
      <c r="A343" s="3"/>
      <c r="B343" s="3"/>
      <c r="C343" s="233"/>
      <c r="D343" s="233"/>
      <c r="E343" s="366"/>
      <c r="F343" s="245"/>
      <c r="G343" s="245"/>
      <c r="H343" s="173"/>
      <c r="J343" s="402"/>
      <c r="K343" s="173"/>
      <c r="L343" s="173"/>
      <c r="N343" s="173"/>
      <c r="O343" s="173"/>
      <c r="R343" s="6"/>
    </row>
    <row r="344" spans="1:21" x14ac:dyDescent="0.35">
      <c r="A344" s="3"/>
      <c r="B344" s="3"/>
      <c r="C344" s="233"/>
      <c r="D344" s="233"/>
      <c r="E344" s="366"/>
      <c r="F344" s="245"/>
      <c r="G344" s="245"/>
      <c r="H344" s="173"/>
      <c r="J344" s="402"/>
      <c r="K344" s="173"/>
      <c r="L344" s="173"/>
      <c r="N344" s="173"/>
      <c r="O344" s="173"/>
      <c r="R344" s="6"/>
    </row>
    <row r="345" spans="1:21" x14ac:dyDescent="0.35">
      <c r="A345" s="3"/>
      <c r="B345" s="3"/>
      <c r="C345" s="233"/>
      <c r="D345" s="233"/>
      <c r="E345" s="366"/>
      <c r="F345" s="245"/>
      <c r="G345" s="245"/>
      <c r="H345" s="173"/>
      <c r="J345" s="402"/>
      <c r="K345" s="173"/>
      <c r="L345" s="173"/>
      <c r="N345" s="173"/>
      <c r="O345" s="173"/>
      <c r="R345" s="6"/>
    </row>
    <row r="346" spans="1:21" x14ac:dyDescent="0.35">
      <c r="A346" s="3"/>
      <c r="B346" s="3"/>
      <c r="C346" s="233"/>
      <c r="D346" s="233"/>
      <c r="E346" s="366"/>
      <c r="F346" s="245"/>
      <c r="G346" s="245"/>
      <c r="H346" s="173"/>
      <c r="J346" s="402"/>
      <c r="K346" s="173"/>
      <c r="L346" s="173"/>
      <c r="N346" s="173"/>
      <c r="O346" s="173"/>
      <c r="R346" s="6"/>
    </row>
    <row r="347" spans="1:21" s="10" customFormat="1" ht="15.5" outlineLevel="1" x14ac:dyDescent="0.35">
      <c r="B347" s="11"/>
      <c r="C347" s="10">
        <v>2022</v>
      </c>
      <c r="D347" s="454">
        <v>57</v>
      </c>
      <c r="E347" s="454">
        <v>-32</v>
      </c>
      <c r="F347" s="11">
        <f>+D347+E347</f>
        <v>25</v>
      </c>
      <c r="G347" s="136"/>
      <c r="H347" s="136"/>
      <c r="I347" s="136"/>
      <c r="J347" s="136"/>
      <c r="K347" s="136"/>
      <c r="L347" s="136"/>
      <c r="M347" s="140"/>
      <c r="N347" s="136"/>
      <c r="O347" s="141"/>
      <c r="P347" s="141"/>
      <c r="Q347" s="141"/>
      <c r="R347" s="136"/>
      <c r="S347" s="534"/>
      <c r="T347" s="421"/>
    </row>
    <row r="348" spans="1:21" s="10" customFormat="1" ht="15.5" outlineLevel="1" x14ac:dyDescent="0.35">
      <c r="B348" s="11"/>
      <c r="C348" s="10">
        <v>2023</v>
      </c>
      <c r="D348" s="454"/>
      <c r="E348" s="454"/>
      <c r="F348" s="11">
        <v>20</v>
      </c>
      <c r="G348" s="136"/>
      <c r="H348" s="136"/>
      <c r="I348" s="136"/>
      <c r="J348" s="136"/>
      <c r="K348" s="136"/>
      <c r="L348" s="136"/>
      <c r="M348" s="140"/>
      <c r="N348" s="136"/>
      <c r="O348" s="141"/>
      <c r="P348" s="141"/>
      <c r="Q348" s="141"/>
      <c r="R348" s="136"/>
      <c r="S348" s="534"/>
      <c r="T348" s="421"/>
    </row>
    <row r="349" spans="1:21" s="10" customFormat="1" ht="15.5" outlineLevel="1" x14ac:dyDescent="0.35">
      <c r="B349" s="11"/>
      <c r="D349" s="454"/>
      <c r="E349" s="454"/>
      <c r="F349" s="11"/>
      <c r="G349" s="136"/>
      <c r="H349" s="136"/>
      <c r="I349" s="136"/>
      <c r="J349" s="136"/>
      <c r="K349" s="136"/>
      <c r="L349" s="136"/>
      <c r="M349" s="140"/>
      <c r="N349" s="136"/>
      <c r="O349" s="141"/>
      <c r="P349" s="141"/>
      <c r="Q349" s="141"/>
      <c r="R349" s="136"/>
      <c r="S349" s="534"/>
      <c r="T349" s="421"/>
    </row>
    <row r="350" spans="1:21" s="10" customFormat="1" ht="15.5" x14ac:dyDescent="0.35">
      <c r="B350" s="11"/>
      <c r="D350" s="454"/>
      <c r="E350" s="454"/>
      <c r="F350" s="11" t="s">
        <v>748</v>
      </c>
      <c r="G350" s="11"/>
      <c r="H350" s="136"/>
      <c r="I350" s="136"/>
      <c r="J350" s="136"/>
      <c r="K350" s="136"/>
      <c r="L350" s="136"/>
      <c r="M350" s="136"/>
      <c r="N350" s="140"/>
      <c r="O350" s="141"/>
      <c r="P350" s="474"/>
      <c r="Q350" s="474"/>
      <c r="T350" s="404"/>
      <c r="U350" s="419"/>
    </row>
    <row r="351" spans="1:21" s="10" customFormat="1" ht="15.5" x14ac:dyDescent="0.35">
      <c r="B351" s="11"/>
      <c r="D351" s="454">
        <v>1</v>
      </c>
      <c r="E351" s="454"/>
      <c r="F351" s="10" t="s">
        <v>981</v>
      </c>
      <c r="I351" s="10">
        <v>4920</v>
      </c>
      <c r="J351" s="10">
        <v>10924</v>
      </c>
      <c r="K351" s="10">
        <f>+H351/I351*J351</f>
        <v>0</v>
      </c>
      <c r="L351" s="140">
        <f>+H351+K351</f>
        <v>0</v>
      </c>
      <c r="M351" s="21">
        <v>0.3</v>
      </c>
      <c r="N351" s="140">
        <f>+L351*M351+L351</f>
        <v>0</v>
      </c>
      <c r="O351" s="10">
        <v>15</v>
      </c>
      <c r="P351" s="109"/>
      <c r="Q351" s="109"/>
      <c r="T351" s="404"/>
      <c r="U351" s="419"/>
    </row>
    <row r="352" spans="1:21" s="11" customFormat="1" ht="15" customHeight="1" x14ac:dyDescent="0.35">
      <c r="D352" s="454">
        <v>2</v>
      </c>
      <c r="E352" s="454"/>
      <c r="F352" s="10" t="s">
        <v>982</v>
      </c>
      <c r="G352" s="10"/>
      <c r="H352" s="10"/>
      <c r="I352" s="10"/>
      <c r="J352" s="10"/>
      <c r="K352" s="10"/>
      <c r="L352" s="140"/>
      <c r="M352" s="21"/>
      <c r="N352" s="140">
        <f>+L352*M352+L352</f>
        <v>0</v>
      </c>
      <c r="O352" s="10">
        <v>15</v>
      </c>
      <c r="P352" s="109"/>
      <c r="Q352" s="109"/>
      <c r="T352" s="475"/>
      <c r="U352" s="421"/>
    </row>
    <row r="353" spans="1:23" s="10" customFormat="1" ht="15" customHeight="1" x14ac:dyDescent="0.35">
      <c r="B353" s="11"/>
      <c r="C353" s="11"/>
      <c r="D353" s="454">
        <v>3</v>
      </c>
      <c r="E353" s="454"/>
      <c r="F353" s="10" t="s">
        <v>983</v>
      </c>
      <c r="L353" s="140"/>
      <c r="M353" s="21"/>
      <c r="N353" s="140">
        <f>+L353*M353+L353</f>
        <v>0</v>
      </c>
      <c r="O353" s="10">
        <v>15</v>
      </c>
      <c r="P353" s="109"/>
      <c r="Q353" s="109"/>
      <c r="R353" s="11"/>
      <c r="S353" s="11"/>
      <c r="T353" s="475"/>
      <c r="U353" s="421"/>
      <c r="V353" s="11"/>
      <c r="W353" s="11"/>
    </row>
    <row r="354" spans="1:23" s="33" customFormat="1" ht="15" customHeight="1" x14ac:dyDescent="0.35">
      <c r="B354" s="11"/>
      <c r="C354" s="10" t="s">
        <v>170</v>
      </c>
      <c r="D354" s="454">
        <v>4</v>
      </c>
      <c r="E354" s="454"/>
      <c r="F354" s="10" t="s">
        <v>984</v>
      </c>
      <c r="G354" s="10"/>
      <c r="H354" s="10"/>
      <c r="I354" s="10">
        <v>7554</v>
      </c>
      <c r="J354" s="10">
        <v>14418</v>
      </c>
      <c r="K354" s="10">
        <f>+H354/I354*J354</f>
        <v>0</v>
      </c>
      <c r="L354" s="140">
        <f>+H354+K354</f>
        <v>0</v>
      </c>
      <c r="M354" s="21">
        <v>0.3</v>
      </c>
      <c r="N354" s="140">
        <f>+L354*M354+L354</f>
        <v>0</v>
      </c>
      <c r="O354" s="10">
        <v>15</v>
      </c>
      <c r="P354" s="109"/>
      <c r="Q354" s="109"/>
      <c r="R354" s="10"/>
      <c r="S354" s="10"/>
      <c r="T354" s="404"/>
      <c r="U354" s="419"/>
      <c r="V354" s="10"/>
      <c r="W354" s="10"/>
    </row>
    <row r="355" spans="1:23" s="33" customFormat="1" ht="15" customHeight="1" x14ac:dyDescent="0.35">
      <c r="B355" s="11"/>
      <c r="C355" s="10"/>
      <c r="D355" s="454">
        <v>5</v>
      </c>
      <c r="E355" s="454"/>
      <c r="F355" s="10" t="s">
        <v>985</v>
      </c>
      <c r="G355" s="10"/>
      <c r="H355" s="10"/>
      <c r="I355" s="10"/>
      <c r="J355" s="10"/>
      <c r="K355" s="10"/>
      <c r="L355" s="140"/>
      <c r="M355" s="21"/>
      <c r="N355" s="140"/>
      <c r="O355" s="10">
        <v>25</v>
      </c>
      <c r="P355" s="109"/>
      <c r="Q355" s="109"/>
      <c r="R355" s="10"/>
      <c r="S355" s="10"/>
      <c r="T355" s="404"/>
      <c r="U355" s="419"/>
      <c r="V355" s="10"/>
      <c r="W355" s="10"/>
    </row>
    <row r="356" spans="1:23" s="10" customFormat="1" ht="15" customHeight="1" outlineLevel="1" x14ac:dyDescent="0.35">
      <c r="B356" s="11"/>
      <c r="F356" s="11" t="s">
        <v>678</v>
      </c>
      <c r="G356" s="11"/>
      <c r="H356" s="140"/>
      <c r="I356" s="56"/>
      <c r="J356" s="140"/>
      <c r="K356" s="140"/>
      <c r="L356" s="140"/>
      <c r="M356" s="140"/>
      <c r="N356" s="140"/>
      <c r="O356" s="140"/>
      <c r="P356" s="325"/>
      <c r="Q356" s="325"/>
      <c r="T356" s="404"/>
      <c r="U356" s="138"/>
    </row>
    <row r="357" spans="1:23" s="10" customFormat="1" ht="15" customHeight="1" outlineLevel="1" x14ac:dyDescent="0.35">
      <c r="B357" s="11"/>
      <c r="D357" s="454">
        <v>6</v>
      </c>
      <c r="F357" s="397" t="s">
        <v>679</v>
      </c>
      <c r="G357" s="397"/>
      <c r="H357" s="450"/>
      <c r="I357" s="456"/>
      <c r="J357" s="450"/>
      <c r="K357" s="450"/>
      <c r="L357" s="450"/>
      <c r="M357" s="450"/>
      <c r="N357" s="450"/>
      <c r="O357" s="450">
        <v>35</v>
      </c>
      <c r="P357" s="325"/>
      <c r="Q357" s="325"/>
      <c r="R357" s="10" t="s">
        <v>12</v>
      </c>
      <c r="S357" s="324">
        <v>46057</v>
      </c>
      <c r="T357" s="404"/>
      <c r="U357" s="138"/>
    </row>
    <row r="358" spans="1:23" s="244" customFormat="1" ht="15.5" x14ac:dyDescent="0.35">
      <c r="B358" s="11" t="s">
        <v>1653</v>
      </c>
      <c r="C358" s="10"/>
      <c r="D358" s="454"/>
      <c r="E358" s="10"/>
      <c r="F358" s="10"/>
      <c r="G358" s="10"/>
      <c r="H358" s="140"/>
      <c r="I358" s="56"/>
      <c r="J358" s="140"/>
      <c r="K358" s="140"/>
      <c r="L358" s="140"/>
      <c r="M358" s="140"/>
      <c r="N358" s="140"/>
      <c r="O358" s="140"/>
      <c r="P358" s="140"/>
      <c r="Q358" s="140"/>
      <c r="R358" s="10"/>
      <c r="S358" s="10"/>
      <c r="T358" s="404"/>
      <c r="U358" s="138"/>
      <c r="V358" s="10"/>
      <c r="W358" s="10"/>
    </row>
    <row r="359" spans="1:23" x14ac:dyDescent="0.35">
      <c r="A359" s="3"/>
      <c r="B359" s="3"/>
      <c r="C359" s="233" t="s">
        <v>1372</v>
      </c>
      <c r="E359" s="366"/>
      <c r="F359" s="738" t="s">
        <v>1646</v>
      </c>
      <c r="G359" s="738"/>
      <c r="H359" s="739">
        <v>4.3</v>
      </c>
      <c r="I359" s="740">
        <v>1090</v>
      </c>
      <c r="J359" s="739">
        <v>1099</v>
      </c>
      <c r="K359" s="758">
        <f t="shared" ref="K359:K365" si="51">+H359/I359*J359</f>
        <v>4.3355045871559632</v>
      </c>
      <c r="L359" s="739">
        <f t="shared" ref="L359:L365" si="52">+H359+K359</f>
        <v>8.6355045871559639</v>
      </c>
      <c r="M359" s="739"/>
      <c r="N359" s="739">
        <f t="shared" ref="N359:N365" si="53">+L359*1.4</f>
        <v>12.089706422018349</v>
      </c>
      <c r="O359" s="739">
        <v>25</v>
      </c>
    </row>
    <row r="360" spans="1:23" x14ac:dyDescent="0.35">
      <c r="A360" s="3"/>
      <c r="B360" s="3"/>
      <c r="C360" s="233" t="s">
        <v>1372</v>
      </c>
      <c r="E360" s="366"/>
      <c r="F360" s="738" t="s">
        <v>1646</v>
      </c>
      <c r="G360" s="738"/>
      <c r="H360" s="739">
        <v>4.3</v>
      </c>
      <c r="I360" s="740">
        <v>1090</v>
      </c>
      <c r="J360" s="739">
        <v>1099</v>
      </c>
      <c r="K360" s="758">
        <f t="shared" si="51"/>
        <v>4.3355045871559632</v>
      </c>
      <c r="L360" s="739">
        <f t="shared" si="52"/>
        <v>8.6355045871559639</v>
      </c>
      <c r="M360" s="739"/>
      <c r="N360" s="739">
        <f t="shared" si="53"/>
        <v>12.089706422018349</v>
      </c>
      <c r="O360" s="739">
        <v>25</v>
      </c>
    </row>
    <row r="361" spans="1:23" x14ac:dyDescent="0.35">
      <c r="A361" s="3"/>
      <c r="B361" s="3"/>
      <c r="C361" s="233" t="s">
        <v>1372</v>
      </c>
      <c r="E361" s="366"/>
      <c r="F361" s="738" t="s">
        <v>2287</v>
      </c>
      <c r="G361" s="738"/>
      <c r="H361" s="739">
        <v>4.3</v>
      </c>
      <c r="I361" s="740">
        <v>1090</v>
      </c>
      <c r="J361" s="739">
        <v>1099</v>
      </c>
      <c r="K361" s="758">
        <f t="shared" si="51"/>
        <v>4.3355045871559632</v>
      </c>
      <c r="L361" s="739">
        <f t="shared" si="52"/>
        <v>8.6355045871559639</v>
      </c>
      <c r="M361" s="739"/>
      <c r="N361" s="739">
        <f t="shared" si="53"/>
        <v>12.089706422018349</v>
      </c>
      <c r="O361" s="739">
        <v>25</v>
      </c>
    </row>
    <row r="362" spans="1:23" x14ac:dyDescent="0.35">
      <c r="A362" s="3"/>
      <c r="B362" s="3"/>
      <c r="C362" s="233" t="s">
        <v>1372</v>
      </c>
      <c r="E362" s="366"/>
      <c r="F362" s="738" t="s">
        <v>2287</v>
      </c>
      <c r="G362" s="738"/>
      <c r="H362" s="739">
        <v>4.3</v>
      </c>
      <c r="I362" s="740">
        <v>1090</v>
      </c>
      <c r="J362" s="739">
        <v>1099</v>
      </c>
      <c r="K362" s="758">
        <f t="shared" si="51"/>
        <v>4.3355045871559632</v>
      </c>
      <c r="L362" s="739">
        <f t="shared" si="52"/>
        <v>8.6355045871559639</v>
      </c>
      <c r="M362" s="739"/>
      <c r="N362" s="739">
        <f t="shared" si="53"/>
        <v>12.089706422018349</v>
      </c>
      <c r="O362" s="739">
        <v>25</v>
      </c>
    </row>
    <row r="363" spans="1:23" x14ac:dyDescent="0.35">
      <c r="A363" s="3"/>
      <c r="B363" s="3"/>
      <c r="C363" s="233" t="s">
        <v>1372</v>
      </c>
      <c r="E363" s="366"/>
      <c r="F363" s="245" t="s">
        <v>1562</v>
      </c>
      <c r="G363" s="245"/>
      <c r="H363" s="173">
        <v>4.3</v>
      </c>
      <c r="I363">
        <v>1090</v>
      </c>
      <c r="J363" s="173">
        <v>1099</v>
      </c>
      <c r="K363" s="402">
        <f t="shared" si="51"/>
        <v>4.3355045871559632</v>
      </c>
      <c r="L363" s="173">
        <f t="shared" si="52"/>
        <v>8.6355045871559639</v>
      </c>
      <c r="M363" s="173"/>
      <c r="N363" s="173">
        <f t="shared" si="53"/>
        <v>12.089706422018349</v>
      </c>
      <c r="O363" s="173">
        <v>25</v>
      </c>
    </row>
    <row r="364" spans="1:23" x14ac:dyDescent="0.35">
      <c r="A364" s="3"/>
      <c r="B364" s="3"/>
      <c r="C364" s="233" t="s">
        <v>1372</v>
      </c>
      <c r="E364" s="366"/>
      <c r="F364" s="245" t="s">
        <v>1562</v>
      </c>
      <c r="G364" s="245"/>
      <c r="H364" s="173">
        <v>4.3</v>
      </c>
      <c r="I364">
        <v>1090</v>
      </c>
      <c r="J364" s="173">
        <v>1099</v>
      </c>
      <c r="K364" s="402">
        <f t="shared" si="51"/>
        <v>4.3355045871559632</v>
      </c>
      <c r="L364" s="173">
        <f t="shared" si="52"/>
        <v>8.6355045871559639</v>
      </c>
      <c r="M364" s="173"/>
      <c r="N364" s="173">
        <f t="shared" si="53"/>
        <v>12.089706422018349</v>
      </c>
      <c r="O364" s="173">
        <v>25</v>
      </c>
    </row>
    <row r="365" spans="1:23" ht="15" thickBot="1" x14ac:dyDescent="0.4">
      <c r="A365" s="3"/>
      <c r="B365" s="3"/>
      <c r="C365" s="233" t="s">
        <v>1372</v>
      </c>
      <c r="E365" s="366"/>
      <c r="F365" s="245" t="s">
        <v>1562</v>
      </c>
      <c r="G365" s="245"/>
      <c r="H365" s="173">
        <v>4.3</v>
      </c>
      <c r="I365">
        <v>1090</v>
      </c>
      <c r="J365" s="173">
        <v>1099</v>
      </c>
      <c r="K365" s="402">
        <f t="shared" si="51"/>
        <v>4.3355045871559632</v>
      </c>
      <c r="L365" s="173">
        <f t="shared" si="52"/>
        <v>8.6355045871559639</v>
      </c>
      <c r="M365" s="173"/>
      <c r="N365" s="173">
        <f t="shared" si="53"/>
        <v>12.089706422018349</v>
      </c>
      <c r="O365" s="173">
        <v>25</v>
      </c>
    </row>
    <row r="366" spans="1:23" ht="19" thickBot="1" x14ac:dyDescent="0.5">
      <c r="A366" s="3"/>
      <c r="B366" s="3"/>
      <c r="C366" s="669" t="s">
        <v>2069</v>
      </c>
      <c r="D366" s="233"/>
      <c r="F366" s="366"/>
      <c r="G366" s="245"/>
      <c r="H366" s="245"/>
      <c r="I366" s="173"/>
      <c r="K366" s="173"/>
      <c r="L366" s="173"/>
      <c r="M366" s="173"/>
      <c r="O366" s="173"/>
      <c r="P366" s="173"/>
      <c r="Q366" s="173"/>
    </row>
    <row r="367" spans="1:23" ht="15.5" x14ac:dyDescent="0.35">
      <c r="A367" s="3"/>
      <c r="B367" s="3"/>
      <c r="C367" s="233"/>
      <c r="D367" s="233"/>
      <c r="F367" s="371" t="s">
        <v>1979</v>
      </c>
      <c r="G367" s="371">
        <v>20</v>
      </c>
      <c r="H367" s="176">
        <f t="shared" ref="H367:H415" si="54">+G367/7</f>
        <v>2.8571428571428572</v>
      </c>
      <c r="I367" s="12">
        <v>4072</v>
      </c>
      <c r="J367" s="176">
        <v>3073</v>
      </c>
      <c r="K367" s="176">
        <f t="shared" ref="K367:K415" si="55">+H367/I367*J367</f>
        <v>2.156188605108055</v>
      </c>
      <c r="L367" s="176">
        <f t="shared" ref="L367:L415" si="56">+H367+K367</f>
        <v>5.0133314622509122</v>
      </c>
      <c r="M367" s="59"/>
      <c r="N367" s="176">
        <f t="shared" ref="N367:N415" si="57">+L367*1.5</f>
        <v>7.5199971933763683</v>
      </c>
      <c r="O367" s="176">
        <v>15</v>
      </c>
      <c r="P367" s="325"/>
      <c r="Q367" s="325"/>
      <c r="R367" t="s">
        <v>12</v>
      </c>
      <c r="S367" s="6">
        <v>46027</v>
      </c>
    </row>
    <row r="368" spans="1:23" ht="15.5" x14ac:dyDescent="0.35">
      <c r="A368" s="3"/>
      <c r="B368" s="3"/>
      <c r="C368" s="233"/>
      <c r="D368" s="233"/>
      <c r="F368" s="371" t="s">
        <v>1979</v>
      </c>
      <c r="G368" s="371">
        <v>20</v>
      </c>
      <c r="H368" s="176">
        <f t="shared" si="54"/>
        <v>2.8571428571428572</v>
      </c>
      <c r="I368" s="12">
        <v>4072</v>
      </c>
      <c r="J368" s="176">
        <v>3073</v>
      </c>
      <c r="K368" s="176">
        <f t="shared" si="55"/>
        <v>2.156188605108055</v>
      </c>
      <c r="L368" s="176">
        <f t="shared" si="56"/>
        <v>5.0133314622509122</v>
      </c>
      <c r="M368" s="59"/>
      <c r="N368" s="176">
        <f t="shared" si="57"/>
        <v>7.5199971933763683</v>
      </c>
      <c r="O368" s="176">
        <v>15</v>
      </c>
      <c r="P368" s="325"/>
      <c r="Q368" s="325"/>
      <c r="R368" t="s">
        <v>12</v>
      </c>
      <c r="S368" s="6">
        <v>46032</v>
      </c>
    </row>
    <row r="369" spans="1:19" ht="15.5" x14ac:dyDescent="0.35">
      <c r="A369" s="3"/>
      <c r="B369" s="3"/>
      <c r="C369" s="233"/>
      <c r="D369" s="233"/>
      <c r="F369" s="371" t="s">
        <v>1979</v>
      </c>
      <c r="G369" s="371">
        <v>20</v>
      </c>
      <c r="H369" s="176">
        <f t="shared" si="54"/>
        <v>2.8571428571428572</v>
      </c>
      <c r="I369" s="12">
        <v>4072</v>
      </c>
      <c r="J369" s="176">
        <v>3073</v>
      </c>
      <c r="K369" s="176">
        <f t="shared" si="55"/>
        <v>2.156188605108055</v>
      </c>
      <c r="L369" s="176">
        <f t="shared" si="56"/>
        <v>5.0133314622509122</v>
      </c>
      <c r="M369" s="59"/>
      <c r="N369" s="176">
        <f t="shared" si="57"/>
        <v>7.5199971933763683</v>
      </c>
      <c r="O369" s="176">
        <v>15</v>
      </c>
      <c r="P369" s="325"/>
      <c r="Q369" s="325"/>
      <c r="R369" t="s">
        <v>12</v>
      </c>
      <c r="S369" s="6">
        <v>46038</v>
      </c>
    </row>
    <row r="370" spans="1:19" ht="15.5" x14ac:dyDescent="0.35">
      <c r="A370" s="3"/>
      <c r="B370" s="3"/>
      <c r="C370" s="233"/>
      <c r="D370" s="233"/>
      <c r="F370" s="371" t="s">
        <v>1979</v>
      </c>
      <c r="G370" s="371">
        <v>20</v>
      </c>
      <c r="H370" s="176">
        <f t="shared" si="54"/>
        <v>2.8571428571428572</v>
      </c>
      <c r="I370" s="12">
        <v>4072</v>
      </c>
      <c r="J370" s="176">
        <v>3073</v>
      </c>
      <c r="K370" s="176">
        <f t="shared" si="55"/>
        <v>2.156188605108055</v>
      </c>
      <c r="L370" s="176">
        <f t="shared" si="56"/>
        <v>5.0133314622509122</v>
      </c>
      <c r="M370" s="59"/>
      <c r="N370" s="176">
        <f t="shared" si="57"/>
        <v>7.5199971933763683</v>
      </c>
      <c r="O370" s="176">
        <v>15</v>
      </c>
      <c r="P370" s="325"/>
      <c r="Q370" s="325"/>
      <c r="R370" t="s">
        <v>12</v>
      </c>
      <c r="S370" s="6">
        <v>46041</v>
      </c>
    </row>
    <row r="371" spans="1:19" ht="15.5" x14ac:dyDescent="0.35">
      <c r="A371" s="3"/>
      <c r="B371" s="3"/>
      <c r="C371" s="233"/>
      <c r="D371" s="233"/>
      <c r="F371" s="435" t="s">
        <v>1979</v>
      </c>
      <c r="G371" s="435">
        <v>20</v>
      </c>
      <c r="H371" s="344">
        <f t="shared" si="54"/>
        <v>2.8571428571428572</v>
      </c>
      <c r="I371" s="13">
        <v>4072</v>
      </c>
      <c r="J371" s="344">
        <v>3073</v>
      </c>
      <c r="K371" s="344">
        <f t="shared" si="55"/>
        <v>2.156188605108055</v>
      </c>
      <c r="L371" s="344">
        <f t="shared" si="56"/>
        <v>5.0133314622509122</v>
      </c>
      <c r="M371" s="879"/>
      <c r="N371" s="344">
        <f t="shared" si="57"/>
        <v>7.5199971933763683</v>
      </c>
      <c r="O371" s="344">
        <v>15</v>
      </c>
      <c r="P371" s="325"/>
      <c r="Q371" s="325"/>
      <c r="R371" t="s">
        <v>2298</v>
      </c>
    </row>
    <row r="372" spans="1:19" ht="15.5" x14ac:dyDescent="0.35">
      <c r="A372" s="3"/>
      <c r="B372" s="3"/>
      <c r="C372" s="233"/>
      <c r="D372" s="233"/>
      <c r="F372" s="371" t="s">
        <v>1979</v>
      </c>
      <c r="G372" s="371">
        <v>20</v>
      </c>
      <c r="H372" s="176">
        <f t="shared" si="54"/>
        <v>2.8571428571428572</v>
      </c>
      <c r="I372" s="12">
        <v>4072</v>
      </c>
      <c r="J372" s="176">
        <v>3073</v>
      </c>
      <c r="K372" s="176">
        <f t="shared" si="55"/>
        <v>2.156188605108055</v>
      </c>
      <c r="L372" s="176">
        <f t="shared" si="56"/>
        <v>5.0133314622509122</v>
      </c>
      <c r="M372" s="59"/>
      <c r="N372" s="176">
        <f t="shared" si="57"/>
        <v>7.5199971933763683</v>
      </c>
      <c r="O372" s="176">
        <v>15</v>
      </c>
      <c r="P372" s="325"/>
      <c r="Q372" s="325"/>
      <c r="R372" t="s">
        <v>12</v>
      </c>
      <c r="S372" s="6">
        <v>46052</v>
      </c>
    </row>
    <row r="373" spans="1:19" ht="15.5" x14ac:dyDescent="0.35">
      <c r="A373" s="3"/>
      <c r="B373" s="3"/>
      <c r="C373" s="233"/>
      <c r="D373" s="233"/>
      <c r="F373" s="371" t="s">
        <v>1979</v>
      </c>
      <c r="G373" s="371">
        <v>20</v>
      </c>
      <c r="H373" s="176">
        <f t="shared" si="54"/>
        <v>2.8571428571428572</v>
      </c>
      <c r="I373" s="12">
        <v>4072</v>
      </c>
      <c r="J373" s="176">
        <v>3073</v>
      </c>
      <c r="K373" s="176">
        <f t="shared" si="55"/>
        <v>2.156188605108055</v>
      </c>
      <c r="L373" s="176">
        <f t="shared" si="56"/>
        <v>5.0133314622509122</v>
      </c>
      <c r="M373" s="59"/>
      <c r="N373" s="176">
        <f t="shared" si="57"/>
        <v>7.5199971933763683</v>
      </c>
      <c r="O373" s="176">
        <v>15</v>
      </c>
      <c r="P373" s="325"/>
      <c r="Q373" s="325"/>
      <c r="R373" t="s">
        <v>12</v>
      </c>
      <c r="S373" s="6">
        <v>46067</v>
      </c>
    </row>
    <row r="374" spans="1:19" ht="15.5" x14ac:dyDescent="0.35">
      <c r="A374" s="3"/>
      <c r="B374" s="3"/>
      <c r="C374" s="233"/>
      <c r="D374" s="233"/>
      <c r="F374" s="371" t="s">
        <v>1979</v>
      </c>
      <c r="G374" s="371">
        <v>20</v>
      </c>
      <c r="H374" s="176">
        <f t="shared" si="54"/>
        <v>2.8571428571428572</v>
      </c>
      <c r="I374" s="12">
        <v>4072</v>
      </c>
      <c r="J374" s="176">
        <v>3073</v>
      </c>
      <c r="K374" s="176">
        <f t="shared" si="55"/>
        <v>2.156188605108055</v>
      </c>
      <c r="L374" s="176">
        <f t="shared" si="56"/>
        <v>5.0133314622509122</v>
      </c>
      <c r="M374" s="59"/>
      <c r="N374" s="176">
        <f t="shared" si="57"/>
        <v>7.5199971933763683</v>
      </c>
      <c r="O374" s="176">
        <v>15</v>
      </c>
      <c r="P374" s="325"/>
      <c r="Q374" s="325"/>
      <c r="R374" t="s">
        <v>1162</v>
      </c>
      <c r="S374" s="6">
        <v>46105</v>
      </c>
    </row>
    <row r="375" spans="1:19" ht="15.5" x14ac:dyDescent="0.35">
      <c r="A375" s="3"/>
      <c r="B375" s="3"/>
      <c r="C375" s="233"/>
      <c r="D375" s="233"/>
      <c r="F375" s="371" t="s">
        <v>1979</v>
      </c>
      <c r="G375" s="371">
        <v>20</v>
      </c>
      <c r="H375" s="176">
        <f t="shared" si="54"/>
        <v>2.8571428571428572</v>
      </c>
      <c r="I375" s="12">
        <v>4072</v>
      </c>
      <c r="J375" s="176">
        <v>3073</v>
      </c>
      <c r="K375" s="176">
        <f t="shared" si="55"/>
        <v>2.156188605108055</v>
      </c>
      <c r="L375" s="176">
        <f t="shared" si="56"/>
        <v>5.0133314622509122</v>
      </c>
      <c r="M375" s="59"/>
      <c r="N375" s="176">
        <f t="shared" si="57"/>
        <v>7.5199971933763683</v>
      </c>
      <c r="O375" s="176">
        <v>15</v>
      </c>
      <c r="P375" s="325"/>
      <c r="Q375" s="325"/>
      <c r="R375" t="s">
        <v>12</v>
      </c>
      <c r="S375" s="6">
        <v>46114</v>
      </c>
    </row>
    <row r="376" spans="1:19" ht="15.5" x14ac:dyDescent="0.35">
      <c r="A376" s="3"/>
      <c r="B376" s="3"/>
      <c r="C376" s="233"/>
      <c r="D376" s="233"/>
      <c r="F376" s="245" t="s">
        <v>1979</v>
      </c>
      <c r="G376" s="245">
        <v>20</v>
      </c>
      <c r="H376" s="173">
        <f t="shared" si="54"/>
        <v>2.8571428571428572</v>
      </c>
      <c r="I376">
        <v>4072</v>
      </c>
      <c r="J376" s="173">
        <v>3073</v>
      </c>
      <c r="K376" s="173">
        <f t="shared" si="55"/>
        <v>2.156188605108055</v>
      </c>
      <c r="L376" s="173">
        <f t="shared" si="56"/>
        <v>5.0133314622509122</v>
      </c>
      <c r="N376" s="173">
        <f t="shared" si="57"/>
        <v>7.5199971933763683</v>
      </c>
      <c r="O376" s="173">
        <v>15</v>
      </c>
      <c r="P376" s="325"/>
      <c r="Q376" s="325"/>
    </row>
    <row r="377" spans="1:19" ht="15.5" x14ac:dyDescent="0.35">
      <c r="A377" s="3"/>
      <c r="B377" s="3"/>
      <c r="C377" s="233"/>
      <c r="D377" s="233"/>
      <c r="F377" s="245" t="s">
        <v>1979</v>
      </c>
      <c r="G377" s="245">
        <v>20</v>
      </c>
      <c r="H377" s="173">
        <f t="shared" si="54"/>
        <v>2.8571428571428572</v>
      </c>
      <c r="I377">
        <v>4072</v>
      </c>
      <c r="J377" s="173">
        <v>3073</v>
      </c>
      <c r="K377" s="173">
        <f t="shared" si="55"/>
        <v>2.156188605108055</v>
      </c>
      <c r="L377" s="173">
        <f t="shared" si="56"/>
        <v>5.0133314622509122</v>
      </c>
      <c r="N377" s="173">
        <f t="shared" si="57"/>
        <v>7.5199971933763683</v>
      </c>
      <c r="O377" s="173">
        <v>15</v>
      </c>
      <c r="P377" s="325"/>
      <c r="Q377" s="325"/>
    </row>
    <row r="378" spans="1:19" ht="15.5" x14ac:dyDescent="0.35">
      <c r="A378" s="3"/>
      <c r="B378" s="3"/>
      <c r="C378" s="233"/>
      <c r="D378" s="233"/>
      <c r="F378" s="245" t="s">
        <v>1979</v>
      </c>
      <c r="G378" s="245">
        <v>20</v>
      </c>
      <c r="H378" s="173">
        <f t="shared" si="54"/>
        <v>2.8571428571428572</v>
      </c>
      <c r="I378">
        <v>4072</v>
      </c>
      <c r="J378" s="173">
        <v>3073</v>
      </c>
      <c r="K378" s="173">
        <f t="shared" si="55"/>
        <v>2.156188605108055</v>
      </c>
      <c r="L378" s="173">
        <f t="shared" si="56"/>
        <v>5.0133314622509122</v>
      </c>
      <c r="N378" s="173">
        <f t="shared" si="57"/>
        <v>7.5199971933763683</v>
      </c>
      <c r="O378" s="173">
        <v>15</v>
      </c>
      <c r="P378" s="325"/>
      <c r="Q378" s="325"/>
    </row>
    <row r="379" spans="1:19" ht="15.5" x14ac:dyDescent="0.35">
      <c r="A379" s="3"/>
      <c r="B379" s="3"/>
      <c r="C379" s="233"/>
      <c r="D379" s="233"/>
      <c r="F379" s="245" t="s">
        <v>1979</v>
      </c>
      <c r="G379" s="245">
        <v>20</v>
      </c>
      <c r="H379" s="173">
        <f t="shared" si="54"/>
        <v>2.8571428571428572</v>
      </c>
      <c r="I379">
        <v>4072</v>
      </c>
      <c r="J379" s="173">
        <v>3073</v>
      </c>
      <c r="K379" s="173">
        <f t="shared" si="55"/>
        <v>2.156188605108055</v>
      </c>
      <c r="L379" s="173">
        <f t="shared" si="56"/>
        <v>5.0133314622509122</v>
      </c>
      <c r="N379" s="173">
        <f t="shared" si="57"/>
        <v>7.5199971933763683</v>
      </c>
      <c r="O379" s="173">
        <v>15</v>
      </c>
      <c r="P379" s="325"/>
      <c r="Q379" s="325"/>
    </row>
    <row r="380" spans="1:19" ht="15.5" x14ac:dyDescent="0.35">
      <c r="A380" s="3"/>
      <c r="B380" s="3"/>
      <c r="C380" s="233"/>
      <c r="D380" s="233"/>
      <c r="F380" s="245" t="s">
        <v>1979</v>
      </c>
      <c r="G380" s="245">
        <v>20</v>
      </c>
      <c r="H380" s="173">
        <f t="shared" si="54"/>
        <v>2.8571428571428572</v>
      </c>
      <c r="I380">
        <v>4072</v>
      </c>
      <c r="J380" s="173">
        <v>3073</v>
      </c>
      <c r="K380" s="173">
        <f t="shared" si="55"/>
        <v>2.156188605108055</v>
      </c>
      <c r="L380" s="173">
        <f t="shared" si="56"/>
        <v>5.0133314622509122</v>
      </c>
      <c r="N380" s="173">
        <f t="shared" si="57"/>
        <v>7.5199971933763683</v>
      </c>
      <c r="O380" s="173">
        <v>15</v>
      </c>
      <c r="P380" s="325"/>
      <c r="Q380" s="325"/>
    </row>
    <row r="381" spans="1:19" ht="15.5" x14ac:dyDescent="0.35">
      <c r="A381" s="3"/>
      <c r="B381" s="3"/>
      <c r="C381" s="233"/>
      <c r="D381" s="233"/>
      <c r="F381" s="245" t="s">
        <v>1979</v>
      </c>
      <c r="G381" s="245">
        <v>20</v>
      </c>
      <c r="H381" s="173">
        <f t="shared" si="54"/>
        <v>2.8571428571428572</v>
      </c>
      <c r="I381">
        <v>4072</v>
      </c>
      <c r="J381" s="173">
        <v>3073</v>
      </c>
      <c r="K381" s="173">
        <f t="shared" si="55"/>
        <v>2.156188605108055</v>
      </c>
      <c r="L381" s="173">
        <f t="shared" si="56"/>
        <v>5.0133314622509122</v>
      </c>
      <c r="N381" s="173">
        <f t="shared" si="57"/>
        <v>7.5199971933763683</v>
      </c>
      <c r="O381" s="173">
        <v>15</v>
      </c>
      <c r="P381" s="325"/>
      <c r="Q381" s="325"/>
    </row>
    <row r="382" spans="1:19" ht="15.5" x14ac:dyDescent="0.35">
      <c r="A382" s="3"/>
      <c r="B382" s="3"/>
      <c r="C382" s="233"/>
      <c r="D382" s="233"/>
      <c r="F382" s="245" t="s">
        <v>1979</v>
      </c>
      <c r="G382" s="245">
        <v>20</v>
      </c>
      <c r="H382" s="173">
        <f t="shared" si="54"/>
        <v>2.8571428571428572</v>
      </c>
      <c r="I382">
        <v>4072</v>
      </c>
      <c r="J382" s="173">
        <v>3073</v>
      </c>
      <c r="K382" s="173">
        <f t="shared" si="55"/>
        <v>2.156188605108055</v>
      </c>
      <c r="L382" s="173">
        <f t="shared" si="56"/>
        <v>5.0133314622509122</v>
      </c>
      <c r="N382" s="173">
        <f t="shared" si="57"/>
        <v>7.5199971933763683</v>
      </c>
      <c r="O382" s="173">
        <v>15</v>
      </c>
      <c r="P382" s="325"/>
      <c r="Q382" s="325"/>
    </row>
    <row r="383" spans="1:19" ht="15.5" x14ac:dyDescent="0.35">
      <c r="A383" s="3"/>
      <c r="B383" s="3"/>
      <c r="C383" s="233"/>
      <c r="D383" s="233"/>
      <c r="F383" s="245" t="s">
        <v>1979</v>
      </c>
      <c r="G383" s="245">
        <v>20</v>
      </c>
      <c r="H383" s="173">
        <f t="shared" si="54"/>
        <v>2.8571428571428572</v>
      </c>
      <c r="I383">
        <v>4072</v>
      </c>
      <c r="J383" s="173">
        <v>3073</v>
      </c>
      <c r="K383" s="173">
        <f t="shared" si="55"/>
        <v>2.156188605108055</v>
      </c>
      <c r="L383" s="173">
        <f t="shared" si="56"/>
        <v>5.0133314622509122</v>
      </c>
      <c r="N383" s="173">
        <f t="shared" si="57"/>
        <v>7.5199971933763683</v>
      </c>
      <c r="O383" s="173">
        <v>15</v>
      </c>
      <c r="P383" s="325"/>
      <c r="Q383" s="325"/>
    </row>
    <row r="384" spans="1:19" ht="15.5" x14ac:dyDescent="0.35">
      <c r="A384" s="3"/>
      <c r="B384" s="3"/>
      <c r="C384" s="233"/>
      <c r="D384" s="233"/>
      <c r="F384" s="245" t="s">
        <v>1979</v>
      </c>
      <c r="G384" s="245">
        <v>20</v>
      </c>
      <c r="H384" s="173">
        <f t="shared" si="54"/>
        <v>2.8571428571428572</v>
      </c>
      <c r="I384">
        <v>4072</v>
      </c>
      <c r="J384" s="173">
        <v>3073</v>
      </c>
      <c r="K384" s="173">
        <f t="shared" si="55"/>
        <v>2.156188605108055</v>
      </c>
      <c r="L384" s="173">
        <f t="shared" si="56"/>
        <v>5.0133314622509122</v>
      </c>
      <c r="N384" s="173">
        <f t="shared" si="57"/>
        <v>7.5199971933763683</v>
      </c>
      <c r="O384" s="173">
        <v>15</v>
      </c>
      <c r="P384" s="325"/>
      <c r="Q384" s="325"/>
    </row>
    <row r="385" spans="1:19" ht="15.5" x14ac:dyDescent="0.35">
      <c r="A385" s="3"/>
      <c r="B385" s="3"/>
      <c r="C385" s="233"/>
      <c r="D385" s="233"/>
      <c r="F385" s="245" t="s">
        <v>1979</v>
      </c>
      <c r="G385" s="245">
        <v>20</v>
      </c>
      <c r="H385" s="173">
        <f t="shared" si="54"/>
        <v>2.8571428571428572</v>
      </c>
      <c r="I385">
        <v>4072</v>
      </c>
      <c r="J385" s="173">
        <v>3073</v>
      </c>
      <c r="K385" s="173">
        <f t="shared" si="55"/>
        <v>2.156188605108055</v>
      </c>
      <c r="L385" s="173">
        <f t="shared" si="56"/>
        <v>5.0133314622509122</v>
      </c>
      <c r="N385" s="173">
        <f t="shared" si="57"/>
        <v>7.5199971933763683</v>
      </c>
      <c r="O385" s="173">
        <v>15</v>
      </c>
      <c r="P385" s="325"/>
      <c r="Q385" s="325"/>
    </row>
    <row r="386" spans="1:19" ht="15.5" x14ac:dyDescent="0.35">
      <c r="A386" s="3"/>
      <c r="B386" s="3"/>
      <c r="C386" s="233"/>
      <c r="D386" s="233"/>
      <c r="F386" s="245" t="s">
        <v>1979</v>
      </c>
      <c r="G386" s="245">
        <v>20</v>
      </c>
      <c r="H386" s="173">
        <f t="shared" si="54"/>
        <v>2.8571428571428572</v>
      </c>
      <c r="I386">
        <v>4072</v>
      </c>
      <c r="J386" s="173">
        <v>3073</v>
      </c>
      <c r="K386" s="173">
        <f t="shared" si="55"/>
        <v>2.156188605108055</v>
      </c>
      <c r="L386" s="173">
        <f t="shared" si="56"/>
        <v>5.0133314622509122</v>
      </c>
      <c r="N386" s="173">
        <f t="shared" si="57"/>
        <v>7.5199971933763683</v>
      </c>
      <c r="O386" s="173">
        <v>15</v>
      </c>
      <c r="P386" s="325"/>
      <c r="Q386" s="325"/>
    </row>
    <row r="387" spans="1:19" ht="15.5" x14ac:dyDescent="0.35">
      <c r="A387" s="3"/>
      <c r="B387" s="3"/>
      <c r="C387" s="233"/>
      <c r="D387" s="233"/>
      <c r="E387" t="s">
        <v>1455</v>
      </c>
      <c r="F387" s="757" t="s">
        <v>1986</v>
      </c>
      <c r="G387" s="670">
        <v>38</v>
      </c>
      <c r="H387" s="746">
        <f t="shared" si="54"/>
        <v>5.4285714285714288</v>
      </c>
      <c r="I387" s="92">
        <v>4072</v>
      </c>
      <c r="J387" s="746">
        <v>3073</v>
      </c>
      <c r="K387" s="746">
        <f t="shared" si="55"/>
        <v>4.0967583497053051</v>
      </c>
      <c r="L387" s="746">
        <f t="shared" si="56"/>
        <v>9.5253297782767348</v>
      </c>
      <c r="M387" s="787"/>
      <c r="N387" s="746">
        <f t="shared" si="57"/>
        <v>14.287994667415102</v>
      </c>
      <c r="O387" s="746">
        <v>25</v>
      </c>
      <c r="P387" s="325"/>
      <c r="Q387" s="325"/>
    </row>
    <row r="388" spans="1:19" ht="15.5" x14ac:dyDescent="0.35">
      <c r="A388" s="3"/>
      <c r="B388" s="3"/>
      <c r="C388" s="233"/>
      <c r="D388" s="233"/>
      <c r="F388" s="738" t="s">
        <v>1986</v>
      </c>
      <c r="G388" s="738">
        <v>38</v>
      </c>
      <c r="H388" s="739">
        <f t="shared" si="54"/>
        <v>5.4285714285714288</v>
      </c>
      <c r="I388" s="740">
        <v>4072</v>
      </c>
      <c r="J388" s="739">
        <v>3073</v>
      </c>
      <c r="K388" s="739">
        <f t="shared" si="55"/>
        <v>4.0967583497053051</v>
      </c>
      <c r="L388" s="739">
        <f t="shared" si="56"/>
        <v>9.5253297782767348</v>
      </c>
      <c r="M388" s="877"/>
      <c r="N388" s="739">
        <f t="shared" si="57"/>
        <v>14.287994667415102</v>
      </c>
      <c r="O388" s="739">
        <v>25</v>
      </c>
      <c r="P388" s="325"/>
      <c r="Q388" s="325"/>
    </row>
    <row r="389" spans="1:19" ht="15.5" x14ac:dyDescent="0.35">
      <c r="A389" s="3"/>
      <c r="B389" s="3"/>
      <c r="C389" s="233"/>
      <c r="D389" s="233" t="s">
        <v>2068</v>
      </c>
      <c r="F389" s="738" t="s">
        <v>1986</v>
      </c>
      <c r="G389" s="738">
        <v>38</v>
      </c>
      <c r="H389" s="739">
        <f t="shared" si="54"/>
        <v>5.4285714285714288</v>
      </c>
      <c r="I389" s="740">
        <v>4072</v>
      </c>
      <c r="J389" s="739">
        <v>3073</v>
      </c>
      <c r="K389" s="739">
        <f t="shared" si="55"/>
        <v>4.0967583497053051</v>
      </c>
      <c r="L389" s="739">
        <f t="shared" si="56"/>
        <v>9.5253297782767348</v>
      </c>
      <c r="M389" s="877"/>
      <c r="N389" s="739">
        <f t="shared" si="57"/>
        <v>14.287994667415102</v>
      </c>
      <c r="O389" s="739">
        <v>25</v>
      </c>
      <c r="P389" s="325"/>
      <c r="Q389" s="325"/>
    </row>
    <row r="390" spans="1:19" ht="15.5" x14ac:dyDescent="0.35">
      <c r="A390" s="3"/>
      <c r="B390" s="3"/>
      <c r="C390" s="233"/>
      <c r="D390" s="233" t="s">
        <v>2068</v>
      </c>
      <c r="F390" s="670" t="s">
        <v>1986</v>
      </c>
      <c r="G390" s="670">
        <v>38</v>
      </c>
      <c r="H390" s="746">
        <f t="shared" si="54"/>
        <v>5.4285714285714288</v>
      </c>
      <c r="I390" s="92">
        <v>4072</v>
      </c>
      <c r="J390" s="746">
        <v>3073</v>
      </c>
      <c r="K390" s="746">
        <f t="shared" si="55"/>
        <v>4.0967583497053051</v>
      </c>
      <c r="L390" s="746">
        <f t="shared" si="56"/>
        <v>9.5253297782767348</v>
      </c>
      <c r="M390" s="787"/>
      <c r="N390" s="746">
        <f t="shared" si="57"/>
        <v>14.287994667415102</v>
      </c>
      <c r="O390" s="746">
        <v>25</v>
      </c>
      <c r="P390" s="325"/>
      <c r="Q390" s="325"/>
    </row>
    <row r="391" spans="1:19" ht="15.5" x14ac:dyDescent="0.35">
      <c r="A391" s="3"/>
      <c r="B391" s="3"/>
      <c r="C391" s="233"/>
      <c r="D391" s="233" t="s">
        <v>2068</v>
      </c>
      <c r="F391" s="670" t="s">
        <v>1986</v>
      </c>
      <c r="G391" s="670">
        <v>38</v>
      </c>
      <c r="H391" s="746">
        <f t="shared" si="54"/>
        <v>5.4285714285714288</v>
      </c>
      <c r="I391" s="92">
        <v>4072</v>
      </c>
      <c r="J391" s="746">
        <v>3073</v>
      </c>
      <c r="K391" s="746">
        <f t="shared" si="55"/>
        <v>4.0967583497053051</v>
      </c>
      <c r="L391" s="746">
        <f t="shared" si="56"/>
        <v>9.5253297782767348</v>
      </c>
      <c r="M391" s="787"/>
      <c r="N391" s="746">
        <f t="shared" si="57"/>
        <v>14.287994667415102</v>
      </c>
      <c r="O391" s="746">
        <v>25</v>
      </c>
      <c r="P391" s="325"/>
      <c r="Q391" s="325"/>
    </row>
    <row r="392" spans="1:19" ht="15.5" x14ac:dyDescent="0.35">
      <c r="A392" s="3"/>
      <c r="B392" s="3"/>
      <c r="C392" s="233"/>
      <c r="D392" s="233" t="s">
        <v>2068</v>
      </c>
      <c r="F392" s="738" t="s">
        <v>2085</v>
      </c>
      <c r="G392" s="738">
        <v>38</v>
      </c>
      <c r="H392" s="739">
        <f t="shared" si="54"/>
        <v>5.4285714285714288</v>
      </c>
      <c r="I392" s="740">
        <v>4072</v>
      </c>
      <c r="J392" s="739">
        <v>3073</v>
      </c>
      <c r="K392" s="739">
        <f t="shared" si="55"/>
        <v>4.0967583497053051</v>
      </c>
      <c r="L392" s="739">
        <f t="shared" si="56"/>
        <v>9.5253297782767348</v>
      </c>
      <c r="M392" s="877"/>
      <c r="N392" s="739">
        <f t="shared" si="57"/>
        <v>14.287994667415102</v>
      </c>
      <c r="O392" s="739">
        <v>25</v>
      </c>
      <c r="P392" s="325"/>
      <c r="Q392" s="325"/>
    </row>
    <row r="393" spans="1:19" ht="15.5" x14ac:dyDescent="0.35">
      <c r="A393" s="3"/>
      <c r="B393" s="3"/>
      <c r="C393" s="233"/>
      <c r="D393" s="233" t="s">
        <v>2068</v>
      </c>
      <c r="F393" s="670" t="s">
        <v>2085</v>
      </c>
      <c r="G393" s="670">
        <v>38</v>
      </c>
      <c r="H393" s="746">
        <f t="shared" si="54"/>
        <v>5.4285714285714288</v>
      </c>
      <c r="I393" s="92">
        <v>4072</v>
      </c>
      <c r="J393" s="746">
        <v>3073</v>
      </c>
      <c r="K393" s="746">
        <f t="shared" si="55"/>
        <v>4.0967583497053051</v>
      </c>
      <c r="L393" s="746">
        <f t="shared" si="56"/>
        <v>9.5253297782767348</v>
      </c>
      <c r="M393" s="787"/>
      <c r="N393" s="746">
        <f t="shared" si="57"/>
        <v>14.287994667415102</v>
      </c>
      <c r="O393" s="746">
        <v>25</v>
      </c>
      <c r="P393" s="325"/>
      <c r="Q393" s="325"/>
    </row>
    <row r="394" spans="1:19" ht="15.5" x14ac:dyDescent="0.35">
      <c r="A394" s="3"/>
      <c r="B394" s="3"/>
      <c r="C394" s="233"/>
      <c r="D394" s="233" t="s">
        <v>2068</v>
      </c>
      <c r="F394" s="670" t="s">
        <v>2085</v>
      </c>
      <c r="G394" s="670">
        <v>38</v>
      </c>
      <c r="H394" s="746">
        <f t="shared" si="54"/>
        <v>5.4285714285714288</v>
      </c>
      <c r="I394" s="92">
        <v>4072</v>
      </c>
      <c r="J394" s="746">
        <v>3073</v>
      </c>
      <c r="K394" s="746">
        <f t="shared" si="55"/>
        <v>4.0967583497053051</v>
      </c>
      <c r="L394" s="746">
        <f t="shared" si="56"/>
        <v>9.5253297782767348</v>
      </c>
      <c r="M394" s="787"/>
      <c r="N394" s="746">
        <f t="shared" si="57"/>
        <v>14.287994667415102</v>
      </c>
      <c r="O394" s="746">
        <v>25</v>
      </c>
      <c r="P394" s="325"/>
      <c r="Q394" s="325"/>
    </row>
    <row r="395" spans="1:19" ht="15.5" x14ac:dyDescent="0.35">
      <c r="A395" s="3"/>
      <c r="B395" s="3"/>
      <c r="C395" s="233"/>
      <c r="D395" s="233" t="s">
        <v>2068</v>
      </c>
      <c r="F395" s="371" t="s">
        <v>2086</v>
      </c>
      <c r="G395" s="371">
        <v>38</v>
      </c>
      <c r="H395" s="176">
        <f t="shared" si="54"/>
        <v>5.4285714285714288</v>
      </c>
      <c r="I395" s="12">
        <v>4072</v>
      </c>
      <c r="J395" s="176">
        <v>3073</v>
      </c>
      <c r="K395" s="176">
        <f t="shared" si="55"/>
        <v>4.0967583497053051</v>
      </c>
      <c r="L395" s="176">
        <f t="shared" si="56"/>
        <v>9.5253297782767348</v>
      </c>
      <c r="M395" s="59"/>
      <c r="N395" s="176">
        <f t="shared" si="57"/>
        <v>14.287994667415102</v>
      </c>
      <c r="O395" s="176">
        <v>25</v>
      </c>
      <c r="P395" s="325"/>
      <c r="Q395" s="325"/>
      <c r="R395" t="s">
        <v>12</v>
      </c>
      <c r="S395" s="6">
        <v>46116</v>
      </c>
    </row>
    <row r="396" spans="1:19" ht="15.5" x14ac:dyDescent="0.35">
      <c r="A396" s="3"/>
      <c r="B396" s="3"/>
      <c r="C396" s="233"/>
      <c r="D396" s="233" t="s">
        <v>2068</v>
      </c>
      <c r="F396" s="738" t="s">
        <v>2086</v>
      </c>
      <c r="G396" s="738">
        <v>38</v>
      </c>
      <c r="H396" s="739">
        <f t="shared" si="54"/>
        <v>5.4285714285714288</v>
      </c>
      <c r="I396" s="740">
        <v>4072</v>
      </c>
      <c r="J396" s="739">
        <v>3073</v>
      </c>
      <c r="K396" s="739">
        <f t="shared" si="55"/>
        <v>4.0967583497053051</v>
      </c>
      <c r="L396" s="739">
        <f t="shared" si="56"/>
        <v>9.5253297782767348</v>
      </c>
      <c r="M396" s="877"/>
      <c r="N396" s="739">
        <f t="shared" si="57"/>
        <v>14.287994667415102</v>
      </c>
      <c r="O396" s="739">
        <v>25</v>
      </c>
      <c r="P396" s="325"/>
      <c r="Q396" s="325"/>
    </row>
    <row r="397" spans="1:19" ht="15.5" x14ac:dyDescent="0.35">
      <c r="A397" s="3"/>
      <c r="B397" s="3"/>
      <c r="C397" s="233"/>
      <c r="D397" s="233" t="s">
        <v>2068</v>
      </c>
      <c r="F397" s="670" t="s">
        <v>2086</v>
      </c>
      <c r="G397" s="670">
        <v>38</v>
      </c>
      <c r="H397" s="746">
        <f t="shared" si="54"/>
        <v>5.4285714285714288</v>
      </c>
      <c r="I397" s="92">
        <v>4072</v>
      </c>
      <c r="J397" s="746">
        <v>3073</v>
      </c>
      <c r="K397" s="746">
        <f t="shared" si="55"/>
        <v>4.0967583497053051</v>
      </c>
      <c r="L397" s="746">
        <f t="shared" si="56"/>
        <v>9.5253297782767348</v>
      </c>
      <c r="M397" s="787"/>
      <c r="N397" s="746">
        <f t="shared" si="57"/>
        <v>14.287994667415102</v>
      </c>
      <c r="O397" s="746">
        <v>25</v>
      </c>
      <c r="P397" s="325"/>
      <c r="Q397" s="325"/>
    </row>
    <row r="398" spans="1:19" ht="15.5" x14ac:dyDescent="0.35">
      <c r="A398" s="3"/>
      <c r="B398" s="3"/>
      <c r="C398" s="233"/>
      <c r="D398" s="233" t="s">
        <v>2068</v>
      </c>
      <c r="F398" s="371" t="s">
        <v>2087</v>
      </c>
      <c r="G398" s="371">
        <v>38</v>
      </c>
      <c r="H398" s="176">
        <f t="shared" si="54"/>
        <v>5.4285714285714288</v>
      </c>
      <c r="I398" s="12">
        <v>4072</v>
      </c>
      <c r="J398" s="176">
        <v>3073</v>
      </c>
      <c r="K398" s="176">
        <f t="shared" si="55"/>
        <v>4.0967583497053051</v>
      </c>
      <c r="L398" s="176">
        <f t="shared" si="56"/>
        <v>9.5253297782767348</v>
      </c>
      <c r="M398" s="59"/>
      <c r="N398" s="176">
        <f t="shared" si="57"/>
        <v>14.287994667415102</v>
      </c>
      <c r="O398" s="176">
        <v>25</v>
      </c>
      <c r="P398" s="325"/>
      <c r="Q398" s="325"/>
      <c r="R398" t="s">
        <v>2155</v>
      </c>
      <c r="S398" s="6">
        <v>46028</v>
      </c>
    </row>
    <row r="399" spans="1:19" ht="15.5" x14ac:dyDescent="0.35">
      <c r="A399" s="3"/>
      <c r="B399" s="3"/>
      <c r="C399" s="233"/>
      <c r="D399" s="233" t="s">
        <v>2068</v>
      </c>
      <c r="F399" s="371" t="s">
        <v>2087</v>
      </c>
      <c r="G399" s="371">
        <v>38</v>
      </c>
      <c r="H399" s="176">
        <f t="shared" si="54"/>
        <v>5.4285714285714288</v>
      </c>
      <c r="I399" s="12">
        <v>4072</v>
      </c>
      <c r="J399" s="176">
        <v>3073</v>
      </c>
      <c r="K399" s="176">
        <f t="shared" si="55"/>
        <v>4.0967583497053051</v>
      </c>
      <c r="L399" s="176">
        <f t="shared" si="56"/>
        <v>9.5253297782767348</v>
      </c>
      <c r="M399" s="59"/>
      <c r="N399" s="176">
        <f t="shared" si="57"/>
        <v>14.287994667415102</v>
      </c>
      <c r="O399" s="176">
        <v>25</v>
      </c>
      <c r="P399" s="325"/>
      <c r="Q399" s="325"/>
      <c r="R399" t="s">
        <v>12</v>
      </c>
      <c r="S399" s="6">
        <v>46114</v>
      </c>
    </row>
    <row r="400" spans="1:19" ht="15.5" x14ac:dyDescent="0.35">
      <c r="A400" s="3"/>
      <c r="B400" s="3"/>
      <c r="C400" s="233"/>
      <c r="D400" s="233" t="s">
        <v>2068</v>
      </c>
      <c r="F400" s="371" t="s">
        <v>2087</v>
      </c>
      <c r="G400" s="371">
        <v>38</v>
      </c>
      <c r="H400" s="176">
        <f t="shared" si="54"/>
        <v>5.4285714285714288</v>
      </c>
      <c r="I400" s="12">
        <v>4072</v>
      </c>
      <c r="J400" s="176">
        <v>3073</v>
      </c>
      <c r="K400" s="176">
        <f t="shared" si="55"/>
        <v>4.0967583497053051</v>
      </c>
      <c r="L400" s="176">
        <f t="shared" si="56"/>
        <v>9.5253297782767348</v>
      </c>
      <c r="M400" s="59"/>
      <c r="N400" s="176">
        <f t="shared" si="57"/>
        <v>14.287994667415102</v>
      </c>
      <c r="O400" s="176">
        <v>25</v>
      </c>
      <c r="P400" s="325"/>
      <c r="Q400" s="325"/>
      <c r="R400" t="s">
        <v>12</v>
      </c>
      <c r="S400" s="6">
        <v>46135</v>
      </c>
    </row>
    <row r="401" spans="1:19" ht="15.5" x14ac:dyDescent="0.35">
      <c r="A401" s="3"/>
      <c r="B401" s="3"/>
      <c r="C401" s="233"/>
      <c r="D401" s="233" t="s">
        <v>2068</v>
      </c>
      <c r="F401" s="670" t="s">
        <v>2088</v>
      </c>
      <c r="G401" s="670">
        <v>38</v>
      </c>
      <c r="H401" s="746">
        <f t="shared" si="54"/>
        <v>5.4285714285714288</v>
      </c>
      <c r="I401" s="92">
        <v>4072</v>
      </c>
      <c r="J401" s="746">
        <v>3073</v>
      </c>
      <c r="K401" s="746">
        <f t="shared" si="55"/>
        <v>4.0967583497053051</v>
      </c>
      <c r="L401" s="746">
        <f t="shared" si="56"/>
        <v>9.5253297782767348</v>
      </c>
      <c r="M401" s="787"/>
      <c r="N401" s="746">
        <f t="shared" si="57"/>
        <v>14.287994667415102</v>
      </c>
      <c r="O401" s="746">
        <v>25</v>
      </c>
      <c r="P401" s="325"/>
      <c r="Q401" s="325"/>
    </row>
    <row r="402" spans="1:19" ht="15.5" x14ac:dyDescent="0.35">
      <c r="A402" s="735"/>
      <c r="B402" s="735"/>
      <c r="C402" s="736"/>
      <c r="D402" s="736" t="s">
        <v>2068</v>
      </c>
      <c r="E402" s="740"/>
      <c r="F402" s="371" t="s">
        <v>2088</v>
      </c>
      <c r="G402" s="371">
        <v>38</v>
      </c>
      <c r="H402" s="176">
        <f t="shared" si="54"/>
        <v>5.4285714285714288</v>
      </c>
      <c r="I402" s="12">
        <v>4072</v>
      </c>
      <c r="J402" s="176">
        <v>3073</v>
      </c>
      <c r="K402" s="176">
        <f t="shared" si="55"/>
        <v>4.0967583497053051</v>
      </c>
      <c r="L402" s="176">
        <f t="shared" si="56"/>
        <v>9.5253297782767348</v>
      </c>
      <c r="M402" s="59"/>
      <c r="N402" s="176">
        <f t="shared" si="57"/>
        <v>14.287994667415102</v>
      </c>
      <c r="O402" s="176">
        <v>25</v>
      </c>
      <c r="P402" s="325"/>
      <c r="Q402" s="325"/>
      <c r="R402" t="s">
        <v>12</v>
      </c>
      <c r="S402" s="6">
        <v>46091</v>
      </c>
    </row>
    <row r="403" spans="1:19" ht="15.5" x14ac:dyDescent="0.35">
      <c r="A403" s="3"/>
      <c r="B403" s="3"/>
      <c r="C403" s="233"/>
      <c r="D403" s="233" t="s">
        <v>2068</v>
      </c>
      <c r="F403" s="738" t="s">
        <v>2088</v>
      </c>
      <c r="G403" s="738">
        <v>38</v>
      </c>
      <c r="H403" s="739">
        <f t="shared" si="54"/>
        <v>5.4285714285714288</v>
      </c>
      <c r="I403" s="740">
        <v>4072</v>
      </c>
      <c r="J403" s="739">
        <v>3073</v>
      </c>
      <c r="K403" s="739">
        <f t="shared" si="55"/>
        <v>4.0967583497053051</v>
      </c>
      <c r="L403" s="739">
        <f t="shared" si="56"/>
        <v>9.5253297782767348</v>
      </c>
      <c r="M403" s="877"/>
      <c r="N403" s="739">
        <f t="shared" si="57"/>
        <v>14.287994667415102</v>
      </c>
      <c r="O403" s="739">
        <v>25</v>
      </c>
      <c r="P403" s="325"/>
      <c r="Q403" s="325"/>
    </row>
    <row r="404" spans="1:19" ht="15.5" x14ac:dyDescent="0.35">
      <c r="A404" s="3"/>
      <c r="B404" s="3"/>
      <c r="C404" s="233"/>
      <c r="D404" s="233" t="s">
        <v>2068</v>
      </c>
      <c r="F404" s="670" t="s">
        <v>2089</v>
      </c>
      <c r="G404" s="670">
        <v>38</v>
      </c>
      <c r="H404" s="746">
        <f t="shared" si="54"/>
        <v>5.4285714285714288</v>
      </c>
      <c r="I404" s="92">
        <v>4072</v>
      </c>
      <c r="J404" s="746">
        <v>3073</v>
      </c>
      <c r="K404" s="746">
        <f t="shared" si="55"/>
        <v>4.0967583497053051</v>
      </c>
      <c r="L404" s="746">
        <f t="shared" si="56"/>
        <v>9.5253297782767348</v>
      </c>
      <c r="M404" s="787"/>
      <c r="N404" s="746">
        <f t="shared" si="57"/>
        <v>14.287994667415102</v>
      </c>
      <c r="O404" s="746">
        <v>25</v>
      </c>
      <c r="P404" s="325"/>
      <c r="Q404" s="325"/>
    </row>
    <row r="405" spans="1:19" ht="15.5" x14ac:dyDescent="0.35">
      <c r="A405" s="735"/>
      <c r="B405" s="735"/>
      <c r="C405" s="736"/>
      <c r="D405" s="736" t="s">
        <v>2068</v>
      </c>
      <c r="E405" s="740"/>
      <c r="F405" s="371" t="s">
        <v>2089</v>
      </c>
      <c r="G405" s="371">
        <v>38</v>
      </c>
      <c r="H405" s="176">
        <f t="shared" si="54"/>
        <v>5.4285714285714288</v>
      </c>
      <c r="I405" s="12">
        <v>4072</v>
      </c>
      <c r="J405" s="176">
        <v>3073</v>
      </c>
      <c r="K405" s="176">
        <f t="shared" si="55"/>
        <v>4.0967583497053051</v>
      </c>
      <c r="L405" s="176">
        <f t="shared" si="56"/>
        <v>9.5253297782767348</v>
      </c>
      <c r="M405" s="59"/>
      <c r="N405" s="176">
        <f t="shared" si="57"/>
        <v>14.287994667415102</v>
      </c>
      <c r="O405" s="176">
        <v>25</v>
      </c>
      <c r="P405" s="325"/>
      <c r="Q405" s="325"/>
      <c r="R405" t="s">
        <v>12</v>
      </c>
      <c r="S405" s="6">
        <v>46086</v>
      </c>
    </row>
    <row r="406" spans="1:19" ht="15.5" x14ac:dyDescent="0.35">
      <c r="A406" s="3"/>
      <c r="B406" s="3"/>
      <c r="C406" s="233"/>
      <c r="D406" s="233" t="s">
        <v>2068</v>
      </c>
      <c r="F406" s="738" t="s">
        <v>2089</v>
      </c>
      <c r="G406" s="738">
        <v>38</v>
      </c>
      <c r="H406" s="739">
        <f t="shared" si="54"/>
        <v>5.4285714285714288</v>
      </c>
      <c r="I406" s="740">
        <v>4072</v>
      </c>
      <c r="J406" s="739">
        <v>3073</v>
      </c>
      <c r="K406" s="739">
        <f t="shared" si="55"/>
        <v>4.0967583497053051</v>
      </c>
      <c r="L406" s="739">
        <f t="shared" si="56"/>
        <v>9.5253297782767348</v>
      </c>
      <c r="M406" s="877"/>
      <c r="N406" s="739">
        <f t="shared" si="57"/>
        <v>14.287994667415102</v>
      </c>
      <c r="O406" s="739">
        <v>25</v>
      </c>
      <c r="P406" s="325"/>
      <c r="Q406" s="325"/>
    </row>
    <row r="407" spans="1:19" ht="15.5" x14ac:dyDescent="0.35">
      <c r="A407" s="3"/>
      <c r="B407" s="3"/>
      <c r="C407" s="233"/>
      <c r="D407" s="233"/>
      <c r="F407" s="738" t="s">
        <v>2090</v>
      </c>
      <c r="G407" s="738">
        <v>38</v>
      </c>
      <c r="H407" s="739">
        <f t="shared" ref="H407:H413" si="58">+G407/7</f>
        <v>5.4285714285714288</v>
      </c>
      <c r="I407" s="740">
        <v>4072</v>
      </c>
      <c r="J407" s="739">
        <v>3073</v>
      </c>
      <c r="K407" s="739">
        <f t="shared" ref="K407:K413" si="59">+H407/I407*J407</f>
        <v>4.0967583497053051</v>
      </c>
      <c r="L407" s="739">
        <f t="shared" ref="L407:L413" si="60">+H407+K407</f>
        <v>9.5253297782767348</v>
      </c>
      <c r="M407" s="877"/>
      <c r="N407" s="739">
        <f t="shared" ref="N407:N413" si="61">+L407*1.5</f>
        <v>14.287994667415102</v>
      </c>
      <c r="O407" s="739">
        <v>25</v>
      </c>
      <c r="P407" s="325"/>
      <c r="Q407" s="325"/>
    </row>
    <row r="408" spans="1:19" ht="15.5" x14ac:dyDescent="0.35">
      <c r="A408" s="3"/>
      <c r="B408" s="3"/>
      <c r="C408" s="233"/>
      <c r="D408" s="233"/>
      <c r="F408" s="738" t="s">
        <v>2090</v>
      </c>
      <c r="G408" s="738">
        <v>38</v>
      </c>
      <c r="H408" s="739">
        <f t="shared" si="58"/>
        <v>5.4285714285714288</v>
      </c>
      <c r="I408" s="740">
        <v>4072</v>
      </c>
      <c r="J408" s="739">
        <v>3073</v>
      </c>
      <c r="K408" s="739">
        <f t="shared" si="59"/>
        <v>4.0967583497053051</v>
      </c>
      <c r="L408" s="739">
        <f t="shared" si="60"/>
        <v>9.5253297782767348</v>
      </c>
      <c r="M408" s="877"/>
      <c r="N408" s="739">
        <f t="shared" si="61"/>
        <v>14.287994667415102</v>
      </c>
      <c r="O408" s="739">
        <v>25</v>
      </c>
      <c r="P408" s="325"/>
      <c r="Q408" s="325"/>
    </row>
    <row r="409" spans="1:19" ht="15.5" x14ac:dyDescent="0.35">
      <c r="A409" s="3"/>
      <c r="B409" s="3"/>
      <c r="C409" s="233"/>
      <c r="D409" s="233"/>
      <c r="F409" s="670" t="s">
        <v>2090</v>
      </c>
      <c r="G409" s="670">
        <v>38</v>
      </c>
      <c r="H409" s="746">
        <f t="shared" si="58"/>
        <v>5.4285714285714288</v>
      </c>
      <c r="I409" s="92">
        <v>4072</v>
      </c>
      <c r="J409" s="746">
        <v>3073</v>
      </c>
      <c r="K409" s="746">
        <f t="shared" si="59"/>
        <v>4.0967583497053051</v>
      </c>
      <c r="L409" s="746">
        <f t="shared" si="60"/>
        <v>9.5253297782767348</v>
      </c>
      <c r="M409" s="787"/>
      <c r="N409" s="746">
        <f t="shared" si="61"/>
        <v>14.287994667415102</v>
      </c>
      <c r="O409" s="746">
        <v>25</v>
      </c>
      <c r="P409" s="325"/>
      <c r="Q409" s="325"/>
    </row>
    <row r="410" spans="1:19" ht="15.5" x14ac:dyDescent="0.35">
      <c r="A410" s="3"/>
      <c r="B410" s="3"/>
      <c r="C410" s="233"/>
      <c r="D410" s="233"/>
      <c r="F410" s="670" t="s">
        <v>2091</v>
      </c>
      <c r="G410" s="670">
        <v>38</v>
      </c>
      <c r="H410" s="746">
        <f t="shared" si="58"/>
        <v>5.4285714285714288</v>
      </c>
      <c r="I410" s="92">
        <v>4072</v>
      </c>
      <c r="J410" s="746">
        <v>3073</v>
      </c>
      <c r="K410" s="746">
        <f t="shared" si="59"/>
        <v>4.0967583497053051</v>
      </c>
      <c r="L410" s="746">
        <f t="shared" si="60"/>
        <v>9.5253297782767348</v>
      </c>
      <c r="M410" s="787"/>
      <c r="N410" s="746">
        <f t="shared" si="61"/>
        <v>14.287994667415102</v>
      </c>
      <c r="O410" s="746">
        <v>25</v>
      </c>
      <c r="P410" s="325"/>
      <c r="Q410" s="325"/>
    </row>
    <row r="411" spans="1:19" ht="15.5" x14ac:dyDescent="0.35">
      <c r="A411" s="3"/>
      <c r="B411" s="3"/>
      <c r="C411" s="233"/>
      <c r="D411" s="233"/>
      <c r="F411" s="738" t="s">
        <v>2091</v>
      </c>
      <c r="G411" s="738">
        <v>38</v>
      </c>
      <c r="H411" s="739">
        <f t="shared" si="58"/>
        <v>5.4285714285714288</v>
      </c>
      <c r="I411" s="740">
        <v>4072</v>
      </c>
      <c r="J411" s="739">
        <v>3073</v>
      </c>
      <c r="K411" s="739">
        <f t="shared" si="59"/>
        <v>4.0967583497053051</v>
      </c>
      <c r="L411" s="739">
        <f t="shared" si="60"/>
        <v>9.5253297782767348</v>
      </c>
      <c r="M411" s="877"/>
      <c r="N411" s="739">
        <f t="shared" si="61"/>
        <v>14.287994667415102</v>
      </c>
      <c r="O411" s="739">
        <v>25</v>
      </c>
      <c r="P411" s="325"/>
      <c r="Q411" s="325"/>
    </row>
    <row r="412" spans="1:19" ht="15.5" x14ac:dyDescent="0.35">
      <c r="A412" s="3"/>
      <c r="B412" s="3"/>
      <c r="C412" s="233"/>
      <c r="D412" s="233"/>
      <c r="F412" s="738" t="s">
        <v>2091</v>
      </c>
      <c r="G412" s="738">
        <v>38</v>
      </c>
      <c r="H412" s="739">
        <f t="shared" si="58"/>
        <v>5.4285714285714288</v>
      </c>
      <c r="I412" s="740">
        <v>4072</v>
      </c>
      <c r="J412" s="739">
        <v>3073</v>
      </c>
      <c r="K412" s="739">
        <f t="shared" si="59"/>
        <v>4.0967583497053051</v>
      </c>
      <c r="L412" s="739">
        <f t="shared" si="60"/>
        <v>9.5253297782767348</v>
      </c>
      <c r="M412" s="877"/>
      <c r="N412" s="739">
        <f t="shared" si="61"/>
        <v>14.287994667415102</v>
      </c>
      <c r="O412" s="739">
        <v>25</v>
      </c>
      <c r="P412" s="325"/>
      <c r="Q412" s="325"/>
    </row>
    <row r="413" spans="1:19" ht="15.5" x14ac:dyDescent="0.35">
      <c r="A413" s="3"/>
      <c r="B413" s="3"/>
      <c r="C413" s="233"/>
      <c r="D413" s="233"/>
      <c r="F413" s="738" t="s">
        <v>2091</v>
      </c>
      <c r="G413" s="738">
        <v>38</v>
      </c>
      <c r="H413" s="739">
        <f t="shared" si="58"/>
        <v>5.4285714285714288</v>
      </c>
      <c r="I413" s="740">
        <v>4072</v>
      </c>
      <c r="J413" s="739">
        <v>3073</v>
      </c>
      <c r="K413" s="739">
        <f t="shared" si="59"/>
        <v>4.0967583497053051</v>
      </c>
      <c r="L413" s="739">
        <f t="shared" si="60"/>
        <v>9.5253297782767348</v>
      </c>
      <c r="M413" s="877"/>
      <c r="N413" s="739">
        <f t="shared" si="61"/>
        <v>14.287994667415102</v>
      </c>
      <c r="O413" s="739">
        <v>25</v>
      </c>
      <c r="P413" s="325"/>
      <c r="Q413" s="325"/>
    </row>
    <row r="414" spans="1:19" ht="15.5" x14ac:dyDescent="0.35">
      <c r="A414" s="3"/>
      <c r="B414" s="3"/>
      <c r="C414" s="233"/>
      <c r="D414" s="233" t="s">
        <v>2068</v>
      </c>
      <c r="F414" s="371" t="s">
        <v>1981</v>
      </c>
      <c r="G414" s="371">
        <v>78</v>
      </c>
      <c r="H414" s="176">
        <f t="shared" si="54"/>
        <v>11.142857142857142</v>
      </c>
      <c r="I414" s="12">
        <v>4072</v>
      </c>
      <c r="J414" s="176">
        <v>3073</v>
      </c>
      <c r="K414" s="176">
        <f t="shared" si="55"/>
        <v>8.4091355599214133</v>
      </c>
      <c r="L414" s="176">
        <f t="shared" si="56"/>
        <v>19.551992702778556</v>
      </c>
      <c r="M414" s="59"/>
      <c r="N414" s="176">
        <f t="shared" si="57"/>
        <v>29.327989054167833</v>
      </c>
      <c r="O414" s="176">
        <v>75</v>
      </c>
      <c r="P414" s="325"/>
      <c r="Q414" s="325"/>
      <c r="R414" t="s">
        <v>3014</v>
      </c>
      <c r="S414" s="6">
        <v>46119</v>
      </c>
    </row>
    <row r="415" spans="1:19" ht="15.5" x14ac:dyDescent="0.35">
      <c r="A415" s="3"/>
      <c r="B415" s="3"/>
      <c r="C415" s="233"/>
      <c r="D415" s="233" t="s">
        <v>2068</v>
      </c>
      <c r="F415" s="245" t="s">
        <v>1981</v>
      </c>
      <c r="G415" s="245">
        <v>78</v>
      </c>
      <c r="H415" s="173">
        <f t="shared" si="54"/>
        <v>11.142857142857142</v>
      </c>
      <c r="I415">
        <v>4072</v>
      </c>
      <c r="J415" s="173">
        <v>3073</v>
      </c>
      <c r="K415" s="173">
        <f t="shared" si="55"/>
        <v>8.4091355599214133</v>
      </c>
      <c r="L415" s="173">
        <f t="shared" si="56"/>
        <v>19.551992702778556</v>
      </c>
      <c r="N415" s="173">
        <f t="shared" si="57"/>
        <v>29.327989054167833</v>
      </c>
      <c r="O415" s="173">
        <v>55</v>
      </c>
      <c r="P415" s="325"/>
      <c r="Q415" s="325"/>
    </row>
    <row r="416" spans="1:19" x14ac:dyDescent="0.35">
      <c r="C416" t="s">
        <v>2781</v>
      </c>
      <c r="F416" s="371" t="s">
        <v>1981</v>
      </c>
      <c r="G416" s="12"/>
      <c r="H416" s="12"/>
      <c r="I416" s="12"/>
      <c r="J416" s="12"/>
      <c r="K416" s="12"/>
      <c r="L416" s="12"/>
      <c r="M416" s="59"/>
      <c r="N416" s="12"/>
      <c r="O416" s="176">
        <v>55</v>
      </c>
      <c r="R416" t="s">
        <v>1097</v>
      </c>
      <c r="S416" s="6">
        <v>46097</v>
      </c>
    </row>
    <row r="417" spans="1:21" ht="18.5" x14ac:dyDescent="0.45">
      <c r="A417" s="3"/>
      <c r="B417" s="3"/>
      <c r="C417" s="233"/>
      <c r="D417" s="233"/>
      <c r="F417" s="598" t="s">
        <v>1895</v>
      </c>
      <c r="G417" s="598"/>
      <c r="H417" s="173"/>
      <c r="K417" s="173"/>
      <c r="L417" s="173"/>
      <c r="M417" s="173"/>
      <c r="O417" s="173"/>
      <c r="P417" s="173"/>
      <c r="Q417" s="173"/>
    </row>
    <row r="418" spans="1:21" x14ac:dyDescent="0.35">
      <c r="A418" s="3"/>
      <c r="B418" s="3"/>
      <c r="C418" s="233"/>
      <c r="D418" s="233"/>
      <c r="F418" s="245" t="s">
        <v>1896</v>
      </c>
      <c r="G418" s="245"/>
      <c r="H418" s="173">
        <v>4</v>
      </c>
      <c r="K418" s="173"/>
      <c r="L418" s="173"/>
      <c r="M418" s="173"/>
      <c r="O418" s="173">
        <v>10</v>
      </c>
      <c r="P418" s="173"/>
      <c r="Q418" s="173"/>
    </row>
    <row r="419" spans="1:21" x14ac:dyDescent="0.35">
      <c r="A419" s="3"/>
      <c r="B419" s="3"/>
      <c r="C419" s="233"/>
      <c r="D419" s="233"/>
      <c r="F419" s="245" t="s">
        <v>1896</v>
      </c>
      <c r="G419" s="245"/>
      <c r="H419" s="173">
        <v>4</v>
      </c>
      <c r="K419" s="173"/>
      <c r="L419" s="173"/>
      <c r="M419" s="173"/>
      <c r="O419" s="173">
        <v>10</v>
      </c>
      <c r="P419" s="173"/>
      <c r="Q419" s="173"/>
    </row>
    <row r="420" spans="1:21" x14ac:dyDescent="0.35">
      <c r="A420" s="3"/>
      <c r="B420" s="3"/>
      <c r="C420" s="233"/>
      <c r="D420" s="233"/>
      <c r="F420" s="245" t="s">
        <v>1896</v>
      </c>
      <c r="G420" s="245"/>
      <c r="H420" s="173">
        <v>4</v>
      </c>
      <c r="K420" s="173"/>
      <c r="L420" s="173"/>
      <c r="M420" s="173"/>
      <c r="O420" s="173">
        <v>10</v>
      </c>
      <c r="P420" s="173"/>
      <c r="Q420" s="173"/>
    </row>
    <row r="421" spans="1:21" x14ac:dyDescent="0.35">
      <c r="A421" s="3"/>
      <c r="B421" s="3"/>
      <c r="C421" s="233"/>
      <c r="D421" s="233"/>
      <c r="F421" s="245" t="s">
        <v>1896</v>
      </c>
      <c r="G421" s="245"/>
      <c r="H421" s="173">
        <v>4</v>
      </c>
      <c r="K421" s="173"/>
      <c r="L421" s="173"/>
      <c r="M421" s="173"/>
      <c r="O421" s="173">
        <v>10</v>
      </c>
      <c r="P421" s="173"/>
      <c r="Q421" s="173"/>
    </row>
    <row r="422" spans="1:21" x14ac:dyDescent="0.35">
      <c r="A422" s="3"/>
      <c r="B422" s="3"/>
      <c r="C422" s="233"/>
      <c r="D422" s="233"/>
      <c r="F422" s="245" t="s">
        <v>1896</v>
      </c>
      <c r="G422" s="245"/>
      <c r="H422" s="173">
        <v>4</v>
      </c>
      <c r="K422" s="173"/>
      <c r="L422" s="173"/>
      <c r="M422" s="173"/>
      <c r="O422" s="173">
        <v>10</v>
      </c>
      <c r="P422" s="173"/>
      <c r="Q422" s="173"/>
    </row>
    <row r="423" spans="1:21" x14ac:dyDescent="0.35">
      <c r="A423" s="3"/>
      <c r="B423" s="3"/>
      <c r="C423" s="233"/>
      <c r="D423" s="233"/>
      <c r="F423" s="245" t="s">
        <v>1896</v>
      </c>
      <c r="G423" s="245"/>
      <c r="H423" s="173">
        <v>4</v>
      </c>
      <c r="K423" s="173"/>
      <c r="L423" s="173"/>
      <c r="M423" s="173"/>
      <c r="O423" s="173">
        <v>10</v>
      </c>
      <c r="P423" s="173"/>
      <c r="Q423" s="173"/>
    </row>
    <row r="424" spans="1:21" x14ac:dyDescent="0.35">
      <c r="A424" s="3"/>
      <c r="B424" s="3"/>
      <c r="C424" s="233"/>
      <c r="D424" s="233"/>
      <c r="F424" s="245" t="s">
        <v>1896</v>
      </c>
      <c r="G424" s="245"/>
      <c r="H424" s="173">
        <v>4</v>
      </c>
      <c r="K424" s="173"/>
      <c r="L424" s="173"/>
      <c r="M424" s="173"/>
      <c r="O424" s="173">
        <v>10</v>
      </c>
      <c r="P424" s="173"/>
      <c r="Q424" s="173"/>
    </row>
    <row r="425" spans="1:21" x14ac:dyDescent="0.35">
      <c r="A425" s="3"/>
      <c r="B425" s="3"/>
      <c r="C425" s="233"/>
      <c r="D425" s="233"/>
      <c r="F425" s="245" t="s">
        <v>1896</v>
      </c>
      <c r="G425" s="245"/>
      <c r="H425" s="173">
        <v>4</v>
      </c>
      <c r="K425" s="173"/>
      <c r="L425" s="173"/>
      <c r="M425" s="173"/>
      <c r="O425" s="173">
        <v>10</v>
      </c>
      <c r="P425" s="173"/>
      <c r="Q425" s="173"/>
    </row>
    <row r="426" spans="1:21" x14ac:dyDescent="0.35">
      <c r="A426" s="3"/>
      <c r="B426" s="3"/>
      <c r="C426" s="233"/>
      <c r="D426" s="233"/>
      <c r="F426" s="245" t="s">
        <v>1896</v>
      </c>
      <c r="G426" s="245"/>
      <c r="H426" s="173">
        <v>6</v>
      </c>
      <c r="K426" s="173"/>
      <c r="L426" s="173"/>
      <c r="M426" s="173"/>
      <c r="O426" s="173">
        <v>15</v>
      </c>
      <c r="P426" s="173"/>
      <c r="Q426" s="173"/>
    </row>
    <row r="427" spans="1:21" s="10" customFormat="1" ht="15" customHeight="1" x14ac:dyDescent="0.35">
      <c r="B427" s="11"/>
      <c r="C427" s="11" t="s">
        <v>2067</v>
      </c>
      <c r="D427" s="454"/>
      <c r="E427" s="454"/>
      <c r="H427" s="189"/>
      <c r="K427" s="189"/>
      <c r="L427" s="189"/>
      <c r="M427" s="21"/>
      <c r="N427" s="140"/>
      <c r="O427" s="189"/>
      <c r="P427" s="325"/>
      <c r="Q427" s="325"/>
      <c r="T427" s="404"/>
      <c r="U427" s="419"/>
    </row>
    <row r="428" spans="1:21" ht="15.5" x14ac:dyDescent="0.35">
      <c r="A428" s="3"/>
      <c r="B428" s="3"/>
      <c r="C428" s="233"/>
      <c r="D428" s="233"/>
      <c r="F428" s="371" t="s">
        <v>1904</v>
      </c>
      <c r="G428" s="371">
        <v>8.4</v>
      </c>
      <c r="H428" s="176">
        <f t="shared" ref="H428:H457" si="62">+G428/7</f>
        <v>1.2</v>
      </c>
      <c r="I428" s="12">
        <v>4072</v>
      </c>
      <c r="J428" s="176">
        <v>3073</v>
      </c>
      <c r="K428" s="176">
        <f t="shared" ref="K428:K457" si="63">+H428/I428*J428</f>
        <v>0.90559921414538314</v>
      </c>
      <c r="L428" s="176">
        <f t="shared" ref="L428:L457" si="64">+H428+K428</f>
        <v>2.105599214145383</v>
      </c>
      <c r="M428" s="59"/>
      <c r="N428" s="176">
        <f t="shared" ref="N428:N457" si="65">+L428*1.5</f>
        <v>3.1583988212180745</v>
      </c>
      <c r="O428" s="176">
        <v>5</v>
      </c>
      <c r="P428" s="325"/>
      <c r="Q428" s="325"/>
      <c r="R428" s="10" t="s">
        <v>12</v>
      </c>
      <c r="S428" s="6">
        <v>46041</v>
      </c>
    </row>
    <row r="429" spans="1:21" ht="15.5" x14ac:dyDescent="0.35">
      <c r="A429" s="3"/>
      <c r="B429" s="3"/>
      <c r="C429" s="233"/>
      <c r="D429" s="233"/>
      <c r="F429" s="371" t="s">
        <v>1904</v>
      </c>
      <c r="G429" s="371">
        <v>8.4</v>
      </c>
      <c r="H429" s="176">
        <f t="shared" si="62"/>
        <v>1.2</v>
      </c>
      <c r="I429" s="12">
        <v>4072</v>
      </c>
      <c r="J429" s="176">
        <v>3073</v>
      </c>
      <c r="K429" s="176">
        <f t="shared" si="63"/>
        <v>0.90559921414538314</v>
      </c>
      <c r="L429" s="176">
        <f t="shared" si="64"/>
        <v>2.105599214145383</v>
      </c>
      <c r="M429" s="59"/>
      <c r="N429" s="176">
        <f t="shared" si="65"/>
        <v>3.1583988212180745</v>
      </c>
      <c r="O429" s="176">
        <v>5</v>
      </c>
      <c r="P429" s="325"/>
      <c r="Q429" s="325"/>
      <c r="R429" s="10" t="s">
        <v>2515</v>
      </c>
      <c r="S429" s="6">
        <v>46059</v>
      </c>
    </row>
    <row r="430" spans="1:21" ht="15.5" x14ac:dyDescent="0.35">
      <c r="A430" s="3"/>
      <c r="B430" s="3"/>
      <c r="C430" s="233"/>
      <c r="D430" s="233"/>
      <c r="F430" s="371" t="s">
        <v>1904</v>
      </c>
      <c r="G430" s="371">
        <v>8.4</v>
      </c>
      <c r="H430" s="176">
        <f t="shared" si="62"/>
        <v>1.2</v>
      </c>
      <c r="I430" s="12">
        <v>4072</v>
      </c>
      <c r="J430" s="176">
        <v>3073</v>
      </c>
      <c r="K430" s="176">
        <f t="shared" si="63"/>
        <v>0.90559921414538314</v>
      </c>
      <c r="L430" s="176">
        <f t="shared" si="64"/>
        <v>2.105599214145383</v>
      </c>
      <c r="M430" s="59"/>
      <c r="N430" s="176">
        <f t="shared" si="65"/>
        <v>3.1583988212180745</v>
      </c>
      <c r="O430" s="176">
        <v>5</v>
      </c>
      <c r="P430" s="325"/>
      <c r="Q430" s="325"/>
      <c r="R430" s="10" t="s">
        <v>12</v>
      </c>
      <c r="S430" s="6">
        <v>46091</v>
      </c>
    </row>
    <row r="431" spans="1:21" ht="15.5" x14ac:dyDescent="0.35">
      <c r="A431" s="3"/>
      <c r="B431" s="3"/>
      <c r="C431" s="233"/>
      <c r="D431" s="233"/>
      <c r="F431" s="245" t="s">
        <v>1904</v>
      </c>
      <c r="G431" s="245">
        <v>8.4</v>
      </c>
      <c r="H431" s="173">
        <f t="shared" si="62"/>
        <v>1.2</v>
      </c>
      <c r="I431">
        <v>4072</v>
      </c>
      <c r="J431" s="173">
        <v>3073</v>
      </c>
      <c r="K431" s="173">
        <f t="shared" si="63"/>
        <v>0.90559921414538314</v>
      </c>
      <c r="L431" s="173">
        <f t="shared" si="64"/>
        <v>2.105599214145383</v>
      </c>
      <c r="N431" s="173">
        <f t="shared" si="65"/>
        <v>3.1583988212180745</v>
      </c>
      <c r="O431" s="173">
        <v>5</v>
      </c>
      <c r="P431" s="325"/>
      <c r="Q431" s="325"/>
      <c r="R431" s="10"/>
    </row>
    <row r="432" spans="1:21" ht="15.5" x14ac:dyDescent="0.35">
      <c r="A432" s="3"/>
      <c r="B432" s="3"/>
      <c r="C432" s="233"/>
      <c r="D432" s="233"/>
      <c r="F432" s="245" t="s">
        <v>1904</v>
      </c>
      <c r="G432" s="245">
        <v>8.4</v>
      </c>
      <c r="H432" s="173">
        <f t="shared" si="62"/>
        <v>1.2</v>
      </c>
      <c r="I432">
        <v>4072</v>
      </c>
      <c r="J432" s="173">
        <v>3073</v>
      </c>
      <c r="K432" s="173">
        <f t="shared" si="63"/>
        <v>0.90559921414538314</v>
      </c>
      <c r="L432" s="173">
        <f t="shared" si="64"/>
        <v>2.105599214145383</v>
      </c>
      <c r="N432" s="173">
        <f t="shared" si="65"/>
        <v>3.1583988212180745</v>
      </c>
      <c r="O432" s="173">
        <v>5</v>
      </c>
      <c r="P432" s="325"/>
      <c r="Q432" s="325"/>
      <c r="R432" s="10"/>
    </row>
    <row r="433" spans="1:18" ht="15.5" x14ac:dyDescent="0.35">
      <c r="A433" s="3"/>
      <c r="B433" s="3"/>
      <c r="C433" s="233"/>
      <c r="D433" s="233"/>
      <c r="F433" s="245" t="s">
        <v>1904</v>
      </c>
      <c r="G433" s="245">
        <v>8.4</v>
      </c>
      <c r="H433" s="173">
        <f t="shared" si="62"/>
        <v>1.2</v>
      </c>
      <c r="I433">
        <v>4072</v>
      </c>
      <c r="J433" s="173">
        <v>3073</v>
      </c>
      <c r="K433" s="173">
        <f t="shared" si="63"/>
        <v>0.90559921414538314</v>
      </c>
      <c r="L433" s="173">
        <f t="shared" si="64"/>
        <v>2.105599214145383</v>
      </c>
      <c r="N433" s="173">
        <f t="shared" si="65"/>
        <v>3.1583988212180745</v>
      </c>
      <c r="O433" s="173">
        <v>5</v>
      </c>
      <c r="P433" s="325"/>
      <c r="Q433" s="325"/>
      <c r="R433" s="10"/>
    </row>
    <row r="434" spans="1:18" ht="15.5" x14ac:dyDescent="0.35">
      <c r="A434" s="3"/>
      <c r="B434" s="3"/>
      <c r="C434" s="233"/>
      <c r="D434" s="233"/>
      <c r="F434" s="245" t="s">
        <v>1904</v>
      </c>
      <c r="G434" s="245">
        <v>8.4</v>
      </c>
      <c r="H434" s="173">
        <f t="shared" si="62"/>
        <v>1.2</v>
      </c>
      <c r="I434">
        <v>4072</v>
      </c>
      <c r="J434" s="173">
        <v>3073</v>
      </c>
      <c r="K434" s="173">
        <f t="shared" si="63"/>
        <v>0.90559921414538314</v>
      </c>
      <c r="L434" s="173">
        <f t="shared" si="64"/>
        <v>2.105599214145383</v>
      </c>
      <c r="N434" s="173">
        <f t="shared" si="65"/>
        <v>3.1583988212180745</v>
      </c>
      <c r="O434" s="173">
        <v>5</v>
      </c>
      <c r="P434" s="325"/>
      <c r="Q434" s="325"/>
      <c r="R434" s="10"/>
    </row>
    <row r="435" spans="1:18" ht="15.5" x14ac:dyDescent="0.35">
      <c r="A435" s="3"/>
      <c r="B435" s="3"/>
      <c r="C435" s="233"/>
      <c r="D435" s="233"/>
      <c r="F435" s="245" t="s">
        <v>1904</v>
      </c>
      <c r="G435" s="245">
        <v>8.4</v>
      </c>
      <c r="H435" s="173">
        <f t="shared" si="62"/>
        <v>1.2</v>
      </c>
      <c r="I435">
        <v>4072</v>
      </c>
      <c r="J435" s="173">
        <v>3073</v>
      </c>
      <c r="K435" s="173">
        <f t="shared" si="63"/>
        <v>0.90559921414538314</v>
      </c>
      <c r="L435" s="173">
        <f t="shared" si="64"/>
        <v>2.105599214145383</v>
      </c>
      <c r="N435" s="173">
        <f t="shared" si="65"/>
        <v>3.1583988212180745</v>
      </c>
      <c r="O435" s="173">
        <v>5</v>
      </c>
      <c r="P435" s="325"/>
      <c r="Q435" s="325"/>
      <c r="R435" s="10"/>
    </row>
    <row r="436" spans="1:18" ht="15.5" x14ac:dyDescent="0.35">
      <c r="A436" s="3"/>
      <c r="B436" s="3"/>
      <c r="C436" s="233"/>
      <c r="D436" s="233"/>
      <c r="F436" s="245" t="s">
        <v>1904</v>
      </c>
      <c r="G436" s="245">
        <v>8.4</v>
      </c>
      <c r="H436" s="173">
        <f t="shared" si="62"/>
        <v>1.2</v>
      </c>
      <c r="I436">
        <v>4072</v>
      </c>
      <c r="J436" s="173">
        <v>3073</v>
      </c>
      <c r="K436" s="173">
        <f t="shared" si="63"/>
        <v>0.90559921414538314</v>
      </c>
      <c r="L436" s="173">
        <f t="shared" si="64"/>
        <v>2.105599214145383</v>
      </c>
      <c r="N436" s="173">
        <f t="shared" si="65"/>
        <v>3.1583988212180745</v>
      </c>
      <c r="O436" s="173">
        <v>5</v>
      </c>
      <c r="P436" s="325"/>
      <c r="Q436" s="325"/>
      <c r="R436" s="10"/>
    </row>
    <row r="437" spans="1:18" ht="15.5" x14ac:dyDescent="0.35">
      <c r="A437" s="3"/>
      <c r="B437" s="3"/>
      <c r="C437" s="233"/>
      <c r="D437" s="233"/>
      <c r="F437" s="245" t="s">
        <v>1904</v>
      </c>
      <c r="G437" s="245">
        <v>8.4</v>
      </c>
      <c r="H437" s="173">
        <f t="shared" si="62"/>
        <v>1.2</v>
      </c>
      <c r="I437">
        <v>4072</v>
      </c>
      <c r="J437" s="173">
        <v>3073</v>
      </c>
      <c r="K437" s="173">
        <f t="shared" si="63"/>
        <v>0.90559921414538314</v>
      </c>
      <c r="L437" s="173">
        <f t="shared" si="64"/>
        <v>2.105599214145383</v>
      </c>
      <c r="N437" s="173">
        <f t="shared" si="65"/>
        <v>3.1583988212180745</v>
      </c>
      <c r="O437" s="173">
        <v>5</v>
      </c>
      <c r="P437" s="325"/>
      <c r="Q437" s="325"/>
      <c r="R437" s="10"/>
    </row>
    <row r="438" spans="1:18" ht="15.5" x14ac:dyDescent="0.35">
      <c r="A438" s="3"/>
      <c r="B438" s="3"/>
      <c r="C438" s="233"/>
      <c r="D438" s="233"/>
      <c r="F438" s="245" t="s">
        <v>1904</v>
      </c>
      <c r="G438" s="245">
        <v>8.4</v>
      </c>
      <c r="H438" s="173">
        <f t="shared" si="62"/>
        <v>1.2</v>
      </c>
      <c r="I438">
        <v>4072</v>
      </c>
      <c r="J438" s="173">
        <v>3073</v>
      </c>
      <c r="K438" s="173">
        <f t="shared" si="63"/>
        <v>0.90559921414538314</v>
      </c>
      <c r="L438" s="173">
        <f t="shared" si="64"/>
        <v>2.105599214145383</v>
      </c>
      <c r="N438" s="173">
        <f t="shared" si="65"/>
        <v>3.1583988212180745</v>
      </c>
      <c r="O438" s="173">
        <v>5</v>
      </c>
      <c r="P438" s="325"/>
      <c r="Q438" s="325"/>
      <c r="R438" s="10"/>
    </row>
    <row r="439" spans="1:18" ht="15.5" x14ac:dyDescent="0.35">
      <c r="A439" s="3"/>
      <c r="B439" s="3"/>
      <c r="C439" s="233"/>
      <c r="D439" s="233"/>
      <c r="F439" s="245" t="s">
        <v>1904</v>
      </c>
      <c r="G439" s="245">
        <v>8.4</v>
      </c>
      <c r="H439" s="173">
        <f t="shared" si="62"/>
        <v>1.2</v>
      </c>
      <c r="I439">
        <v>4072</v>
      </c>
      <c r="J439" s="173">
        <v>3073</v>
      </c>
      <c r="K439" s="173">
        <f t="shared" si="63"/>
        <v>0.90559921414538314</v>
      </c>
      <c r="L439" s="173">
        <f t="shared" si="64"/>
        <v>2.105599214145383</v>
      </c>
      <c r="N439" s="173">
        <f t="shared" si="65"/>
        <v>3.1583988212180745</v>
      </c>
      <c r="O439" s="173">
        <v>5</v>
      </c>
      <c r="P439" s="325"/>
      <c r="Q439" s="325"/>
      <c r="R439" s="10"/>
    </row>
    <row r="440" spans="1:18" ht="15.5" x14ac:dyDescent="0.35">
      <c r="A440" s="3"/>
      <c r="B440" s="3"/>
      <c r="C440" s="233"/>
      <c r="D440" s="233"/>
      <c r="F440" s="245" t="s">
        <v>1904</v>
      </c>
      <c r="G440" s="245">
        <v>8.4</v>
      </c>
      <c r="H440" s="173">
        <f t="shared" si="62"/>
        <v>1.2</v>
      </c>
      <c r="I440">
        <v>4072</v>
      </c>
      <c r="J440" s="173">
        <v>3073</v>
      </c>
      <c r="K440" s="173">
        <f t="shared" si="63"/>
        <v>0.90559921414538314</v>
      </c>
      <c r="L440" s="173">
        <f t="shared" si="64"/>
        <v>2.105599214145383</v>
      </c>
      <c r="N440" s="173">
        <f t="shared" si="65"/>
        <v>3.1583988212180745</v>
      </c>
      <c r="O440" s="173">
        <v>5</v>
      </c>
      <c r="P440" s="325"/>
      <c r="Q440" s="325"/>
      <c r="R440" s="10"/>
    </row>
    <row r="441" spans="1:18" ht="15.5" x14ac:dyDescent="0.35">
      <c r="A441" s="3"/>
      <c r="B441" s="3"/>
      <c r="C441" s="233"/>
      <c r="D441" s="233"/>
      <c r="F441" s="245" t="s">
        <v>1904</v>
      </c>
      <c r="G441" s="245">
        <v>8.4</v>
      </c>
      <c r="H441" s="173">
        <f t="shared" si="62"/>
        <v>1.2</v>
      </c>
      <c r="I441">
        <v>4072</v>
      </c>
      <c r="J441" s="173">
        <v>3073</v>
      </c>
      <c r="K441" s="173">
        <f t="shared" si="63"/>
        <v>0.90559921414538314</v>
      </c>
      <c r="L441" s="173">
        <f t="shared" si="64"/>
        <v>2.105599214145383</v>
      </c>
      <c r="N441" s="173">
        <f t="shared" si="65"/>
        <v>3.1583988212180745</v>
      </c>
      <c r="O441" s="173">
        <v>5</v>
      </c>
      <c r="P441" s="325"/>
      <c r="Q441" s="325"/>
      <c r="R441" s="10"/>
    </row>
    <row r="442" spans="1:18" ht="15.5" x14ac:dyDescent="0.35">
      <c r="A442" s="3"/>
      <c r="B442" s="3"/>
      <c r="C442" s="233"/>
      <c r="D442" s="233"/>
      <c r="F442" s="245" t="s">
        <v>1904</v>
      </c>
      <c r="G442" s="245">
        <v>8.4</v>
      </c>
      <c r="H442" s="173">
        <f t="shared" si="62"/>
        <v>1.2</v>
      </c>
      <c r="I442">
        <v>4072</v>
      </c>
      <c r="J442" s="173">
        <v>3073</v>
      </c>
      <c r="K442" s="173">
        <f t="shared" si="63"/>
        <v>0.90559921414538314</v>
      </c>
      <c r="L442" s="173">
        <f t="shared" si="64"/>
        <v>2.105599214145383</v>
      </c>
      <c r="N442" s="173">
        <f t="shared" si="65"/>
        <v>3.1583988212180745</v>
      </c>
      <c r="O442" s="173">
        <v>5</v>
      </c>
      <c r="P442" s="325"/>
      <c r="Q442" s="325"/>
      <c r="R442" s="10"/>
    </row>
    <row r="443" spans="1:18" ht="15.5" x14ac:dyDescent="0.35">
      <c r="A443" s="3"/>
      <c r="B443" s="3"/>
      <c r="C443" s="233"/>
      <c r="D443" s="233"/>
      <c r="F443" s="245" t="s">
        <v>1904</v>
      </c>
      <c r="G443" s="245">
        <v>8.4</v>
      </c>
      <c r="H443" s="173">
        <f t="shared" si="62"/>
        <v>1.2</v>
      </c>
      <c r="I443">
        <v>4072</v>
      </c>
      <c r="J443" s="173">
        <v>3073</v>
      </c>
      <c r="K443" s="173">
        <f t="shared" si="63"/>
        <v>0.90559921414538314</v>
      </c>
      <c r="L443" s="173">
        <f t="shared" si="64"/>
        <v>2.105599214145383</v>
      </c>
      <c r="N443" s="173">
        <f t="shared" si="65"/>
        <v>3.1583988212180745</v>
      </c>
      <c r="O443" s="173">
        <v>5</v>
      </c>
      <c r="P443" s="325"/>
      <c r="Q443" s="325"/>
      <c r="R443" s="10"/>
    </row>
    <row r="444" spans="1:18" ht="15.5" x14ac:dyDescent="0.35">
      <c r="A444" s="3"/>
      <c r="B444" s="3"/>
      <c r="C444" s="233"/>
      <c r="D444" s="233"/>
      <c r="F444" s="245" t="s">
        <v>1904</v>
      </c>
      <c r="G444" s="245">
        <v>8.4</v>
      </c>
      <c r="H444" s="173">
        <f t="shared" si="62"/>
        <v>1.2</v>
      </c>
      <c r="I444">
        <v>4072</v>
      </c>
      <c r="J444" s="173">
        <v>3073</v>
      </c>
      <c r="K444" s="173">
        <f t="shared" si="63"/>
        <v>0.90559921414538314</v>
      </c>
      <c r="L444" s="173">
        <f t="shared" si="64"/>
        <v>2.105599214145383</v>
      </c>
      <c r="N444" s="173">
        <f t="shared" si="65"/>
        <v>3.1583988212180745</v>
      </c>
      <c r="O444" s="173">
        <v>5</v>
      </c>
      <c r="P444" s="325"/>
      <c r="Q444" s="325"/>
      <c r="R444" s="10"/>
    </row>
    <row r="445" spans="1:18" ht="15.5" x14ac:dyDescent="0.35">
      <c r="A445" s="3"/>
      <c r="B445" s="3"/>
      <c r="C445" s="233"/>
      <c r="D445" s="233"/>
      <c r="F445" s="245" t="s">
        <v>1904</v>
      </c>
      <c r="G445" s="245">
        <v>8.4</v>
      </c>
      <c r="H445" s="173">
        <f t="shared" si="62"/>
        <v>1.2</v>
      </c>
      <c r="I445">
        <v>4072</v>
      </c>
      <c r="J445" s="173">
        <v>3073</v>
      </c>
      <c r="K445" s="173">
        <f t="shared" si="63"/>
        <v>0.90559921414538314</v>
      </c>
      <c r="L445" s="173">
        <f t="shared" si="64"/>
        <v>2.105599214145383</v>
      </c>
      <c r="N445" s="173">
        <f t="shared" si="65"/>
        <v>3.1583988212180745</v>
      </c>
      <c r="O445" s="173">
        <v>5</v>
      </c>
      <c r="P445" s="325"/>
      <c r="Q445" s="325"/>
      <c r="R445" s="10"/>
    </row>
    <row r="446" spans="1:18" ht="15.5" x14ac:dyDescent="0.35">
      <c r="A446" s="3"/>
      <c r="B446" s="3"/>
      <c r="C446" s="233"/>
      <c r="D446" s="233"/>
      <c r="F446" s="245" t="s">
        <v>1904</v>
      </c>
      <c r="G446" s="245">
        <v>8.4</v>
      </c>
      <c r="H446" s="173">
        <f t="shared" si="62"/>
        <v>1.2</v>
      </c>
      <c r="I446">
        <v>4072</v>
      </c>
      <c r="J446" s="173">
        <v>3073</v>
      </c>
      <c r="K446" s="173">
        <f t="shared" si="63"/>
        <v>0.90559921414538314</v>
      </c>
      <c r="L446" s="173">
        <f t="shared" si="64"/>
        <v>2.105599214145383</v>
      </c>
      <c r="N446" s="173">
        <f t="shared" si="65"/>
        <v>3.1583988212180745</v>
      </c>
      <c r="O446" s="173">
        <v>5</v>
      </c>
      <c r="P446" s="325"/>
      <c r="Q446" s="325"/>
      <c r="R446" s="10"/>
    </row>
    <row r="447" spans="1:18" ht="15.5" x14ac:dyDescent="0.35">
      <c r="A447" s="3"/>
      <c r="B447" s="3"/>
      <c r="C447" s="233"/>
      <c r="D447" s="233"/>
      <c r="F447" s="245" t="s">
        <v>1904</v>
      </c>
      <c r="G447" s="245">
        <v>8.4</v>
      </c>
      <c r="H447" s="173">
        <f t="shared" si="62"/>
        <v>1.2</v>
      </c>
      <c r="I447">
        <v>4072</v>
      </c>
      <c r="J447" s="173">
        <v>3073</v>
      </c>
      <c r="K447" s="173">
        <f t="shared" si="63"/>
        <v>0.90559921414538314</v>
      </c>
      <c r="L447" s="173">
        <f t="shared" si="64"/>
        <v>2.105599214145383</v>
      </c>
      <c r="N447" s="173">
        <f t="shared" si="65"/>
        <v>3.1583988212180745</v>
      </c>
      <c r="O447" s="173">
        <v>5</v>
      </c>
      <c r="P447" s="325"/>
      <c r="Q447" s="325"/>
      <c r="R447" s="10"/>
    </row>
    <row r="448" spans="1:18" ht="15.5" x14ac:dyDescent="0.35">
      <c r="A448" s="3"/>
      <c r="B448" s="3"/>
      <c r="C448" s="233"/>
      <c r="D448" s="233"/>
      <c r="F448" s="245" t="s">
        <v>1904</v>
      </c>
      <c r="G448" s="245">
        <v>8.4</v>
      </c>
      <c r="H448" s="173">
        <f t="shared" si="62"/>
        <v>1.2</v>
      </c>
      <c r="I448">
        <v>4072</v>
      </c>
      <c r="J448" s="173">
        <v>3073</v>
      </c>
      <c r="K448" s="173">
        <f t="shared" si="63"/>
        <v>0.90559921414538314</v>
      </c>
      <c r="L448" s="173">
        <f t="shared" si="64"/>
        <v>2.105599214145383</v>
      </c>
      <c r="N448" s="173">
        <f t="shared" si="65"/>
        <v>3.1583988212180745</v>
      </c>
      <c r="O448" s="173">
        <v>5</v>
      </c>
      <c r="P448" s="325"/>
      <c r="Q448" s="325"/>
      <c r="R448" s="10"/>
    </row>
    <row r="449" spans="1:21" ht="15.5" x14ac:dyDescent="0.35">
      <c r="A449" s="3"/>
      <c r="B449" s="3"/>
      <c r="C449" s="233"/>
      <c r="D449" s="233"/>
      <c r="F449" s="245" t="s">
        <v>1904</v>
      </c>
      <c r="G449" s="245">
        <v>8.4</v>
      </c>
      <c r="H449" s="173">
        <f t="shared" si="62"/>
        <v>1.2</v>
      </c>
      <c r="I449">
        <v>4072</v>
      </c>
      <c r="J449" s="173">
        <v>3073</v>
      </c>
      <c r="K449" s="173">
        <f t="shared" si="63"/>
        <v>0.90559921414538314</v>
      </c>
      <c r="L449" s="173">
        <f t="shared" si="64"/>
        <v>2.105599214145383</v>
      </c>
      <c r="N449" s="173">
        <f t="shared" si="65"/>
        <v>3.1583988212180745</v>
      </c>
      <c r="O449" s="173">
        <v>5</v>
      </c>
      <c r="P449" s="325"/>
      <c r="Q449" s="325"/>
      <c r="R449" s="10"/>
    </row>
    <row r="450" spans="1:21" ht="15.5" x14ac:dyDescent="0.35">
      <c r="A450" s="3"/>
      <c r="B450" s="3"/>
      <c r="C450" s="233"/>
      <c r="D450" s="233"/>
      <c r="F450" s="245" t="s">
        <v>1904</v>
      </c>
      <c r="G450" s="245">
        <v>8.4</v>
      </c>
      <c r="H450" s="173">
        <f t="shared" si="62"/>
        <v>1.2</v>
      </c>
      <c r="I450">
        <v>4072</v>
      </c>
      <c r="J450" s="173">
        <v>3073</v>
      </c>
      <c r="K450" s="173">
        <f t="shared" si="63"/>
        <v>0.90559921414538314</v>
      </c>
      <c r="L450" s="173">
        <f t="shared" si="64"/>
        <v>2.105599214145383</v>
      </c>
      <c r="N450" s="173">
        <f t="shared" si="65"/>
        <v>3.1583988212180745</v>
      </c>
      <c r="O450" s="173">
        <v>5</v>
      </c>
      <c r="P450" s="325"/>
      <c r="Q450" s="325"/>
      <c r="R450" s="10"/>
    </row>
    <row r="451" spans="1:21" ht="15.5" x14ac:dyDescent="0.35">
      <c r="A451" s="3"/>
      <c r="B451" s="3"/>
      <c r="C451" s="233"/>
      <c r="D451" s="233"/>
      <c r="F451" s="245" t="s">
        <v>1904</v>
      </c>
      <c r="G451" s="245">
        <v>8.4</v>
      </c>
      <c r="H451" s="173">
        <f t="shared" si="62"/>
        <v>1.2</v>
      </c>
      <c r="I451">
        <v>4072</v>
      </c>
      <c r="J451" s="173">
        <v>3073</v>
      </c>
      <c r="K451" s="173">
        <f t="shared" si="63"/>
        <v>0.90559921414538314</v>
      </c>
      <c r="L451" s="173">
        <f t="shared" si="64"/>
        <v>2.105599214145383</v>
      </c>
      <c r="N451" s="173">
        <f t="shared" si="65"/>
        <v>3.1583988212180745</v>
      </c>
      <c r="O451" s="173">
        <v>5</v>
      </c>
      <c r="P451" s="325"/>
      <c r="Q451" s="325"/>
      <c r="R451" s="10"/>
    </row>
    <row r="452" spans="1:21" ht="15.5" x14ac:dyDescent="0.35">
      <c r="A452" s="3"/>
      <c r="B452" s="3"/>
      <c r="C452" s="233"/>
      <c r="D452" s="233"/>
      <c r="F452" s="245" t="s">
        <v>1904</v>
      </c>
      <c r="G452" s="245">
        <v>8.4</v>
      </c>
      <c r="H452" s="173">
        <f t="shared" si="62"/>
        <v>1.2</v>
      </c>
      <c r="I452">
        <v>4072</v>
      </c>
      <c r="J452" s="173">
        <v>3073</v>
      </c>
      <c r="K452" s="173">
        <f t="shared" si="63"/>
        <v>0.90559921414538314</v>
      </c>
      <c r="L452" s="173">
        <f t="shared" si="64"/>
        <v>2.105599214145383</v>
      </c>
      <c r="N452" s="173">
        <f t="shared" si="65"/>
        <v>3.1583988212180745</v>
      </c>
      <c r="O452" s="173">
        <v>5</v>
      </c>
      <c r="P452" s="325"/>
      <c r="Q452" s="325"/>
      <c r="R452" s="10"/>
    </row>
    <row r="453" spans="1:21" ht="15.5" x14ac:dyDescent="0.35">
      <c r="A453" s="3"/>
      <c r="B453" s="3"/>
      <c r="C453" s="233"/>
      <c r="D453" s="233"/>
      <c r="F453" s="245" t="s">
        <v>1904</v>
      </c>
      <c r="G453" s="245">
        <v>8.4</v>
      </c>
      <c r="H453" s="173">
        <f t="shared" si="62"/>
        <v>1.2</v>
      </c>
      <c r="I453">
        <v>4072</v>
      </c>
      <c r="J453" s="173">
        <v>3073</v>
      </c>
      <c r="K453" s="173">
        <f t="shared" si="63"/>
        <v>0.90559921414538314</v>
      </c>
      <c r="L453" s="173">
        <f t="shared" si="64"/>
        <v>2.105599214145383</v>
      </c>
      <c r="N453" s="173">
        <f t="shared" si="65"/>
        <v>3.1583988212180745</v>
      </c>
      <c r="O453" s="173">
        <v>5</v>
      </c>
      <c r="P453" s="325"/>
      <c r="Q453" s="325"/>
      <c r="R453" s="10"/>
    </row>
    <row r="454" spans="1:21" ht="15.5" x14ac:dyDescent="0.35">
      <c r="A454" s="3"/>
      <c r="B454" s="3"/>
      <c r="C454" s="233"/>
      <c r="D454" s="233"/>
      <c r="F454" s="245" t="s">
        <v>1904</v>
      </c>
      <c r="G454" s="245">
        <v>8.4</v>
      </c>
      <c r="H454" s="173">
        <f t="shared" si="62"/>
        <v>1.2</v>
      </c>
      <c r="I454">
        <v>4072</v>
      </c>
      <c r="J454" s="173">
        <v>3073</v>
      </c>
      <c r="K454" s="173">
        <f t="shared" si="63"/>
        <v>0.90559921414538314</v>
      </c>
      <c r="L454" s="173">
        <f t="shared" si="64"/>
        <v>2.105599214145383</v>
      </c>
      <c r="N454" s="173">
        <f t="shared" si="65"/>
        <v>3.1583988212180745</v>
      </c>
      <c r="O454" s="173">
        <v>5</v>
      </c>
      <c r="P454" s="325"/>
      <c r="Q454" s="325"/>
      <c r="R454" s="10"/>
    </row>
    <row r="455" spans="1:21" ht="15.5" x14ac:dyDescent="0.35">
      <c r="A455" s="3"/>
      <c r="B455" s="3"/>
      <c r="C455" s="233"/>
      <c r="D455" s="233"/>
      <c r="F455" s="245" t="s">
        <v>1904</v>
      </c>
      <c r="G455" s="245">
        <v>8.4</v>
      </c>
      <c r="H455" s="173">
        <f t="shared" si="62"/>
        <v>1.2</v>
      </c>
      <c r="I455">
        <v>4072</v>
      </c>
      <c r="J455" s="173">
        <v>3073</v>
      </c>
      <c r="K455" s="173">
        <f t="shared" si="63"/>
        <v>0.90559921414538314</v>
      </c>
      <c r="L455" s="173">
        <f t="shared" si="64"/>
        <v>2.105599214145383</v>
      </c>
      <c r="N455" s="173">
        <f t="shared" si="65"/>
        <v>3.1583988212180745</v>
      </c>
      <c r="O455" s="173">
        <v>5</v>
      </c>
      <c r="P455" s="325"/>
      <c r="Q455" s="325"/>
      <c r="R455" s="10"/>
    </row>
    <row r="456" spans="1:21" ht="15.5" x14ac:dyDescent="0.35">
      <c r="A456" s="3"/>
      <c r="B456" s="3"/>
      <c r="C456" s="233"/>
      <c r="D456" s="233"/>
      <c r="F456" s="245" t="s">
        <v>1904</v>
      </c>
      <c r="G456" s="245">
        <v>8.4</v>
      </c>
      <c r="H456" s="173">
        <f t="shared" si="62"/>
        <v>1.2</v>
      </c>
      <c r="I456">
        <v>4072</v>
      </c>
      <c r="J456" s="173">
        <v>3073</v>
      </c>
      <c r="K456" s="173">
        <f t="shared" si="63"/>
        <v>0.90559921414538314</v>
      </c>
      <c r="L456" s="173">
        <f t="shared" si="64"/>
        <v>2.105599214145383</v>
      </c>
      <c r="N456" s="173">
        <f t="shared" si="65"/>
        <v>3.1583988212180745</v>
      </c>
      <c r="O456" s="173">
        <v>5</v>
      </c>
      <c r="P456" s="325"/>
      <c r="Q456" s="325"/>
      <c r="R456" s="10"/>
    </row>
    <row r="457" spans="1:21" ht="15.5" x14ac:dyDescent="0.35">
      <c r="A457" s="3"/>
      <c r="B457" s="3"/>
      <c r="C457" s="233"/>
      <c r="D457" s="233"/>
      <c r="F457" s="245" t="s">
        <v>1904</v>
      </c>
      <c r="G457" s="245">
        <v>8.4</v>
      </c>
      <c r="H457" s="173">
        <f t="shared" si="62"/>
        <v>1.2</v>
      </c>
      <c r="I457">
        <v>4072</v>
      </c>
      <c r="J457" s="173">
        <v>3073</v>
      </c>
      <c r="K457" s="173">
        <f t="shared" si="63"/>
        <v>0.90559921414538314</v>
      </c>
      <c r="L457" s="173">
        <f t="shared" si="64"/>
        <v>2.105599214145383</v>
      </c>
      <c r="N457" s="173">
        <f t="shared" si="65"/>
        <v>3.1583988212180745</v>
      </c>
      <c r="O457" s="173">
        <v>5</v>
      </c>
      <c r="P457" s="325"/>
      <c r="Q457" s="325"/>
      <c r="R457" s="10"/>
    </row>
    <row r="458" spans="1:21" s="10" customFormat="1" ht="15" customHeight="1" x14ac:dyDescent="0.35">
      <c r="B458" s="11"/>
      <c r="D458" s="454"/>
      <c r="E458" s="454"/>
      <c r="H458" s="189"/>
      <c r="K458" s="189"/>
      <c r="L458" s="189"/>
      <c r="M458" s="21"/>
      <c r="N458" s="140"/>
      <c r="O458" s="189"/>
      <c r="P458" s="325"/>
      <c r="Q458" s="325"/>
      <c r="T458" s="404"/>
      <c r="U458" s="419"/>
    </row>
    <row r="459" spans="1:21" ht="15.5" x14ac:dyDescent="0.35">
      <c r="A459" s="3"/>
      <c r="B459" s="3"/>
      <c r="C459" s="233" t="s">
        <v>1977</v>
      </c>
      <c r="E459" s="366"/>
      <c r="F459" s="245" t="s">
        <v>2054</v>
      </c>
      <c r="G459" s="245">
        <v>10</v>
      </c>
      <c r="H459" s="173">
        <f t="shared" ref="H459:H474" si="66">+G459/7</f>
        <v>1.4285714285714286</v>
      </c>
      <c r="I459">
        <v>4072</v>
      </c>
      <c r="J459" s="173">
        <v>3073</v>
      </c>
      <c r="K459" s="173">
        <f t="shared" ref="K459:K474" si="67">+H459/I459*J459</f>
        <v>1.0780943025540275</v>
      </c>
      <c r="L459" s="173">
        <f t="shared" ref="L459:L474" si="68">+H459+K459</f>
        <v>2.5066657311254561</v>
      </c>
      <c r="N459" s="173">
        <f t="shared" ref="N459:N474" si="69">+L459*1.5</f>
        <v>3.7599985966881841</v>
      </c>
      <c r="O459" s="173">
        <v>5</v>
      </c>
      <c r="P459" s="325"/>
      <c r="Q459" s="325"/>
    </row>
    <row r="460" spans="1:21" ht="15.5" x14ac:dyDescent="0.35">
      <c r="A460" s="3"/>
      <c r="B460" s="3"/>
      <c r="C460" s="233" t="s">
        <v>1977</v>
      </c>
      <c r="E460" s="366"/>
      <c r="F460" s="245" t="s">
        <v>2054</v>
      </c>
      <c r="G460" s="245">
        <v>10</v>
      </c>
      <c r="H460" s="173">
        <f t="shared" si="66"/>
        <v>1.4285714285714286</v>
      </c>
      <c r="I460">
        <v>4072</v>
      </c>
      <c r="J460" s="173">
        <v>3073</v>
      </c>
      <c r="K460" s="173">
        <f t="shared" si="67"/>
        <v>1.0780943025540275</v>
      </c>
      <c r="L460" s="173">
        <f t="shared" si="68"/>
        <v>2.5066657311254561</v>
      </c>
      <c r="N460" s="173">
        <f t="shared" si="69"/>
        <v>3.7599985966881841</v>
      </c>
      <c r="O460" s="173">
        <v>5</v>
      </c>
      <c r="P460" s="325"/>
      <c r="Q460" s="325"/>
    </row>
    <row r="461" spans="1:21" ht="15.5" x14ac:dyDescent="0.35">
      <c r="A461" s="3"/>
      <c r="B461" s="3"/>
      <c r="C461" s="233" t="s">
        <v>1977</v>
      </c>
      <c r="E461" s="366"/>
      <c r="F461" s="245" t="s">
        <v>2054</v>
      </c>
      <c r="G461" s="245">
        <v>10</v>
      </c>
      <c r="H461" s="173">
        <f t="shared" si="66"/>
        <v>1.4285714285714286</v>
      </c>
      <c r="I461">
        <v>4072</v>
      </c>
      <c r="J461" s="173">
        <v>3073</v>
      </c>
      <c r="K461" s="173">
        <f t="shared" si="67"/>
        <v>1.0780943025540275</v>
      </c>
      <c r="L461" s="173">
        <f t="shared" si="68"/>
        <v>2.5066657311254561</v>
      </c>
      <c r="N461" s="173">
        <f t="shared" si="69"/>
        <v>3.7599985966881841</v>
      </c>
      <c r="O461" s="173">
        <v>5</v>
      </c>
      <c r="P461" s="325"/>
      <c r="Q461" s="325"/>
    </row>
    <row r="462" spans="1:21" ht="15.5" x14ac:dyDescent="0.35">
      <c r="A462" s="3"/>
      <c r="B462" s="3"/>
      <c r="C462" s="233" t="s">
        <v>1977</v>
      </c>
      <c r="E462" s="366"/>
      <c r="F462" s="245" t="s">
        <v>2054</v>
      </c>
      <c r="G462" s="245">
        <v>10</v>
      </c>
      <c r="H462" s="173">
        <f t="shared" si="66"/>
        <v>1.4285714285714286</v>
      </c>
      <c r="I462">
        <v>4072</v>
      </c>
      <c r="J462" s="173">
        <v>3073</v>
      </c>
      <c r="K462" s="173">
        <f t="shared" si="67"/>
        <v>1.0780943025540275</v>
      </c>
      <c r="L462" s="173">
        <f t="shared" si="68"/>
        <v>2.5066657311254561</v>
      </c>
      <c r="N462" s="173">
        <f t="shared" si="69"/>
        <v>3.7599985966881841</v>
      </c>
      <c r="O462" s="173">
        <v>5</v>
      </c>
      <c r="P462" s="325"/>
      <c r="Q462" s="325"/>
    </row>
    <row r="463" spans="1:21" ht="15.5" x14ac:dyDescent="0.35">
      <c r="A463" s="3"/>
      <c r="B463" s="3"/>
      <c r="C463" s="233" t="s">
        <v>1977</v>
      </c>
      <c r="E463" s="366"/>
      <c r="F463" s="245" t="s">
        <v>2054</v>
      </c>
      <c r="G463" s="245">
        <v>10</v>
      </c>
      <c r="H463" s="173">
        <f t="shared" si="66"/>
        <v>1.4285714285714286</v>
      </c>
      <c r="I463">
        <v>4072</v>
      </c>
      <c r="J463" s="173">
        <v>3073</v>
      </c>
      <c r="K463" s="173">
        <f t="shared" si="67"/>
        <v>1.0780943025540275</v>
      </c>
      <c r="L463" s="173">
        <f t="shared" si="68"/>
        <v>2.5066657311254561</v>
      </c>
      <c r="N463" s="173">
        <f t="shared" si="69"/>
        <v>3.7599985966881841</v>
      </c>
      <c r="O463" s="173">
        <v>5</v>
      </c>
      <c r="P463" s="325"/>
      <c r="Q463" s="325"/>
    </row>
    <row r="464" spans="1:21" ht="15.5" x14ac:dyDescent="0.35">
      <c r="A464" s="3"/>
      <c r="B464" s="3"/>
      <c r="C464" s="233" t="s">
        <v>1977</v>
      </c>
      <c r="E464" s="366"/>
      <c r="F464" s="245" t="s">
        <v>2054</v>
      </c>
      <c r="G464" s="245">
        <v>10</v>
      </c>
      <c r="H464" s="173">
        <f t="shared" si="66"/>
        <v>1.4285714285714286</v>
      </c>
      <c r="I464">
        <v>4072</v>
      </c>
      <c r="J464" s="173">
        <v>3073</v>
      </c>
      <c r="K464" s="173">
        <f t="shared" si="67"/>
        <v>1.0780943025540275</v>
      </c>
      <c r="L464" s="173">
        <f t="shared" si="68"/>
        <v>2.5066657311254561</v>
      </c>
      <c r="N464" s="173">
        <f t="shared" si="69"/>
        <v>3.7599985966881841</v>
      </c>
      <c r="O464" s="173">
        <v>5</v>
      </c>
      <c r="P464" s="325"/>
      <c r="Q464" s="325"/>
    </row>
    <row r="465" spans="1:21" ht="15.5" x14ac:dyDescent="0.35">
      <c r="A465" s="3"/>
      <c r="B465" s="3"/>
      <c r="C465" s="233" t="s">
        <v>1977</v>
      </c>
      <c r="E465" s="366"/>
      <c r="F465" s="245" t="s">
        <v>2054</v>
      </c>
      <c r="G465" s="245">
        <v>10</v>
      </c>
      <c r="H465" s="173">
        <f t="shared" si="66"/>
        <v>1.4285714285714286</v>
      </c>
      <c r="I465">
        <v>4072</v>
      </c>
      <c r="J465" s="173">
        <v>3073</v>
      </c>
      <c r="K465" s="173">
        <f t="shared" si="67"/>
        <v>1.0780943025540275</v>
      </c>
      <c r="L465" s="173">
        <f t="shared" si="68"/>
        <v>2.5066657311254561</v>
      </c>
      <c r="N465" s="173">
        <f t="shared" si="69"/>
        <v>3.7599985966881841</v>
      </c>
      <c r="O465" s="173">
        <v>5</v>
      </c>
      <c r="P465" s="325"/>
      <c r="Q465" s="325"/>
    </row>
    <row r="466" spans="1:21" ht="15.5" x14ac:dyDescent="0.35">
      <c r="A466" s="3"/>
      <c r="B466" s="3"/>
      <c r="C466" s="233" t="s">
        <v>1977</v>
      </c>
      <c r="E466" s="366"/>
      <c r="F466" s="245" t="s">
        <v>2054</v>
      </c>
      <c r="G466" s="245">
        <v>10</v>
      </c>
      <c r="H466" s="173">
        <f t="shared" si="66"/>
        <v>1.4285714285714286</v>
      </c>
      <c r="I466">
        <v>4072</v>
      </c>
      <c r="J466" s="173">
        <v>3073</v>
      </c>
      <c r="K466" s="173">
        <f t="shared" si="67"/>
        <v>1.0780943025540275</v>
      </c>
      <c r="L466" s="173">
        <f t="shared" si="68"/>
        <v>2.5066657311254561</v>
      </c>
      <c r="N466" s="173">
        <f t="shared" si="69"/>
        <v>3.7599985966881841</v>
      </c>
      <c r="O466" s="173">
        <v>5</v>
      </c>
      <c r="P466" s="325"/>
      <c r="Q466" s="325"/>
    </row>
    <row r="467" spans="1:21" ht="15.5" x14ac:dyDescent="0.35">
      <c r="A467" s="3"/>
      <c r="B467" s="3"/>
      <c r="C467" s="233" t="s">
        <v>1977</v>
      </c>
      <c r="E467" s="366"/>
      <c r="F467" s="245" t="s">
        <v>2054</v>
      </c>
      <c r="G467" s="245">
        <v>10</v>
      </c>
      <c r="H467" s="173">
        <f t="shared" si="66"/>
        <v>1.4285714285714286</v>
      </c>
      <c r="I467">
        <v>4072</v>
      </c>
      <c r="J467" s="173">
        <v>3073</v>
      </c>
      <c r="K467" s="173">
        <f t="shared" si="67"/>
        <v>1.0780943025540275</v>
      </c>
      <c r="L467" s="173">
        <f t="shared" si="68"/>
        <v>2.5066657311254561</v>
      </c>
      <c r="N467" s="173">
        <f t="shared" si="69"/>
        <v>3.7599985966881841</v>
      </c>
      <c r="O467" s="173">
        <v>5</v>
      </c>
      <c r="P467" s="325"/>
      <c r="Q467" s="325"/>
    </row>
    <row r="468" spans="1:21" ht="15.5" x14ac:dyDescent="0.35">
      <c r="A468" s="3"/>
      <c r="B468" s="3"/>
      <c r="C468" s="233" t="s">
        <v>1977</v>
      </c>
      <c r="E468" s="366"/>
      <c r="F468" s="245" t="s">
        <v>2055</v>
      </c>
      <c r="G468" s="245">
        <v>10</v>
      </c>
      <c r="H468" s="173">
        <f t="shared" si="66"/>
        <v>1.4285714285714286</v>
      </c>
      <c r="I468">
        <v>4072</v>
      </c>
      <c r="J468" s="173">
        <v>3073</v>
      </c>
      <c r="K468" s="173">
        <f t="shared" si="67"/>
        <v>1.0780943025540275</v>
      </c>
      <c r="L468" s="173">
        <f t="shared" si="68"/>
        <v>2.5066657311254561</v>
      </c>
      <c r="N468" s="173">
        <f t="shared" si="69"/>
        <v>3.7599985966881841</v>
      </c>
      <c r="O468" s="173">
        <v>5</v>
      </c>
      <c r="P468" s="325"/>
      <c r="Q468" s="325"/>
    </row>
    <row r="469" spans="1:21" ht="15.5" x14ac:dyDescent="0.35">
      <c r="A469" s="3"/>
      <c r="B469" s="3"/>
      <c r="C469" s="233" t="s">
        <v>1977</v>
      </c>
      <c r="E469" s="366"/>
      <c r="F469" s="245" t="s">
        <v>2055</v>
      </c>
      <c r="G469" s="245">
        <v>10</v>
      </c>
      <c r="H469" s="173">
        <f t="shared" si="66"/>
        <v>1.4285714285714286</v>
      </c>
      <c r="I469">
        <v>4072</v>
      </c>
      <c r="J469" s="173">
        <v>3073</v>
      </c>
      <c r="K469" s="173">
        <f t="shared" si="67"/>
        <v>1.0780943025540275</v>
      </c>
      <c r="L469" s="173">
        <f t="shared" si="68"/>
        <v>2.5066657311254561</v>
      </c>
      <c r="N469" s="173">
        <f t="shared" si="69"/>
        <v>3.7599985966881841</v>
      </c>
      <c r="O469" s="173">
        <v>5</v>
      </c>
      <c r="P469" s="325"/>
      <c r="Q469" s="325"/>
    </row>
    <row r="470" spans="1:21" ht="15.5" x14ac:dyDescent="0.35">
      <c r="A470" s="3"/>
      <c r="B470" s="3"/>
      <c r="C470" s="233" t="s">
        <v>1977</v>
      </c>
      <c r="E470" s="366"/>
      <c r="F470" s="245" t="s">
        <v>2055</v>
      </c>
      <c r="G470" s="245">
        <v>10</v>
      </c>
      <c r="H470" s="173">
        <f t="shared" si="66"/>
        <v>1.4285714285714286</v>
      </c>
      <c r="I470">
        <v>4072</v>
      </c>
      <c r="J470" s="173">
        <v>3073</v>
      </c>
      <c r="K470" s="173">
        <f t="shared" si="67"/>
        <v>1.0780943025540275</v>
      </c>
      <c r="L470" s="173">
        <f t="shared" si="68"/>
        <v>2.5066657311254561</v>
      </c>
      <c r="N470" s="173">
        <f t="shared" si="69"/>
        <v>3.7599985966881841</v>
      </c>
      <c r="O470" s="173">
        <v>5</v>
      </c>
      <c r="P470" s="325"/>
      <c r="Q470" s="325"/>
    </row>
    <row r="471" spans="1:21" ht="15.5" x14ac:dyDescent="0.35">
      <c r="A471" s="3"/>
      <c r="B471" s="3"/>
      <c r="C471" s="233" t="s">
        <v>1977</v>
      </c>
      <c r="E471" s="366"/>
      <c r="F471" s="245" t="s">
        <v>2055</v>
      </c>
      <c r="G471" s="245">
        <v>10</v>
      </c>
      <c r="H471" s="173">
        <f t="shared" si="66"/>
        <v>1.4285714285714286</v>
      </c>
      <c r="I471">
        <v>4072</v>
      </c>
      <c r="J471" s="173">
        <v>3073</v>
      </c>
      <c r="K471" s="173">
        <f t="shared" si="67"/>
        <v>1.0780943025540275</v>
      </c>
      <c r="L471" s="173">
        <f t="shared" si="68"/>
        <v>2.5066657311254561</v>
      </c>
      <c r="N471" s="173">
        <f t="shared" si="69"/>
        <v>3.7599985966881841</v>
      </c>
      <c r="O471" s="173">
        <v>5</v>
      </c>
      <c r="P471" s="325"/>
      <c r="Q471" s="325"/>
    </row>
    <row r="472" spans="1:21" ht="15.5" x14ac:dyDescent="0.35">
      <c r="A472" s="3"/>
      <c r="B472" s="3"/>
      <c r="C472" s="233" t="s">
        <v>1977</v>
      </c>
      <c r="E472" s="366"/>
      <c r="F472" s="245" t="s">
        <v>2055</v>
      </c>
      <c r="G472" s="245">
        <v>10</v>
      </c>
      <c r="H472" s="173">
        <f t="shared" si="66"/>
        <v>1.4285714285714286</v>
      </c>
      <c r="I472">
        <v>4072</v>
      </c>
      <c r="J472" s="173">
        <v>3073</v>
      </c>
      <c r="K472" s="173">
        <f t="shared" si="67"/>
        <v>1.0780943025540275</v>
      </c>
      <c r="L472" s="173">
        <f t="shared" si="68"/>
        <v>2.5066657311254561</v>
      </c>
      <c r="N472" s="173">
        <f t="shared" si="69"/>
        <v>3.7599985966881841</v>
      </c>
      <c r="O472" s="173">
        <v>5</v>
      </c>
      <c r="P472" s="325"/>
      <c r="Q472" s="325"/>
    </row>
    <row r="473" spans="1:21" ht="15.5" x14ac:dyDescent="0.35">
      <c r="A473" s="3"/>
      <c r="B473" s="3"/>
      <c r="C473" s="233" t="s">
        <v>1977</v>
      </c>
      <c r="E473" s="366"/>
      <c r="F473" s="245" t="s">
        <v>2055</v>
      </c>
      <c r="G473" s="245">
        <v>10</v>
      </c>
      <c r="H473" s="173">
        <f t="shared" si="66"/>
        <v>1.4285714285714286</v>
      </c>
      <c r="I473">
        <v>4072</v>
      </c>
      <c r="J473" s="173">
        <v>3073</v>
      </c>
      <c r="K473" s="173">
        <f t="shared" si="67"/>
        <v>1.0780943025540275</v>
      </c>
      <c r="L473" s="173">
        <f t="shared" si="68"/>
        <v>2.5066657311254561</v>
      </c>
      <c r="N473" s="173">
        <f t="shared" si="69"/>
        <v>3.7599985966881841</v>
      </c>
      <c r="O473" s="173">
        <v>5</v>
      </c>
      <c r="P473" s="325"/>
      <c r="Q473" s="325"/>
    </row>
    <row r="474" spans="1:21" ht="15.5" x14ac:dyDescent="0.35">
      <c r="A474" s="3"/>
      <c r="B474" s="3"/>
      <c r="C474" s="233" t="s">
        <v>1977</v>
      </c>
      <c r="E474" s="366"/>
      <c r="F474" s="245" t="s">
        <v>2055</v>
      </c>
      <c r="G474" s="245">
        <v>10</v>
      </c>
      <c r="H474" s="173">
        <f t="shared" si="66"/>
        <v>1.4285714285714286</v>
      </c>
      <c r="I474">
        <v>4072</v>
      </c>
      <c r="J474" s="173">
        <v>3073</v>
      </c>
      <c r="K474" s="173">
        <f t="shared" si="67"/>
        <v>1.0780943025540275</v>
      </c>
      <c r="L474" s="173">
        <f t="shared" si="68"/>
        <v>2.5066657311254561</v>
      </c>
      <c r="N474" s="173">
        <f t="shared" si="69"/>
        <v>3.7599985966881841</v>
      </c>
      <c r="O474" s="173">
        <v>5</v>
      </c>
      <c r="P474" s="325"/>
      <c r="Q474" s="325"/>
    </row>
    <row r="475" spans="1:21" s="10" customFormat="1" ht="15" customHeight="1" x14ac:dyDescent="0.35">
      <c r="B475" s="11"/>
      <c r="D475" s="454"/>
      <c r="E475" s="454"/>
      <c r="H475" s="189"/>
      <c r="K475" s="189"/>
      <c r="L475" s="189"/>
      <c r="M475" s="21"/>
      <c r="N475" s="140"/>
      <c r="O475" s="189"/>
      <c r="P475" s="325"/>
      <c r="Q475" s="325"/>
      <c r="T475" s="404"/>
      <c r="U475" s="419"/>
    </row>
    <row r="476" spans="1:21" s="10" customFormat="1" ht="15" customHeight="1" x14ac:dyDescent="0.45">
      <c r="B476" s="11"/>
      <c r="C476" s="5" t="s">
        <v>2067</v>
      </c>
      <c r="D476" s="454"/>
      <c r="E476" s="454"/>
      <c r="H476" s="189"/>
      <c r="K476" s="189"/>
      <c r="L476" s="189"/>
      <c r="M476" s="21"/>
      <c r="N476" s="140"/>
      <c r="O476" s="189"/>
      <c r="P476" s="325"/>
      <c r="Q476" s="325"/>
      <c r="T476" s="404"/>
      <c r="U476" s="419"/>
    </row>
    <row r="477" spans="1:21" ht="15.5" x14ac:dyDescent="0.35">
      <c r="A477" s="3"/>
      <c r="B477" s="3"/>
      <c r="C477" s="233"/>
      <c r="D477" s="233"/>
      <c r="F477" s="371" t="s">
        <v>1983</v>
      </c>
      <c r="G477" s="371">
        <v>10</v>
      </c>
      <c r="H477" s="176">
        <f t="shared" ref="H477:H484" si="70">+G477/7</f>
        <v>1.4285714285714286</v>
      </c>
      <c r="I477" s="12">
        <v>4072</v>
      </c>
      <c r="J477" s="176">
        <v>3073</v>
      </c>
      <c r="K477" s="176">
        <f t="shared" ref="K477:K484" si="71">+H477/I477*J477</f>
        <v>1.0780943025540275</v>
      </c>
      <c r="L477" s="176">
        <f t="shared" ref="L477:L484" si="72">+H477+K477</f>
        <v>2.5066657311254561</v>
      </c>
      <c r="M477" s="59"/>
      <c r="N477" s="176">
        <f t="shared" ref="N477:N484" si="73">+L477*1.5</f>
        <v>3.7599985966881841</v>
      </c>
      <c r="O477" s="176">
        <v>5</v>
      </c>
      <c r="P477" s="325"/>
      <c r="Q477" s="325"/>
      <c r="R477" t="s">
        <v>12</v>
      </c>
      <c r="S477" s="6">
        <v>46028</v>
      </c>
    </row>
    <row r="478" spans="1:21" ht="15.5" x14ac:dyDescent="0.35">
      <c r="A478" s="3"/>
      <c r="B478" s="3"/>
      <c r="C478" s="233"/>
      <c r="D478" s="233"/>
      <c r="F478" s="371" t="s">
        <v>1983</v>
      </c>
      <c r="G478" s="371">
        <v>10</v>
      </c>
      <c r="H478" s="176">
        <f t="shared" si="70"/>
        <v>1.4285714285714286</v>
      </c>
      <c r="I478" s="12">
        <v>4072</v>
      </c>
      <c r="J478" s="176">
        <v>3073</v>
      </c>
      <c r="K478" s="176">
        <f t="shared" si="71"/>
        <v>1.0780943025540275</v>
      </c>
      <c r="L478" s="176">
        <f t="shared" si="72"/>
        <v>2.5066657311254561</v>
      </c>
      <c r="M478" s="59"/>
      <c r="N478" s="176">
        <f t="shared" si="73"/>
        <v>3.7599985966881841</v>
      </c>
      <c r="O478" s="176">
        <v>5</v>
      </c>
      <c r="P478" s="325"/>
      <c r="Q478" s="325"/>
      <c r="R478" t="s">
        <v>12</v>
      </c>
      <c r="S478" s="6">
        <v>46087</v>
      </c>
    </row>
    <row r="479" spans="1:21" ht="15.5" x14ac:dyDescent="0.35">
      <c r="A479" s="3"/>
      <c r="B479" s="3"/>
      <c r="C479" s="233"/>
      <c r="D479" s="233"/>
      <c r="F479" s="371" t="s">
        <v>1983</v>
      </c>
      <c r="G479" s="371">
        <v>10</v>
      </c>
      <c r="H479" s="176">
        <f t="shared" si="70"/>
        <v>1.4285714285714286</v>
      </c>
      <c r="I479" s="12">
        <v>4072</v>
      </c>
      <c r="J479" s="176">
        <v>3073</v>
      </c>
      <c r="K479" s="176">
        <f t="shared" si="71"/>
        <v>1.0780943025540275</v>
      </c>
      <c r="L479" s="176">
        <f t="shared" si="72"/>
        <v>2.5066657311254561</v>
      </c>
      <c r="M479" s="59"/>
      <c r="N479" s="176">
        <f t="shared" si="73"/>
        <v>3.7599985966881841</v>
      </c>
      <c r="O479" s="176">
        <v>5</v>
      </c>
      <c r="P479" s="325"/>
      <c r="Q479" s="325"/>
      <c r="R479" t="s">
        <v>12</v>
      </c>
      <c r="S479" s="6">
        <v>46087</v>
      </c>
    </row>
    <row r="480" spans="1:21" ht="15.5" x14ac:dyDescent="0.35">
      <c r="A480" s="3"/>
      <c r="B480" s="3"/>
      <c r="C480" s="233"/>
      <c r="D480" s="233"/>
      <c r="F480" s="245" t="s">
        <v>1983</v>
      </c>
      <c r="G480" s="245">
        <v>10</v>
      </c>
      <c r="H480" s="173">
        <f t="shared" si="70"/>
        <v>1.4285714285714286</v>
      </c>
      <c r="I480">
        <v>4072</v>
      </c>
      <c r="J480" s="173">
        <v>3073</v>
      </c>
      <c r="K480" s="173">
        <f t="shared" si="71"/>
        <v>1.0780943025540275</v>
      </c>
      <c r="L480" s="173">
        <f t="shared" si="72"/>
        <v>2.5066657311254561</v>
      </c>
      <c r="N480" s="173">
        <f t="shared" si="73"/>
        <v>3.7599985966881841</v>
      </c>
      <c r="O480" s="173">
        <v>5</v>
      </c>
      <c r="P480" s="325"/>
      <c r="Q480" s="325"/>
    </row>
    <row r="481" spans="1:19" ht="15.5" x14ac:dyDescent="0.35">
      <c r="A481" s="3"/>
      <c r="B481" s="3"/>
      <c r="C481" s="233"/>
      <c r="D481" s="233"/>
      <c r="F481" s="245" t="s">
        <v>1983</v>
      </c>
      <c r="G481" s="245">
        <v>10</v>
      </c>
      <c r="H481" s="173">
        <f t="shared" si="70"/>
        <v>1.4285714285714286</v>
      </c>
      <c r="I481">
        <v>4072</v>
      </c>
      <c r="J481" s="173">
        <v>3073</v>
      </c>
      <c r="K481" s="173">
        <f t="shared" si="71"/>
        <v>1.0780943025540275</v>
      </c>
      <c r="L481" s="173">
        <f t="shared" si="72"/>
        <v>2.5066657311254561</v>
      </c>
      <c r="N481" s="173">
        <f t="shared" si="73"/>
        <v>3.7599985966881841</v>
      </c>
      <c r="O481" s="173">
        <v>5</v>
      </c>
      <c r="P481" s="325"/>
      <c r="Q481" s="325"/>
    </row>
    <row r="482" spans="1:19" ht="15.5" x14ac:dyDescent="0.35">
      <c r="A482" s="3"/>
      <c r="B482" s="3"/>
      <c r="C482" s="233"/>
      <c r="D482" s="233"/>
      <c r="F482" s="245" t="s">
        <v>1983</v>
      </c>
      <c r="G482" s="245">
        <v>10</v>
      </c>
      <c r="H482" s="173">
        <f t="shared" si="70"/>
        <v>1.4285714285714286</v>
      </c>
      <c r="I482">
        <v>4072</v>
      </c>
      <c r="J482" s="173">
        <v>3073</v>
      </c>
      <c r="K482" s="173">
        <f t="shared" si="71"/>
        <v>1.0780943025540275</v>
      </c>
      <c r="L482" s="173">
        <f t="shared" si="72"/>
        <v>2.5066657311254561</v>
      </c>
      <c r="N482" s="173">
        <f t="shared" si="73"/>
        <v>3.7599985966881841</v>
      </c>
      <c r="O482" s="173">
        <v>5</v>
      </c>
      <c r="P482" s="325"/>
      <c r="Q482" s="325"/>
    </row>
    <row r="483" spans="1:19" ht="15.5" x14ac:dyDescent="0.35">
      <c r="A483" s="3"/>
      <c r="B483" s="3"/>
      <c r="C483" s="233"/>
      <c r="D483" s="233"/>
      <c r="F483" s="245" t="s">
        <v>1983</v>
      </c>
      <c r="G483" s="245">
        <v>10</v>
      </c>
      <c r="H483" s="173">
        <f t="shared" si="70"/>
        <v>1.4285714285714286</v>
      </c>
      <c r="I483">
        <v>4072</v>
      </c>
      <c r="J483" s="173">
        <v>3073</v>
      </c>
      <c r="K483" s="173">
        <f t="shared" si="71"/>
        <v>1.0780943025540275</v>
      </c>
      <c r="L483" s="173">
        <f t="shared" si="72"/>
        <v>2.5066657311254561</v>
      </c>
      <c r="N483" s="173">
        <f t="shared" si="73"/>
        <v>3.7599985966881841</v>
      </c>
      <c r="O483" s="173">
        <v>5</v>
      </c>
      <c r="P483" s="325"/>
      <c r="Q483" s="325"/>
    </row>
    <row r="484" spans="1:19" ht="15.5" x14ac:dyDescent="0.35">
      <c r="A484" s="3"/>
      <c r="B484" s="3"/>
      <c r="C484" s="233"/>
      <c r="D484" s="233"/>
      <c r="F484" s="245" t="s">
        <v>1983</v>
      </c>
      <c r="G484" s="245">
        <v>10</v>
      </c>
      <c r="H484" s="173">
        <f t="shared" si="70"/>
        <v>1.4285714285714286</v>
      </c>
      <c r="I484">
        <v>4072</v>
      </c>
      <c r="J484" s="173">
        <v>3073</v>
      </c>
      <c r="K484" s="173">
        <f t="shared" si="71"/>
        <v>1.0780943025540275</v>
      </c>
      <c r="L484" s="173">
        <f t="shared" si="72"/>
        <v>2.5066657311254561</v>
      </c>
      <c r="N484" s="173">
        <f t="shared" si="73"/>
        <v>3.7599985966881841</v>
      </c>
      <c r="O484" s="173">
        <v>5</v>
      </c>
      <c r="P484" s="325"/>
      <c r="Q484" s="325"/>
    </row>
    <row r="485" spans="1:19" x14ac:dyDescent="0.35">
      <c r="F485" s="371" t="s">
        <v>2382</v>
      </c>
      <c r="G485" s="12"/>
      <c r="H485" s="12"/>
      <c r="I485" s="12"/>
      <c r="J485" s="12"/>
      <c r="K485" s="12"/>
      <c r="L485" s="12"/>
      <c r="M485" s="59"/>
      <c r="N485" s="12"/>
      <c r="O485" s="12"/>
      <c r="R485" t="s">
        <v>12</v>
      </c>
      <c r="S485" s="6">
        <v>46052</v>
      </c>
    </row>
  </sheetData>
  <printOptions gridLines="1"/>
  <pageMargins left="0.7" right="0.7" top="0.75" bottom="0.75" header="0.3" footer="0.3"/>
  <pageSetup scale="95" orientation="landscape" r:id="rId1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577"/>
  <sheetViews>
    <sheetView topLeftCell="B1" zoomScale="80" zoomScaleNormal="80" workbookViewId="0">
      <pane ySplit="1" topLeftCell="A80" activePane="bottomLeft" state="frozen"/>
      <selection activeCell="D14" sqref="D14"/>
      <selection pane="bottomLeft" activeCell="B315" sqref="A315:XFD319"/>
    </sheetView>
  </sheetViews>
  <sheetFormatPr defaultColWidth="9.1796875" defaultRowHeight="18" customHeight="1" x14ac:dyDescent="0.35"/>
  <cols>
    <col min="1" max="1" width="0" style="57" hidden="1" customWidth="1"/>
    <col min="2" max="2" width="18.54296875" style="33" customWidth="1"/>
    <col min="3" max="3" width="13.453125" style="57" customWidth="1"/>
    <col min="4" max="4" width="8.1796875" style="114" customWidth="1"/>
    <col min="5" max="5" width="13.453125" style="57" customWidth="1"/>
    <col min="6" max="6" width="12.81640625" style="57" customWidth="1"/>
    <col min="7" max="7" width="17.26953125" style="52" customWidth="1"/>
    <col min="8" max="8" width="10" style="264" customWidth="1"/>
    <col min="9" max="9" width="11" style="261" customWidth="1"/>
    <col min="10" max="10" width="9.1796875" style="57" customWidth="1"/>
    <col min="11" max="11" width="23.7265625" style="57" customWidth="1"/>
    <col min="12" max="12" width="10.453125" style="57" customWidth="1"/>
    <col min="13" max="13" width="9.54296875" style="57" bestFit="1" customWidth="1"/>
    <col min="14" max="14" width="12" style="57" customWidth="1"/>
    <col min="15" max="15" width="9.1796875" style="57"/>
    <col min="16" max="16" width="9" style="57" customWidth="1"/>
    <col min="17" max="16384" width="9.1796875" style="57"/>
  </cols>
  <sheetData>
    <row r="1" spans="1:13" s="52" customFormat="1" ht="31.5" customHeight="1" x14ac:dyDescent="0.35">
      <c r="A1" s="52" t="s">
        <v>534</v>
      </c>
      <c r="B1" s="63"/>
      <c r="C1" s="63" t="s">
        <v>115</v>
      </c>
      <c r="D1" s="113" t="s">
        <v>188</v>
      </c>
      <c r="E1" s="63" t="s">
        <v>23</v>
      </c>
      <c r="F1" s="64" t="s">
        <v>116</v>
      </c>
      <c r="G1" s="55"/>
      <c r="H1" s="262"/>
      <c r="I1" s="246" t="s">
        <v>1341</v>
      </c>
      <c r="M1" s="55"/>
    </row>
    <row r="2" spans="1:13" s="78" customFormat="1" ht="18" customHeight="1" x14ac:dyDescent="0.35">
      <c r="B2" s="79" t="s">
        <v>237</v>
      </c>
      <c r="C2" s="142">
        <v>43571</v>
      </c>
      <c r="D2" s="153"/>
      <c r="E2" s="79">
        <v>125</v>
      </c>
      <c r="G2" s="154"/>
      <c r="H2" s="263"/>
      <c r="I2" s="224"/>
    </row>
    <row r="3" spans="1:13" s="78" customFormat="1" ht="18" customHeight="1" thickBot="1" x14ac:dyDescent="0.4">
      <c r="B3" s="79"/>
      <c r="C3" s="142">
        <v>43597</v>
      </c>
      <c r="D3" s="153"/>
      <c r="E3" s="79"/>
      <c r="G3" s="154"/>
      <c r="H3" s="263"/>
      <c r="I3" s="224"/>
    </row>
    <row r="4" spans="1:13" s="78" customFormat="1" ht="18" customHeight="1" thickBot="1" x14ac:dyDescent="0.4">
      <c r="B4" s="79"/>
      <c r="C4" s="142"/>
      <c r="D4" s="153"/>
      <c r="E4" s="155">
        <f>SUM(E2:E3)</f>
        <v>125</v>
      </c>
      <c r="G4" s="154"/>
      <c r="H4" s="263"/>
      <c r="I4" s="224">
        <f>+E4</f>
        <v>125</v>
      </c>
    </row>
    <row r="5" spans="1:13" s="78" customFormat="1" ht="18" customHeight="1" x14ac:dyDescent="0.35">
      <c r="B5" s="79"/>
      <c r="C5" s="142"/>
      <c r="D5" s="153"/>
      <c r="E5" s="79"/>
      <c r="G5" s="154"/>
      <c r="H5" s="263"/>
      <c r="I5" s="224"/>
    </row>
    <row r="6" spans="1:13" s="78" customFormat="1" ht="18" customHeight="1" x14ac:dyDescent="0.35">
      <c r="B6" s="79" t="s">
        <v>226</v>
      </c>
      <c r="C6" s="142"/>
      <c r="D6" s="153"/>
      <c r="E6" s="78">
        <v>65</v>
      </c>
      <c r="F6" s="183">
        <v>-30</v>
      </c>
      <c r="G6" s="154"/>
      <c r="H6" s="263"/>
      <c r="I6" s="224"/>
    </row>
    <row r="7" spans="1:13" s="78" customFormat="1" ht="18" customHeight="1" x14ac:dyDescent="0.35">
      <c r="B7" s="79"/>
      <c r="C7" s="142">
        <v>43550</v>
      </c>
      <c r="D7" s="153"/>
      <c r="E7" s="78">
        <v>65</v>
      </c>
      <c r="F7" s="183">
        <v>-40</v>
      </c>
      <c r="G7" s="154"/>
      <c r="H7" s="263"/>
      <c r="I7" s="224"/>
    </row>
    <row r="8" spans="1:13" s="78" customFormat="1" ht="18" customHeight="1" x14ac:dyDescent="0.35">
      <c r="B8" s="79"/>
      <c r="C8" s="142">
        <v>43612</v>
      </c>
      <c r="D8" s="153"/>
      <c r="F8" s="183">
        <v>-50</v>
      </c>
      <c r="G8" s="154"/>
      <c r="H8" s="263"/>
      <c r="I8" s="224"/>
    </row>
    <row r="9" spans="1:13" s="78" customFormat="1" ht="18" customHeight="1" x14ac:dyDescent="0.35">
      <c r="B9" s="79"/>
      <c r="C9" s="142">
        <v>43613</v>
      </c>
      <c r="D9" s="153"/>
      <c r="E9" s="78">
        <v>200</v>
      </c>
      <c r="F9" s="183"/>
      <c r="G9" s="154"/>
      <c r="H9" s="263"/>
      <c r="I9" s="224"/>
    </row>
    <row r="10" spans="1:13" s="78" customFormat="1" ht="18" customHeight="1" thickBot="1" x14ac:dyDescent="0.4">
      <c r="B10" s="79"/>
      <c r="C10" s="142">
        <v>43847</v>
      </c>
      <c r="D10" s="153"/>
      <c r="F10" s="183">
        <v>-50</v>
      </c>
      <c r="G10" s="154"/>
      <c r="H10" s="263"/>
      <c r="I10" s="224"/>
    </row>
    <row r="11" spans="1:13" s="78" customFormat="1" ht="18" customHeight="1" thickBot="1" x14ac:dyDescent="0.4">
      <c r="B11" s="79"/>
      <c r="C11" s="142"/>
      <c r="D11" s="153"/>
      <c r="E11" s="184">
        <f>SUM(E6:E10)</f>
        <v>330</v>
      </c>
      <c r="F11" s="185">
        <f>SUM(F6:F10)</f>
        <v>-170</v>
      </c>
      <c r="G11" s="154"/>
      <c r="H11" s="263"/>
      <c r="I11" s="224">
        <f>+E11+F11</f>
        <v>160</v>
      </c>
    </row>
    <row r="12" spans="1:13" s="78" customFormat="1" ht="18" customHeight="1" x14ac:dyDescent="0.35">
      <c r="B12" s="79"/>
      <c r="C12" s="142"/>
      <c r="D12" s="153"/>
      <c r="E12" s="79"/>
      <c r="F12" s="367"/>
      <c r="G12" s="154"/>
      <c r="H12" s="263"/>
      <c r="I12" s="224"/>
    </row>
    <row r="13" spans="1:13" ht="18" customHeight="1" x14ac:dyDescent="0.35">
      <c r="B13" s="77" t="s">
        <v>204</v>
      </c>
      <c r="C13" s="162">
        <v>43546</v>
      </c>
      <c r="D13" s="163">
        <v>431</v>
      </c>
      <c r="E13" s="66">
        <v>200</v>
      </c>
      <c r="F13" s="66"/>
      <c r="G13" s="71"/>
      <c r="H13" s="267"/>
    </row>
    <row r="14" spans="1:13" ht="18" customHeight="1" x14ac:dyDescent="0.35">
      <c r="B14" s="77"/>
      <c r="C14" s="162">
        <v>43551</v>
      </c>
      <c r="D14" s="163"/>
      <c r="E14" s="66"/>
      <c r="F14" s="66"/>
      <c r="G14" s="71"/>
      <c r="H14" s="267"/>
    </row>
    <row r="15" spans="1:13" ht="18" customHeight="1" x14ac:dyDescent="0.35">
      <c r="B15" s="77"/>
      <c r="C15" s="162">
        <v>43551</v>
      </c>
      <c r="D15" s="163"/>
      <c r="E15" s="66">
        <f>125+180</f>
        <v>305</v>
      </c>
      <c r="F15" s="66"/>
      <c r="G15" s="71"/>
      <c r="H15" s="267"/>
    </row>
    <row r="16" spans="1:13" ht="18" customHeight="1" x14ac:dyDescent="0.35">
      <c r="B16" s="77"/>
      <c r="C16" s="162"/>
      <c r="D16" s="163"/>
      <c r="E16" s="66">
        <v>175</v>
      </c>
      <c r="F16" s="66"/>
      <c r="G16" s="71"/>
      <c r="H16" s="267"/>
    </row>
    <row r="17" spans="2:8" ht="18" customHeight="1" x14ac:dyDescent="0.35">
      <c r="B17" s="77"/>
      <c r="C17" s="162">
        <v>43553</v>
      </c>
      <c r="D17" s="163"/>
      <c r="E17" s="66"/>
      <c r="F17" s="66"/>
      <c r="G17" s="71"/>
      <c r="H17" s="267"/>
    </row>
    <row r="18" spans="2:8" ht="18" customHeight="1" x14ac:dyDescent="0.35">
      <c r="B18" s="77"/>
      <c r="C18" s="162">
        <v>43593</v>
      </c>
      <c r="D18" s="163"/>
      <c r="E18" s="66">
        <v>65</v>
      </c>
      <c r="F18" s="66"/>
      <c r="G18" s="71"/>
      <c r="H18" s="267"/>
    </row>
    <row r="19" spans="2:8" ht="18" customHeight="1" x14ac:dyDescent="0.35">
      <c r="B19" s="77"/>
      <c r="C19" s="162">
        <v>43602</v>
      </c>
      <c r="D19" s="163"/>
      <c r="E19" s="66">
        <f>45+85</f>
        <v>130</v>
      </c>
      <c r="F19" s="66"/>
      <c r="G19" s="71"/>
      <c r="H19" s="267"/>
    </row>
    <row r="20" spans="2:8" ht="18" customHeight="1" x14ac:dyDescent="0.35">
      <c r="B20" s="77"/>
      <c r="C20" s="162">
        <v>43607</v>
      </c>
      <c r="D20" s="163"/>
      <c r="E20" s="66">
        <f>70+65</f>
        <v>135</v>
      </c>
      <c r="F20" s="66"/>
      <c r="G20" s="71"/>
      <c r="H20" s="267"/>
    </row>
    <row r="21" spans="2:8" ht="18" customHeight="1" x14ac:dyDescent="0.35">
      <c r="B21" s="77"/>
      <c r="C21" s="162">
        <v>43608</v>
      </c>
      <c r="D21" s="163"/>
      <c r="E21" s="66">
        <v>65</v>
      </c>
      <c r="F21" s="66"/>
      <c r="G21" s="71"/>
      <c r="H21" s="267"/>
    </row>
    <row r="22" spans="2:8" ht="18" customHeight="1" x14ac:dyDescent="0.35">
      <c r="B22" s="77"/>
      <c r="C22" s="162">
        <v>43616</v>
      </c>
      <c r="D22" s="163"/>
      <c r="E22" s="66"/>
      <c r="F22" s="66"/>
      <c r="G22" s="71"/>
      <c r="H22" s="267"/>
    </row>
    <row r="23" spans="2:8" ht="18" customHeight="1" x14ac:dyDescent="0.35">
      <c r="B23" s="77"/>
      <c r="C23" s="162">
        <v>43616</v>
      </c>
      <c r="D23" s="163"/>
      <c r="E23" s="66">
        <v>415</v>
      </c>
      <c r="F23" s="66"/>
      <c r="G23" s="71"/>
      <c r="H23" s="267"/>
    </row>
    <row r="24" spans="2:8" ht="18" customHeight="1" x14ac:dyDescent="0.35">
      <c r="B24" s="77"/>
      <c r="C24" s="162">
        <v>43630</v>
      </c>
      <c r="D24" s="163"/>
      <c r="E24" s="66">
        <v>90</v>
      </c>
      <c r="F24" s="66"/>
      <c r="G24" s="71"/>
      <c r="H24" s="267"/>
    </row>
    <row r="25" spans="2:8" ht="18" customHeight="1" x14ac:dyDescent="0.35">
      <c r="B25" s="77"/>
      <c r="C25" s="162">
        <v>43664</v>
      </c>
      <c r="D25" s="163"/>
      <c r="E25" s="66"/>
      <c r="F25" s="66"/>
      <c r="G25" s="71"/>
      <c r="H25" s="267"/>
    </row>
    <row r="26" spans="2:8" ht="18" customHeight="1" x14ac:dyDescent="0.35">
      <c r="B26" s="77"/>
      <c r="C26" s="162">
        <v>43664</v>
      </c>
      <c r="D26" s="163"/>
      <c r="E26" s="66">
        <v>200</v>
      </c>
      <c r="F26" s="66"/>
      <c r="G26" s="71"/>
      <c r="H26" s="267"/>
    </row>
    <row r="27" spans="2:8" ht="18" customHeight="1" x14ac:dyDescent="0.35">
      <c r="B27" s="77"/>
      <c r="C27" s="162">
        <v>43679</v>
      </c>
      <c r="D27" s="163"/>
      <c r="E27" s="66">
        <v>300</v>
      </c>
      <c r="F27" s="66"/>
      <c r="G27" s="71"/>
      <c r="H27" s="267"/>
    </row>
    <row r="28" spans="2:8" ht="18" customHeight="1" x14ac:dyDescent="0.35">
      <c r="B28" s="77"/>
      <c r="C28" s="162">
        <v>43694</v>
      </c>
      <c r="D28" s="163"/>
      <c r="E28" s="66"/>
      <c r="F28" s="66"/>
      <c r="G28" s="71"/>
      <c r="H28" s="267"/>
    </row>
    <row r="29" spans="2:8" ht="18" customHeight="1" x14ac:dyDescent="0.35">
      <c r="B29" s="77"/>
      <c r="C29" s="162">
        <v>43694</v>
      </c>
      <c r="D29" s="163"/>
      <c r="E29" s="66">
        <v>100</v>
      </c>
      <c r="F29" s="66"/>
      <c r="G29" s="71"/>
      <c r="H29" s="267"/>
    </row>
    <row r="30" spans="2:8" ht="18" customHeight="1" x14ac:dyDescent="0.35">
      <c r="B30" s="77"/>
      <c r="C30" s="162">
        <v>43732</v>
      </c>
      <c r="D30" s="163"/>
      <c r="E30" s="66">
        <v>215</v>
      </c>
      <c r="F30" s="66"/>
      <c r="G30" s="71"/>
      <c r="H30" s="267"/>
    </row>
    <row r="31" spans="2:8" ht="18" customHeight="1" x14ac:dyDescent="0.35">
      <c r="B31" s="77"/>
      <c r="C31" s="162">
        <v>43748</v>
      </c>
      <c r="D31" s="163"/>
      <c r="E31" s="66"/>
      <c r="F31" s="66"/>
      <c r="G31" s="71"/>
      <c r="H31" s="267"/>
    </row>
    <row r="32" spans="2:8" ht="18" customHeight="1" x14ac:dyDescent="0.35">
      <c r="B32" s="77"/>
      <c r="C32" s="162">
        <v>43748</v>
      </c>
      <c r="D32" s="163"/>
      <c r="E32" s="66">
        <v>125</v>
      </c>
      <c r="F32" s="66"/>
      <c r="G32" s="71"/>
      <c r="H32" s="267"/>
    </row>
    <row r="33" spans="2:11" ht="18" customHeight="1" x14ac:dyDescent="0.35">
      <c r="B33" s="77"/>
      <c r="C33" s="162">
        <v>44169</v>
      </c>
      <c r="D33" s="163"/>
      <c r="E33" s="66">
        <v>150</v>
      </c>
      <c r="F33" s="66"/>
      <c r="G33" s="71"/>
      <c r="H33" s="267"/>
    </row>
    <row r="34" spans="2:11" ht="18" customHeight="1" x14ac:dyDescent="0.35">
      <c r="B34" s="77"/>
      <c r="C34" s="162">
        <v>43820</v>
      </c>
      <c r="D34" s="163"/>
      <c r="E34" s="66">
        <v>120</v>
      </c>
      <c r="F34" s="66"/>
      <c r="G34" s="71"/>
      <c r="H34" s="267"/>
    </row>
    <row r="35" spans="2:11" ht="18" customHeight="1" x14ac:dyDescent="0.35">
      <c r="B35" s="77"/>
      <c r="C35" s="162">
        <v>43859</v>
      </c>
      <c r="D35" s="163"/>
      <c r="E35" s="66"/>
      <c r="F35" s="66"/>
      <c r="G35" s="71"/>
      <c r="H35" s="267"/>
    </row>
    <row r="36" spans="2:11" ht="18" customHeight="1" x14ac:dyDescent="0.35">
      <c r="B36" s="77"/>
      <c r="C36" s="162">
        <v>43861</v>
      </c>
      <c r="D36" s="163"/>
      <c r="E36" s="66">
        <v>280</v>
      </c>
      <c r="F36" s="66"/>
      <c r="G36" s="71"/>
      <c r="H36" s="267"/>
    </row>
    <row r="37" spans="2:11" ht="18" customHeight="1" x14ac:dyDescent="0.35">
      <c r="B37" s="77"/>
      <c r="C37" s="162">
        <v>43865</v>
      </c>
      <c r="D37" s="163"/>
      <c r="E37" s="66">
        <v>75</v>
      </c>
      <c r="F37" s="66"/>
      <c r="G37" s="71"/>
      <c r="H37" s="267"/>
    </row>
    <row r="38" spans="2:11" ht="18" customHeight="1" x14ac:dyDescent="0.35">
      <c r="B38" s="77"/>
      <c r="C38" s="162">
        <v>43867</v>
      </c>
      <c r="D38" s="163"/>
      <c r="E38" s="66">
        <v>55</v>
      </c>
      <c r="F38" s="66"/>
      <c r="G38" s="71"/>
      <c r="H38" s="267"/>
    </row>
    <row r="39" spans="2:11" ht="18" customHeight="1" x14ac:dyDescent="0.35">
      <c r="B39" s="77"/>
      <c r="C39" s="162">
        <v>43874</v>
      </c>
      <c r="D39" s="163"/>
      <c r="E39" s="66">
        <v>50</v>
      </c>
      <c r="F39" s="66"/>
      <c r="G39" s="71"/>
      <c r="H39" s="267"/>
    </row>
    <row r="40" spans="2:11" ht="18" customHeight="1" x14ac:dyDescent="0.35">
      <c r="B40" s="77"/>
      <c r="C40" s="162">
        <v>43873</v>
      </c>
      <c r="D40" s="163"/>
      <c r="E40" s="66">
        <v>125</v>
      </c>
      <c r="F40" s="66"/>
      <c r="G40" s="71"/>
      <c r="H40" s="267"/>
    </row>
    <row r="41" spans="2:11" ht="18" customHeight="1" thickBot="1" x14ac:dyDescent="0.4">
      <c r="B41" s="33" t="s">
        <v>300</v>
      </c>
      <c r="C41" s="162">
        <v>43904</v>
      </c>
      <c r="D41" s="163"/>
      <c r="E41" s="66"/>
      <c r="F41" s="66"/>
      <c r="G41" s="71"/>
      <c r="H41" s="267"/>
    </row>
    <row r="42" spans="2:11" ht="18" customHeight="1" thickBot="1" x14ac:dyDescent="0.4">
      <c r="B42" s="77"/>
      <c r="C42" s="162"/>
      <c r="D42" s="163"/>
      <c r="E42" s="177">
        <f>SUM(E13:E41)</f>
        <v>3375</v>
      </c>
      <c r="F42" s="66"/>
      <c r="G42" s="71"/>
      <c r="H42" s="267"/>
      <c r="K42" s="57">
        <v>745</v>
      </c>
    </row>
    <row r="43" spans="2:11" ht="18" customHeight="1" x14ac:dyDescent="0.35">
      <c r="C43" s="86"/>
      <c r="E43" s="33"/>
    </row>
    <row r="44" spans="2:11" ht="18" customHeight="1" x14ac:dyDescent="0.35">
      <c r="B44" s="79" t="s">
        <v>300</v>
      </c>
      <c r="C44" s="142"/>
      <c r="D44" s="153"/>
      <c r="E44" s="367">
        <v>745</v>
      </c>
      <c r="F44" s="78"/>
      <c r="G44" s="154"/>
      <c r="H44" s="263"/>
    </row>
    <row r="45" spans="2:11" ht="18" customHeight="1" x14ac:dyDescent="0.35">
      <c r="B45" s="79"/>
      <c r="C45" s="142">
        <v>43977</v>
      </c>
      <c r="D45" s="153"/>
      <c r="E45" s="79"/>
      <c r="F45" s="78"/>
      <c r="G45" s="154">
        <v>-300</v>
      </c>
      <c r="H45" s="263"/>
    </row>
    <row r="46" spans="2:11" ht="18" customHeight="1" thickBot="1" x14ac:dyDescent="0.4">
      <c r="B46" s="79"/>
      <c r="C46" s="142">
        <v>43977</v>
      </c>
      <c r="D46" s="153"/>
      <c r="E46" s="79">
        <f>80+45</f>
        <v>125</v>
      </c>
      <c r="F46" s="78"/>
      <c r="G46" s="154"/>
      <c r="H46" s="263"/>
    </row>
    <row r="47" spans="2:11" ht="18" customHeight="1" thickBot="1" x14ac:dyDescent="0.4">
      <c r="B47" s="79"/>
      <c r="C47" s="142"/>
      <c r="D47" s="153"/>
      <c r="E47" s="185">
        <f>SUM(E44:E46)</f>
        <v>870</v>
      </c>
      <c r="F47" s="78"/>
      <c r="G47" s="676">
        <f>SUM(G44:G46)</f>
        <v>-300</v>
      </c>
      <c r="H47" s="263"/>
      <c r="I47" s="261">
        <f>+E47+G47</f>
        <v>570</v>
      </c>
    </row>
    <row r="48" spans="2:11" ht="18" customHeight="1" x14ac:dyDescent="0.35">
      <c r="B48" s="79" t="s">
        <v>381</v>
      </c>
      <c r="C48" s="142"/>
      <c r="D48" s="153"/>
      <c r="E48" s="367">
        <v>570</v>
      </c>
      <c r="F48" s="78"/>
      <c r="G48" s="182"/>
      <c r="H48" s="263"/>
    </row>
    <row r="49" spans="2:8" ht="18" customHeight="1" x14ac:dyDescent="0.35">
      <c r="B49" s="79"/>
      <c r="C49" s="142"/>
      <c r="D49" s="153"/>
      <c r="E49" s="79"/>
      <c r="F49" s="78"/>
      <c r="G49" s="79"/>
      <c r="H49" s="677"/>
    </row>
    <row r="50" spans="2:8" ht="18" customHeight="1" x14ac:dyDescent="0.35">
      <c r="B50" s="79" t="s">
        <v>205</v>
      </c>
      <c r="C50" s="142">
        <v>43698</v>
      </c>
      <c r="D50" s="153">
        <v>550</v>
      </c>
      <c r="E50" s="79">
        <v>65</v>
      </c>
      <c r="F50" s="78"/>
      <c r="G50" s="78">
        <v>0</v>
      </c>
      <c r="H50" s="677"/>
    </row>
    <row r="51" spans="2:8" ht="18" customHeight="1" x14ac:dyDescent="0.35">
      <c r="B51" s="79"/>
      <c r="C51" s="142">
        <v>43732</v>
      </c>
      <c r="D51" s="153"/>
      <c r="E51" s="79">
        <v>235</v>
      </c>
      <c r="F51" s="78"/>
      <c r="G51" s="78"/>
      <c r="H51" s="677"/>
    </row>
    <row r="52" spans="2:8" ht="18" customHeight="1" x14ac:dyDescent="0.35">
      <c r="B52" s="79"/>
      <c r="C52" s="142">
        <v>43733</v>
      </c>
      <c r="D52" s="153"/>
      <c r="E52" s="79"/>
      <c r="F52" s="78"/>
      <c r="G52" s="78">
        <v>-100</v>
      </c>
      <c r="H52" s="677"/>
    </row>
    <row r="53" spans="2:8" ht="18" customHeight="1" x14ac:dyDescent="0.35">
      <c r="B53" s="79"/>
      <c r="C53" s="142">
        <v>43733</v>
      </c>
      <c r="D53" s="153"/>
      <c r="E53" s="79">
        <v>280</v>
      </c>
      <c r="F53" s="78"/>
      <c r="G53" s="78"/>
      <c r="H53" s="677"/>
    </row>
    <row r="54" spans="2:8" ht="18" customHeight="1" x14ac:dyDescent="0.35">
      <c r="B54" s="79"/>
      <c r="C54" s="142">
        <v>43742</v>
      </c>
      <c r="D54" s="153"/>
      <c r="E54" s="79"/>
      <c r="F54" s="78"/>
      <c r="G54" s="78">
        <v>-100</v>
      </c>
      <c r="H54" s="677"/>
    </row>
    <row r="55" spans="2:8" ht="18" customHeight="1" x14ac:dyDescent="0.35">
      <c r="B55" s="79"/>
      <c r="C55" s="142">
        <v>43742</v>
      </c>
      <c r="D55" s="153"/>
      <c r="E55" s="79">
        <f>125+65</f>
        <v>190</v>
      </c>
      <c r="F55" s="78"/>
      <c r="G55" s="78"/>
      <c r="H55" s="677"/>
    </row>
    <row r="56" spans="2:8" ht="18" customHeight="1" x14ac:dyDescent="0.35">
      <c r="B56" s="79"/>
      <c r="C56" s="142">
        <v>43798</v>
      </c>
      <c r="D56" s="153"/>
      <c r="E56" s="79">
        <v>68</v>
      </c>
      <c r="F56" s="78"/>
      <c r="G56" s="78"/>
      <c r="H56" s="677"/>
    </row>
    <row r="57" spans="2:8" ht="18" customHeight="1" x14ac:dyDescent="0.35">
      <c r="B57" s="79"/>
      <c r="C57" s="142">
        <v>43798</v>
      </c>
      <c r="D57" s="153"/>
      <c r="E57" s="79">
        <v>65</v>
      </c>
      <c r="F57" s="78"/>
      <c r="G57" s="78"/>
      <c r="H57" s="677"/>
    </row>
    <row r="58" spans="2:8" ht="18" customHeight="1" x14ac:dyDescent="0.35">
      <c r="B58" s="79"/>
      <c r="C58" s="142">
        <v>44170</v>
      </c>
      <c r="D58" s="153"/>
      <c r="E58" s="79">
        <f>125+150</f>
        <v>275</v>
      </c>
      <c r="F58" s="78"/>
      <c r="G58" s="78"/>
      <c r="H58" s="677"/>
    </row>
    <row r="59" spans="2:8" ht="18" customHeight="1" x14ac:dyDescent="0.35">
      <c r="B59" s="79"/>
      <c r="C59" s="142">
        <v>43820</v>
      </c>
      <c r="D59" s="153">
        <v>642</v>
      </c>
      <c r="E59" s="79">
        <v>115</v>
      </c>
      <c r="F59" s="78"/>
      <c r="G59" s="78"/>
      <c r="H59" s="677"/>
    </row>
    <row r="60" spans="2:8" ht="18" customHeight="1" x14ac:dyDescent="0.35">
      <c r="B60" s="79"/>
      <c r="C60" s="142">
        <v>43900</v>
      </c>
      <c r="D60" s="153"/>
      <c r="E60" s="79"/>
      <c r="F60" s="78"/>
      <c r="G60" s="78">
        <v>-400</v>
      </c>
      <c r="H60" s="677"/>
    </row>
    <row r="61" spans="2:8" ht="18" customHeight="1" x14ac:dyDescent="0.35">
      <c r="B61" s="79"/>
      <c r="C61" s="142"/>
      <c r="D61" s="153"/>
      <c r="E61" s="79"/>
      <c r="F61" s="78"/>
      <c r="G61" s="78">
        <v>-65</v>
      </c>
      <c r="H61" s="677"/>
    </row>
    <row r="62" spans="2:8" ht="18" customHeight="1" x14ac:dyDescent="0.35">
      <c r="B62" s="79"/>
      <c r="C62" s="142">
        <v>43973</v>
      </c>
      <c r="D62" s="153"/>
      <c r="E62" s="79"/>
      <c r="F62" s="78"/>
      <c r="G62" s="78">
        <v>-200</v>
      </c>
      <c r="H62" s="677"/>
    </row>
    <row r="63" spans="2:8" ht="18" customHeight="1" x14ac:dyDescent="0.35">
      <c r="B63" s="79"/>
      <c r="C63" s="142"/>
      <c r="D63" s="153"/>
      <c r="E63" s="79"/>
      <c r="F63" s="78"/>
      <c r="G63" s="78"/>
      <c r="H63" s="677"/>
    </row>
    <row r="64" spans="2:8" ht="18" customHeight="1" thickBot="1" x14ac:dyDescent="0.4">
      <c r="B64" s="79"/>
      <c r="C64" s="142"/>
      <c r="D64" s="153"/>
      <c r="E64" s="79"/>
      <c r="F64" s="78"/>
      <c r="G64" s="78"/>
      <c r="H64" s="677"/>
    </row>
    <row r="65" spans="2:9" ht="18" customHeight="1" thickBot="1" x14ac:dyDescent="0.4">
      <c r="B65" s="79"/>
      <c r="C65" s="142"/>
      <c r="D65" s="153"/>
      <c r="E65" s="184">
        <f>SUM(E50:E62)</f>
        <v>1293</v>
      </c>
      <c r="F65" s="184">
        <f>SUM(F50:F54)</f>
        <v>0</v>
      </c>
      <c r="G65" s="184">
        <f>SUM(G50:G62)</f>
        <v>-865</v>
      </c>
      <c r="H65" s="677"/>
      <c r="I65" s="225">
        <f>+E65+G65</f>
        <v>428</v>
      </c>
    </row>
    <row r="66" spans="2:9" ht="18" customHeight="1" x14ac:dyDescent="0.35">
      <c r="B66" s="79"/>
      <c r="C66" s="142"/>
      <c r="D66" s="153"/>
      <c r="E66" s="79"/>
      <c r="F66" s="79"/>
      <c r="G66" s="79"/>
      <c r="H66" s="677"/>
      <c r="I66" s="226"/>
    </row>
    <row r="67" spans="2:9" ht="18" customHeight="1" x14ac:dyDescent="0.35">
      <c r="B67" s="79" t="s">
        <v>320</v>
      </c>
      <c r="C67" s="142">
        <v>43907</v>
      </c>
      <c r="D67" s="153"/>
      <c r="E67" s="79">
        <v>100</v>
      </c>
      <c r="F67" s="78"/>
      <c r="G67" s="79"/>
      <c r="H67" s="677"/>
    </row>
    <row r="68" spans="2:9" ht="18" customHeight="1" x14ac:dyDescent="0.35">
      <c r="B68" s="79"/>
      <c r="C68" s="142">
        <v>43964</v>
      </c>
      <c r="D68" s="153"/>
      <c r="E68" s="79"/>
      <c r="F68" s="78"/>
      <c r="G68" s="79">
        <v>-100</v>
      </c>
      <c r="H68" s="677"/>
    </row>
    <row r="69" spans="2:9" ht="18" customHeight="1" x14ac:dyDescent="0.35">
      <c r="B69" s="79"/>
      <c r="C69" s="142">
        <v>43964</v>
      </c>
      <c r="D69" s="153"/>
      <c r="E69" s="79">
        <v>90</v>
      </c>
      <c r="F69" s="78"/>
      <c r="G69" s="79">
        <v>-50</v>
      </c>
      <c r="H69" s="677"/>
    </row>
    <row r="70" spans="2:9" ht="18" customHeight="1" x14ac:dyDescent="0.35">
      <c r="B70" s="79"/>
      <c r="C70" s="142">
        <v>43978</v>
      </c>
      <c r="D70" s="153"/>
      <c r="E70" s="79">
        <f>125+125+90</f>
        <v>340</v>
      </c>
      <c r="F70" s="78"/>
      <c r="G70" s="79"/>
      <c r="H70" s="677"/>
    </row>
    <row r="71" spans="2:9" ht="18" customHeight="1" x14ac:dyDescent="0.35">
      <c r="B71" s="79"/>
      <c r="C71" s="142"/>
      <c r="D71" s="153"/>
      <c r="E71" s="79"/>
      <c r="F71" s="78"/>
      <c r="G71" s="79"/>
      <c r="H71" s="677"/>
    </row>
    <row r="72" spans="2:9" ht="18" customHeight="1" thickBot="1" x14ac:dyDescent="0.4">
      <c r="B72" s="79"/>
      <c r="C72" s="142"/>
      <c r="D72" s="153"/>
      <c r="E72" s="79"/>
      <c r="F72" s="78"/>
      <c r="G72" s="79"/>
      <c r="H72" s="677"/>
    </row>
    <row r="73" spans="2:9" ht="18" customHeight="1" thickBot="1" x14ac:dyDescent="0.4">
      <c r="B73" s="79"/>
      <c r="C73" s="142"/>
      <c r="D73" s="153"/>
      <c r="E73" s="184">
        <f>SUM(E67:E72)</f>
        <v>530</v>
      </c>
      <c r="F73" s="78"/>
      <c r="G73" s="184">
        <f>SUM(G68:G72)</f>
        <v>-150</v>
      </c>
      <c r="H73" s="677"/>
      <c r="I73" s="261">
        <f>+E73+G73</f>
        <v>380</v>
      </c>
    </row>
    <row r="74" spans="2:9" ht="18" customHeight="1" x14ac:dyDescent="0.35">
      <c r="B74" s="79"/>
      <c r="C74" s="142"/>
      <c r="D74" s="153"/>
      <c r="E74" s="79"/>
      <c r="F74" s="78"/>
      <c r="G74" s="79"/>
      <c r="H74" s="677"/>
    </row>
    <row r="75" spans="2:9" ht="18" customHeight="1" x14ac:dyDescent="0.35">
      <c r="B75" s="79" t="s">
        <v>1164</v>
      </c>
      <c r="C75" s="142">
        <v>45476</v>
      </c>
      <c r="D75" s="153"/>
      <c r="E75" s="78">
        <v>570</v>
      </c>
      <c r="F75" s="78">
        <v>0</v>
      </c>
      <c r="G75" s="154"/>
      <c r="H75" s="263"/>
    </row>
    <row r="76" spans="2:9" ht="18" customHeight="1" x14ac:dyDescent="0.35">
      <c r="B76" s="79"/>
      <c r="C76" s="142">
        <v>45498</v>
      </c>
      <c r="D76" s="153"/>
      <c r="E76" s="78"/>
      <c r="F76" s="78">
        <v>-500</v>
      </c>
      <c r="G76" s="154"/>
      <c r="H76" s="263"/>
    </row>
    <row r="77" spans="2:9" ht="18" customHeight="1" thickBot="1" x14ac:dyDescent="0.4">
      <c r="B77" s="79"/>
      <c r="C77" s="142"/>
      <c r="D77" s="153"/>
      <c r="E77" s="78"/>
      <c r="F77" s="78"/>
      <c r="G77" s="154"/>
      <c r="H77" s="263"/>
    </row>
    <row r="78" spans="2:9" ht="18" customHeight="1" thickBot="1" x14ac:dyDescent="0.4">
      <c r="B78" s="79"/>
      <c r="C78" s="142"/>
      <c r="D78" s="153"/>
      <c r="E78" s="678">
        <f>SUM(E75:E77)</f>
        <v>570</v>
      </c>
      <c r="F78" s="679">
        <f>SUM(F75:F77)</f>
        <v>-500</v>
      </c>
      <c r="G78" s="154"/>
      <c r="H78" s="263"/>
      <c r="I78" s="261">
        <f>+E78+F78</f>
        <v>70</v>
      </c>
    </row>
    <row r="79" spans="2:9" ht="18" customHeight="1" x14ac:dyDescent="0.35">
      <c r="B79" s="79"/>
      <c r="C79" s="142"/>
      <c r="D79" s="153"/>
      <c r="E79" s="78"/>
      <c r="F79" s="78"/>
      <c r="G79" s="154"/>
      <c r="H79" s="263"/>
    </row>
    <row r="80" spans="2:9" ht="18" customHeight="1" x14ac:dyDescent="0.35">
      <c r="B80" s="33" t="s">
        <v>997</v>
      </c>
      <c r="C80" s="86">
        <v>45504</v>
      </c>
      <c r="E80" s="57">
        <v>25</v>
      </c>
      <c r="F80" s="57">
        <v>-5</v>
      </c>
    </row>
    <row r="81" spans="1:14" ht="18" customHeight="1" x14ac:dyDescent="0.35">
      <c r="C81" s="86">
        <v>46014</v>
      </c>
      <c r="F81" s="57">
        <v>-15</v>
      </c>
    </row>
    <row r="82" spans="1:14" ht="18" customHeight="1" thickBot="1" x14ac:dyDescent="0.4">
      <c r="C82" s="86">
        <v>45773</v>
      </c>
      <c r="E82" s="57">
        <v>35</v>
      </c>
    </row>
    <row r="83" spans="1:14" ht="18" customHeight="1" thickBot="1" x14ac:dyDescent="0.4">
      <c r="C83" s="86"/>
      <c r="E83" s="385">
        <f>SUM(E80:E82)</f>
        <v>60</v>
      </c>
      <c r="F83" s="386">
        <f>SUM(F80:F82)</f>
        <v>-20</v>
      </c>
      <c r="I83" s="261">
        <f>+E83+F83</f>
        <v>40</v>
      </c>
    </row>
    <row r="84" spans="1:14" ht="18" customHeight="1" x14ac:dyDescent="0.35">
      <c r="C84" s="86"/>
    </row>
    <row r="85" spans="1:14" ht="18" customHeight="1" thickBot="1" x14ac:dyDescent="0.4">
      <c r="C85" s="86"/>
      <c r="E85" s="33"/>
    </row>
    <row r="86" spans="1:14" s="1" customFormat="1" ht="18" customHeight="1" thickBot="1" x14ac:dyDescent="0.4">
      <c r="B86" s="207" t="s">
        <v>2103</v>
      </c>
      <c r="C86" s="10"/>
      <c r="D86" s="114"/>
      <c r="E86" s="3"/>
      <c r="F86" s="2"/>
      <c r="G86" s="53"/>
      <c r="H86" s="265"/>
      <c r="I86" s="247">
        <f>+I4+I11+I47+I65+I73+I78+I83</f>
        <v>1773</v>
      </c>
      <c r="N86" s="53"/>
    </row>
    <row r="87" spans="1:14" s="148" customFormat="1" ht="18" customHeight="1" x14ac:dyDescent="0.35">
      <c r="B87" s="149"/>
      <c r="C87" s="150"/>
      <c r="D87" s="151"/>
      <c r="F87" s="152"/>
      <c r="G87" s="152"/>
      <c r="H87" s="266"/>
      <c r="I87" s="248"/>
      <c r="N87" s="152"/>
    </row>
    <row r="88" spans="1:14" ht="18" customHeight="1" x14ac:dyDescent="0.35">
      <c r="B88" s="81">
        <v>43770</v>
      </c>
      <c r="C88" s="86"/>
      <c r="F88" s="65"/>
    </row>
    <row r="89" spans="1:14" ht="18" customHeight="1" x14ac:dyDescent="0.35">
      <c r="C89" s="86"/>
      <c r="F89" s="65"/>
    </row>
    <row r="90" spans="1:14" ht="18" customHeight="1" x14ac:dyDescent="0.35">
      <c r="A90" s="57">
        <v>11</v>
      </c>
      <c r="B90" s="33" t="s">
        <v>206</v>
      </c>
      <c r="C90" s="86">
        <v>43789</v>
      </c>
      <c r="D90" s="114">
        <v>401</v>
      </c>
      <c r="E90" s="57">
        <v>25</v>
      </c>
      <c r="I90" s="77"/>
    </row>
    <row r="91" spans="1:14" ht="18" hidden="1" customHeight="1" x14ac:dyDescent="0.35">
      <c r="C91" s="86">
        <v>43473</v>
      </c>
      <c r="E91" s="57">
        <v>25</v>
      </c>
    </row>
    <row r="92" spans="1:14" ht="18" hidden="1" customHeight="1" x14ac:dyDescent="0.35">
      <c r="C92" s="86">
        <v>43495</v>
      </c>
      <c r="E92" s="32">
        <f>-(50/3.4)</f>
        <v>-14.705882352941178</v>
      </c>
    </row>
    <row r="93" spans="1:14" ht="18" hidden="1" customHeight="1" x14ac:dyDescent="0.35">
      <c r="C93" s="86">
        <v>43552</v>
      </c>
      <c r="E93" s="32">
        <f>-50/3.4</f>
        <v>-14.705882352941178</v>
      </c>
    </row>
    <row r="94" spans="1:14" ht="18" hidden="1" customHeight="1" x14ac:dyDescent="0.35">
      <c r="C94" s="86">
        <v>43567</v>
      </c>
      <c r="E94" s="32">
        <f>65*0.75</f>
        <v>48.75</v>
      </c>
    </row>
    <row r="95" spans="1:14" ht="18" hidden="1" customHeight="1" x14ac:dyDescent="0.35">
      <c r="C95" s="86">
        <v>43619</v>
      </c>
      <c r="E95" s="32">
        <v>-10</v>
      </c>
    </row>
    <row r="96" spans="1:14" ht="18" hidden="1" customHeight="1" x14ac:dyDescent="0.35">
      <c r="C96" s="86">
        <v>43679</v>
      </c>
      <c r="E96" s="32">
        <v>-10</v>
      </c>
    </row>
    <row r="97" spans="3:5" ht="18" hidden="1" customHeight="1" x14ac:dyDescent="0.35">
      <c r="C97" s="86">
        <v>43680</v>
      </c>
      <c r="E97" s="32">
        <v>10</v>
      </c>
    </row>
    <row r="98" spans="3:5" ht="18" hidden="1" customHeight="1" x14ac:dyDescent="0.35">
      <c r="C98" s="86">
        <v>43739</v>
      </c>
      <c r="E98" s="32">
        <v>-5</v>
      </c>
    </row>
    <row r="99" spans="3:5" ht="18" hidden="1" customHeight="1" x14ac:dyDescent="0.35">
      <c r="C99" s="86">
        <v>43801</v>
      </c>
      <c r="E99" s="32">
        <v>-5</v>
      </c>
    </row>
    <row r="100" spans="3:5" ht="18" hidden="1" customHeight="1" x14ac:dyDescent="0.35">
      <c r="C100" s="86">
        <v>43812</v>
      </c>
      <c r="E100" s="32">
        <f>125*0.75</f>
        <v>93.75</v>
      </c>
    </row>
    <row r="101" spans="3:5" ht="18" hidden="1" customHeight="1" x14ac:dyDescent="0.35">
      <c r="C101" s="86">
        <v>44258</v>
      </c>
      <c r="E101" s="32">
        <v>60</v>
      </c>
    </row>
    <row r="102" spans="3:5" ht="18" hidden="1" customHeight="1" x14ac:dyDescent="0.35">
      <c r="C102" s="86">
        <v>44348</v>
      </c>
      <c r="E102" s="32">
        <v>-8</v>
      </c>
    </row>
    <row r="103" spans="3:5" ht="18" hidden="1" customHeight="1" x14ac:dyDescent="0.35">
      <c r="C103" s="86">
        <v>44382</v>
      </c>
      <c r="E103" s="32">
        <v>-10</v>
      </c>
    </row>
    <row r="104" spans="3:5" ht="18" hidden="1" customHeight="1" x14ac:dyDescent="0.35">
      <c r="C104" s="86">
        <v>44509</v>
      </c>
      <c r="E104" s="32">
        <v>25</v>
      </c>
    </row>
    <row r="105" spans="3:5" ht="18" hidden="1" customHeight="1" x14ac:dyDescent="0.35">
      <c r="C105" s="86">
        <v>44531</v>
      </c>
      <c r="E105" s="32">
        <v>-10</v>
      </c>
    </row>
    <row r="106" spans="3:5" ht="18" hidden="1" customHeight="1" x14ac:dyDescent="0.35">
      <c r="C106" s="86" t="s">
        <v>530</v>
      </c>
      <c r="E106" s="32">
        <v>-10</v>
      </c>
    </row>
    <row r="107" spans="3:5" ht="18" hidden="1" customHeight="1" x14ac:dyDescent="0.35">
      <c r="C107" s="86">
        <v>44594</v>
      </c>
      <c r="E107" s="32">
        <v>-10</v>
      </c>
    </row>
    <row r="108" spans="3:5" ht="18" hidden="1" customHeight="1" x14ac:dyDescent="0.35">
      <c r="C108" s="86">
        <v>44621</v>
      </c>
      <c r="E108" s="32">
        <v>-10</v>
      </c>
    </row>
    <row r="109" spans="3:5" ht="18" customHeight="1" x14ac:dyDescent="0.35">
      <c r="C109" s="86">
        <v>44650</v>
      </c>
      <c r="E109" s="32">
        <v>-10</v>
      </c>
    </row>
    <row r="110" spans="3:5" ht="18" customHeight="1" x14ac:dyDescent="0.35">
      <c r="C110" s="86">
        <v>44693</v>
      </c>
      <c r="E110" s="32">
        <v>70</v>
      </c>
    </row>
    <row r="111" spans="3:5" ht="18" hidden="1" customHeight="1" x14ac:dyDescent="0.35">
      <c r="C111" s="86">
        <v>44713</v>
      </c>
      <c r="E111" s="32">
        <v>-10</v>
      </c>
    </row>
    <row r="112" spans="3:5" ht="18" hidden="1" customHeight="1" x14ac:dyDescent="0.35">
      <c r="C112" s="86">
        <v>44743</v>
      </c>
      <c r="E112" s="32">
        <v>-10</v>
      </c>
    </row>
    <row r="113" spans="3:5" ht="18" hidden="1" customHeight="1" x14ac:dyDescent="0.35">
      <c r="C113" s="86">
        <v>44838</v>
      </c>
      <c r="E113" s="32">
        <v>-14</v>
      </c>
    </row>
    <row r="114" spans="3:5" ht="18" hidden="1" customHeight="1" x14ac:dyDescent="0.35">
      <c r="C114" s="86">
        <v>44872</v>
      </c>
      <c r="E114" s="32">
        <v>-15</v>
      </c>
    </row>
    <row r="115" spans="3:5" ht="18" hidden="1" customHeight="1" x14ac:dyDescent="0.35">
      <c r="C115" s="86">
        <v>45238</v>
      </c>
      <c r="E115" s="32">
        <v>15</v>
      </c>
    </row>
    <row r="116" spans="3:5" ht="18" hidden="1" customHeight="1" x14ac:dyDescent="0.35">
      <c r="C116" s="86">
        <v>44919</v>
      </c>
      <c r="E116" s="32">
        <v>-20</v>
      </c>
    </row>
    <row r="117" spans="3:5" ht="18" hidden="1" customHeight="1" x14ac:dyDescent="0.35">
      <c r="C117" s="86">
        <v>44986</v>
      </c>
      <c r="E117" s="32">
        <v>-10</v>
      </c>
    </row>
    <row r="118" spans="3:5" ht="18" hidden="1" customHeight="1" x14ac:dyDescent="0.35">
      <c r="C118" s="86">
        <v>45019</v>
      </c>
      <c r="E118" s="32">
        <v>-10</v>
      </c>
    </row>
    <row r="119" spans="3:5" ht="18" hidden="1" customHeight="1" x14ac:dyDescent="0.35">
      <c r="C119" s="86">
        <v>45079</v>
      </c>
      <c r="E119" s="32">
        <v>-10</v>
      </c>
    </row>
    <row r="120" spans="3:5" ht="18" hidden="1" customHeight="1" x14ac:dyDescent="0.35">
      <c r="C120" s="86">
        <v>45189</v>
      </c>
      <c r="E120" s="32">
        <v>41</v>
      </c>
    </row>
    <row r="121" spans="3:5" ht="18" hidden="1" customHeight="1" x14ac:dyDescent="0.35">
      <c r="C121" s="86">
        <v>45261</v>
      </c>
      <c r="E121" s="32">
        <v>-10</v>
      </c>
    </row>
    <row r="122" spans="3:5" ht="18" hidden="1" customHeight="1" x14ac:dyDescent="0.35">
      <c r="C122" s="86">
        <v>45281</v>
      </c>
      <c r="E122" s="32">
        <v>-20</v>
      </c>
    </row>
    <row r="123" spans="3:5" ht="18" hidden="1" customHeight="1" x14ac:dyDescent="0.35">
      <c r="C123" s="86">
        <v>46014</v>
      </c>
      <c r="E123" s="32">
        <v>-50</v>
      </c>
    </row>
    <row r="124" spans="3:5" ht="18" hidden="1" customHeight="1" x14ac:dyDescent="0.35">
      <c r="C124" s="86">
        <v>45691</v>
      </c>
      <c r="E124" s="32">
        <v>-10</v>
      </c>
    </row>
    <row r="125" spans="3:5" ht="18" hidden="1" customHeight="1" x14ac:dyDescent="0.35">
      <c r="C125" s="86">
        <v>45719</v>
      </c>
      <c r="E125" s="32">
        <v>-10</v>
      </c>
    </row>
    <row r="126" spans="3:5" ht="18" hidden="1" customHeight="1" x14ac:dyDescent="0.35">
      <c r="C126" s="86">
        <v>45730</v>
      </c>
      <c r="E126" s="32">
        <v>15</v>
      </c>
    </row>
    <row r="127" spans="3:5" ht="18.75" hidden="1" customHeight="1" x14ac:dyDescent="0.35">
      <c r="C127" s="86">
        <v>45757</v>
      </c>
      <c r="E127" s="32">
        <v>35</v>
      </c>
    </row>
    <row r="128" spans="3:5" ht="18.75" hidden="1" customHeight="1" x14ac:dyDescent="0.35">
      <c r="C128" s="86">
        <v>45776</v>
      </c>
      <c r="E128" s="32">
        <v>-10</v>
      </c>
    </row>
    <row r="129" spans="1:9" ht="18.75" hidden="1" customHeight="1" x14ac:dyDescent="0.35">
      <c r="C129" s="86">
        <v>45794</v>
      </c>
      <c r="E129" s="32">
        <v>10</v>
      </c>
    </row>
    <row r="130" spans="1:9" ht="18.75" hidden="1" customHeight="1" x14ac:dyDescent="0.35">
      <c r="C130" s="86">
        <v>45810</v>
      </c>
      <c r="E130" s="32">
        <v>-20</v>
      </c>
      <c r="G130" s="52" t="s">
        <v>1702</v>
      </c>
    </row>
    <row r="131" spans="1:9" ht="18.75" hidden="1" customHeight="1" x14ac:dyDescent="0.35">
      <c r="C131" s="86">
        <v>45822</v>
      </c>
      <c r="E131" s="32">
        <v>18</v>
      </c>
      <c r="G131" s="52" t="s">
        <v>1752</v>
      </c>
    </row>
    <row r="132" spans="1:9" ht="18.75" hidden="1" customHeight="1" x14ac:dyDescent="0.35">
      <c r="C132" s="86">
        <v>45835</v>
      </c>
      <c r="E132" s="32">
        <v>-10</v>
      </c>
      <c r="G132" s="52" t="s">
        <v>1762</v>
      </c>
    </row>
    <row r="133" spans="1:9" ht="18.75" hidden="1" customHeight="1" x14ac:dyDescent="0.35">
      <c r="C133" s="86"/>
      <c r="E133" s="32">
        <v>-18</v>
      </c>
      <c r="G133" s="52" t="s">
        <v>1752</v>
      </c>
    </row>
    <row r="134" spans="1:9" ht="18.75" customHeight="1" x14ac:dyDescent="0.35">
      <c r="C134" s="86" t="s">
        <v>135</v>
      </c>
      <c r="E134" s="32">
        <f>+(45+45)*0.75</f>
        <v>67.5</v>
      </c>
    </row>
    <row r="135" spans="1:9" ht="18.75" customHeight="1" x14ac:dyDescent="0.35">
      <c r="C135" s="86">
        <v>45870</v>
      </c>
      <c r="E135" s="32">
        <v>-10</v>
      </c>
    </row>
    <row r="136" spans="1:9" ht="18.75" customHeight="1" x14ac:dyDescent="0.35">
      <c r="C136" s="86">
        <v>46010</v>
      </c>
      <c r="E136" s="32">
        <v>-10</v>
      </c>
    </row>
    <row r="137" spans="1:9" ht="18.75" customHeight="1" thickBot="1" x14ac:dyDescent="0.4">
      <c r="C137" s="86">
        <v>46078</v>
      </c>
      <c r="E137" s="32">
        <v>-10</v>
      </c>
    </row>
    <row r="138" spans="1:9" ht="18" customHeight="1" thickBot="1" x14ac:dyDescent="0.4">
      <c r="C138" s="86"/>
      <c r="E138" s="124">
        <f>SUM(E90:E137)</f>
        <v>144.58823529411765</v>
      </c>
      <c r="I138" s="261">
        <f>+E138</f>
        <v>144.58823529411765</v>
      </c>
    </row>
    <row r="139" spans="1:9" ht="18" customHeight="1" x14ac:dyDescent="0.35">
      <c r="C139" s="86"/>
    </row>
    <row r="140" spans="1:9" ht="18" customHeight="1" x14ac:dyDescent="0.35">
      <c r="A140" s="57">
        <v>13</v>
      </c>
      <c r="B140" s="33" t="s">
        <v>207</v>
      </c>
      <c r="C140" s="86">
        <v>43473</v>
      </c>
      <c r="D140" s="114">
        <v>404</v>
      </c>
      <c r="E140" s="57">
        <v>25</v>
      </c>
    </row>
    <row r="141" spans="1:9" ht="18" hidden="1" customHeight="1" x14ac:dyDescent="0.35">
      <c r="C141" s="86">
        <v>43494</v>
      </c>
      <c r="E141" s="32">
        <f>-(20/3.4)</f>
        <v>-5.882352941176471</v>
      </c>
    </row>
    <row r="142" spans="1:9" ht="18" hidden="1" customHeight="1" x14ac:dyDescent="0.35">
      <c r="C142" s="86">
        <v>43552</v>
      </c>
      <c r="E142" s="32">
        <f>-30/3.4</f>
        <v>-8.8235294117647065</v>
      </c>
    </row>
    <row r="143" spans="1:9" ht="18" hidden="1" customHeight="1" x14ac:dyDescent="0.35">
      <c r="C143" s="86">
        <v>43567</v>
      </c>
      <c r="E143" s="32">
        <v>25</v>
      </c>
    </row>
    <row r="144" spans="1:9" ht="18" hidden="1" customHeight="1" x14ac:dyDescent="0.35">
      <c r="C144" s="86">
        <v>43619</v>
      </c>
      <c r="E144" s="32">
        <v>-5</v>
      </c>
    </row>
    <row r="145" spans="3:6" ht="18" hidden="1" customHeight="1" x14ac:dyDescent="0.35">
      <c r="C145" s="86">
        <v>43648</v>
      </c>
      <c r="E145" s="32">
        <v>-10</v>
      </c>
    </row>
    <row r="146" spans="3:6" ht="18" hidden="1" customHeight="1" x14ac:dyDescent="0.35">
      <c r="C146" s="86">
        <v>43739</v>
      </c>
      <c r="E146" s="32">
        <v>-5</v>
      </c>
    </row>
    <row r="147" spans="3:6" ht="18" hidden="1" customHeight="1" x14ac:dyDescent="0.35">
      <c r="C147" s="86">
        <v>43788</v>
      </c>
      <c r="E147" s="32">
        <v>26</v>
      </c>
    </row>
    <row r="148" spans="3:6" ht="18" hidden="1" customHeight="1" x14ac:dyDescent="0.35">
      <c r="C148" s="86">
        <v>43801</v>
      </c>
      <c r="E148" s="32">
        <v>-5</v>
      </c>
    </row>
    <row r="149" spans="3:6" ht="18" hidden="1" customHeight="1" x14ac:dyDescent="0.35">
      <c r="C149" s="86">
        <v>43817</v>
      </c>
      <c r="E149" s="32">
        <v>61</v>
      </c>
    </row>
    <row r="150" spans="3:6" ht="18" hidden="1" customHeight="1" x14ac:dyDescent="0.35">
      <c r="C150" s="86">
        <v>43894</v>
      </c>
      <c r="E150" s="32">
        <v>-6</v>
      </c>
    </row>
    <row r="151" spans="3:6" ht="18" hidden="1" customHeight="1" x14ac:dyDescent="0.35">
      <c r="C151" s="86">
        <v>44258</v>
      </c>
      <c r="E151" s="32">
        <v>60</v>
      </c>
    </row>
    <row r="152" spans="3:6" ht="18" hidden="1" customHeight="1" x14ac:dyDescent="0.35">
      <c r="C152" s="86">
        <v>44285</v>
      </c>
      <c r="E152" s="32"/>
      <c r="F152" s="57">
        <v>-10</v>
      </c>
    </row>
    <row r="153" spans="3:6" ht="18" hidden="1" customHeight="1" x14ac:dyDescent="0.35">
      <c r="C153" s="86">
        <v>44319</v>
      </c>
      <c r="E153" s="32"/>
      <c r="F153" s="57">
        <v>-10</v>
      </c>
    </row>
    <row r="154" spans="3:6" ht="18" hidden="1" customHeight="1" x14ac:dyDescent="0.35">
      <c r="C154" s="86">
        <v>44348</v>
      </c>
      <c r="E154" s="32"/>
      <c r="F154" s="57">
        <v>-10</v>
      </c>
    </row>
    <row r="155" spans="3:6" ht="18" hidden="1" customHeight="1" x14ac:dyDescent="0.35">
      <c r="C155" s="86">
        <v>44412</v>
      </c>
      <c r="E155" s="32"/>
      <c r="F155" s="57">
        <v>-10</v>
      </c>
    </row>
    <row r="156" spans="3:6" ht="18" hidden="1" customHeight="1" x14ac:dyDescent="0.35">
      <c r="C156" s="86">
        <v>44440</v>
      </c>
      <c r="E156" s="32"/>
      <c r="F156" s="57">
        <v>-10</v>
      </c>
    </row>
    <row r="157" spans="3:6" ht="18" hidden="1" customHeight="1" x14ac:dyDescent="0.35">
      <c r="C157" s="86">
        <v>44470</v>
      </c>
      <c r="E157" s="32"/>
      <c r="F157" s="57">
        <v>-13</v>
      </c>
    </row>
    <row r="158" spans="3:6" ht="18" hidden="1" customHeight="1" x14ac:dyDescent="0.35">
      <c r="C158" s="86">
        <v>44509</v>
      </c>
      <c r="E158" s="32">
        <v>25</v>
      </c>
    </row>
    <row r="159" spans="3:6" ht="18" hidden="1" customHeight="1" x14ac:dyDescent="0.35">
      <c r="C159" s="86">
        <v>44511</v>
      </c>
      <c r="E159" s="32">
        <v>42</v>
      </c>
    </row>
    <row r="160" spans="3:6" ht="18" hidden="1" customHeight="1" x14ac:dyDescent="0.35">
      <c r="C160" s="86">
        <v>44531</v>
      </c>
      <c r="E160" s="32"/>
      <c r="F160" s="57">
        <v>-15</v>
      </c>
    </row>
    <row r="161" spans="3:6" ht="18" hidden="1" customHeight="1" x14ac:dyDescent="0.35">
      <c r="C161" s="86">
        <v>44916</v>
      </c>
      <c r="E161" s="32"/>
      <c r="F161" s="57">
        <v>-20</v>
      </c>
    </row>
    <row r="162" spans="3:6" ht="18" hidden="1" customHeight="1" x14ac:dyDescent="0.35">
      <c r="C162" s="86">
        <v>44919</v>
      </c>
      <c r="E162" s="32">
        <v>60</v>
      </c>
    </row>
    <row r="163" spans="3:6" ht="18" hidden="1" customHeight="1" x14ac:dyDescent="0.35">
      <c r="C163" s="86">
        <v>44594</v>
      </c>
      <c r="E163" s="32">
        <v>-20</v>
      </c>
    </row>
    <row r="164" spans="3:6" ht="18" hidden="1" customHeight="1" x14ac:dyDescent="0.35">
      <c r="C164" s="86">
        <v>44621</v>
      </c>
      <c r="E164" s="32">
        <v>-8</v>
      </c>
    </row>
    <row r="165" spans="3:6" ht="18" hidden="1" customHeight="1" x14ac:dyDescent="0.35">
      <c r="C165" s="86">
        <v>44650</v>
      </c>
      <c r="E165" s="32">
        <v>-10</v>
      </c>
    </row>
    <row r="166" spans="3:6" ht="18" hidden="1" customHeight="1" x14ac:dyDescent="0.35">
      <c r="C166" s="86">
        <v>44713</v>
      </c>
      <c r="E166" s="32">
        <v>-10</v>
      </c>
    </row>
    <row r="167" spans="3:6" ht="18" hidden="1" customHeight="1" x14ac:dyDescent="0.35">
      <c r="C167" s="86">
        <v>44743</v>
      </c>
      <c r="E167" s="32">
        <v>-10</v>
      </c>
    </row>
    <row r="168" spans="3:6" ht="18" hidden="1" customHeight="1" x14ac:dyDescent="0.35">
      <c r="C168" s="86">
        <v>44838</v>
      </c>
      <c r="E168" s="32">
        <v>-15</v>
      </c>
    </row>
    <row r="169" spans="3:6" ht="18" hidden="1" customHeight="1" x14ac:dyDescent="0.35">
      <c r="C169" s="86">
        <v>44872</v>
      </c>
      <c r="E169" s="32">
        <v>-16</v>
      </c>
    </row>
    <row r="170" spans="3:6" ht="18" hidden="1" customHeight="1" x14ac:dyDescent="0.35">
      <c r="C170" s="86">
        <v>45262</v>
      </c>
      <c r="E170" s="32">
        <v>-14</v>
      </c>
    </row>
    <row r="171" spans="3:6" ht="18" hidden="1" customHeight="1" x14ac:dyDescent="0.35">
      <c r="C171" s="86">
        <v>44919</v>
      </c>
      <c r="E171" s="32">
        <v>-20</v>
      </c>
    </row>
    <row r="172" spans="3:6" ht="18" hidden="1" customHeight="1" x14ac:dyDescent="0.35">
      <c r="C172" s="86"/>
      <c r="E172" s="32">
        <v>15</v>
      </c>
    </row>
    <row r="173" spans="3:6" ht="18" hidden="1" customHeight="1" x14ac:dyDescent="0.35">
      <c r="C173" s="86">
        <v>44958</v>
      </c>
      <c r="E173" s="32">
        <v>-13</v>
      </c>
    </row>
    <row r="174" spans="3:6" ht="18" hidden="1" customHeight="1" x14ac:dyDescent="0.35">
      <c r="C174" s="86">
        <v>44960</v>
      </c>
      <c r="E174" s="32">
        <v>49</v>
      </c>
    </row>
    <row r="175" spans="3:6" ht="18" hidden="1" customHeight="1" x14ac:dyDescent="0.35">
      <c r="C175" s="86">
        <v>44993</v>
      </c>
      <c r="E175" s="32">
        <v>-10</v>
      </c>
    </row>
    <row r="176" spans="3:6" ht="18" hidden="1" customHeight="1" x14ac:dyDescent="0.35">
      <c r="C176" s="86">
        <v>45019</v>
      </c>
      <c r="E176" s="32">
        <v>-15</v>
      </c>
    </row>
    <row r="177" spans="3:6" ht="18" hidden="1" customHeight="1" x14ac:dyDescent="0.35">
      <c r="C177" s="86">
        <v>45019</v>
      </c>
      <c r="E177" s="32">
        <v>42</v>
      </c>
    </row>
    <row r="178" spans="3:6" ht="18" hidden="1" customHeight="1" x14ac:dyDescent="0.35">
      <c r="C178" s="86">
        <v>45048</v>
      </c>
      <c r="E178" s="32">
        <v>-15</v>
      </c>
    </row>
    <row r="179" spans="3:6" ht="18" hidden="1" customHeight="1" x14ac:dyDescent="0.35">
      <c r="C179" s="86">
        <v>45078</v>
      </c>
      <c r="E179" s="32">
        <v>-15</v>
      </c>
    </row>
    <row r="180" spans="3:6" ht="18" hidden="1" customHeight="1" x14ac:dyDescent="0.35">
      <c r="C180" s="86">
        <v>45169</v>
      </c>
      <c r="E180" s="32">
        <v>-10</v>
      </c>
    </row>
    <row r="181" spans="3:6" ht="18" hidden="1" customHeight="1" x14ac:dyDescent="0.35">
      <c r="C181" s="86">
        <v>45183</v>
      </c>
      <c r="E181" s="32">
        <v>15</v>
      </c>
    </row>
    <row r="182" spans="3:6" ht="18" hidden="1" customHeight="1" x14ac:dyDescent="0.35">
      <c r="C182" s="86">
        <v>45201</v>
      </c>
      <c r="E182" s="32">
        <v>-10</v>
      </c>
    </row>
    <row r="183" spans="3:6" ht="18" hidden="1" customHeight="1" x14ac:dyDescent="0.35">
      <c r="C183" s="86">
        <v>45230</v>
      </c>
      <c r="E183" s="32">
        <v>-10</v>
      </c>
    </row>
    <row r="184" spans="3:6" ht="18" hidden="1" customHeight="1" x14ac:dyDescent="0.35">
      <c r="C184" s="86"/>
      <c r="E184" s="32">
        <v>25</v>
      </c>
    </row>
    <row r="185" spans="3:6" ht="18" hidden="1" customHeight="1" x14ac:dyDescent="0.35">
      <c r="C185" s="86">
        <v>45243</v>
      </c>
      <c r="E185" s="32">
        <v>54</v>
      </c>
    </row>
    <row r="186" spans="3:6" ht="18" hidden="1" customHeight="1" x14ac:dyDescent="0.35">
      <c r="C186" s="86">
        <v>45280</v>
      </c>
      <c r="E186" s="32">
        <v>-19</v>
      </c>
    </row>
    <row r="187" spans="3:6" ht="18" hidden="1" customHeight="1" x14ac:dyDescent="0.35">
      <c r="C187" s="86">
        <v>45280</v>
      </c>
      <c r="E187" s="32">
        <v>55</v>
      </c>
      <c r="F187" s="57" t="s">
        <v>976</v>
      </c>
    </row>
    <row r="188" spans="3:6" ht="18" hidden="1" customHeight="1" x14ac:dyDescent="0.35">
      <c r="C188" s="86">
        <v>45280</v>
      </c>
      <c r="E188" s="32">
        <v>-21</v>
      </c>
      <c r="F188" s="57" t="s">
        <v>977</v>
      </c>
    </row>
    <row r="189" spans="3:6" ht="18" hidden="1" customHeight="1" x14ac:dyDescent="0.35">
      <c r="C189" s="86">
        <v>45504</v>
      </c>
      <c r="E189" s="32">
        <v>-10</v>
      </c>
    </row>
    <row r="190" spans="3:6" ht="18" hidden="1" customHeight="1" x14ac:dyDescent="0.35">
      <c r="C190" s="86">
        <v>45633</v>
      </c>
      <c r="E190" s="32">
        <v>35</v>
      </c>
    </row>
    <row r="191" spans="3:6" ht="18" hidden="1" customHeight="1" x14ac:dyDescent="0.35">
      <c r="C191" s="86">
        <v>46014</v>
      </c>
      <c r="E191" s="32">
        <v>-50</v>
      </c>
    </row>
    <row r="192" spans="3:6" ht="18" hidden="1" customHeight="1" x14ac:dyDescent="0.35">
      <c r="C192" s="86">
        <v>45689</v>
      </c>
      <c r="E192" s="32">
        <v>-10</v>
      </c>
    </row>
    <row r="193" spans="2:9" ht="18" hidden="1" customHeight="1" x14ac:dyDescent="0.35">
      <c r="C193" s="86">
        <v>45717</v>
      </c>
      <c r="E193" s="32">
        <v>-10</v>
      </c>
    </row>
    <row r="194" spans="2:9" ht="18" hidden="1" customHeight="1" x14ac:dyDescent="0.35">
      <c r="C194" s="86">
        <v>45748</v>
      </c>
      <c r="E194" s="32">
        <v>-10</v>
      </c>
    </row>
    <row r="195" spans="2:9" ht="18" hidden="1" customHeight="1" x14ac:dyDescent="0.35">
      <c r="C195" s="86"/>
      <c r="E195" s="32">
        <v>35</v>
      </c>
    </row>
    <row r="196" spans="2:9" ht="18" hidden="1" customHeight="1" x14ac:dyDescent="0.35">
      <c r="C196" s="86">
        <v>45789</v>
      </c>
      <c r="E196" s="32">
        <v>10</v>
      </c>
    </row>
    <row r="197" spans="2:9" ht="18" hidden="1" customHeight="1" x14ac:dyDescent="0.35">
      <c r="C197" s="86">
        <v>45810</v>
      </c>
      <c r="E197" s="32">
        <v>-20</v>
      </c>
      <c r="G197" s="52" t="s">
        <v>1701</v>
      </c>
    </row>
    <row r="198" spans="2:9" ht="18" hidden="1" customHeight="1" x14ac:dyDescent="0.35">
      <c r="C198" s="86">
        <v>45833</v>
      </c>
      <c r="E198" s="32">
        <v>-10</v>
      </c>
    </row>
    <row r="199" spans="2:9" ht="18" hidden="1" customHeight="1" x14ac:dyDescent="0.35">
      <c r="C199" s="86">
        <v>45834</v>
      </c>
      <c r="E199" s="32">
        <v>20</v>
      </c>
    </row>
    <row r="200" spans="2:9" ht="18" hidden="1" customHeight="1" x14ac:dyDescent="0.35">
      <c r="C200" s="86">
        <v>45834</v>
      </c>
      <c r="E200" s="32">
        <f>35*0.75</f>
        <v>26.25</v>
      </c>
    </row>
    <row r="201" spans="2:9" ht="18" customHeight="1" x14ac:dyDescent="0.35">
      <c r="C201" s="86">
        <v>46379</v>
      </c>
      <c r="E201" s="32">
        <v>-20</v>
      </c>
    </row>
    <row r="202" spans="2:9" ht="18" customHeight="1" thickBot="1" x14ac:dyDescent="0.4">
      <c r="C202" s="86"/>
      <c r="E202" s="32">
        <v>20</v>
      </c>
      <c r="G202" s="52" t="s">
        <v>2351</v>
      </c>
    </row>
    <row r="203" spans="2:9" ht="18" customHeight="1" thickBot="1" x14ac:dyDescent="0.4">
      <c r="C203" s="86"/>
      <c r="E203" s="124">
        <f>SUM(E140:E202)</f>
        <v>278.54411764705884</v>
      </c>
      <c r="F203" s="123">
        <f>SUM(F140:F162)</f>
        <v>-98</v>
      </c>
      <c r="I203" s="261">
        <f>+E203+F203</f>
        <v>180.54411764705884</v>
      </c>
    </row>
    <row r="204" spans="2:9" ht="18" customHeight="1" x14ac:dyDescent="0.35">
      <c r="C204" s="187"/>
      <c r="E204" s="33"/>
      <c r="F204" s="33"/>
      <c r="G204" s="33"/>
      <c r="H204" s="268"/>
      <c r="I204" s="226"/>
    </row>
    <row r="205" spans="2:9" ht="18" customHeight="1" x14ac:dyDescent="0.35">
      <c r="B205" s="33" t="s">
        <v>1111</v>
      </c>
      <c r="C205" s="86">
        <v>45398</v>
      </c>
      <c r="E205" s="57">
        <v>475</v>
      </c>
      <c r="F205" s="57">
        <v>0</v>
      </c>
    </row>
    <row r="206" spans="2:9" ht="18" customHeight="1" x14ac:dyDescent="0.35">
      <c r="C206" s="86"/>
      <c r="E206" s="57">
        <v>15</v>
      </c>
      <c r="G206" s="52" t="s">
        <v>1552</v>
      </c>
    </row>
    <row r="207" spans="2:9" ht="18" customHeight="1" x14ac:dyDescent="0.35">
      <c r="C207" s="86">
        <v>45449</v>
      </c>
      <c r="E207" s="57">
        <v>50</v>
      </c>
      <c r="F207" s="57">
        <v>-100</v>
      </c>
    </row>
    <row r="208" spans="2:9" ht="18" customHeight="1" x14ac:dyDescent="0.35">
      <c r="C208" s="86">
        <v>45496</v>
      </c>
      <c r="E208" s="57">
        <v>65</v>
      </c>
      <c r="F208" s="57">
        <v>-150</v>
      </c>
    </row>
    <row r="209" spans="2:6" ht="18" customHeight="1" x14ac:dyDescent="0.35">
      <c r="C209" s="86">
        <v>45524</v>
      </c>
      <c r="E209" s="57">
        <v>90</v>
      </c>
    </row>
    <row r="210" spans="2:6" ht="18" customHeight="1" x14ac:dyDescent="0.35">
      <c r="C210" s="86">
        <v>45544</v>
      </c>
      <c r="F210" s="57">
        <v>-100</v>
      </c>
    </row>
    <row r="211" spans="2:6" ht="18" customHeight="1" x14ac:dyDescent="0.35">
      <c r="C211" s="86">
        <v>45555</v>
      </c>
      <c r="E211" s="57">
        <v>145</v>
      </c>
    </row>
    <row r="212" spans="2:6" ht="18" customHeight="1" x14ac:dyDescent="0.35">
      <c r="C212" s="86">
        <v>45567</v>
      </c>
      <c r="F212" s="57">
        <v>-150</v>
      </c>
    </row>
    <row r="213" spans="2:6" ht="18" customHeight="1" x14ac:dyDescent="0.35">
      <c r="C213" s="86">
        <v>45601</v>
      </c>
      <c r="F213" s="57">
        <v>-100</v>
      </c>
    </row>
    <row r="214" spans="2:6" ht="18" customHeight="1" x14ac:dyDescent="0.35">
      <c r="C214" s="86">
        <v>45628</v>
      </c>
      <c r="F214" s="57">
        <v>-100</v>
      </c>
    </row>
    <row r="215" spans="2:6" ht="18" hidden="1" customHeight="1" thickBot="1" x14ac:dyDescent="0.4">
      <c r="C215" s="86">
        <v>45630</v>
      </c>
      <c r="E215" s="57">
        <v>215</v>
      </c>
    </row>
    <row r="216" spans="2:6" ht="18" hidden="1" customHeight="1" thickBot="1" x14ac:dyDescent="0.4">
      <c r="C216" s="86"/>
      <c r="E216" s="385">
        <f>SUM(E205:E215)</f>
        <v>1055</v>
      </c>
      <c r="F216" s="385">
        <f>SUM(F205:F215)</f>
        <v>-700</v>
      </c>
    </row>
    <row r="217" spans="2:6" ht="18" hidden="1" customHeight="1" x14ac:dyDescent="0.35">
      <c r="B217" s="33" t="s">
        <v>1447</v>
      </c>
      <c r="C217" s="86"/>
      <c r="E217" s="33">
        <v>355</v>
      </c>
    </row>
    <row r="218" spans="2:6" ht="18" hidden="1" customHeight="1" x14ac:dyDescent="0.35">
      <c r="C218" s="86">
        <v>45668</v>
      </c>
      <c r="E218" s="57">
        <v>55</v>
      </c>
      <c r="F218" s="57">
        <v>-100</v>
      </c>
    </row>
    <row r="219" spans="2:6" ht="18" hidden="1" customHeight="1" x14ac:dyDescent="0.35">
      <c r="C219" s="86">
        <v>45721</v>
      </c>
      <c r="E219" s="57">
        <v>55</v>
      </c>
      <c r="F219" s="57">
        <v>-100</v>
      </c>
    </row>
    <row r="220" spans="2:6" ht="18" hidden="1" customHeight="1" x14ac:dyDescent="0.35">
      <c r="C220" s="86">
        <v>45751</v>
      </c>
      <c r="F220" s="57">
        <v>-100</v>
      </c>
    </row>
    <row r="221" spans="2:6" ht="18" hidden="1" customHeight="1" thickBot="1" x14ac:dyDescent="0.4">
      <c r="C221" s="86">
        <v>45782</v>
      </c>
      <c r="F221" s="57">
        <v>-100</v>
      </c>
    </row>
    <row r="222" spans="2:6" ht="18" hidden="1" customHeight="1" thickBot="1" x14ac:dyDescent="0.4">
      <c r="C222" s="86"/>
      <c r="E222" s="385">
        <f>SUM(E217:E221)</f>
        <v>465</v>
      </c>
      <c r="F222" s="386">
        <f>SUM(F217:F221)</f>
        <v>-400</v>
      </c>
    </row>
    <row r="223" spans="2:6" ht="18" customHeight="1" x14ac:dyDescent="0.35">
      <c r="B223" s="33" t="s">
        <v>2104</v>
      </c>
      <c r="C223" s="86"/>
      <c r="E223" s="57">
        <v>65</v>
      </c>
    </row>
    <row r="224" spans="2:6" ht="18" customHeight="1" x14ac:dyDescent="0.35">
      <c r="C224" s="86">
        <v>45798</v>
      </c>
      <c r="E224" s="57">
        <v>600</v>
      </c>
    </row>
    <row r="225" spans="2:12" ht="18" customHeight="1" x14ac:dyDescent="0.35">
      <c r="C225" s="86">
        <v>45812</v>
      </c>
      <c r="F225" s="57">
        <v>-65</v>
      </c>
    </row>
    <row r="226" spans="2:12" ht="18" hidden="1" customHeight="1" x14ac:dyDescent="0.35">
      <c r="C226" s="86">
        <v>45873</v>
      </c>
      <c r="F226" s="57">
        <v>-100</v>
      </c>
    </row>
    <row r="227" spans="2:12" ht="18" hidden="1" customHeight="1" x14ac:dyDescent="0.35">
      <c r="C227" s="86">
        <v>45905</v>
      </c>
      <c r="F227" s="57">
        <v>-100</v>
      </c>
      <c r="L227" s="57">
        <v>300</v>
      </c>
    </row>
    <row r="228" spans="2:12" ht="18" hidden="1" customHeight="1" x14ac:dyDescent="0.35">
      <c r="C228" s="86">
        <v>45933</v>
      </c>
      <c r="F228" s="57">
        <v>-100</v>
      </c>
      <c r="L228" s="57">
        <v>210</v>
      </c>
    </row>
    <row r="229" spans="2:12" ht="18" hidden="1" customHeight="1" x14ac:dyDescent="0.35">
      <c r="C229" s="86">
        <v>45966</v>
      </c>
      <c r="E229" s="57">
        <v>210</v>
      </c>
      <c r="F229" s="57">
        <v>-100</v>
      </c>
      <c r="L229" s="57">
        <f>SUM(L227:L228)</f>
        <v>510</v>
      </c>
    </row>
    <row r="230" spans="2:12" ht="18" hidden="1" customHeight="1" x14ac:dyDescent="0.35">
      <c r="C230" s="86">
        <v>45999</v>
      </c>
      <c r="F230" s="57">
        <v>-100</v>
      </c>
    </row>
    <row r="231" spans="2:12" ht="18" customHeight="1" thickBot="1" x14ac:dyDescent="0.4">
      <c r="C231" s="86">
        <v>46031</v>
      </c>
    </row>
    <row r="232" spans="2:12" ht="18" customHeight="1" thickBot="1" x14ac:dyDescent="0.4">
      <c r="C232" s="86"/>
      <c r="E232" s="385">
        <f>SUM(E223:E231)</f>
        <v>875</v>
      </c>
      <c r="F232" s="386">
        <f>SUM(F223:F231)</f>
        <v>-565</v>
      </c>
      <c r="I232" s="261">
        <f>SUM(E232:H232)</f>
        <v>310</v>
      </c>
    </row>
    <row r="233" spans="2:12" ht="18" customHeight="1" x14ac:dyDescent="0.35">
      <c r="B233" s="33" t="s">
        <v>2415</v>
      </c>
      <c r="C233" s="86"/>
      <c r="E233" s="57">
        <v>310</v>
      </c>
    </row>
    <row r="234" spans="2:12" ht="18" customHeight="1" x14ac:dyDescent="0.35">
      <c r="C234" s="86">
        <v>46031</v>
      </c>
      <c r="F234" s="57">
        <v>-100</v>
      </c>
    </row>
    <row r="235" spans="2:12" ht="18" customHeight="1" x14ac:dyDescent="0.35">
      <c r="C235" s="86">
        <v>46055</v>
      </c>
      <c r="E235" s="57">
        <v>85</v>
      </c>
      <c r="F235" s="57">
        <v>-100</v>
      </c>
    </row>
    <row r="236" spans="2:12" ht="18" customHeight="1" x14ac:dyDescent="0.35">
      <c r="C236" s="86">
        <v>46083</v>
      </c>
      <c r="E236" s="57">
        <v>75</v>
      </c>
    </row>
    <row r="237" spans="2:12" ht="18" customHeight="1" x14ac:dyDescent="0.35">
      <c r="C237" s="86">
        <v>46090</v>
      </c>
      <c r="E237" s="57">
        <v>55</v>
      </c>
      <c r="F237" s="57">
        <v>-100</v>
      </c>
    </row>
    <row r="238" spans="2:12" ht="18" customHeight="1" x14ac:dyDescent="0.35">
      <c r="C238" s="86">
        <v>46119</v>
      </c>
      <c r="E238" s="57">
        <v>85</v>
      </c>
      <c r="F238" s="57">
        <v>-100</v>
      </c>
    </row>
    <row r="239" spans="2:12" ht="18" customHeight="1" thickBot="1" x14ac:dyDescent="0.4">
      <c r="C239" s="86"/>
    </row>
    <row r="240" spans="2:12" ht="18" customHeight="1" thickBot="1" x14ac:dyDescent="0.4">
      <c r="C240" s="86"/>
      <c r="E240" s="385">
        <f>SUM(E233:E238)</f>
        <v>610</v>
      </c>
      <c r="F240" s="385">
        <f>SUM(F233:F238)</f>
        <v>-400</v>
      </c>
      <c r="I240" s="261">
        <f>SUM(E240:H240)</f>
        <v>210</v>
      </c>
    </row>
    <row r="241" spans="2:14" ht="18" customHeight="1" x14ac:dyDescent="0.35">
      <c r="C241" s="86"/>
    </row>
    <row r="242" spans="2:14" ht="18" customHeight="1" x14ac:dyDescent="0.35">
      <c r="B242" s="33" t="s">
        <v>401</v>
      </c>
      <c r="C242" s="86">
        <v>45531</v>
      </c>
      <c r="E242" s="57">
        <v>150</v>
      </c>
      <c r="K242" s="86"/>
      <c r="L242" s="114"/>
    </row>
    <row r="243" spans="2:14" ht="18" customHeight="1" x14ac:dyDescent="0.35">
      <c r="C243" s="86"/>
      <c r="E243" s="57">
        <v>150</v>
      </c>
      <c r="K243" s="86"/>
      <c r="L243" s="114"/>
    </row>
    <row r="244" spans="2:14" ht="18" customHeight="1" x14ac:dyDescent="0.35">
      <c r="C244" s="86"/>
      <c r="E244" s="57">
        <v>125</v>
      </c>
      <c r="K244" s="86"/>
      <c r="L244" s="114"/>
    </row>
    <row r="245" spans="2:14" ht="18" hidden="1" customHeight="1" x14ac:dyDescent="0.35">
      <c r="C245" s="86">
        <v>45544</v>
      </c>
      <c r="F245" s="66">
        <v>-50</v>
      </c>
      <c r="K245" s="86"/>
      <c r="L245" s="114"/>
    </row>
    <row r="246" spans="2:14" ht="18" hidden="1" customHeight="1" x14ac:dyDescent="0.35">
      <c r="C246" s="86">
        <v>45558</v>
      </c>
      <c r="F246" s="252">
        <v>-100</v>
      </c>
      <c r="K246" s="86"/>
      <c r="L246" s="114"/>
      <c r="N246" s="78"/>
    </row>
    <row r="247" spans="2:14" ht="18" hidden="1" customHeight="1" x14ac:dyDescent="0.35">
      <c r="C247" s="86">
        <v>45588</v>
      </c>
      <c r="F247" s="66">
        <v>-100</v>
      </c>
      <c r="K247" s="86"/>
      <c r="L247" s="114"/>
    </row>
    <row r="248" spans="2:14" ht="18" hidden="1" customHeight="1" x14ac:dyDescent="0.35">
      <c r="C248" s="86">
        <v>45600</v>
      </c>
      <c r="F248" s="66">
        <v>-50</v>
      </c>
      <c r="H248" s="264" t="s">
        <v>1307</v>
      </c>
      <c r="K248" s="86"/>
      <c r="L248" s="114"/>
    </row>
    <row r="249" spans="2:14" ht="18" hidden="1" customHeight="1" x14ac:dyDescent="0.35">
      <c r="C249" s="86">
        <v>45602</v>
      </c>
      <c r="F249" s="66">
        <v>-100</v>
      </c>
      <c r="K249" s="86"/>
      <c r="L249" s="114"/>
    </row>
    <row r="250" spans="2:14" ht="18" hidden="1" customHeight="1" x14ac:dyDescent="0.35">
      <c r="B250" s="33" t="s">
        <v>1344</v>
      </c>
      <c r="C250" s="86">
        <v>45614</v>
      </c>
      <c r="E250" s="252">
        <v>373</v>
      </c>
      <c r="F250" s="252">
        <v>-25</v>
      </c>
      <c r="G250" s="264" t="s">
        <v>1550</v>
      </c>
      <c r="K250" s="86"/>
      <c r="L250" s="114"/>
      <c r="N250" s="78"/>
    </row>
    <row r="251" spans="2:14" ht="18" hidden="1" customHeight="1" x14ac:dyDescent="0.35">
      <c r="C251" s="86">
        <v>45629</v>
      </c>
      <c r="E251" s="57">
        <v>150</v>
      </c>
      <c r="F251" s="66">
        <v>-50</v>
      </c>
      <c r="K251" s="86"/>
      <c r="L251" s="114"/>
    </row>
    <row r="252" spans="2:14" ht="18" hidden="1" customHeight="1" thickBot="1" x14ac:dyDescent="0.4">
      <c r="C252" s="86">
        <v>46011</v>
      </c>
      <c r="F252" s="57">
        <v>-50</v>
      </c>
      <c r="K252" s="86"/>
      <c r="L252" s="114"/>
    </row>
    <row r="253" spans="2:14" ht="18" hidden="1" customHeight="1" thickBot="1" x14ac:dyDescent="0.4">
      <c r="C253" s="86"/>
      <c r="E253" s="385">
        <f>SUM(E242:E252)</f>
        <v>948</v>
      </c>
      <c r="F253" s="385">
        <f>SUM(F242:F252)</f>
        <v>-525</v>
      </c>
      <c r="K253" s="86"/>
      <c r="L253" s="114"/>
      <c r="M253" s="385"/>
      <c r="N253" s="385"/>
    </row>
    <row r="254" spans="2:14" ht="18" hidden="1" customHeight="1" x14ac:dyDescent="0.35">
      <c r="B254" s="33" t="s">
        <v>1448</v>
      </c>
      <c r="C254" s="86"/>
      <c r="E254" s="252">
        <v>423</v>
      </c>
      <c r="K254" s="86"/>
      <c r="L254" s="114"/>
    </row>
    <row r="255" spans="2:14" ht="18" hidden="1" customHeight="1" x14ac:dyDescent="0.35">
      <c r="C255" s="86">
        <v>45671</v>
      </c>
      <c r="E255" s="57">
        <v>35</v>
      </c>
      <c r="F255" s="57">
        <v>-75</v>
      </c>
      <c r="K255" s="86"/>
      <c r="L255" s="114"/>
    </row>
    <row r="256" spans="2:14" ht="18" hidden="1" customHeight="1" x14ac:dyDescent="0.35">
      <c r="C256" s="86">
        <v>45691</v>
      </c>
      <c r="F256" s="57">
        <v>-35</v>
      </c>
      <c r="K256" s="86"/>
      <c r="L256" s="114"/>
    </row>
    <row r="257" spans="3:12" ht="18" hidden="1" customHeight="1" x14ac:dyDescent="0.35">
      <c r="C257" s="86">
        <v>45698</v>
      </c>
      <c r="F257" s="57">
        <v>-50</v>
      </c>
      <c r="K257" s="86"/>
      <c r="L257" s="114"/>
    </row>
    <row r="258" spans="3:12" ht="18" hidden="1" customHeight="1" x14ac:dyDescent="0.35">
      <c r="C258" s="86">
        <v>45723</v>
      </c>
      <c r="E258" s="57">
        <v>330</v>
      </c>
      <c r="F258" s="57">
        <v>-100</v>
      </c>
      <c r="K258" s="86"/>
      <c r="L258" s="114"/>
    </row>
    <row r="259" spans="3:12" ht="18" customHeight="1" x14ac:dyDescent="0.35">
      <c r="C259" s="86">
        <v>45749</v>
      </c>
      <c r="F259" s="57">
        <v>-130</v>
      </c>
      <c r="K259" s="86"/>
      <c r="L259" s="114"/>
    </row>
    <row r="260" spans="3:12" ht="18" hidden="1" customHeight="1" x14ac:dyDescent="0.35">
      <c r="C260" s="86">
        <v>45764</v>
      </c>
      <c r="E260" s="57">
        <v>130</v>
      </c>
      <c r="J260" s="57">
        <v>398</v>
      </c>
      <c r="K260" s="86"/>
      <c r="L260" s="114"/>
    </row>
    <row r="261" spans="3:12" ht="18" hidden="1" customHeight="1" x14ac:dyDescent="0.35">
      <c r="C261" s="86">
        <v>45769</v>
      </c>
      <c r="F261" s="57">
        <v>-140</v>
      </c>
      <c r="J261" s="57">
        <v>130</v>
      </c>
      <c r="K261" s="86"/>
      <c r="L261" s="114"/>
    </row>
    <row r="262" spans="3:12" ht="18" hidden="1" customHeight="1" x14ac:dyDescent="0.35">
      <c r="C262" s="86">
        <v>45824</v>
      </c>
      <c r="F262" s="57">
        <v>-100</v>
      </c>
      <c r="K262" s="86"/>
      <c r="L262" s="114"/>
    </row>
    <row r="263" spans="3:12" ht="18" hidden="1" customHeight="1" x14ac:dyDescent="0.35">
      <c r="C263" s="86">
        <v>45825</v>
      </c>
      <c r="E263" s="57">
        <v>405</v>
      </c>
      <c r="F263" s="57">
        <v>-13</v>
      </c>
      <c r="K263" s="86"/>
      <c r="L263" s="114"/>
    </row>
    <row r="264" spans="3:12" ht="18" hidden="1" customHeight="1" x14ac:dyDescent="0.35">
      <c r="C264" s="86">
        <v>45835</v>
      </c>
      <c r="F264" s="57">
        <v>-50</v>
      </c>
      <c r="K264" s="86"/>
      <c r="L264" s="114"/>
    </row>
    <row r="265" spans="3:12" ht="18" hidden="1" customHeight="1" x14ac:dyDescent="0.35">
      <c r="C265" s="86">
        <v>45854</v>
      </c>
      <c r="F265" s="57">
        <v>-130</v>
      </c>
      <c r="K265" s="86"/>
      <c r="L265" s="114"/>
    </row>
    <row r="266" spans="3:12" ht="18" hidden="1" customHeight="1" x14ac:dyDescent="0.35">
      <c r="C266" s="86">
        <v>45873</v>
      </c>
      <c r="F266" s="57">
        <v>-20</v>
      </c>
      <c r="G266" s="52" t="s">
        <v>1794</v>
      </c>
      <c r="K266" s="86"/>
      <c r="L266" s="114"/>
    </row>
    <row r="267" spans="3:12" ht="18" hidden="1" customHeight="1" x14ac:dyDescent="0.35">
      <c r="C267" s="86">
        <v>45908</v>
      </c>
      <c r="F267" s="57">
        <v>-50</v>
      </c>
      <c r="K267" s="86"/>
      <c r="L267" s="114"/>
    </row>
    <row r="268" spans="3:12" ht="18" hidden="1" customHeight="1" x14ac:dyDescent="0.35">
      <c r="C268" s="86">
        <v>45922</v>
      </c>
      <c r="F268" s="57">
        <v>-50</v>
      </c>
      <c r="K268" s="86"/>
      <c r="L268" s="114"/>
    </row>
    <row r="269" spans="3:12" ht="18" hidden="1" customHeight="1" x14ac:dyDescent="0.35">
      <c r="C269" s="86">
        <v>45942</v>
      </c>
      <c r="F269" s="57">
        <v>-50</v>
      </c>
      <c r="K269" s="86"/>
      <c r="L269" s="114"/>
    </row>
    <row r="270" spans="3:12" ht="18" hidden="1" customHeight="1" x14ac:dyDescent="0.35">
      <c r="C270" s="86">
        <v>45979</v>
      </c>
      <c r="F270" s="57">
        <v>-50</v>
      </c>
      <c r="K270" s="86"/>
      <c r="L270" s="114"/>
    </row>
    <row r="271" spans="3:12" ht="18" hidden="1" customHeight="1" x14ac:dyDescent="0.35">
      <c r="C271" s="86">
        <v>45986</v>
      </c>
      <c r="F271" s="57">
        <v>-50</v>
      </c>
      <c r="K271" s="86"/>
      <c r="L271" s="114"/>
    </row>
    <row r="272" spans="3:12" ht="18" customHeight="1" thickBot="1" x14ac:dyDescent="0.4">
      <c r="C272" s="86">
        <v>46006</v>
      </c>
      <c r="F272" s="57">
        <v>-100</v>
      </c>
      <c r="K272" s="86"/>
      <c r="L272" s="114"/>
    </row>
    <row r="273" spans="2:9" ht="18" customHeight="1" thickBot="1" x14ac:dyDescent="0.4">
      <c r="C273" s="86"/>
      <c r="E273" s="102">
        <f>SUM(E254:E266)</f>
        <v>1323</v>
      </c>
      <c r="F273" s="587">
        <f>SUM(F254:F272)</f>
        <v>-1193</v>
      </c>
    </row>
    <row r="274" spans="2:9" ht="18" customHeight="1" x14ac:dyDescent="0.35">
      <c r="B274" s="33" t="s">
        <v>2105</v>
      </c>
      <c r="C274" s="86"/>
      <c r="E274" s="33">
        <v>130</v>
      </c>
      <c r="F274" s="33"/>
    </row>
    <row r="275" spans="2:9" ht="18" customHeight="1" x14ac:dyDescent="0.35">
      <c r="B275" s="33" t="s">
        <v>401</v>
      </c>
      <c r="C275" s="86">
        <v>46029</v>
      </c>
      <c r="E275" s="33">
        <v>145</v>
      </c>
      <c r="F275" s="33"/>
    </row>
    <row r="276" spans="2:9" ht="18" customHeight="1" x14ac:dyDescent="0.35">
      <c r="C276" s="86">
        <v>46035</v>
      </c>
      <c r="E276" s="33">
        <v>150</v>
      </c>
      <c r="F276" s="33">
        <v>-30</v>
      </c>
    </row>
    <row r="277" spans="2:9" ht="18" customHeight="1" x14ac:dyDescent="0.35">
      <c r="C277" s="86">
        <v>46062</v>
      </c>
      <c r="E277" s="33"/>
      <c r="F277" s="33">
        <v>-50</v>
      </c>
    </row>
    <row r="278" spans="2:9" ht="18" customHeight="1" x14ac:dyDescent="0.35">
      <c r="C278" s="86">
        <v>46090</v>
      </c>
      <c r="E278" s="33"/>
      <c r="F278" s="33">
        <v>-45</v>
      </c>
    </row>
    <row r="279" spans="2:9" ht="18" customHeight="1" x14ac:dyDescent="0.35">
      <c r="C279" s="86">
        <v>46095</v>
      </c>
      <c r="E279" s="33"/>
      <c r="F279" s="33">
        <v>-50</v>
      </c>
    </row>
    <row r="280" spans="2:9" ht="18" customHeight="1" thickBot="1" x14ac:dyDescent="0.4">
      <c r="C280" s="86">
        <v>46140</v>
      </c>
      <c r="E280" s="33">
        <v>45</v>
      </c>
      <c r="F280" s="33">
        <v>-50</v>
      </c>
    </row>
    <row r="281" spans="2:9" ht="18" customHeight="1" thickBot="1" x14ac:dyDescent="0.4">
      <c r="C281" s="86"/>
      <c r="E281" s="102">
        <f>SUM(E274:E280)</f>
        <v>470</v>
      </c>
      <c r="F281" s="102">
        <f>SUM(F276:F280)</f>
        <v>-225</v>
      </c>
      <c r="I281" s="261">
        <f>SUM(E281:H281)</f>
        <v>245</v>
      </c>
    </row>
    <row r="282" spans="2:9" ht="18" customHeight="1" x14ac:dyDescent="0.35">
      <c r="C282" s="86"/>
    </row>
    <row r="283" spans="2:9" ht="18" customHeight="1" thickBot="1" x14ac:dyDescent="0.4">
      <c r="B283" s="33" t="s">
        <v>498</v>
      </c>
      <c r="C283" s="86">
        <v>45537</v>
      </c>
      <c r="E283" s="57">
        <v>110</v>
      </c>
      <c r="F283" s="57">
        <v>0</v>
      </c>
    </row>
    <row r="284" spans="2:9" ht="18" hidden="1" customHeight="1" x14ac:dyDescent="0.35">
      <c r="C284" s="86">
        <v>46009</v>
      </c>
      <c r="F284" s="57">
        <v>-60</v>
      </c>
    </row>
    <row r="285" spans="2:9" ht="18" hidden="1" customHeight="1" x14ac:dyDescent="0.35">
      <c r="C285" s="86">
        <v>45722</v>
      </c>
      <c r="F285" s="57">
        <v>-50</v>
      </c>
    </row>
    <row r="286" spans="2:9" ht="18" hidden="1" customHeight="1" thickBot="1" x14ac:dyDescent="0.4">
      <c r="C286" s="86">
        <v>45726</v>
      </c>
      <c r="E286" s="57">
        <v>30</v>
      </c>
      <c r="F286" s="57">
        <v>-10</v>
      </c>
    </row>
    <row r="287" spans="2:9" ht="18" hidden="1" customHeight="1" thickBot="1" x14ac:dyDescent="0.4">
      <c r="C287" s="86"/>
      <c r="E287" s="385">
        <f>SUM(E283:E286)</f>
        <v>140</v>
      </c>
      <c r="F287" s="386">
        <f>SUM(F283:F286)</f>
        <v>-120</v>
      </c>
    </row>
    <row r="288" spans="2:9" ht="18" hidden="1" customHeight="1" x14ac:dyDescent="0.35">
      <c r="C288" s="86" t="s">
        <v>2348</v>
      </c>
      <c r="E288" s="57">
        <v>20</v>
      </c>
    </row>
    <row r="289" spans="2:9" ht="18" hidden="1" customHeight="1" x14ac:dyDescent="0.35">
      <c r="C289" s="86">
        <v>45825</v>
      </c>
      <c r="E289" s="57">
        <v>230</v>
      </c>
    </row>
    <row r="290" spans="2:9" ht="18" hidden="1" customHeight="1" x14ac:dyDescent="0.35">
      <c r="C290" s="86">
        <v>45874</v>
      </c>
      <c r="F290" s="57">
        <v>-70</v>
      </c>
    </row>
    <row r="291" spans="2:9" ht="18" hidden="1" customHeight="1" x14ac:dyDescent="0.35">
      <c r="C291" s="86">
        <v>45904</v>
      </c>
      <c r="F291" s="57">
        <v>-70</v>
      </c>
    </row>
    <row r="292" spans="2:9" ht="18" hidden="1" customHeight="1" x14ac:dyDescent="0.35">
      <c r="C292" s="86">
        <v>45908</v>
      </c>
      <c r="E292" s="57">
        <v>150</v>
      </c>
    </row>
    <row r="293" spans="2:9" ht="18" hidden="1" customHeight="1" x14ac:dyDescent="0.35">
      <c r="C293" s="86">
        <v>45969</v>
      </c>
      <c r="F293" s="57">
        <v>-70</v>
      </c>
    </row>
    <row r="294" spans="2:9" ht="18" hidden="1" customHeight="1" thickBot="1" x14ac:dyDescent="0.4">
      <c r="C294" s="86">
        <v>45976</v>
      </c>
      <c r="E294" s="57">
        <v>25</v>
      </c>
    </row>
    <row r="295" spans="2:9" ht="16.5" customHeight="1" thickBot="1" x14ac:dyDescent="0.4">
      <c r="C295" s="86"/>
      <c r="E295" s="385">
        <f>SUM(E288:E294)</f>
        <v>425</v>
      </c>
      <c r="F295" s="386">
        <f>SUM(F288:F294)</f>
        <v>-210</v>
      </c>
    </row>
    <row r="296" spans="2:9" ht="16.5" customHeight="1" x14ac:dyDescent="0.35">
      <c r="B296" s="33" t="s">
        <v>2105</v>
      </c>
      <c r="C296" s="86"/>
      <c r="E296" s="57">
        <f>+E295+F295</f>
        <v>215</v>
      </c>
    </row>
    <row r="297" spans="2:9" ht="16.5" customHeight="1" x14ac:dyDescent="0.35">
      <c r="C297" s="86">
        <v>46062</v>
      </c>
      <c r="F297" s="57">
        <v>-50</v>
      </c>
    </row>
    <row r="298" spans="2:9" ht="16.5" customHeight="1" x14ac:dyDescent="0.35">
      <c r="C298" s="86">
        <v>46119</v>
      </c>
      <c r="F298" s="57">
        <v>-60</v>
      </c>
    </row>
    <row r="299" spans="2:9" ht="16.5" customHeight="1" thickBot="1" x14ac:dyDescent="0.4">
      <c r="C299" s="86"/>
    </row>
    <row r="300" spans="2:9" ht="18" customHeight="1" thickBot="1" x14ac:dyDescent="0.4">
      <c r="C300" s="86"/>
      <c r="E300" s="385">
        <f>SUM(E296:E299)</f>
        <v>215</v>
      </c>
      <c r="F300" s="385">
        <f>SUM(F296:F299)</f>
        <v>-110</v>
      </c>
      <c r="I300" s="261">
        <f>SUM(E300:H300)</f>
        <v>105</v>
      </c>
    </row>
    <row r="301" spans="2:9" ht="18" customHeight="1" x14ac:dyDescent="0.35">
      <c r="C301" s="86"/>
    </row>
    <row r="302" spans="2:9" ht="18" customHeight="1" x14ac:dyDescent="0.35">
      <c r="B302" s="33" t="s">
        <v>1698</v>
      </c>
      <c r="C302" s="86">
        <v>45811</v>
      </c>
      <c r="E302" s="57">
        <v>35</v>
      </c>
    </row>
    <row r="303" spans="2:9" ht="18" customHeight="1" x14ac:dyDescent="0.35">
      <c r="C303" s="86">
        <v>45827</v>
      </c>
      <c r="E303" s="57">
        <v>25</v>
      </c>
      <c r="F303" s="57">
        <v>-5</v>
      </c>
      <c r="G303" s="52" t="s">
        <v>1907</v>
      </c>
    </row>
    <row r="304" spans="2:9" ht="18" customHeight="1" x14ac:dyDescent="0.35">
      <c r="C304" s="86">
        <v>45868</v>
      </c>
      <c r="F304" s="57">
        <v>-40</v>
      </c>
    </row>
    <row r="305" spans="2:9" ht="18" customHeight="1" x14ac:dyDescent="0.35">
      <c r="C305" s="86">
        <v>45937</v>
      </c>
      <c r="E305" s="57">
        <v>120</v>
      </c>
    </row>
    <row r="306" spans="2:9" ht="18" customHeight="1" x14ac:dyDescent="0.35">
      <c r="C306" s="86">
        <v>46385</v>
      </c>
      <c r="F306" s="57">
        <v>-50</v>
      </c>
    </row>
    <row r="307" spans="2:9" ht="18" customHeight="1" x14ac:dyDescent="0.35">
      <c r="C307" s="86">
        <v>46115</v>
      </c>
      <c r="F307" s="57">
        <v>-40</v>
      </c>
    </row>
    <row r="308" spans="2:9" ht="18" customHeight="1" thickBot="1" x14ac:dyDescent="0.4">
      <c r="C308" s="86"/>
    </row>
    <row r="309" spans="2:9" ht="18" customHeight="1" thickBot="1" x14ac:dyDescent="0.4">
      <c r="C309" s="86"/>
      <c r="E309" s="385">
        <f>SUM(E302:E308)</f>
        <v>180</v>
      </c>
      <c r="F309" s="386">
        <f>SUM(F302:F308)</f>
        <v>-135</v>
      </c>
      <c r="I309" s="261">
        <f>SUM(E309:H309)</f>
        <v>45</v>
      </c>
    </row>
    <row r="310" spans="2:9" ht="18" customHeight="1" x14ac:dyDescent="0.35">
      <c r="C310" s="86"/>
    </row>
    <row r="311" spans="2:9" ht="18" customHeight="1" x14ac:dyDescent="0.35">
      <c r="B311" s="33" t="s">
        <v>1744</v>
      </c>
      <c r="C311" s="86">
        <v>45818</v>
      </c>
      <c r="E311" s="57">
        <v>275</v>
      </c>
      <c r="F311" s="57">
        <v>0</v>
      </c>
    </row>
    <row r="312" spans="2:9" ht="18" customHeight="1" thickBot="1" x14ac:dyDescent="0.4">
      <c r="C312" s="86">
        <v>45892</v>
      </c>
      <c r="F312" s="57">
        <v>-240</v>
      </c>
    </row>
    <row r="313" spans="2:9" ht="18" customHeight="1" thickBot="1" x14ac:dyDescent="0.4">
      <c r="C313" s="86"/>
      <c r="E313" s="385">
        <f>SUM(E311:E312)</f>
        <v>275</v>
      </c>
      <c r="F313" s="386">
        <f>SUM(F311:F312)</f>
        <v>-240</v>
      </c>
      <c r="I313" s="261">
        <f>SUM(E313:H313)</f>
        <v>35</v>
      </c>
    </row>
    <row r="314" spans="2:9" ht="18" customHeight="1" x14ac:dyDescent="0.35">
      <c r="C314" s="86"/>
    </row>
    <row r="315" spans="2:9" ht="18" hidden="1" customHeight="1" x14ac:dyDescent="0.35">
      <c r="B315" s="77" t="s">
        <v>1758</v>
      </c>
      <c r="C315" s="162">
        <v>45831</v>
      </c>
      <c r="D315" s="163"/>
      <c r="E315" s="66">
        <v>130</v>
      </c>
      <c r="F315" s="66">
        <v>-40</v>
      </c>
      <c r="G315" s="71"/>
      <c r="H315" s="267"/>
    </row>
    <row r="316" spans="2:9" ht="18" hidden="1" customHeight="1" x14ac:dyDescent="0.35">
      <c r="B316" s="77"/>
      <c r="C316" s="162" t="s">
        <v>135</v>
      </c>
      <c r="D316" s="163"/>
      <c r="E316" s="66"/>
      <c r="F316" s="66">
        <v>-50</v>
      </c>
      <c r="G316" s="71" t="s">
        <v>2299</v>
      </c>
      <c r="H316" s="267"/>
    </row>
    <row r="317" spans="2:9" ht="18" hidden="1" customHeight="1" thickBot="1" x14ac:dyDescent="0.4">
      <c r="B317" s="77"/>
      <c r="C317" s="162">
        <v>46043</v>
      </c>
      <c r="D317" s="163"/>
      <c r="E317" s="66"/>
      <c r="F317" s="66">
        <v>-40</v>
      </c>
      <c r="G317" s="71"/>
      <c r="H317" s="267"/>
    </row>
    <row r="318" spans="2:9" ht="18" hidden="1" customHeight="1" thickBot="1" x14ac:dyDescent="0.4">
      <c r="B318" s="77"/>
      <c r="C318" s="162"/>
      <c r="D318" s="163"/>
      <c r="E318" s="717">
        <f>SUM(E315:E317)</f>
        <v>130</v>
      </c>
      <c r="F318" s="718">
        <f>SUM(F315:F317)</f>
        <v>-130</v>
      </c>
      <c r="G318" s="71"/>
      <c r="H318" s="267"/>
      <c r="I318" s="261">
        <f>SUM(E318:H318)</f>
        <v>0</v>
      </c>
    </row>
    <row r="319" spans="2:9" ht="18" hidden="1" customHeight="1" x14ac:dyDescent="0.35">
      <c r="C319" s="86"/>
    </row>
    <row r="320" spans="2:9" ht="18" customHeight="1" x14ac:dyDescent="0.35">
      <c r="B320" s="33" t="s">
        <v>1788</v>
      </c>
      <c r="C320" s="86">
        <v>45859</v>
      </c>
      <c r="E320" s="57">
        <v>200</v>
      </c>
      <c r="F320" s="57">
        <v>-45</v>
      </c>
      <c r="G320" s="52" t="s">
        <v>1792</v>
      </c>
    </row>
    <row r="321" spans="2:9" ht="18" customHeight="1" x14ac:dyDescent="0.35">
      <c r="C321" s="86"/>
    </row>
    <row r="322" spans="2:9" ht="18" customHeight="1" x14ac:dyDescent="0.35">
      <c r="C322" s="86">
        <v>46024</v>
      </c>
      <c r="F322" s="57">
        <v>-60</v>
      </c>
    </row>
    <row r="323" spans="2:9" ht="18" customHeight="1" thickBot="1" x14ac:dyDescent="0.4">
      <c r="C323" s="86">
        <v>46122</v>
      </c>
      <c r="F323" s="57">
        <v>-70</v>
      </c>
    </row>
    <row r="324" spans="2:9" ht="18" customHeight="1" thickBot="1" x14ac:dyDescent="0.4">
      <c r="C324" s="86"/>
      <c r="E324" s="385">
        <f>SUM(E320:E322)</f>
        <v>200</v>
      </c>
      <c r="F324" s="386">
        <f>SUM(F320:F323)</f>
        <v>-175</v>
      </c>
      <c r="I324" s="261">
        <f>SUM(E324:H324)</f>
        <v>25</v>
      </c>
    </row>
    <row r="325" spans="2:9" ht="18" customHeight="1" x14ac:dyDescent="0.35">
      <c r="C325" s="86"/>
    </row>
    <row r="326" spans="2:9" ht="18" hidden="1" customHeight="1" x14ac:dyDescent="0.35">
      <c r="B326" s="77" t="s">
        <v>1819</v>
      </c>
      <c r="C326" s="162">
        <v>45916</v>
      </c>
      <c r="D326" s="163"/>
      <c r="E326" s="66">
        <v>150</v>
      </c>
      <c r="F326" s="66"/>
      <c r="G326" s="71"/>
      <c r="H326" s="267"/>
    </row>
    <row r="327" spans="2:9" ht="18" hidden="1" customHeight="1" x14ac:dyDescent="0.35">
      <c r="B327" s="77"/>
      <c r="C327" s="162">
        <v>45932</v>
      </c>
      <c r="D327" s="163"/>
      <c r="E327" s="66"/>
      <c r="F327" s="66">
        <v>-50</v>
      </c>
      <c r="G327" s="71"/>
      <c r="H327" s="267"/>
    </row>
    <row r="328" spans="2:9" ht="18" hidden="1" customHeight="1" x14ac:dyDescent="0.35">
      <c r="B328" s="77"/>
      <c r="C328" s="162">
        <v>45968</v>
      </c>
      <c r="D328" s="163"/>
      <c r="E328" s="66"/>
      <c r="F328" s="66">
        <v>-50</v>
      </c>
      <c r="G328" s="71"/>
      <c r="H328" s="267"/>
    </row>
    <row r="329" spans="2:9" ht="18" hidden="1" customHeight="1" thickBot="1" x14ac:dyDescent="0.4">
      <c r="B329" s="77"/>
      <c r="C329" s="162">
        <v>46058</v>
      </c>
      <c r="D329" s="163"/>
      <c r="E329" s="66"/>
      <c r="F329" s="66">
        <v>-50</v>
      </c>
      <c r="G329" s="71"/>
      <c r="H329" s="267"/>
    </row>
    <row r="330" spans="2:9" ht="18" hidden="1" customHeight="1" thickBot="1" x14ac:dyDescent="0.4">
      <c r="B330" s="77"/>
      <c r="C330" s="162"/>
      <c r="D330" s="163"/>
      <c r="E330" s="717">
        <f>SUM(E326:E329)</f>
        <v>150</v>
      </c>
      <c r="F330" s="717">
        <f>SUM(F326:F329)</f>
        <v>-150</v>
      </c>
      <c r="G330" s="71"/>
      <c r="H330" s="267"/>
      <c r="I330" s="261">
        <f>SUM(E330:H330)</f>
        <v>0</v>
      </c>
    </row>
    <row r="331" spans="2:9" ht="18" hidden="1" customHeight="1" x14ac:dyDescent="0.35">
      <c r="C331" s="86"/>
    </row>
    <row r="332" spans="2:9" ht="18" hidden="1" customHeight="1" x14ac:dyDescent="0.35">
      <c r="B332" s="77" t="s">
        <v>1906</v>
      </c>
      <c r="C332" s="162">
        <v>45937</v>
      </c>
      <c r="D332" s="163"/>
      <c r="E332" s="66">
        <v>180</v>
      </c>
      <c r="F332" s="66"/>
      <c r="G332" s="71"/>
      <c r="H332" s="267"/>
    </row>
    <row r="333" spans="2:9" ht="18" hidden="1" customHeight="1" x14ac:dyDescent="0.35">
      <c r="B333" s="77"/>
      <c r="C333" s="162">
        <v>45997</v>
      </c>
      <c r="D333" s="163"/>
      <c r="E333" s="66"/>
      <c r="F333" s="66">
        <v>-100</v>
      </c>
      <c r="G333" s="71"/>
      <c r="H333" s="267"/>
    </row>
    <row r="334" spans="2:9" ht="18" hidden="1" customHeight="1" x14ac:dyDescent="0.35">
      <c r="B334" s="77"/>
      <c r="C334" s="162">
        <v>46028</v>
      </c>
      <c r="D334" s="163"/>
      <c r="E334" s="66"/>
      <c r="F334" s="66">
        <v>-60</v>
      </c>
      <c r="G334" s="71"/>
      <c r="H334" s="267"/>
    </row>
    <row r="335" spans="2:9" ht="18" hidden="1" customHeight="1" thickBot="1" x14ac:dyDescent="0.4">
      <c r="B335" s="77"/>
      <c r="C335" s="162">
        <v>46050</v>
      </c>
      <c r="D335" s="163"/>
      <c r="E335" s="66"/>
      <c r="F335" s="66">
        <v>-20</v>
      </c>
      <c r="G335" s="71"/>
      <c r="H335" s="267"/>
    </row>
    <row r="336" spans="2:9" ht="18" hidden="1" customHeight="1" thickBot="1" x14ac:dyDescent="0.4">
      <c r="B336" s="77"/>
      <c r="C336" s="162"/>
      <c r="D336" s="163"/>
      <c r="E336" s="717">
        <f>SUM(E332:E334)</f>
        <v>180</v>
      </c>
      <c r="F336" s="718">
        <f>SUM(F332:F335)</f>
        <v>-180</v>
      </c>
      <c r="G336" s="71"/>
      <c r="H336" s="267"/>
      <c r="I336" s="261">
        <f>SUM(E336:H336)</f>
        <v>0</v>
      </c>
    </row>
    <row r="337" spans="2:9" ht="18" hidden="1" customHeight="1" x14ac:dyDescent="0.35">
      <c r="C337" s="86"/>
    </row>
    <row r="338" spans="2:9" ht="18" hidden="1" customHeight="1" x14ac:dyDescent="0.35">
      <c r="B338" s="77" t="s">
        <v>1699</v>
      </c>
      <c r="C338" s="162">
        <v>45939</v>
      </c>
      <c r="D338" s="163"/>
      <c r="E338" s="66">
        <v>125</v>
      </c>
      <c r="F338" s="66">
        <v>-70</v>
      </c>
      <c r="G338" s="71"/>
      <c r="H338" s="267"/>
    </row>
    <row r="339" spans="2:9" ht="18" hidden="1" customHeight="1" x14ac:dyDescent="0.35">
      <c r="B339" s="77"/>
      <c r="C339" s="162">
        <v>45976</v>
      </c>
      <c r="D339" s="163"/>
      <c r="E339" s="66"/>
      <c r="F339" s="66">
        <v>-50</v>
      </c>
      <c r="G339" s="71"/>
      <c r="H339" s="267"/>
    </row>
    <row r="340" spans="2:9" ht="18" hidden="1" customHeight="1" x14ac:dyDescent="0.35">
      <c r="B340" s="77"/>
      <c r="C340" s="162">
        <v>45990</v>
      </c>
      <c r="D340" s="163"/>
      <c r="E340" s="66">
        <v>220</v>
      </c>
      <c r="F340" s="66">
        <v>-100</v>
      </c>
      <c r="G340" s="71"/>
      <c r="H340" s="267"/>
    </row>
    <row r="341" spans="2:9" ht="18" hidden="1" customHeight="1" x14ac:dyDescent="0.35">
      <c r="B341" s="77"/>
      <c r="C341" s="162">
        <v>46003</v>
      </c>
      <c r="D341" s="163"/>
      <c r="E341" s="66"/>
      <c r="F341" s="66">
        <v>-100</v>
      </c>
      <c r="G341" s="71"/>
      <c r="H341" s="267"/>
    </row>
    <row r="342" spans="2:9" ht="18" hidden="1" customHeight="1" x14ac:dyDescent="0.35">
      <c r="B342" s="77"/>
      <c r="C342" s="162">
        <v>46038</v>
      </c>
      <c r="D342" s="163"/>
      <c r="E342" s="66"/>
      <c r="F342" s="66">
        <v>-20</v>
      </c>
      <c r="G342" s="71"/>
      <c r="H342" s="267"/>
    </row>
    <row r="343" spans="2:9" ht="18" hidden="1" customHeight="1" thickBot="1" x14ac:dyDescent="0.4">
      <c r="B343" s="77"/>
      <c r="C343" s="162"/>
      <c r="D343" s="163"/>
      <c r="E343" s="66"/>
      <c r="F343" s="66">
        <v>-5</v>
      </c>
      <c r="G343" s="71" t="s">
        <v>2264</v>
      </c>
      <c r="H343" s="267"/>
    </row>
    <row r="344" spans="2:9" ht="18" hidden="1" customHeight="1" thickBot="1" x14ac:dyDescent="0.4">
      <c r="B344" s="77"/>
      <c r="C344" s="162"/>
      <c r="D344" s="163"/>
      <c r="E344" s="717">
        <f>SUM(E338:E341)</f>
        <v>345</v>
      </c>
      <c r="F344" s="718">
        <f>SUM(F338:F343)</f>
        <v>-345</v>
      </c>
      <c r="G344" s="71"/>
      <c r="H344" s="267"/>
      <c r="I344" s="261">
        <f>SUM(E344:H344)</f>
        <v>0</v>
      </c>
    </row>
    <row r="345" spans="2:9" ht="18" customHeight="1" x14ac:dyDescent="0.35">
      <c r="C345" s="86"/>
    </row>
    <row r="346" spans="2:9" ht="18" customHeight="1" x14ac:dyDescent="0.35">
      <c r="B346" s="33" t="s">
        <v>677</v>
      </c>
      <c r="C346" s="86">
        <v>45939</v>
      </c>
      <c r="E346" s="57">
        <v>155</v>
      </c>
      <c r="F346" s="57">
        <v>-100</v>
      </c>
    </row>
    <row r="347" spans="2:9" ht="18" customHeight="1" x14ac:dyDescent="0.35">
      <c r="C347" s="86" t="s">
        <v>81</v>
      </c>
      <c r="E347" s="57">
        <f>125+35+55</f>
        <v>215</v>
      </c>
    </row>
    <row r="348" spans="2:9" ht="18" customHeight="1" x14ac:dyDescent="0.35">
      <c r="C348" s="86">
        <v>46050</v>
      </c>
      <c r="F348" s="57">
        <v>-100</v>
      </c>
    </row>
    <row r="349" spans="2:9" ht="18" customHeight="1" x14ac:dyDescent="0.35">
      <c r="C349" s="86">
        <v>46101</v>
      </c>
      <c r="E349" s="57">
        <v>12</v>
      </c>
      <c r="F349" s="57">
        <v>-100</v>
      </c>
      <c r="G349" s="52" t="s">
        <v>2845</v>
      </c>
    </row>
    <row r="350" spans="2:9" ht="18" customHeight="1" thickBot="1" x14ac:dyDescent="0.4">
      <c r="C350" s="86"/>
    </row>
    <row r="351" spans="2:9" ht="18" customHeight="1" thickBot="1" x14ac:dyDescent="0.4">
      <c r="C351" s="86"/>
      <c r="E351" s="385">
        <f>SUM(E346:E350)</f>
        <v>382</v>
      </c>
      <c r="F351" s="386">
        <f>SUM(F346:F350)</f>
        <v>-300</v>
      </c>
      <c r="I351" s="261">
        <f>SUM(E351:H351)</f>
        <v>82</v>
      </c>
    </row>
    <row r="352" spans="2:9" ht="18" customHeight="1" x14ac:dyDescent="0.35">
      <c r="C352" s="86"/>
    </row>
    <row r="353" spans="2:9" ht="18" customHeight="1" x14ac:dyDescent="0.35">
      <c r="B353" s="33" t="s">
        <v>1908</v>
      </c>
      <c r="C353" s="86" t="s">
        <v>1909</v>
      </c>
      <c r="E353" s="57">
        <v>125</v>
      </c>
      <c r="F353" s="57">
        <v>-50</v>
      </c>
    </row>
    <row r="354" spans="2:9" ht="18" customHeight="1" x14ac:dyDescent="0.35">
      <c r="C354" s="86">
        <v>45943</v>
      </c>
      <c r="F354" s="57">
        <v>-10</v>
      </c>
    </row>
    <row r="355" spans="2:9" ht="18" customHeight="1" x14ac:dyDescent="0.35">
      <c r="C355" s="86">
        <v>45974</v>
      </c>
      <c r="D355" s="57"/>
      <c r="E355" s="57">
        <v>75</v>
      </c>
      <c r="F355" s="57">
        <v>-50</v>
      </c>
    </row>
    <row r="356" spans="2:9" ht="18" customHeight="1" x14ac:dyDescent="0.35">
      <c r="C356" s="86">
        <v>45992</v>
      </c>
      <c r="D356" s="57"/>
      <c r="F356" s="57">
        <v>-50</v>
      </c>
    </row>
    <row r="357" spans="2:9" ht="18" customHeight="1" x14ac:dyDescent="0.35">
      <c r="C357" s="86">
        <v>46097</v>
      </c>
      <c r="D357" s="57"/>
      <c r="E357" s="57">
        <v>160</v>
      </c>
      <c r="F357" s="57">
        <v>-100</v>
      </c>
    </row>
    <row r="358" spans="2:9" ht="18" customHeight="1" thickBot="1" x14ac:dyDescent="0.4">
      <c r="C358" s="86"/>
      <c r="D358" s="57"/>
    </row>
    <row r="359" spans="2:9" ht="18" customHeight="1" thickBot="1" x14ac:dyDescent="0.4">
      <c r="C359" s="86"/>
      <c r="E359" s="385">
        <f>SUM(E353:E358)</f>
        <v>360</v>
      </c>
      <c r="F359" s="385">
        <f>SUM(F353:F358)</f>
        <v>-260</v>
      </c>
      <c r="I359" s="261">
        <f>SUM(E359:H359)</f>
        <v>100</v>
      </c>
    </row>
    <row r="360" spans="2:9" ht="18" hidden="1" customHeight="1" x14ac:dyDescent="0.35">
      <c r="C360" s="86"/>
    </row>
    <row r="361" spans="2:9" ht="18" hidden="1" customHeight="1" x14ac:dyDescent="0.35">
      <c r="B361" s="77" t="s">
        <v>845</v>
      </c>
      <c r="C361" s="162">
        <v>45947</v>
      </c>
      <c r="D361" s="163"/>
      <c r="E361" s="66">
        <v>290</v>
      </c>
      <c r="F361" s="66"/>
      <c r="G361" s="71"/>
      <c r="H361" s="267"/>
    </row>
    <row r="362" spans="2:9" ht="18" hidden="1" customHeight="1" x14ac:dyDescent="0.35">
      <c r="B362" s="77"/>
      <c r="C362" s="162">
        <v>45958</v>
      </c>
      <c r="D362" s="163"/>
      <c r="E362" s="66"/>
      <c r="F362" s="66">
        <v>-150</v>
      </c>
      <c r="G362" s="71"/>
      <c r="H362" s="267"/>
    </row>
    <row r="363" spans="2:9" ht="18" hidden="1" customHeight="1" x14ac:dyDescent="0.35">
      <c r="B363" s="77"/>
      <c r="C363" s="162">
        <v>46380</v>
      </c>
      <c r="D363" s="163"/>
      <c r="E363" s="66">
        <v>25</v>
      </c>
      <c r="F363" s="66">
        <v>-100</v>
      </c>
      <c r="G363" s="71"/>
      <c r="H363" s="267"/>
    </row>
    <row r="364" spans="2:9" ht="18" hidden="1" customHeight="1" thickBot="1" x14ac:dyDescent="0.4">
      <c r="B364" s="77"/>
      <c r="C364" s="162">
        <v>46053</v>
      </c>
      <c r="D364" s="163"/>
      <c r="E364" s="66"/>
      <c r="F364" s="66">
        <v>-65</v>
      </c>
      <c r="G364" s="71"/>
      <c r="H364" s="267"/>
    </row>
    <row r="365" spans="2:9" ht="18" hidden="1" customHeight="1" thickBot="1" x14ac:dyDescent="0.4">
      <c r="B365" s="77"/>
      <c r="C365" s="162"/>
      <c r="D365" s="163"/>
      <c r="E365" s="717">
        <f>SUM(E361:E363)</f>
        <v>315</v>
      </c>
      <c r="F365" s="718">
        <f>SUM(F361:F364)</f>
        <v>-315</v>
      </c>
      <c r="G365" s="71"/>
      <c r="H365" s="267"/>
      <c r="I365" s="261">
        <f>SUM(E365:H365)</f>
        <v>0</v>
      </c>
    </row>
    <row r="366" spans="2:9" ht="18" hidden="1" customHeight="1" x14ac:dyDescent="0.35">
      <c r="C366" s="86"/>
    </row>
    <row r="367" spans="2:9" ht="18" hidden="1" customHeight="1" x14ac:dyDescent="0.35">
      <c r="B367" s="77" t="s">
        <v>1121</v>
      </c>
      <c r="C367" s="162">
        <v>45965</v>
      </c>
      <c r="D367" s="163"/>
      <c r="E367" s="66">
        <v>125</v>
      </c>
      <c r="F367" s="66"/>
      <c r="G367" s="71"/>
      <c r="H367" s="267"/>
    </row>
    <row r="368" spans="2:9" ht="18" hidden="1" customHeight="1" x14ac:dyDescent="0.35">
      <c r="B368" s="77"/>
      <c r="C368" s="162">
        <v>45992</v>
      </c>
      <c r="D368" s="163"/>
      <c r="E368" s="66"/>
      <c r="F368" s="66">
        <v>-50</v>
      </c>
      <c r="G368" s="71"/>
      <c r="H368" s="267"/>
    </row>
    <row r="369" spans="2:9" ht="18" hidden="1" customHeight="1" thickBot="1" x14ac:dyDescent="0.4">
      <c r="B369" s="77"/>
      <c r="C369" s="162">
        <v>46027</v>
      </c>
      <c r="D369" s="163"/>
      <c r="E369" s="66"/>
      <c r="F369" s="66">
        <v>-75</v>
      </c>
      <c r="G369" s="71"/>
      <c r="H369" s="267"/>
    </row>
    <row r="370" spans="2:9" ht="18" hidden="1" customHeight="1" thickBot="1" x14ac:dyDescent="0.4">
      <c r="B370" s="77"/>
      <c r="C370" s="162"/>
      <c r="D370" s="163"/>
      <c r="E370" s="717">
        <f>SUM(E367:E369)</f>
        <v>125</v>
      </c>
      <c r="F370" s="718">
        <f>SUM(F367:F369)</f>
        <v>-125</v>
      </c>
      <c r="G370" s="71"/>
      <c r="H370" s="267"/>
      <c r="I370" s="261">
        <f>+E370+F370</f>
        <v>0</v>
      </c>
    </row>
    <row r="371" spans="2:9" ht="18" hidden="1" customHeight="1" x14ac:dyDescent="0.35">
      <c r="D371" s="57"/>
    </row>
    <row r="372" spans="2:9" ht="18" hidden="1" customHeight="1" x14ac:dyDescent="0.35">
      <c r="B372" s="77" t="s">
        <v>1009</v>
      </c>
      <c r="C372" s="162">
        <v>45988</v>
      </c>
      <c r="D372" s="66"/>
      <c r="E372" s="66">
        <v>55</v>
      </c>
      <c r="F372" s="66"/>
      <c r="G372" s="71"/>
      <c r="H372" s="267"/>
    </row>
    <row r="373" spans="2:9" ht="18" hidden="1" customHeight="1" thickBot="1" x14ac:dyDescent="0.4">
      <c r="B373" s="77"/>
      <c r="C373" s="66" t="s">
        <v>2270</v>
      </c>
      <c r="D373" s="66"/>
      <c r="E373" s="66"/>
      <c r="F373" s="66">
        <v>-55</v>
      </c>
      <c r="G373" s="71"/>
      <c r="H373" s="267"/>
    </row>
    <row r="374" spans="2:9" ht="18" hidden="1" customHeight="1" thickBot="1" x14ac:dyDescent="0.4">
      <c r="B374" s="77"/>
      <c r="C374" s="66"/>
      <c r="D374" s="66"/>
      <c r="E374" s="717">
        <f>SUM(E372:E373)</f>
        <v>55</v>
      </c>
      <c r="F374" s="718">
        <f>SUM(F372:F373)</f>
        <v>-55</v>
      </c>
      <c r="G374" s="71"/>
      <c r="H374" s="267"/>
      <c r="I374" s="261">
        <f>SUM(E374:F374)</f>
        <v>0</v>
      </c>
    </row>
    <row r="375" spans="2:9" ht="18" hidden="1" customHeight="1" x14ac:dyDescent="0.35">
      <c r="D375" s="57"/>
    </row>
    <row r="376" spans="2:9" ht="18" hidden="1" customHeight="1" x14ac:dyDescent="0.35">
      <c r="B376" s="77" t="s">
        <v>2078</v>
      </c>
      <c r="C376" s="162">
        <v>45993</v>
      </c>
      <c r="D376" s="66"/>
      <c r="E376" s="66">
        <v>100</v>
      </c>
      <c r="F376" s="66"/>
      <c r="G376" s="71"/>
      <c r="H376" s="267"/>
    </row>
    <row r="377" spans="2:9" ht="18" hidden="1" customHeight="1" x14ac:dyDescent="0.35">
      <c r="B377" s="77"/>
      <c r="C377" s="162">
        <v>45995</v>
      </c>
      <c r="D377" s="66"/>
      <c r="E377" s="66">
        <v>125</v>
      </c>
      <c r="F377" s="66"/>
      <c r="G377" s="71"/>
      <c r="H377" s="267"/>
    </row>
    <row r="378" spans="2:9" ht="18" hidden="1" customHeight="1" x14ac:dyDescent="0.35">
      <c r="B378" s="77"/>
      <c r="C378" s="162">
        <v>46008</v>
      </c>
      <c r="D378" s="66"/>
      <c r="E378" s="66">
        <v>55</v>
      </c>
      <c r="F378" s="66">
        <v>-225</v>
      </c>
      <c r="G378" s="71"/>
      <c r="H378" s="267"/>
    </row>
    <row r="379" spans="2:9" ht="18" hidden="1" customHeight="1" thickBot="1" x14ac:dyDescent="0.4">
      <c r="B379" s="77"/>
      <c r="C379" s="162">
        <v>46043</v>
      </c>
      <c r="D379" s="66"/>
      <c r="E379" s="66"/>
      <c r="F379" s="66">
        <v>-55</v>
      </c>
      <c r="G379" s="71"/>
      <c r="H379" s="267"/>
    </row>
    <row r="380" spans="2:9" ht="18" hidden="1" customHeight="1" thickBot="1" x14ac:dyDescent="0.4">
      <c r="B380" s="77"/>
      <c r="C380" s="66"/>
      <c r="D380" s="66"/>
      <c r="E380" s="717">
        <f>SUM(E376:E379)</f>
        <v>280</v>
      </c>
      <c r="F380" s="718">
        <f>SUM(F376:F379)</f>
        <v>-280</v>
      </c>
      <c r="G380" s="71"/>
      <c r="H380" s="267"/>
      <c r="I380" s="261">
        <f>SUM(E380:H380)</f>
        <v>0</v>
      </c>
    </row>
    <row r="381" spans="2:9" ht="18" hidden="1" customHeight="1" x14ac:dyDescent="0.35">
      <c r="D381" s="57"/>
    </row>
    <row r="382" spans="2:9" ht="18" hidden="1" customHeight="1" x14ac:dyDescent="0.35">
      <c r="B382" s="77" t="s">
        <v>2081</v>
      </c>
      <c r="C382" s="66" t="s">
        <v>2082</v>
      </c>
      <c r="D382" s="66"/>
      <c r="E382" s="66">
        <v>75</v>
      </c>
      <c r="F382" s="66">
        <v>-20</v>
      </c>
      <c r="G382" s="71"/>
      <c r="H382" s="267"/>
    </row>
    <row r="383" spans="2:9" ht="18" hidden="1" customHeight="1" thickBot="1" x14ac:dyDescent="0.4">
      <c r="B383" s="77"/>
      <c r="C383" s="162">
        <v>46385</v>
      </c>
      <c r="D383" s="66"/>
      <c r="E383" s="66"/>
      <c r="F383" s="66">
        <v>-55</v>
      </c>
      <c r="G383" s="71"/>
      <c r="H383" s="267"/>
    </row>
    <row r="384" spans="2:9" ht="18" hidden="1" customHeight="1" thickBot="1" x14ac:dyDescent="0.4">
      <c r="B384" s="77"/>
      <c r="C384" s="66"/>
      <c r="D384" s="66"/>
      <c r="E384" s="717">
        <f>SUM(E382:E383)</f>
        <v>75</v>
      </c>
      <c r="F384" s="718">
        <f>SUM(F382:F383)</f>
        <v>-75</v>
      </c>
      <c r="G384" s="71"/>
      <c r="H384" s="267"/>
      <c r="I384" s="261">
        <f>SUM(E384:H384)</f>
        <v>0</v>
      </c>
    </row>
    <row r="385" spans="2:9" ht="18" hidden="1" customHeight="1" x14ac:dyDescent="0.35">
      <c r="D385" s="57"/>
    </row>
    <row r="386" spans="2:9" ht="18" hidden="1" customHeight="1" x14ac:dyDescent="0.35">
      <c r="D386" s="57"/>
    </row>
    <row r="387" spans="2:9" ht="18" hidden="1" customHeight="1" x14ac:dyDescent="0.35">
      <c r="B387" s="77" t="s">
        <v>1464</v>
      </c>
      <c r="C387" s="162">
        <v>46006</v>
      </c>
      <c r="D387" s="66"/>
      <c r="E387" s="66">
        <v>260</v>
      </c>
      <c r="F387" s="66"/>
      <c r="G387" s="71"/>
      <c r="H387" s="267"/>
    </row>
    <row r="388" spans="2:9" ht="18" hidden="1" customHeight="1" x14ac:dyDescent="0.35">
      <c r="B388" s="77"/>
      <c r="C388" s="162">
        <v>46013</v>
      </c>
      <c r="D388" s="66"/>
      <c r="E388" s="66"/>
      <c r="F388" s="66">
        <v>-200</v>
      </c>
      <c r="G388" s="71"/>
      <c r="H388" s="267"/>
    </row>
    <row r="389" spans="2:9" ht="18" hidden="1" customHeight="1" thickBot="1" x14ac:dyDescent="0.4">
      <c r="B389" s="77"/>
      <c r="C389" s="162">
        <v>46043</v>
      </c>
      <c r="D389" s="66"/>
      <c r="E389" s="66"/>
      <c r="F389" s="66">
        <v>-60</v>
      </c>
      <c r="G389" s="71"/>
      <c r="H389" s="267"/>
    </row>
    <row r="390" spans="2:9" ht="18" hidden="1" customHeight="1" thickBot="1" x14ac:dyDescent="0.4">
      <c r="B390" s="77"/>
      <c r="C390" s="66"/>
      <c r="D390" s="66"/>
      <c r="E390" s="717">
        <f>SUM(E387:E389)</f>
        <v>260</v>
      </c>
      <c r="F390" s="718">
        <f>SUM(F387:F389)</f>
        <v>-260</v>
      </c>
      <c r="G390" s="71"/>
      <c r="H390" s="267"/>
      <c r="I390" s="261">
        <f>+E390+F390</f>
        <v>0</v>
      </c>
    </row>
    <row r="391" spans="2:9" ht="18" hidden="1" customHeight="1" x14ac:dyDescent="0.35">
      <c r="D391" s="57"/>
    </row>
    <row r="392" spans="2:9" ht="18" hidden="1" customHeight="1" x14ac:dyDescent="0.35">
      <c r="B392" s="77" t="s">
        <v>2083</v>
      </c>
      <c r="C392" s="162">
        <v>46007</v>
      </c>
      <c r="D392" s="66"/>
      <c r="E392" s="66">
        <v>125</v>
      </c>
      <c r="F392" s="66">
        <v>-60</v>
      </c>
      <c r="G392" s="71"/>
      <c r="H392" s="267"/>
    </row>
    <row r="393" spans="2:9" ht="18" hidden="1" customHeight="1" thickBot="1" x14ac:dyDescent="0.4">
      <c r="B393" s="77"/>
      <c r="C393" s="162">
        <v>46089</v>
      </c>
      <c r="D393" s="66"/>
      <c r="E393" s="66"/>
      <c r="F393" s="66">
        <v>-65</v>
      </c>
      <c r="G393" s="71"/>
      <c r="H393" s="267"/>
    </row>
    <row r="394" spans="2:9" ht="18" hidden="1" customHeight="1" thickBot="1" x14ac:dyDescent="0.4">
      <c r="B394" s="77"/>
      <c r="C394" s="66"/>
      <c r="D394" s="66"/>
      <c r="E394" s="717">
        <f>SUM(E392:E393)</f>
        <v>125</v>
      </c>
      <c r="F394" s="718">
        <f>SUM(F392:F393)</f>
        <v>-125</v>
      </c>
      <c r="G394" s="71"/>
      <c r="H394" s="267"/>
      <c r="I394" s="261">
        <f>SUM(E394:H394)</f>
        <v>0</v>
      </c>
    </row>
    <row r="395" spans="2:9" ht="18" hidden="1" customHeight="1" x14ac:dyDescent="0.35">
      <c r="B395" s="33" t="s">
        <v>2499</v>
      </c>
      <c r="D395" s="57"/>
    </row>
    <row r="396" spans="2:9" ht="18" hidden="1" customHeight="1" x14ac:dyDescent="0.35">
      <c r="B396" s="77" t="s">
        <v>2084</v>
      </c>
      <c r="C396" s="162">
        <v>46010</v>
      </c>
      <c r="D396" s="66"/>
      <c r="E396" s="66">
        <v>115</v>
      </c>
      <c r="F396" s="66">
        <v>-60</v>
      </c>
      <c r="G396" s="71"/>
      <c r="H396" s="267"/>
    </row>
    <row r="397" spans="2:9" ht="18" hidden="1" customHeight="1" x14ac:dyDescent="0.35">
      <c r="B397" s="77"/>
      <c r="C397" s="162">
        <v>46387</v>
      </c>
      <c r="D397" s="66"/>
      <c r="E397" s="66"/>
      <c r="F397" s="66">
        <v>-50</v>
      </c>
      <c r="G397" s="71"/>
      <c r="H397" s="267"/>
    </row>
    <row r="398" spans="2:9" ht="18" hidden="1" customHeight="1" thickBot="1" x14ac:dyDescent="0.4">
      <c r="B398" s="77"/>
      <c r="C398" s="162"/>
      <c r="D398" s="66"/>
      <c r="E398" s="66"/>
      <c r="F398" s="66">
        <v>-5</v>
      </c>
      <c r="G398" s="71" t="s">
        <v>62</v>
      </c>
      <c r="H398" s="267"/>
    </row>
    <row r="399" spans="2:9" ht="18" hidden="1" customHeight="1" thickBot="1" x14ac:dyDescent="0.4">
      <c r="B399" s="77"/>
      <c r="C399" s="66"/>
      <c r="D399" s="66"/>
      <c r="E399" s="717">
        <f>SUM(E396:E397)</f>
        <v>115</v>
      </c>
      <c r="F399" s="718">
        <f>SUM(F396:F398)</f>
        <v>-115</v>
      </c>
      <c r="G399" s="71"/>
      <c r="H399" s="267"/>
      <c r="I399" s="261">
        <f>SUM(E399:H399)</f>
        <v>0</v>
      </c>
    </row>
    <row r="400" spans="2:9" ht="18" hidden="1" customHeight="1" x14ac:dyDescent="0.35">
      <c r="B400" s="77"/>
      <c r="C400" s="66"/>
      <c r="D400" s="66"/>
      <c r="E400" s="66"/>
      <c r="F400" s="66"/>
      <c r="G400" s="71"/>
      <c r="H400" s="267"/>
    </row>
    <row r="401" spans="2:9" ht="18" hidden="1" customHeight="1" x14ac:dyDescent="0.35">
      <c r="B401" s="77" t="s">
        <v>1097</v>
      </c>
      <c r="C401" s="162">
        <v>46379</v>
      </c>
      <c r="D401" s="66"/>
      <c r="E401" s="66">
        <v>375</v>
      </c>
      <c r="F401" s="66">
        <v>-300</v>
      </c>
      <c r="G401" s="71"/>
      <c r="H401" s="267"/>
    </row>
    <row r="402" spans="2:9" ht="18" hidden="1" customHeight="1" thickBot="1" x14ac:dyDescent="0.4">
      <c r="B402" s="77"/>
      <c r="C402" s="162">
        <v>46057</v>
      </c>
      <c r="D402" s="66"/>
      <c r="E402" s="66"/>
      <c r="F402" s="66">
        <v>-75</v>
      </c>
      <c r="G402" s="71"/>
      <c r="H402" s="267"/>
    </row>
    <row r="403" spans="2:9" ht="18" hidden="1" customHeight="1" thickBot="1" x14ac:dyDescent="0.4">
      <c r="B403" s="77"/>
      <c r="C403" s="66"/>
      <c r="D403" s="66"/>
      <c r="E403" s="717">
        <f>SUM(E401:E402)</f>
        <v>375</v>
      </c>
      <c r="F403" s="718">
        <f>SUM(F401:F402)</f>
        <v>-375</v>
      </c>
      <c r="G403" s="71"/>
      <c r="H403" s="267"/>
      <c r="I403" s="261">
        <f>+E403+F403</f>
        <v>0</v>
      </c>
    </row>
    <row r="404" spans="2:9" ht="18" hidden="1" customHeight="1" x14ac:dyDescent="0.35">
      <c r="D404" s="57"/>
    </row>
    <row r="405" spans="2:9" ht="18" hidden="1" customHeight="1" x14ac:dyDescent="0.35">
      <c r="B405" s="77" t="s">
        <v>1818</v>
      </c>
      <c r="C405" s="162">
        <v>46379</v>
      </c>
      <c r="D405" s="66"/>
      <c r="E405" s="66">
        <v>120</v>
      </c>
      <c r="F405" s="66">
        <v>-10</v>
      </c>
      <c r="G405" s="71" t="s">
        <v>62</v>
      </c>
      <c r="H405" s="267"/>
    </row>
    <row r="406" spans="2:9" ht="18" hidden="1" customHeight="1" thickBot="1" x14ac:dyDescent="0.4">
      <c r="B406" s="77"/>
      <c r="C406" s="162">
        <v>46050</v>
      </c>
      <c r="D406" s="66"/>
      <c r="E406" s="66"/>
      <c r="F406" s="66">
        <v>-110</v>
      </c>
      <c r="G406" s="71"/>
      <c r="H406" s="267"/>
    </row>
    <row r="407" spans="2:9" ht="18" hidden="1" customHeight="1" thickBot="1" x14ac:dyDescent="0.4">
      <c r="B407" s="77"/>
      <c r="C407" s="66"/>
      <c r="D407" s="66"/>
      <c r="E407" s="717">
        <f>SUM(E405:E406)</f>
        <v>120</v>
      </c>
      <c r="F407" s="718">
        <f>SUM(F405:F406)</f>
        <v>-120</v>
      </c>
      <c r="G407" s="71"/>
      <c r="H407" s="267"/>
      <c r="I407" s="261">
        <f>+E407+F407</f>
        <v>0</v>
      </c>
    </row>
    <row r="408" spans="2:9" ht="18" customHeight="1" x14ac:dyDescent="0.35">
      <c r="D408" s="57"/>
    </row>
    <row r="409" spans="2:9" ht="18" customHeight="1" x14ac:dyDescent="0.35">
      <c r="B409" s="33" t="s">
        <v>2092</v>
      </c>
      <c r="C409" s="86">
        <v>46387</v>
      </c>
      <c r="D409" s="57"/>
      <c r="E409" s="57">
        <v>150</v>
      </c>
    </row>
    <row r="410" spans="2:9" ht="18" customHeight="1" thickBot="1" x14ac:dyDescent="0.4">
      <c r="D410" s="57"/>
    </row>
    <row r="411" spans="2:9" ht="18" customHeight="1" thickBot="1" x14ac:dyDescent="0.4">
      <c r="D411" s="57"/>
      <c r="E411" s="385">
        <f>SUM(E409:E410)</f>
        <v>150</v>
      </c>
      <c r="F411" s="386">
        <f>SUM(F409:F410)</f>
        <v>0</v>
      </c>
      <c r="I411" s="261">
        <f>SUM(E411:H411)</f>
        <v>150</v>
      </c>
    </row>
    <row r="412" spans="2:9" ht="18" customHeight="1" x14ac:dyDescent="0.35">
      <c r="D412" s="57"/>
    </row>
    <row r="413" spans="2:9" ht="18" hidden="1" customHeight="1" x14ac:dyDescent="0.35">
      <c r="B413" s="77" t="s">
        <v>2154</v>
      </c>
      <c r="C413" s="162">
        <v>46028</v>
      </c>
      <c r="D413" s="66"/>
      <c r="E413" s="66">
        <v>25</v>
      </c>
      <c r="F413" s="66"/>
      <c r="G413" s="71"/>
      <c r="H413" s="267"/>
    </row>
    <row r="414" spans="2:9" ht="18" hidden="1" customHeight="1" thickBot="1" x14ac:dyDescent="0.4">
      <c r="B414" s="77"/>
      <c r="C414" s="162">
        <v>46031</v>
      </c>
      <c r="D414" s="66"/>
      <c r="E414" s="66"/>
      <c r="F414" s="66">
        <v>-25</v>
      </c>
      <c r="G414" s="71"/>
      <c r="H414" s="267"/>
    </row>
    <row r="415" spans="2:9" ht="18" hidden="1" customHeight="1" thickBot="1" x14ac:dyDescent="0.4">
      <c r="B415" s="77"/>
      <c r="C415" s="162"/>
      <c r="D415" s="66"/>
      <c r="E415" s="717">
        <f>SUM(E413:E414)</f>
        <v>25</v>
      </c>
      <c r="F415" s="718">
        <f>SUM(F413:F414)</f>
        <v>-25</v>
      </c>
      <c r="G415" s="71"/>
      <c r="H415" s="267"/>
      <c r="I415" s="261">
        <f>SUM(E415:H415)</f>
        <v>0</v>
      </c>
    </row>
    <row r="416" spans="2:9" ht="18" hidden="1" customHeight="1" x14ac:dyDescent="0.35">
      <c r="C416" s="86"/>
      <c r="D416" s="57"/>
    </row>
    <row r="417" spans="2:9" ht="18" hidden="1" customHeight="1" x14ac:dyDescent="0.35">
      <c r="B417" s="77" t="s">
        <v>2263</v>
      </c>
      <c r="C417" s="162">
        <v>46034</v>
      </c>
      <c r="D417" s="66"/>
      <c r="E417" s="66">
        <v>45</v>
      </c>
      <c r="F417" s="66">
        <v>-20</v>
      </c>
      <c r="G417" s="71"/>
      <c r="H417" s="267"/>
    </row>
    <row r="418" spans="2:9" ht="18" hidden="1" customHeight="1" thickBot="1" x14ac:dyDescent="0.4">
      <c r="B418" s="77"/>
      <c r="C418" s="162">
        <v>46043</v>
      </c>
      <c r="D418" s="66"/>
      <c r="E418" s="66"/>
      <c r="F418" s="66">
        <v>-25</v>
      </c>
      <c r="G418" s="71"/>
      <c r="H418" s="267"/>
    </row>
    <row r="419" spans="2:9" ht="18" hidden="1" customHeight="1" thickBot="1" x14ac:dyDescent="0.4">
      <c r="B419" s="77"/>
      <c r="C419" s="162"/>
      <c r="D419" s="66"/>
      <c r="E419" s="717">
        <f>SUM(E417:E418)</f>
        <v>45</v>
      </c>
      <c r="F419" s="718">
        <f>SUM(F417:F418)</f>
        <v>-45</v>
      </c>
      <c r="G419" s="71"/>
      <c r="H419" s="267"/>
      <c r="I419" s="261">
        <f>+E419+F419</f>
        <v>0</v>
      </c>
    </row>
    <row r="420" spans="2:9" ht="18" hidden="1" customHeight="1" x14ac:dyDescent="0.35">
      <c r="C420" s="86"/>
      <c r="D420" s="57"/>
    </row>
    <row r="421" spans="2:9" ht="18" hidden="1" customHeight="1" x14ac:dyDescent="0.35">
      <c r="B421" s="77" t="s">
        <v>1514</v>
      </c>
      <c r="C421" s="162"/>
      <c r="D421" s="66"/>
      <c r="E421" s="66">
        <v>180</v>
      </c>
      <c r="F421" s="66">
        <v>-55</v>
      </c>
      <c r="G421" s="71"/>
      <c r="H421" s="267"/>
    </row>
    <row r="422" spans="2:9" ht="18" hidden="1" customHeight="1" x14ac:dyDescent="0.35">
      <c r="B422" s="77"/>
      <c r="C422" s="162"/>
      <c r="D422" s="66"/>
      <c r="E422" s="66"/>
      <c r="F422" s="66">
        <v>-100</v>
      </c>
      <c r="G422" s="71"/>
      <c r="H422" s="267"/>
    </row>
    <row r="423" spans="2:9" ht="18" hidden="1" customHeight="1" thickBot="1" x14ac:dyDescent="0.4">
      <c r="B423" s="77"/>
      <c r="C423" s="162">
        <v>46062</v>
      </c>
      <c r="D423" s="66"/>
      <c r="E423" s="66"/>
      <c r="F423" s="66">
        <v>-25</v>
      </c>
      <c r="G423" s="71"/>
      <c r="H423" s="267"/>
    </row>
    <row r="424" spans="2:9" ht="18" hidden="1" customHeight="1" thickBot="1" x14ac:dyDescent="0.4">
      <c r="B424" s="77"/>
      <c r="C424" s="162"/>
      <c r="D424" s="66"/>
      <c r="E424" s="717">
        <f>SUM(E421:E422)</f>
        <v>180</v>
      </c>
      <c r="F424" s="718">
        <f>SUM(F421:F423)</f>
        <v>-180</v>
      </c>
      <c r="G424" s="71"/>
      <c r="H424" s="267"/>
      <c r="I424" s="261">
        <f>SUM(E424:H424)</f>
        <v>0</v>
      </c>
    </row>
    <row r="425" spans="2:9" ht="18" hidden="1" customHeight="1" x14ac:dyDescent="0.35">
      <c r="B425" s="77"/>
      <c r="C425" s="162"/>
      <c r="D425" s="66"/>
      <c r="E425" s="66"/>
      <c r="F425" s="66"/>
      <c r="G425" s="71"/>
      <c r="H425" s="267"/>
    </row>
    <row r="426" spans="2:9" ht="18" hidden="1" customHeight="1" x14ac:dyDescent="0.35">
      <c r="B426" s="77" t="s">
        <v>2380</v>
      </c>
      <c r="C426" s="162">
        <v>46050</v>
      </c>
      <c r="D426" s="66"/>
      <c r="E426" s="66">
        <v>125</v>
      </c>
      <c r="F426" s="66"/>
      <c r="G426" s="71"/>
      <c r="H426" s="267"/>
    </row>
    <row r="427" spans="2:9" ht="18" hidden="1" customHeight="1" thickBot="1" x14ac:dyDescent="0.4">
      <c r="B427" s="77"/>
      <c r="C427" s="162">
        <v>46058</v>
      </c>
      <c r="D427" s="66"/>
      <c r="E427" s="66"/>
      <c r="F427" s="66">
        <v>-125</v>
      </c>
      <c r="G427" s="71"/>
      <c r="H427" s="267"/>
    </row>
    <row r="428" spans="2:9" ht="18" hidden="1" customHeight="1" thickBot="1" x14ac:dyDescent="0.4">
      <c r="B428" s="77"/>
      <c r="C428" s="162"/>
      <c r="D428" s="66"/>
      <c r="E428" s="717">
        <f>SUM(E426:E427)</f>
        <v>125</v>
      </c>
      <c r="F428" s="718">
        <f>SUM(F426:F427)</f>
        <v>-125</v>
      </c>
      <c r="G428" s="71"/>
      <c r="H428" s="267"/>
      <c r="I428" s="261">
        <f>SUM(E428:H428)</f>
        <v>0</v>
      </c>
    </row>
    <row r="429" spans="2:9" ht="18" customHeight="1" x14ac:dyDescent="0.35">
      <c r="C429" s="86"/>
      <c r="D429" s="57"/>
    </row>
    <row r="430" spans="2:9" ht="18" customHeight="1" x14ac:dyDescent="0.35">
      <c r="B430" s="33" t="s">
        <v>2381</v>
      </c>
      <c r="C430" s="86">
        <v>46052</v>
      </c>
      <c r="D430" s="57"/>
      <c r="E430" s="57">
        <v>160</v>
      </c>
      <c r="F430" s="57">
        <v>-10</v>
      </c>
    </row>
    <row r="431" spans="2:9" ht="18" customHeight="1" x14ac:dyDescent="0.35">
      <c r="C431" s="86">
        <v>46066</v>
      </c>
      <c r="D431" s="57"/>
      <c r="E431" s="57">
        <v>160</v>
      </c>
      <c r="F431" s="57">
        <v>-100</v>
      </c>
      <c r="G431" s="52" t="s">
        <v>2761</v>
      </c>
    </row>
    <row r="432" spans="2:9" ht="18" customHeight="1" x14ac:dyDescent="0.35">
      <c r="C432" s="86">
        <v>46080</v>
      </c>
      <c r="D432" s="57"/>
      <c r="F432" s="57">
        <v>-120</v>
      </c>
    </row>
    <row r="433" spans="2:9" ht="18" customHeight="1" x14ac:dyDescent="0.35">
      <c r="C433" s="86">
        <v>46087</v>
      </c>
      <c r="D433" s="57"/>
      <c r="E433" s="57">
        <v>160</v>
      </c>
    </row>
    <row r="434" spans="2:9" ht="18" customHeight="1" x14ac:dyDescent="0.35">
      <c r="C434" s="86">
        <v>46119</v>
      </c>
      <c r="D434" s="57"/>
      <c r="F434" s="57">
        <v>-100</v>
      </c>
    </row>
    <row r="435" spans="2:9" ht="18" customHeight="1" x14ac:dyDescent="0.35">
      <c r="C435" s="86"/>
      <c r="D435" s="57"/>
    </row>
    <row r="436" spans="2:9" ht="18" customHeight="1" thickBot="1" x14ac:dyDescent="0.4">
      <c r="C436" s="86"/>
      <c r="D436" s="57"/>
    </row>
    <row r="437" spans="2:9" ht="18" customHeight="1" thickBot="1" x14ac:dyDescent="0.4">
      <c r="C437" s="86"/>
      <c r="D437" s="57"/>
      <c r="E437" s="385">
        <f>SUM(E430:E436)</f>
        <v>480</v>
      </c>
      <c r="F437" s="385">
        <f>SUM(F430:F436)</f>
        <v>-330</v>
      </c>
      <c r="I437" s="261">
        <f>SUM(E437:H437)</f>
        <v>150</v>
      </c>
    </row>
    <row r="438" spans="2:9" ht="18" hidden="1" customHeight="1" x14ac:dyDescent="0.35">
      <c r="C438" s="86"/>
      <c r="D438" s="57"/>
    </row>
    <row r="439" spans="2:9" ht="18" hidden="1" customHeight="1" x14ac:dyDescent="0.35">
      <c r="B439" s="77" t="s">
        <v>845</v>
      </c>
      <c r="C439" s="162">
        <v>46053</v>
      </c>
      <c r="D439" s="66"/>
      <c r="E439" s="66">
        <v>140</v>
      </c>
      <c r="F439" s="66"/>
      <c r="G439" s="71"/>
      <c r="H439" s="267"/>
    </row>
    <row r="440" spans="2:9" ht="18" hidden="1" customHeight="1" x14ac:dyDescent="0.35">
      <c r="B440" s="77"/>
      <c r="C440" s="162">
        <v>46084</v>
      </c>
      <c r="D440" s="66"/>
      <c r="E440" s="66"/>
      <c r="F440" s="66">
        <v>-100</v>
      </c>
      <c r="G440" s="71"/>
      <c r="H440" s="267"/>
    </row>
    <row r="441" spans="2:9" ht="18" hidden="1" customHeight="1" thickBot="1" x14ac:dyDescent="0.4">
      <c r="B441" s="77"/>
      <c r="C441" s="162">
        <v>46115</v>
      </c>
      <c r="D441" s="66"/>
      <c r="E441" s="66"/>
      <c r="F441" s="66">
        <v>-40</v>
      </c>
      <c r="G441" s="71"/>
      <c r="H441" s="267"/>
    </row>
    <row r="442" spans="2:9" ht="18" hidden="1" customHeight="1" thickBot="1" x14ac:dyDescent="0.4">
      <c r="B442" s="77"/>
      <c r="C442" s="162"/>
      <c r="D442" s="66"/>
      <c r="E442" s="717">
        <f>SUM(E439:E441)</f>
        <v>140</v>
      </c>
      <c r="F442" s="718">
        <f>SUM(F439:F441)</f>
        <v>-140</v>
      </c>
      <c r="G442" s="71"/>
      <c r="H442" s="267"/>
      <c r="I442" s="261">
        <f>SUM(E442:H442)</f>
        <v>0</v>
      </c>
    </row>
    <row r="443" spans="2:9" ht="18" hidden="1" customHeight="1" x14ac:dyDescent="0.35">
      <c r="C443" s="86"/>
      <c r="D443" s="57"/>
    </row>
    <row r="444" spans="2:9" ht="18" hidden="1" customHeight="1" x14ac:dyDescent="0.35">
      <c r="B444" s="77" t="s">
        <v>1699</v>
      </c>
      <c r="C444" s="162">
        <v>46023</v>
      </c>
      <c r="D444" s="66" t="s">
        <v>2784</v>
      </c>
      <c r="E444" s="66">
        <v>50</v>
      </c>
      <c r="F444" s="66">
        <v>-50</v>
      </c>
      <c r="G444" s="71" t="s">
        <v>2863</v>
      </c>
      <c r="H444" s="267"/>
    </row>
    <row r="445" spans="2:9" ht="18" hidden="1" customHeight="1" x14ac:dyDescent="0.35">
      <c r="B445" s="77" t="s">
        <v>1699</v>
      </c>
      <c r="C445" s="162">
        <v>46052</v>
      </c>
      <c r="D445" s="66"/>
      <c r="E445" s="66">
        <v>205</v>
      </c>
      <c r="F445" s="66">
        <v>0</v>
      </c>
      <c r="G445" s="71"/>
      <c r="H445" s="267"/>
    </row>
    <row r="446" spans="2:9" ht="18" hidden="1" customHeight="1" x14ac:dyDescent="0.35">
      <c r="B446" s="77"/>
      <c r="C446" s="162">
        <v>46073</v>
      </c>
      <c r="D446" s="66"/>
      <c r="E446" s="66"/>
      <c r="F446" s="66">
        <v>-100</v>
      </c>
      <c r="G446" s="71"/>
      <c r="H446" s="267"/>
    </row>
    <row r="447" spans="2:9" ht="18" hidden="1" customHeight="1" thickBot="1" x14ac:dyDescent="0.4">
      <c r="B447" s="77"/>
      <c r="C447" s="162">
        <v>46102</v>
      </c>
      <c r="D447" s="66"/>
      <c r="E447" s="66"/>
      <c r="F447" s="66">
        <v>-100</v>
      </c>
      <c r="G447" s="71"/>
      <c r="H447" s="267"/>
    </row>
    <row r="448" spans="2:9" ht="18" hidden="1" customHeight="1" thickBot="1" x14ac:dyDescent="0.4">
      <c r="B448" s="77"/>
      <c r="C448" s="162"/>
      <c r="D448" s="66"/>
      <c r="E448" s="717">
        <f>SUM(E444:E447)</f>
        <v>255</v>
      </c>
      <c r="F448" s="718">
        <f>SUM(F444:F447)</f>
        <v>-250</v>
      </c>
      <c r="G448" s="71"/>
      <c r="H448" s="267"/>
      <c r="I448" s="261">
        <f>+E448+F448</f>
        <v>5</v>
      </c>
    </row>
    <row r="449" spans="2:12" ht="18" hidden="1" customHeight="1" x14ac:dyDescent="0.35">
      <c r="C449" s="86"/>
      <c r="D449" s="57"/>
    </row>
    <row r="450" spans="2:12" ht="18" hidden="1" customHeight="1" x14ac:dyDescent="0.35">
      <c r="B450" s="77" t="s">
        <v>2468</v>
      </c>
      <c r="C450" s="162">
        <v>46056</v>
      </c>
      <c r="D450" s="66"/>
      <c r="E450" s="66">
        <v>525</v>
      </c>
      <c r="F450" s="66">
        <v>-300</v>
      </c>
      <c r="G450" s="71"/>
      <c r="H450" s="267"/>
    </row>
    <row r="451" spans="2:12" ht="18" hidden="1" customHeight="1" x14ac:dyDescent="0.35">
      <c r="B451" s="77"/>
      <c r="C451" s="162">
        <v>46079</v>
      </c>
      <c r="D451" s="66"/>
      <c r="E451" s="66"/>
      <c r="F451" s="66">
        <v>-225</v>
      </c>
      <c r="G451" s="71"/>
      <c r="H451" s="267"/>
    </row>
    <row r="452" spans="2:12" ht="18" hidden="1" customHeight="1" thickBot="1" x14ac:dyDescent="0.4">
      <c r="B452" s="77"/>
      <c r="C452" s="162"/>
      <c r="D452" s="66"/>
      <c r="E452" s="66"/>
      <c r="F452" s="66"/>
      <c r="G452" s="71"/>
      <c r="H452" s="267"/>
    </row>
    <row r="453" spans="2:12" ht="18" hidden="1" customHeight="1" thickBot="1" x14ac:dyDescent="0.4">
      <c r="B453" s="77"/>
      <c r="C453" s="162"/>
      <c r="D453" s="66"/>
      <c r="E453" s="717">
        <f>SUM(E450:E452)</f>
        <v>525</v>
      </c>
      <c r="F453" s="718">
        <f>SUM(F450:F452)</f>
        <v>-525</v>
      </c>
      <c r="G453" s="71"/>
      <c r="H453" s="267"/>
      <c r="I453" s="261">
        <f>SUM(E453:H453)</f>
        <v>0</v>
      </c>
    </row>
    <row r="454" spans="2:12" ht="18" hidden="1" customHeight="1" x14ac:dyDescent="0.35">
      <c r="C454" s="86"/>
      <c r="D454" s="57"/>
    </row>
    <row r="455" spans="2:12" ht="18" hidden="1" customHeight="1" x14ac:dyDescent="0.35">
      <c r="B455" s="77" t="s">
        <v>2481</v>
      </c>
      <c r="C455" s="162">
        <v>46058</v>
      </c>
      <c r="D455" s="66"/>
      <c r="E455" s="66">
        <v>190</v>
      </c>
      <c r="F455" s="66"/>
      <c r="G455" s="71"/>
      <c r="H455" s="267"/>
    </row>
    <row r="456" spans="2:12" ht="18" hidden="1" customHeight="1" thickBot="1" x14ac:dyDescent="0.4">
      <c r="B456" s="77"/>
      <c r="C456" s="162">
        <v>46086</v>
      </c>
      <c r="D456" s="66"/>
      <c r="E456" s="66"/>
      <c r="F456" s="66">
        <v>-50</v>
      </c>
      <c r="G456" s="71"/>
      <c r="H456" s="267"/>
    </row>
    <row r="457" spans="2:12" ht="18" hidden="1" customHeight="1" thickBot="1" x14ac:dyDescent="0.4">
      <c r="B457" s="77"/>
      <c r="C457" s="162">
        <v>46147</v>
      </c>
      <c r="D457" s="66"/>
      <c r="E457" s="66"/>
      <c r="F457" s="66">
        <v>-140</v>
      </c>
      <c r="G457" s="71"/>
      <c r="H457" s="267"/>
      <c r="K457" s="385"/>
      <c r="L457" s="385"/>
    </row>
    <row r="458" spans="2:12" ht="18" hidden="1" customHeight="1" thickBot="1" x14ac:dyDescent="0.4">
      <c r="B458" s="77"/>
      <c r="C458" s="162"/>
      <c r="D458" s="66"/>
      <c r="E458" s="717">
        <f>SUM(E455:E457)</f>
        <v>190</v>
      </c>
      <c r="F458" s="718">
        <f>SUM(F455:F457)</f>
        <v>-190</v>
      </c>
      <c r="G458" s="71"/>
      <c r="H458" s="267"/>
      <c r="I458" s="261">
        <f>SUM(E458:H458)</f>
        <v>0</v>
      </c>
    </row>
    <row r="459" spans="2:12" ht="18" customHeight="1" x14ac:dyDescent="0.35">
      <c r="C459" s="86"/>
      <c r="D459" s="57"/>
    </row>
    <row r="460" spans="2:12" ht="18" customHeight="1" x14ac:dyDescent="0.35">
      <c r="B460" s="33" t="s">
        <v>998</v>
      </c>
      <c r="C460" s="86">
        <v>46059</v>
      </c>
      <c r="D460" s="57"/>
      <c r="E460" s="57">
        <v>310</v>
      </c>
      <c r="F460" s="57">
        <v>-150</v>
      </c>
    </row>
    <row r="461" spans="2:12" ht="18" customHeight="1" x14ac:dyDescent="0.35">
      <c r="C461" s="86">
        <v>46080</v>
      </c>
      <c r="D461" s="57"/>
      <c r="E461" s="57">
        <v>75</v>
      </c>
    </row>
    <row r="462" spans="2:12" ht="18" customHeight="1" x14ac:dyDescent="0.35">
      <c r="C462" s="86">
        <v>46085</v>
      </c>
      <c r="D462" s="57"/>
      <c r="F462" s="57">
        <v>-150</v>
      </c>
    </row>
    <row r="463" spans="2:12" ht="18" customHeight="1" x14ac:dyDescent="0.35">
      <c r="C463" s="86">
        <v>46126</v>
      </c>
      <c r="D463" s="57"/>
      <c r="E463" s="57">
        <v>70</v>
      </c>
      <c r="F463" s="57">
        <v>-70</v>
      </c>
    </row>
    <row r="464" spans="2:12" ht="18" customHeight="1" thickBot="1" x14ac:dyDescent="0.4">
      <c r="C464" s="86"/>
      <c r="D464" s="57"/>
    </row>
    <row r="465" spans="2:9" ht="18" customHeight="1" thickBot="1" x14ac:dyDescent="0.4">
      <c r="C465" s="86"/>
      <c r="D465" s="57"/>
      <c r="E465" s="385">
        <f>SUM(E460:E464)</f>
        <v>455</v>
      </c>
      <c r="F465" s="385">
        <f>SUM(F460:F464)</f>
        <v>-370</v>
      </c>
      <c r="I465" s="261">
        <f>SUM(E465:H465)</f>
        <v>85</v>
      </c>
    </row>
    <row r="466" spans="2:9" ht="18" customHeight="1" x14ac:dyDescent="0.35">
      <c r="C466" s="86"/>
      <c r="D466" s="57"/>
    </row>
    <row r="467" spans="2:9" ht="18" hidden="1" customHeight="1" x14ac:dyDescent="0.35">
      <c r="B467" s="77" t="s">
        <v>2515</v>
      </c>
      <c r="C467" s="162">
        <v>46059</v>
      </c>
      <c r="D467" s="66"/>
      <c r="E467" s="66">
        <v>5</v>
      </c>
      <c r="F467" s="66"/>
      <c r="G467" s="71"/>
      <c r="H467" s="267"/>
    </row>
    <row r="468" spans="2:9" ht="18" hidden="1" customHeight="1" thickBot="1" x14ac:dyDescent="0.4">
      <c r="B468" s="77"/>
      <c r="C468" s="162" t="s">
        <v>107</v>
      </c>
      <c r="D468" s="66"/>
      <c r="E468" s="66"/>
      <c r="F468" s="66">
        <v>-5</v>
      </c>
      <c r="G468" s="71"/>
      <c r="H468" s="267"/>
    </row>
    <row r="469" spans="2:9" ht="18" hidden="1" customHeight="1" thickBot="1" x14ac:dyDescent="0.4">
      <c r="B469" s="77"/>
      <c r="C469" s="162"/>
      <c r="D469" s="66"/>
      <c r="E469" s="717">
        <f>SUM(E467:E468)</f>
        <v>5</v>
      </c>
      <c r="F469" s="718">
        <f>SUM(F467:F468)</f>
        <v>-5</v>
      </c>
      <c r="G469" s="71"/>
      <c r="H469" s="267"/>
      <c r="I469" s="261">
        <f>SUM(E469:H469)</f>
        <v>0</v>
      </c>
    </row>
    <row r="470" spans="2:9" ht="18" customHeight="1" x14ac:dyDescent="0.35">
      <c r="C470" s="86"/>
      <c r="D470" s="57"/>
    </row>
    <row r="471" spans="2:9" ht="18" customHeight="1" x14ac:dyDescent="0.35">
      <c r="B471" s="33" t="s">
        <v>2536</v>
      </c>
      <c r="C471" s="86">
        <v>46066</v>
      </c>
      <c r="D471" s="57"/>
      <c r="E471" s="57">
        <v>150</v>
      </c>
      <c r="F471" s="57">
        <v>-100</v>
      </c>
    </row>
    <row r="472" spans="2:9" ht="18" customHeight="1" thickBot="1" x14ac:dyDescent="0.4">
      <c r="C472" s="86"/>
      <c r="D472" s="57"/>
    </row>
    <row r="473" spans="2:9" ht="18" customHeight="1" thickBot="1" x14ac:dyDescent="0.4">
      <c r="C473" s="86"/>
      <c r="D473" s="57"/>
      <c r="E473" s="385">
        <f>SUM(E471:E472)</f>
        <v>150</v>
      </c>
      <c r="F473" s="386">
        <f>SUM(F471:F472)</f>
        <v>-100</v>
      </c>
      <c r="I473" s="261">
        <f>+F473+E473</f>
        <v>50</v>
      </c>
    </row>
    <row r="474" spans="2:9" ht="18" hidden="1" customHeight="1" x14ac:dyDescent="0.35">
      <c r="C474" s="86"/>
      <c r="D474" s="57"/>
    </row>
    <row r="475" spans="2:9" ht="18" hidden="1" customHeight="1" x14ac:dyDescent="0.35">
      <c r="B475" s="77" t="s">
        <v>2538</v>
      </c>
      <c r="C475" s="162">
        <v>46066</v>
      </c>
      <c r="D475" s="66"/>
      <c r="E475" s="66">
        <v>160</v>
      </c>
      <c r="F475" s="66">
        <v>-60</v>
      </c>
      <c r="G475" s="71"/>
      <c r="H475" s="267"/>
    </row>
    <row r="476" spans="2:9" ht="18" hidden="1" customHeight="1" thickBot="1" x14ac:dyDescent="0.4">
      <c r="B476" s="77"/>
      <c r="C476" s="162">
        <v>46141</v>
      </c>
      <c r="D476" s="66"/>
      <c r="E476" s="66"/>
      <c r="F476" s="66">
        <v>-100</v>
      </c>
      <c r="G476" s="71"/>
      <c r="H476" s="267"/>
    </row>
    <row r="477" spans="2:9" ht="18" hidden="1" customHeight="1" thickBot="1" x14ac:dyDescent="0.4">
      <c r="B477" s="77"/>
      <c r="C477" s="162"/>
      <c r="D477" s="66"/>
      <c r="E477" s="717">
        <f>SUM(E475:E476)</f>
        <v>160</v>
      </c>
      <c r="F477" s="718">
        <f>SUM(F475:F476)</f>
        <v>-160</v>
      </c>
      <c r="G477" s="71"/>
      <c r="H477" s="267"/>
      <c r="I477" s="261">
        <f>SUM(E477:H477)</f>
        <v>0</v>
      </c>
    </row>
    <row r="478" spans="2:9" ht="18" customHeight="1" x14ac:dyDescent="0.35">
      <c r="C478" s="86"/>
      <c r="D478" s="57"/>
    </row>
    <row r="479" spans="2:9" ht="18" customHeight="1" x14ac:dyDescent="0.35">
      <c r="B479" s="33" t="s">
        <v>1086</v>
      </c>
      <c r="C479" s="86">
        <v>46067</v>
      </c>
      <c r="D479" s="57"/>
      <c r="E479" s="57">
        <v>300</v>
      </c>
      <c r="F479" s="57">
        <v>-100</v>
      </c>
    </row>
    <row r="480" spans="2:9" ht="18" customHeight="1" x14ac:dyDescent="0.35">
      <c r="C480" s="86">
        <v>46084</v>
      </c>
      <c r="D480" s="57"/>
      <c r="F480" s="57">
        <v>-50</v>
      </c>
    </row>
    <row r="481" spans="2:9" ht="18" customHeight="1" x14ac:dyDescent="0.35">
      <c r="C481" s="86">
        <v>46095</v>
      </c>
      <c r="D481" s="57"/>
      <c r="E481" s="57">
        <v>75</v>
      </c>
    </row>
    <row r="482" spans="2:9" ht="18" customHeight="1" x14ac:dyDescent="0.35">
      <c r="C482" s="86">
        <v>46115</v>
      </c>
      <c r="D482" s="57"/>
      <c r="F482" s="57">
        <v>-50</v>
      </c>
    </row>
    <row r="483" spans="2:9" ht="18" customHeight="1" x14ac:dyDescent="0.35">
      <c r="C483" s="86"/>
      <c r="D483" s="57"/>
    </row>
    <row r="484" spans="2:9" ht="18" customHeight="1" thickBot="1" x14ac:dyDescent="0.4">
      <c r="C484" s="86"/>
      <c r="D484" s="57"/>
    </row>
    <row r="485" spans="2:9" ht="18" customHeight="1" thickBot="1" x14ac:dyDescent="0.4">
      <c r="C485" s="86"/>
      <c r="D485" s="57"/>
      <c r="E485" s="781">
        <f>SUM(E479:E484)</f>
        <v>375</v>
      </c>
      <c r="F485" s="781">
        <f>SUM(F479:F484)</f>
        <v>-200</v>
      </c>
      <c r="I485" s="261">
        <f>SUM(E485:H485)</f>
        <v>175</v>
      </c>
    </row>
    <row r="486" spans="2:9" ht="18" customHeight="1" x14ac:dyDescent="0.35">
      <c r="C486" s="86"/>
      <c r="D486" s="57"/>
    </row>
    <row r="487" spans="2:9" ht="18" hidden="1" customHeight="1" x14ac:dyDescent="0.35">
      <c r="B487" s="77" t="s">
        <v>2635</v>
      </c>
      <c r="C487" s="162">
        <v>46069</v>
      </c>
      <c r="D487" s="66"/>
      <c r="E487" s="66">
        <v>135</v>
      </c>
      <c r="F487" s="66"/>
      <c r="G487" s="71"/>
      <c r="H487" s="267"/>
    </row>
    <row r="488" spans="2:9" ht="18" hidden="1" customHeight="1" x14ac:dyDescent="0.35">
      <c r="B488" s="77"/>
      <c r="C488" s="162">
        <v>46070</v>
      </c>
      <c r="D488" s="66"/>
      <c r="E488" s="66"/>
      <c r="F488" s="66">
        <v>-70</v>
      </c>
      <c r="G488" s="71"/>
      <c r="H488" s="267"/>
    </row>
    <row r="489" spans="2:9" ht="18" hidden="1" customHeight="1" x14ac:dyDescent="0.35">
      <c r="B489" s="77"/>
      <c r="C489" s="162">
        <v>46132</v>
      </c>
      <c r="D489" s="66"/>
      <c r="E489" s="66"/>
      <c r="F489" s="66">
        <v>-55</v>
      </c>
      <c r="G489" s="71"/>
      <c r="H489" s="267"/>
    </row>
    <row r="490" spans="2:9" ht="18" hidden="1" customHeight="1" thickBot="1" x14ac:dyDescent="0.4">
      <c r="B490" s="77"/>
      <c r="C490" s="162">
        <v>46116</v>
      </c>
      <c r="D490" s="66"/>
      <c r="E490" s="66"/>
      <c r="F490" s="66">
        <v>-10</v>
      </c>
      <c r="G490" s="71"/>
      <c r="H490" s="267"/>
    </row>
    <row r="491" spans="2:9" ht="18" hidden="1" customHeight="1" thickBot="1" x14ac:dyDescent="0.4">
      <c r="B491" s="77"/>
      <c r="C491" s="162"/>
      <c r="D491" s="66"/>
      <c r="E491" s="717">
        <f>SUM(E487:E489)</f>
        <v>135</v>
      </c>
      <c r="F491" s="718">
        <f>SUM(F487:F490)</f>
        <v>-135</v>
      </c>
      <c r="G491" s="71"/>
      <c r="H491" s="267"/>
      <c r="I491" s="261">
        <f>SUM(E491:H491)</f>
        <v>0</v>
      </c>
    </row>
    <row r="492" spans="2:9" ht="18" hidden="1" customHeight="1" x14ac:dyDescent="0.35">
      <c r="C492" s="86"/>
      <c r="D492" s="57"/>
    </row>
    <row r="493" spans="2:9" ht="18" hidden="1" customHeight="1" x14ac:dyDescent="0.35">
      <c r="B493" s="77" t="s">
        <v>2758</v>
      </c>
      <c r="C493" s="162">
        <v>46085</v>
      </c>
      <c r="D493" s="66"/>
      <c r="E493" s="66">
        <v>105</v>
      </c>
      <c r="F493" s="66"/>
      <c r="G493" s="71"/>
      <c r="H493" s="267"/>
    </row>
    <row r="494" spans="2:9" ht="18" hidden="1" customHeight="1" x14ac:dyDescent="0.35">
      <c r="B494" s="77"/>
      <c r="C494" s="162"/>
      <c r="D494" s="66"/>
      <c r="E494" s="66"/>
      <c r="F494" s="66"/>
      <c r="G494" s="71"/>
      <c r="H494" s="267"/>
    </row>
    <row r="495" spans="2:9" ht="18" hidden="1" customHeight="1" x14ac:dyDescent="0.35">
      <c r="B495" s="77"/>
      <c r="C495" s="162">
        <v>46125</v>
      </c>
      <c r="D495" s="66"/>
      <c r="E495" s="66"/>
      <c r="F495" s="66">
        <v>-100</v>
      </c>
      <c r="G495" s="71"/>
      <c r="H495" s="267"/>
    </row>
    <row r="496" spans="2:9" ht="18" hidden="1" customHeight="1" thickBot="1" x14ac:dyDescent="0.4">
      <c r="B496" s="77"/>
      <c r="C496" s="162">
        <v>46132</v>
      </c>
      <c r="D496" s="66"/>
      <c r="E496" s="66"/>
      <c r="F496" s="66">
        <v>-5</v>
      </c>
      <c r="G496" s="71"/>
      <c r="H496" s="267"/>
    </row>
    <row r="497" spans="2:9" ht="18" hidden="1" customHeight="1" thickBot="1" x14ac:dyDescent="0.4">
      <c r="B497" s="77"/>
      <c r="C497" s="162"/>
      <c r="D497" s="66"/>
      <c r="E497" s="717">
        <f>SUM(E493:E495)</f>
        <v>105</v>
      </c>
      <c r="F497" s="718">
        <f>SUM(F493:F496)</f>
        <v>-105</v>
      </c>
      <c r="G497" s="71"/>
      <c r="H497" s="267"/>
      <c r="I497" s="261">
        <f>SUM(E497:H497)</f>
        <v>0</v>
      </c>
    </row>
    <row r="498" spans="2:9" ht="18" hidden="1" customHeight="1" x14ac:dyDescent="0.35">
      <c r="C498" s="86"/>
      <c r="D498" s="57"/>
    </row>
    <row r="499" spans="2:9" ht="18" hidden="1" customHeight="1" x14ac:dyDescent="0.35">
      <c r="B499" s="77" t="s">
        <v>2636</v>
      </c>
      <c r="C499" s="162">
        <v>46071</v>
      </c>
      <c r="D499" s="66"/>
      <c r="E499" s="66">
        <v>160</v>
      </c>
      <c r="F499" s="66">
        <v>-100</v>
      </c>
      <c r="G499" s="71"/>
      <c r="H499" s="267"/>
    </row>
    <row r="500" spans="2:9" ht="18" hidden="1" customHeight="1" x14ac:dyDescent="0.35">
      <c r="B500" s="77"/>
      <c r="C500" s="162"/>
      <c r="D500" s="66"/>
      <c r="E500" s="66"/>
      <c r="F500" s="66"/>
      <c r="G500" s="71"/>
      <c r="H500" s="267"/>
    </row>
    <row r="501" spans="2:9" ht="18" hidden="1" customHeight="1" thickBot="1" x14ac:dyDescent="0.4">
      <c r="B501" s="77"/>
      <c r="C501" s="162">
        <v>46136</v>
      </c>
      <c r="D501" s="66"/>
      <c r="E501" s="66"/>
      <c r="F501" s="66">
        <v>-60</v>
      </c>
      <c r="G501" s="71"/>
      <c r="H501" s="267"/>
    </row>
    <row r="502" spans="2:9" ht="18" hidden="1" customHeight="1" thickBot="1" x14ac:dyDescent="0.4">
      <c r="B502" s="77"/>
      <c r="C502" s="162"/>
      <c r="D502" s="66"/>
      <c r="E502" s="717">
        <f>SUM(E499:E501)</f>
        <v>160</v>
      </c>
      <c r="F502" s="718">
        <f>SUM(F499:F501)</f>
        <v>-160</v>
      </c>
      <c r="G502" s="71"/>
      <c r="H502" s="267"/>
      <c r="I502" s="261">
        <f>SUM(E502:H502)</f>
        <v>0</v>
      </c>
    </row>
    <row r="503" spans="2:9" ht="18" hidden="1" customHeight="1" x14ac:dyDescent="0.35">
      <c r="C503" s="86"/>
      <c r="D503" s="57"/>
    </row>
    <row r="504" spans="2:9" ht="18" hidden="1" customHeight="1" x14ac:dyDescent="0.35">
      <c r="B504" s="77" t="s">
        <v>2754</v>
      </c>
      <c r="C504" s="162">
        <v>46088</v>
      </c>
      <c r="D504" s="66"/>
      <c r="E504" s="66">
        <v>110</v>
      </c>
      <c r="F504" s="66"/>
      <c r="G504" s="71"/>
      <c r="H504" s="267"/>
    </row>
    <row r="505" spans="2:9" ht="18" hidden="1" customHeight="1" x14ac:dyDescent="0.35">
      <c r="B505" s="77"/>
      <c r="C505" s="162">
        <v>46107</v>
      </c>
      <c r="D505" s="66"/>
      <c r="E505" s="66"/>
      <c r="F505" s="66">
        <v>-110</v>
      </c>
      <c r="G505" s="71"/>
      <c r="H505" s="267"/>
    </row>
    <row r="506" spans="2:9" ht="18" hidden="1" customHeight="1" thickBot="1" x14ac:dyDescent="0.4">
      <c r="B506" s="77"/>
      <c r="C506" s="162"/>
      <c r="D506" s="66"/>
      <c r="E506" s="66"/>
      <c r="F506" s="66"/>
      <c r="G506" s="71"/>
      <c r="H506" s="267"/>
    </row>
    <row r="507" spans="2:9" ht="18" hidden="1" customHeight="1" thickBot="1" x14ac:dyDescent="0.4">
      <c r="B507" s="77"/>
      <c r="C507" s="162"/>
      <c r="D507" s="66"/>
      <c r="E507" s="717">
        <f>SUM(E504:E506)</f>
        <v>110</v>
      </c>
      <c r="F507" s="718">
        <f>SUM(F504:F506)</f>
        <v>-110</v>
      </c>
      <c r="G507" s="71"/>
      <c r="H507" s="267"/>
      <c r="I507" s="261">
        <f>SUM(E507:H507)</f>
        <v>0</v>
      </c>
    </row>
    <row r="508" spans="2:9" ht="18" hidden="1" customHeight="1" x14ac:dyDescent="0.35">
      <c r="C508" s="86"/>
      <c r="D508" s="57"/>
    </row>
    <row r="509" spans="2:9" ht="18" customHeight="1" x14ac:dyDescent="0.35">
      <c r="B509" s="33" t="s">
        <v>1009</v>
      </c>
      <c r="C509" s="86">
        <v>46090</v>
      </c>
      <c r="D509" s="57"/>
      <c r="E509" s="57">
        <v>150</v>
      </c>
    </row>
    <row r="510" spans="2:9" ht="18" customHeight="1" x14ac:dyDescent="0.35">
      <c r="C510" s="86">
        <v>46122</v>
      </c>
      <c r="D510" s="57"/>
      <c r="F510" s="57">
        <v>-80</v>
      </c>
    </row>
    <row r="511" spans="2:9" ht="18" customHeight="1" x14ac:dyDescent="0.35">
      <c r="C511" s="86"/>
      <c r="D511" s="57"/>
    </row>
    <row r="512" spans="2:9" ht="18" customHeight="1" thickBot="1" x14ac:dyDescent="0.4">
      <c r="C512" s="86"/>
      <c r="D512" s="57"/>
    </row>
    <row r="513" spans="2:9" ht="18" customHeight="1" thickBot="1" x14ac:dyDescent="0.4">
      <c r="C513" s="86"/>
      <c r="D513" s="57"/>
      <c r="E513" s="385">
        <f>SUM(E509:E512)</f>
        <v>150</v>
      </c>
      <c r="F513" s="386">
        <f>SUM(F509:F512)</f>
        <v>-80</v>
      </c>
      <c r="I513" s="261">
        <f>SUM(E513:H513)</f>
        <v>70</v>
      </c>
    </row>
    <row r="514" spans="2:9" ht="18" customHeight="1" x14ac:dyDescent="0.35">
      <c r="C514" s="86"/>
      <c r="D514" s="57"/>
    </row>
    <row r="515" spans="2:9" ht="18" hidden="1" customHeight="1" x14ac:dyDescent="0.35">
      <c r="B515" s="77" t="s">
        <v>1097</v>
      </c>
      <c r="C515" s="162">
        <v>46097</v>
      </c>
      <c r="D515" s="66"/>
      <c r="E515" s="66">
        <v>250</v>
      </c>
      <c r="F515" s="66"/>
      <c r="G515" s="71"/>
      <c r="H515" s="267"/>
    </row>
    <row r="516" spans="2:9" ht="18" hidden="1" customHeight="1" x14ac:dyDescent="0.35">
      <c r="B516" s="77"/>
      <c r="C516" s="162">
        <v>46101</v>
      </c>
      <c r="D516" s="66"/>
      <c r="E516" s="66"/>
      <c r="F516" s="66">
        <v>-250</v>
      </c>
      <c r="G516" s="71"/>
      <c r="H516" s="267"/>
    </row>
    <row r="517" spans="2:9" ht="18" hidden="1" customHeight="1" thickBot="1" x14ac:dyDescent="0.4">
      <c r="B517" s="77"/>
      <c r="C517" s="162"/>
      <c r="D517" s="66"/>
      <c r="E517" s="66"/>
      <c r="F517" s="66"/>
      <c r="G517" s="71"/>
      <c r="H517" s="267"/>
    </row>
    <row r="518" spans="2:9" ht="18" hidden="1" customHeight="1" thickBot="1" x14ac:dyDescent="0.4">
      <c r="B518" s="77"/>
      <c r="C518" s="162"/>
      <c r="D518" s="66"/>
      <c r="E518" s="717">
        <f>SUM(E515:E517)</f>
        <v>250</v>
      </c>
      <c r="F518" s="718">
        <f>SUM(F515:F517)</f>
        <v>-250</v>
      </c>
      <c r="G518" s="71"/>
      <c r="H518" s="267"/>
      <c r="I518" s="261">
        <f>SUM(E518:H518)</f>
        <v>0</v>
      </c>
    </row>
    <row r="519" spans="2:9" ht="18" customHeight="1" x14ac:dyDescent="0.35">
      <c r="C519" s="86"/>
      <c r="D519" s="57"/>
    </row>
    <row r="520" spans="2:9" ht="18" customHeight="1" x14ac:dyDescent="0.35">
      <c r="B520" s="33" t="s">
        <v>1162</v>
      </c>
      <c r="C520" s="86">
        <v>46105</v>
      </c>
      <c r="D520" s="57"/>
      <c r="E520" s="57">
        <v>15</v>
      </c>
      <c r="F520" s="57">
        <v>0</v>
      </c>
    </row>
    <row r="521" spans="2:9" ht="18" customHeight="1" thickBot="1" x14ac:dyDescent="0.4">
      <c r="C521" s="86"/>
      <c r="D521" s="57"/>
    </row>
    <row r="522" spans="2:9" ht="18" customHeight="1" thickBot="1" x14ac:dyDescent="0.4">
      <c r="C522" s="86"/>
      <c r="D522" s="57"/>
      <c r="E522" s="385">
        <f t="shared" ref="E522:F522" si="0">SUM(E520:E521)</f>
        <v>15</v>
      </c>
      <c r="F522" s="386">
        <f t="shared" si="0"/>
        <v>0</v>
      </c>
      <c r="I522" s="261">
        <f>SUM(E522:H522)</f>
        <v>15</v>
      </c>
    </row>
    <row r="523" spans="2:9" ht="18" customHeight="1" x14ac:dyDescent="0.35">
      <c r="C523" s="86"/>
      <c r="D523" s="57"/>
    </row>
    <row r="524" spans="2:9" ht="18" hidden="1" customHeight="1" x14ac:dyDescent="0.35">
      <c r="B524" s="77" t="s">
        <v>1097</v>
      </c>
      <c r="C524" s="162">
        <v>46106</v>
      </c>
      <c r="D524" s="66"/>
      <c r="E524" s="66">
        <v>205</v>
      </c>
      <c r="F524" s="66">
        <v>-110</v>
      </c>
      <c r="G524" s="71"/>
      <c r="H524" s="267"/>
    </row>
    <row r="525" spans="2:9" ht="18" hidden="1" customHeight="1" thickBot="1" x14ac:dyDescent="0.4">
      <c r="B525" s="77"/>
      <c r="C525" s="162">
        <v>46140</v>
      </c>
      <c r="D525" s="66"/>
      <c r="E525" s="66"/>
      <c r="F525" s="66">
        <v>-95</v>
      </c>
      <c r="G525" s="71"/>
      <c r="H525" s="267"/>
    </row>
    <row r="526" spans="2:9" ht="18" hidden="1" customHeight="1" thickBot="1" x14ac:dyDescent="0.4">
      <c r="B526" s="77"/>
      <c r="C526" s="162"/>
      <c r="D526" s="66"/>
      <c r="E526" s="717">
        <f t="shared" ref="E526:F526" si="1">SUM(E524:E525)</f>
        <v>205</v>
      </c>
      <c r="F526" s="718">
        <f t="shared" si="1"/>
        <v>-205</v>
      </c>
      <c r="G526" s="71"/>
      <c r="H526" s="267"/>
      <c r="I526" s="261">
        <f>SUM(E526:H526)</f>
        <v>0</v>
      </c>
    </row>
    <row r="527" spans="2:9" ht="18" customHeight="1" x14ac:dyDescent="0.35">
      <c r="C527" s="86"/>
      <c r="D527" s="57"/>
    </row>
    <row r="528" spans="2:9" ht="18" customHeight="1" x14ac:dyDescent="0.35">
      <c r="B528" s="33" t="s">
        <v>1464</v>
      </c>
      <c r="C528" s="86">
        <v>46097</v>
      </c>
      <c r="D528" s="57"/>
      <c r="E528" s="57">
        <v>90</v>
      </c>
      <c r="F528" s="57">
        <v>-50</v>
      </c>
    </row>
    <row r="529" spans="2:9" ht="18" customHeight="1" x14ac:dyDescent="0.35">
      <c r="C529" s="86">
        <v>46111</v>
      </c>
      <c r="D529" s="57"/>
      <c r="E529" s="57">
        <v>125</v>
      </c>
      <c r="F529" s="57">
        <v>-50</v>
      </c>
    </row>
    <row r="530" spans="2:9" ht="18" customHeight="1" x14ac:dyDescent="0.35">
      <c r="C530" s="86">
        <v>46135</v>
      </c>
      <c r="D530" s="57"/>
      <c r="E530" s="57">
        <v>50</v>
      </c>
    </row>
    <row r="531" spans="2:9" ht="18" customHeight="1" thickBot="1" x14ac:dyDescent="0.4">
      <c r="C531" s="86">
        <v>46147</v>
      </c>
      <c r="D531" s="57"/>
      <c r="E531" s="57">
        <v>75</v>
      </c>
      <c r="F531" s="57">
        <v>-200</v>
      </c>
    </row>
    <row r="532" spans="2:9" ht="18" customHeight="1" thickBot="1" x14ac:dyDescent="0.4">
      <c r="C532" s="86"/>
      <c r="D532" s="57"/>
      <c r="E532" s="385">
        <f t="shared" ref="E532:F532" si="2">SUM(E528:E531)</f>
        <v>340</v>
      </c>
      <c r="F532" s="386">
        <f t="shared" si="2"/>
        <v>-300</v>
      </c>
      <c r="I532" s="261">
        <f>SUM(E532:H532)</f>
        <v>40</v>
      </c>
    </row>
    <row r="533" spans="2:9" ht="18" customHeight="1" x14ac:dyDescent="0.35">
      <c r="C533" s="86"/>
      <c r="D533" s="57"/>
    </row>
    <row r="534" spans="2:9" ht="18" hidden="1" customHeight="1" x14ac:dyDescent="0.35">
      <c r="B534" s="77" t="s">
        <v>3001</v>
      </c>
      <c r="C534" s="162">
        <v>46111</v>
      </c>
      <c r="D534" s="66"/>
      <c r="E534" s="66">
        <v>75</v>
      </c>
      <c r="F534" s="66"/>
      <c r="G534" s="71"/>
      <c r="H534" s="267"/>
    </row>
    <row r="535" spans="2:9" ht="18" hidden="1" customHeight="1" x14ac:dyDescent="0.35">
      <c r="B535" s="77"/>
      <c r="C535" s="162">
        <v>46128</v>
      </c>
      <c r="D535" s="66"/>
      <c r="E535" s="66"/>
      <c r="F535" s="66">
        <v>-75</v>
      </c>
      <c r="G535" s="71"/>
      <c r="H535" s="267"/>
    </row>
    <row r="536" spans="2:9" ht="18" hidden="1" customHeight="1" thickBot="1" x14ac:dyDescent="0.4">
      <c r="B536" s="77"/>
      <c r="C536" s="162"/>
      <c r="D536" s="66"/>
      <c r="E536" s="66"/>
      <c r="F536" s="66"/>
      <c r="G536" s="71"/>
      <c r="H536" s="267"/>
    </row>
    <row r="537" spans="2:9" ht="18" hidden="1" customHeight="1" thickBot="1" x14ac:dyDescent="0.4">
      <c r="B537" s="77"/>
      <c r="C537" s="162"/>
      <c r="D537" s="66"/>
      <c r="E537" s="717">
        <f t="shared" ref="E537:F537" si="3">SUM(E534:E536)</f>
        <v>75</v>
      </c>
      <c r="F537" s="718">
        <f t="shared" si="3"/>
        <v>-75</v>
      </c>
      <c r="G537" s="71"/>
      <c r="H537" s="267"/>
      <c r="I537" s="261">
        <f>SUM(E537:H537)</f>
        <v>0</v>
      </c>
    </row>
    <row r="538" spans="2:9" ht="18" customHeight="1" x14ac:dyDescent="0.35">
      <c r="C538" s="86"/>
      <c r="D538" s="57"/>
    </row>
    <row r="539" spans="2:9" ht="18" customHeight="1" x14ac:dyDescent="0.35">
      <c r="B539" s="33" t="s">
        <v>3019</v>
      </c>
      <c r="C539" s="86">
        <v>46119</v>
      </c>
      <c r="D539" s="57"/>
      <c r="E539" s="57">
        <v>175</v>
      </c>
    </row>
    <row r="540" spans="2:9" ht="18" customHeight="1" x14ac:dyDescent="0.35">
      <c r="C540" s="86"/>
      <c r="D540" s="57"/>
    </row>
    <row r="541" spans="2:9" ht="18" customHeight="1" thickBot="1" x14ac:dyDescent="0.4">
      <c r="C541" s="86"/>
      <c r="D541" s="57"/>
    </row>
    <row r="542" spans="2:9" ht="18" customHeight="1" thickBot="1" x14ac:dyDescent="0.4">
      <c r="C542" s="86"/>
      <c r="D542" s="57"/>
      <c r="E542" s="385">
        <f t="shared" ref="E542:F542" si="4">SUM(E539:E541)</f>
        <v>175</v>
      </c>
      <c r="F542" s="386">
        <f t="shared" si="4"/>
        <v>0</v>
      </c>
      <c r="I542" s="261">
        <f>SUM(E542:H542)</f>
        <v>175</v>
      </c>
    </row>
    <row r="543" spans="2:9" ht="18" customHeight="1" x14ac:dyDescent="0.35">
      <c r="C543" s="86"/>
      <c r="D543" s="57"/>
    </row>
    <row r="544" spans="2:9" ht="18" customHeight="1" x14ac:dyDescent="0.35">
      <c r="B544" s="33" t="s">
        <v>3018</v>
      </c>
      <c r="C544" s="86">
        <v>46119</v>
      </c>
      <c r="D544" s="57"/>
      <c r="E544" s="57">
        <v>175</v>
      </c>
    </row>
    <row r="545" spans="2:9" ht="18" customHeight="1" thickBot="1" x14ac:dyDescent="0.4">
      <c r="C545" s="86">
        <v>46128</v>
      </c>
      <c r="D545" s="57"/>
      <c r="F545" s="57">
        <v>-100</v>
      </c>
    </row>
    <row r="546" spans="2:9" ht="18" customHeight="1" thickBot="1" x14ac:dyDescent="0.4">
      <c r="C546" s="86"/>
      <c r="D546" s="57"/>
      <c r="E546" s="385">
        <f t="shared" ref="E546:F546" si="5">SUM(E544:E545)</f>
        <v>175</v>
      </c>
      <c r="F546" s="386">
        <f t="shared" si="5"/>
        <v>-100</v>
      </c>
      <c r="I546" s="261">
        <f>SUM(E546:H546)</f>
        <v>75</v>
      </c>
    </row>
    <row r="547" spans="2:9" ht="18" customHeight="1" x14ac:dyDescent="0.35">
      <c r="C547" s="86"/>
      <c r="D547" s="57"/>
    </row>
    <row r="548" spans="2:9" ht="18" hidden="1" customHeight="1" x14ac:dyDescent="0.35">
      <c r="B548" s="908" t="s">
        <v>2843</v>
      </c>
      <c r="C548" s="162">
        <v>46122</v>
      </c>
      <c r="D548" s="66"/>
      <c r="E548" s="66">
        <v>45</v>
      </c>
      <c r="F548" s="66">
        <v>-20</v>
      </c>
      <c r="G548" s="71"/>
      <c r="H548" s="267"/>
    </row>
    <row r="549" spans="2:9" ht="18" hidden="1" customHeight="1" thickBot="1" x14ac:dyDescent="0.4">
      <c r="B549" s="77"/>
      <c r="C549" s="162">
        <v>46126</v>
      </c>
      <c r="D549" s="66"/>
      <c r="E549" s="66"/>
      <c r="F549" s="66">
        <v>-25</v>
      </c>
      <c r="G549" s="71"/>
      <c r="H549" s="267"/>
    </row>
    <row r="550" spans="2:9" ht="18" hidden="1" customHeight="1" thickBot="1" x14ac:dyDescent="0.4">
      <c r="B550" s="77"/>
      <c r="C550" s="162"/>
      <c r="D550" s="66"/>
      <c r="E550" s="717">
        <f>SUM(E548:E549)</f>
        <v>45</v>
      </c>
      <c r="F550" s="718">
        <f t="shared" ref="F550" si="6">SUM(F548:F549)</f>
        <v>-45</v>
      </c>
      <c r="G550" s="71"/>
      <c r="H550" s="267"/>
      <c r="I550" s="261">
        <f>SUM(E550:H550)</f>
        <v>0</v>
      </c>
    </row>
    <row r="551" spans="2:9" ht="18" hidden="1" customHeight="1" x14ac:dyDescent="0.35">
      <c r="C551" s="86"/>
      <c r="D551" s="57"/>
    </row>
    <row r="552" spans="2:9" ht="18" hidden="1" customHeight="1" x14ac:dyDescent="0.35">
      <c r="B552" s="77" t="s">
        <v>3093</v>
      </c>
      <c r="C552" s="162">
        <v>46122</v>
      </c>
      <c r="D552" s="66"/>
      <c r="E552" s="66">
        <v>50</v>
      </c>
      <c r="F552" s="66"/>
      <c r="G552" s="71"/>
      <c r="H552" s="267"/>
    </row>
    <row r="553" spans="2:9" ht="18" hidden="1" customHeight="1" thickBot="1" x14ac:dyDescent="0.4">
      <c r="B553" s="77"/>
      <c r="C553" s="162">
        <v>46126</v>
      </c>
      <c r="D553" s="66"/>
      <c r="E553" s="66"/>
      <c r="F553" s="66">
        <v>-50</v>
      </c>
      <c r="G553" s="71"/>
      <c r="H553" s="267"/>
    </row>
    <row r="554" spans="2:9" ht="18" hidden="1" customHeight="1" thickBot="1" x14ac:dyDescent="0.4">
      <c r="B554" s="77"/>
      <c r="C554" s="162"/>
      <c r="D554" s="66"/>
      <c r="E554" s="717">
        <f t="shared" ref="E554:F554" si="7">SUM(E552:E553)</f>
        <v>50</v>
      </c>
      <c r="F554" s="718">
        <f t="shared" si="7"/>
        <v>-50</v>
      </c>
      <c r="G554" s="71"/>
      <c r="H554" s="267"/>
      <c r="I554" s="261">
        <f>SUM(E554:H554)</f>
        <v>0</v>
      </c>
    </row>
    <row r="555" spans="2:9" ht="18" customHeight="1" x14ac:dyDescent="0.35">
      <c r="C555" s="86"/>
      <c r="D555" s="57"/>
    </row>
    <row r="556" spans="2:9" ht="18" customHeight="1" x14ac:dyDescent="0.35">
      <c r="B556" s="33" t="s">
        <v>1522</v>
      </c>
      <c r="C556" s="86">
        <v>46125</v>
      </c>
      <c r="D556" s="57"/>
      <c r="E556" s="57">
        <v>240</v>
      </c>
    </row>
    <row r="557" spans="2:9" ht="18" customHeight="1" x14ac:dyDescent="0.35">
      <c r="C557" s="86"/>
      <c r="D557" s="57"/>
    </row>
    <row r="558" spans="2:9" ht="18" customHeight="1" thickBot="1" x14ac:dyDescent="0.4">
      <c r="C558" s="86"/>
      <c r="D558" s="57"/>
    </row>
    <row r="559" spans="2:9" ht="18" customHeight="1" thickBot="1" x14ac:dyDescent="0.4">
      <c r="C559" s="86"/>
      <c r="D559" s="57"/>
      <c r="E559" s="385">
        <f t="shared" ref="E559:F559" si="8">SUM(E556:E558)</f>
        <v>240</v>
      </c>
      <c r="F559" s="386">
        <f t="shared" si="8"/>
        <v>0</v>
      </c>
      <c r="I559" s="261">
        <f>SUM(E559:H559)</f>
        <v>240</v>
      </c>
    </row>
    <row r="560" spans="2:9" ht="18" hidden="1" customHeight="1" x14ac:dyDescent="0.35">
      <c r="C560" s="86"/>
      <c r="D560" s="57"/>
    </row>
    <row r="561" spans="2:9" ht="18" hidden="1" customHeight="1" x14ac:dyDescent="0.35">
      <c r="B561" s="77" t="s">
        <v>3096</v>
      </c>
      <c r="C561" s="162">
        <v>46126</v>
      </c>
      <c r="D561" s="66"/>
      <c r="E561" s="66">
        <v>105</v>
      </c>
      <c r="F561" s="66"/>
      <c r="G561" s="71"/>
      <c r="H561" s="267"/>
    </row>
    <row r="562" spans="2:9" ht="18" hidden="1" customHeight="1" x14ac:dyDescent="0.35">
      <c r="B562" s="77"/>
      <c r="C562" s="162" t="s">
        <v>3193</v>
      </c>
      <c r="D562" s="66"/>
      <c r="E562" s="66"/>
      <c r="F562" s="66">
        <v>-105</v>
      </c>
      <c r="G562" s="71"/>
      <c r="H562" s="267"/>
    </row>
    <row r="563" spans="2:9" ht="18" hidden="1" customHeight="1" thickBot="1" x14ac:dyDescent="0.4">
      <c r="B563" s="77"/>
      <c r="C563" s="162"/>
      <c r="D563" s="66"/>
      <c r="E563" s="66"/>
      <c r="F563" s="66"/>
      <c r="G563" s="71"/>
      <c r="H563" s="267"/>
    </row>
    <row r="564" spans="2:9" ht="18" hidden="1" customHeight="1" thickBot="1" x14ac:dyDescent="0.4">
      <c r="B564" s="77"/>
      <c r="C564" s="162"/>
      <c r="D564" s="66"/>
      <c r="E564" s="717">
        <f t="shared" ref="E564:F564" si="9">SUM(E561:E563)</f>
        <v>105</v>
      </c>
      <c r="F564" s="718">
        <f t="shared" si="9"/>
        <v>-105</v>
      </c>
      <c r="G564" s="71"/>
      <c r="H564" s="267"/>
      <c r="I564" s="261">
        <f>SUM(E564:H564)</f>
        <v>0</v>
      </c>
    </row>
    <row r="565" spans="2:9" ht="18" customHeight="1" x14ac:dyDescent="0.35">
      <c r="C565" s="86"/>
      <c r="D565" s="57"/>
    </row>
    <row r="566" spans="2:9" ht="18" customHeight="1" x14ac:dyDescent="0.35">
      <c r="B566" s="33" t="s">
        <v>749</v>
      </c>
      <c r="C566" s="86">
        <v>46136</v>
      </c>
      <c r="D566" s="57"/>
      <c r="E566" s="57">
        <v>125</v>
      </c>
      <c r="F566" s="57">
        <v>-50</v>
      </c>
    </row>
    <row r="567" spans="2:9" ht="18" customHeight="1" thickBot="1" x14ac:dyDescent="0.4">
      <c r="C567" s="86">
        <v>27</v>
      </c>
      <c r="D567" s="57"/>
      <c r="E567" s="57">
        <f>55+110</f>
        <v>165</v>
      </c>
      <c r="F567" s="57">
        <v>-150</v>
      </c>
    </row>
    <row r="568" spans="2:9" ht="18" customHeight="1" thickBot="1" x14ac:dyDescent="0.4">
      <c r="C568" s="86"/>
      <c r="D568" s="57"/>
      <c r="E568" s="385">
        <f t="shared" ref="E568:F568" si="10">SUM(E566:E567)</f>
        <v>290</v>
      </c>
      <c r="F568" s="386">
        <f t="shared" si="10"/>
        <v>-200</v>
      </c>
      <c r="I568" s="261">
        <f>SUM(E568:H568)</f>
        <v>90</v>
      </c>
    </row>
    <row r="569" spans="2:9" ht="18" customHeight="1" x14ac:dyDescent="0.35">
      <c r="C569" s="86"/>
      <c r="D569" s="57"/>
    </row>
    <row r="570" spans="2:9" ht="18" customHeight="1" x14ac:dyDescent="0.35">
      <c r="B570" s="187" t="s">
        <v>3134</v>
      </c>
      <c r="C570" s="86">
        <v>46135</v>
      </c>
      <c r="D570" s="57"/>
      <c r="E570" s="57">
        <v>75</v>
      </c>
    </row>
    <row r="571" spans="2:9" ht="18" customHeight="1" x14ac:dyDescent="0.35">
      <c r="C571" s="86"/>
      <c r="D571" s="57"/>
    </row>
    <row r="572" spans="2:9" ht="18" customHeight="1" thickBot="1" x14ac:dyDescent="0.4">
      <c r="C572" s="86"/>
      <c r="D572" s="57"/>
    </row>
    <row r="573" spans="2:9" ht="18" customHeight="1" thickBot="1" x14ac:dyDescent="0.4">
      <c r="C573" s="86"/>
      <c r="D573" s="57"/>
      <c r="E573" s="385">
        <f t="shared" ref="E573:F573" si="11">SUM(E570:E572)</f>
        <v>75</v>
      </c>
      <c r="F573" s="386">
        <f t="shared" si="11"/>
        <v>0</v>
      </c>
      <c r="I573" s="261">
        <f>SUM(E573:H573)</f>
        <v>75</v>
      </c>
    </row>
    <row r="574" spans="2:9" ht="18" customHeight="1" x14ac:dyDescent="0.35">
      <c r="C574" s="86"/>
      <c r="D574" s="57"/>
    </row>
    <row r="575" spans="2:9" ht="18" customHeight="1" x14ac:dyDescent="0.35">
      <c r="B575" s="33" t="s">
        <v>2380</v>
      </c>
      <c r="C575" s="86">
        <v>46139</v>
      </c>
      <c r="D575" s="57"/>
      <c r="E575" s="57">
        <v>35</v>
      </c>
    </row>
    <row r="576" spans="2:9" ht="18" customHeight="1" thickBot="1" x14ac:dyDescent="0.4">
      <c r="C576" s="86"/>
      <c r="D576" s="57"/>
    </row>
    <row r="577" spans="2:10" ht="18" customHeight="1" thickBot="1" x14ac:dyDescent="0.4">
      <c r="C577" s="86"/>
      <c r="D577" s="57"/>
      <c r="E577" s="385">
        <f t="shared" ref="E577:F577" si="12">SUM(E575:E576)</f>
        <v>35</v>
      </c>
      <c r="F577" s="386">
        <f t="shared" si="12"/>
        <v>0</v>
      </c>
      <c r="I577" s="261">
        <f>SUM(E577:H577)</f>
        <v>35</v>
      </c>
    </row>
    <row r="578" spans="2:10" ht="18" customHeight="1" x14ac:dyDescent="0.35">
      <c r="C578" s="86"/>
      <c r="D578" s="57"/>
    </row>
    <row r="579" spans="2:10" ht="18" customHeight="1" x14ac:dyDescent="0.35">
      <c r="B579" s="33" t="s">
        <v>3165</v>
      </c>
      <c r="C579" s="86"/>
      <c r="D579" s="57"/>
      <c r="E579" s="57">
        <f>70+45+50</f>
        <v>165</v>
      </c>
      <c r="F579" s="57">
        <v>-70</v>
      </c>
    </row>
    <row r="580" spans="2:10" ht="18" customHeight="1" x14ac:dyDescent="0.35">
      <c r="C580" s="86"/>
      <c r="D580" s="57"/>
    </row>
    <row r="581" spans="2:10" ht="18" customHeight="1" thickBot="1" x14ac:dyDescent="0.4">
      <c r="C581" s="86"/>
      <c r="D581" s="57"/>
    </row>
    <row r="582" spans="2:10" ht="18" customHeight="1" thickBot="1" x14ac:dyDescent="0.4">
      <c r="C582" s="86"/>
      <c r="D582" s="57"/>
      <c r="E582" s="385">
        <f t="shared" ref="E582:F582" si="13">SUM(E579:E581)</f>
        <v>165</v>
      </c>
      <c r="F582" s="386">
        <f t="shared" si="13"/>
        <v>-70</v>
      </c>
      <c r="I582" s="261">
        <f>SUM(E582:H582)</f>
        <v>95</v>
      </c>
    </row>
    <row r="583" spans="2:10" ht="18" customHeight="1" x14ac:dyDescent="0.35">
      <c r="C583" s="86"/>
      <c r="D583" s="57"/>
    </row>
    <row r="584" spans="2:10" ht="18" customHeight="1" x14ac:dyDescent="0.35">
      <c r="B584" s="33" t="s">
        <v>3174</v>
      </c>
      <c r="C584" s="86">
        <v>46141</v>
      </c>
      <c r="D584" s="57"/>
      <c r="E584" s="57">
        <v>65</v>
      </c>
    </row>
    <row r="585" spans="2:10" ht="18" customHeight="1" thickBot="1" x14ac:dyDescent="0.4">
      <c r="C585" s="86"/>
      <c r="D585" s="57"/>
    </row>
    <row r="586" spans="2:10" ht="18" customHeight="1" thickBot="1" x14ac:dyDescent="0.4">
      <c r="C586" s="86"/>
      <c r="D586" s="57"/>
      <c r="E586" s="385">
        <f t="shared" ref="E586:F586" si="14">SUM(E584:E585)</f>
        <v>65</v>
      </c>
      <c r="F586" s="386">
        <f t="shared" si="14"/>
        <v>0</v>
      </c>
      <c r="I586" s="261">
        <f>SUM(E586:H586)</f>
        <v>65</v>
      </c>
    </row>
    <row r="587" spans="2:10" ht="18" customHeight="1" x14ac:dyDescent="0.35">
      <c r="C587" s="86"/>
      <c r="D587" s="57"/>
    </row>
    <row r="588" spans="2:10" ht="18" customHeight="1" x14ac:dyDescent="0.35">
      <c r="B588" s="33" t="s">
        <v>3180</v>
      </c>
      <c r="C588" s="86">
        <v>46141</v>
      </c>
      <c r="D588" s="57"/>
      <c r="E588" s="57">
        <v>55</v>
      </c>
    </row>
    <row r="589" spans="2:10" ht="18" customHeight="1" thickBot="1" x14ac:dyDescent="0.4">
      <c r="C589" s="86">
        <v>46147</v>
      </c>
      <c r="D589" s="57"/>
      <c r="F589" s="57">
        <v>-45</v>
      </c>
    </row>
    <row r="590" spans="2:10" ht="18" customHeight="1" thickBot="1" x14ac:dyDescent="0.4">
      <c r="C590" s="86"/>
      <c r="E590" s="385">
        <f t="shared" ref="E590:F590" si="15">SUM(E588:E589)</f>
        <v>55</v>
      </c>
      <c r="F590" s="386">
        <f t="shared" si="15"/>
        <v>-45</v>
      </c>
      <c r="I590" s="261">
        <f>SUM(E590:H590)</f>
        <v>10</v>
      </c>
    </row>
    <row r="591" spans="2:10" ht="18" customHeight="1" thickBot="1" x14ac:dyDescent="0.4"/>
    <row r="592" spans="2:10" ht="18" customHeight="1" thickBot="1" x14ac:dyDescent="0.4">
      <c r="B592" s="102" t="s">
        <v>201</v>
      </c>
      <c r="C592" s="103"/>
      <c r="D592" s="125"/>
      <c r="E592" s="103"/>
      <c r="F592" s="103"/>
      <c r="G592" s="127"/>
      <c r="H592" s="271"/>
      <c r="I592" s="227">
        <f>SUM(I204:I591)</f>
        <v>2757</v>
      </c>
      <c r="J592" s="65"/>
    </row>
    <row r="596" spans="7:9" ht="18" customHeight="1" thickBot="1" x14ac:dyDescent="0.4">
      <c r="G596" s="57"/>
      <c r="H596" s="269"/>
    </row>
    <row r="597" spans="7:9" ht="18" customHeight="1" thickBot="1" x14ac:dyDescent="0.4">
      <c r="I597" s="225">
        <f>SUM(I594:I596)</f>
        <v>0</v>
      </c>
    </row>
    <row r="619" spans="3:13" ht="18" customHeight="1" x14ac:dyDescent="0.35">
      <c r="I619" s="261" t="s">
        <v>61</v>
      </c>
    </row>
    <row r="624" spans="3:13" ht="18" customHeight="1" x14ac:dyDescent="0.35">
      <c r="C624" s="76"/>
      <c r="F624" s="32"/>
      <c r="G624" s="32"/>
      <c r="H624" s="272"/>
      <c r="L624" s="32"/>
      <c r="M624" s="32"/>
    </row>
    <row r="625" spans="3:13" ht="18" customHeight="1" x14ac:dyDescent="0.35">
      <c r="C625" s="76"/>
      <c r="G625" s="57"/>
      <c r="H625" s="269"/>
      <c r="M625" s="32"/>
    </row>
    <row r="626" spans="3:13" ht="18" customHeight="1" x14ac:dyDescent="0.35">
      <c r="C626" s="33"/>
      <c r="F626" s="32"/>
      <c r="G626" s="32"/>
      <c r="H626" s="272"/>
      <c r="L626" s="32"/>
      <c r="M626" s="32"/>
    </row>
    <row r="627" spans="3:13" ht="18" customHeight="1" x14ac:dyDescent="0.35">
      <c r="C627" s="33"/>
      <c r="F627" s="32"/>
      <c r="G627" s="32"/>
      <c r="H627" s="272"/>
      <c r="L627" s="32"/>
      <c r="M627" s="32"/>
    </row>
    <row r="628" spans="3:13" ht="18" customHeight="1" x14ac:dyDescent="0.35">
      <c r="C628" s="33"/>
      <c r="F628" s="32"/>
      <c r="G628" s="32"/>
      <c r="H628" s="272"/>
      <c r="L628" s="32"/>
      <c r="M628" s="32"/>
    </row>
    <row r="629" spans="3:13" ht="18" customHeight="1" x14ac:dyDescent="0.35">
      <c r="C629" s="33"/>
      <c r="F629" s="32"/>
      <c r="G629" s="32"/>
      <c r="H629" s="272"/>
      <c r="L629" s="32"/>
      <c r="M629" s="32"/>
    </row>
    <row r="630" spans="3:13" ht="18" customHeight="1" x14ac:dyDescent="0.35">
      <c r="C630" s="33"/>
      <c r="F630" s="32"/>
      <c r="G630" s="32"/>
      <c r="H630" s="272"/>
      <c r="L630" s="32"/>
      <c r="M630" s="32"/>
    </row>
    <row r="631" spans="3:13" ht="18" customHeight="1" x14ac:dyDescent="0.35">
      <c r="C631" s="33"/>
      <c r="F631" s="32"/>
      <c r="G631" s="32"/>
      <c r="H631" s="272"/>
      <c r="L631" s="32"/>
      <c r="M631" s="32"/>
    </row>
    <row r="632" spans="3:13" ht="18" customHeight="1" x14ac:dyDescent="0.35">
      <c r="C632" s="33"/>
      <c r="F632" s="32"/>
      <c r="G632" s="32"/>
      <c r="H632" s="272"/>
      <c r="L632" s="32"/>
      <c r="M632" s="32"/>
    </row>
    <row r="633" spans="3:13" ht="18" customHeight="1" x14ac:dyDescent="0.35">
      <c r="C633" s="33"/>
      <c r="F633" s="32"/>
      <c r="G633" s="32"/>
      <c r="H633" s="272"/>
      <c r="L633" s="32"/>
      <c r="M633" s="32"/>
    </row>
    <row r="634" spans="3:13" ht="18" customHeight="1" x14ac:dyDescent="0.35">
      <c r="C634" s="33"/>
      <c r="F634" s="32"/>
      <c r="G634" s="32"/>
      <c r="H634" s="272"/>
      <c r="L634" s="32"/>
      <c r="M634" s="32"/>
    </row>
    <row r="635" spans="3:13" ht="18" customHeight="1" x14ac:dyDescent="0.35">
      <c r="C635" s="33"/>
      <c r="F635" s="32"/>
      <c r="G635" s="32"/>
      <c r="H635" s="272"/>
      <c r="L635" s="32"/>
      <c r="M635" s="32"/>
    </row>
    <row r="636" spans="3:13" ht="18" customHeight="1" x14ac:dyDescent="0.35">
      <c r="C636" s="33"/>
      <c r="F636" s="32"/>
      <c r="G636" s="32"/>
      <c r="H636" s="272"/>
      <c r="L636" s="32"/>
      <c r="M636" s="32"/>
    </row>
    <row r="637" spans="3:13" ht="18" customHeight="1" x14ac:dyDescent="0.35">
      <c r="C637" s="33"/>
      <c r="F637" s="32"/>
      <c r="G637" s="32"/>
      <c r="H637" s="272"/>
      <c r="L637" s="32"/>
      <c r="M637" s="32"/>
    </row>
    <row r="638" spans="3:13" ht="18" customHeight="1" x14ac:dyDescent="0.35">
      <c r="G638" s="32"/>
      <c r="H638" s="272"/>
      <c r="L638" s="32"/>
      <c r="M638" s="32"/>
    </row>
    <row r="639" spans="3:13" ht="18" customHeight="1" x14ac:dyDescent="0.35">
      <c r="G639" s="32"/>
      <c r="H639" s="272"/>
      <c r="L639" s="32"/>
      <c r="M639" s="32"/>
    </row>
    <row r="640" spans="3:13" s="33" customFormat="1" ht="18" customHeight="1" x14ac:dyDescent="0.35">
      <c r="D640" s="114"/>
      <c r="G640" s="29"/>
      <c r="H640" s="273"/>
      <c r="I640" s="261"/>
      <c r="L640" s="29"/>
      <c r="M640" s="29"/>
    </row>
    <row r="668" spans="2:13" s="33" customFormat="1" ht="18" customHeight="1" x14ac:dyDescent="0.35">
      <c r="D668" s="114"/>
      <c r="G668" s="29"/>
      <c r="H668" s="273"/>
      <c r="I668" s="261"/>
      <c r="L668" s="29"/>
      <c r="M668" s="29"/>
    </row>
    <row r="669" spans="2:13" customFormat="1" ht="18" customHeight="1" x14ac:dyDescent="0.35">
      <c r="B669" s="3"/>
      <c r="D669" s="114"/>
      <c r="F669" s="2"/>
      <c r="H669" s="245"/>
      <c r="I669" s="247"/>
    </row>
    <row r="670" spans="2:13" customFormat="1" ht="18" customHeight="1" x14ac:dyDescent="0.35">
      <c r="B670" s="3"/>
      <c r="D670" s="114"/>
      <c r="F670" s="2"/>
      <c r="H670" s="245"/>
      <c r="I670" s="247"/>
    </row>
    <row r="671" spans="2:13" customFormat="1" ht="18" customHeight="1" x14ac:dyDescent="0.35">
      <c r="B671" s="3"/>
      <c r="D671" s="114"/>
      <c r="F671" s="2"/>
      <c r="H671" s="245"/>
      <c r="I671" s="247"/>
    </row>
    <row r="672" spans="2:13" customFormat="1" ht="18" customHeight="1" x14ac:dyDescent="0.35">
      <c r="B672" s="3"/>
      <c r="D672" s="114"/>
      <c r="F672" s="2"/>
      <c r="H672" s="245"/>
      <c r="I672" s="247"/>
    </row>
    <row r="673" spans="2:13" customFormat="1" ht="18" customHeight="1" x14ac:dyDescent="0.35">
      <c r="B673" s="3"/>
      <c r="D673" s="114"/>
      <c r="F673" s="2"/>
      <c r="H673" s="245"/>
      <c r="I673" s="247"/>
    </row>
    <row r="674" spans="2:13" customFormat="1" ht="18" customHeight="1" x14ac:dyDescent="0.35">
      <c r="B674" s="3"/>
      <c r="D674" s="114"/>
      <c r="F674" s="2"/>
      <c r="H674" s="245"/>
      <c r="I674" s="247"/>
    </row>
    <row r="675" spans="2:13" customFormat="1" ht="18" customHeight="1" x14ac:dyDescent="0.35">
      <c r="B675" s="3"/>
      <c r="D675" s="114"/>
      <c r="F675" s="2"/>
      <c r="H675" s="245"/>
      <c r="I675" s="247"/>
    </row>
    <row r="676" spans="2:13" customFormat="1" ht="18" customHeight="1" x14ac:dyDescent="0.35">
      <c r="B676" s="3"/>
      <c r="D676" s="114"/>
      <c r="F676" s="2"/>
      <c r="H676" s="245"/>
      <c r="I676" s="247"/>
    </row>
    <row r="677" spans="2:13" customFormat="1" ht="18" customHeight="1" x14ac:dyDescent="0.35">
      <c r="B677" s="3"/>
      <c r="D677" s="114"/>
      <c r="F677" s="2"/>
      <c r="H677" s="245"/>
      <c r="I677" s="247"/>
    </row>
    <row r="678" spans="2:13" customFormat="1" ht="18" customHeight="1" x14ac:dyDescent="0.35">
      <c r="B678" s="3"/>
      <c r="D678" s="114"/>
      <c r="F678" s="2"/>
      <c r="H678" s="245"/>
      <c r="I678" s="247"/>
    </row>
    <row r="679" spans="2:13" customFormat="1" ht="18" customHeight="1" x14ac:dyDescent="0.35">
      <c r="B679" s="3"/>
      <c r="D679" s="114"/>
      <c r="F679" s="2"/>
      <c r="H679" s="245"/>
      <c r="I679" s="247"/>
    </row>
    <row r="680" spans="2:13" s="10" customFormat="1" ht="18" customHeight="1" x14ac:dyDescent="0.35">
      <c r="B680" s="11"/>
      <c r="D680" s="114"/>
      <c r="F680" s="2"/>
      <c r="G680" s="56"/>
      <c r="H680" s="274"/>
      <c r="I680" s="249"/>
    </row>
    <row r="681" spans="2:13" s="10" customFormat="1" ht="18" customHeight="1" x14ac:dyDescent="0.35">
      <c r="B681" s="11"/>
      <c r="D681" s="114"/>
      <c r="F681" s="2"/>
      <c r="G681" s="56"/>
      <c r="H681" s="274"/>
      <c r="I681" s="249"/>
    </row>
    <row r="682" spans="2:13" s="10" customFormat="1" ht="18" customHeight="1" x14ac:dyDescent="0.35">
      <c r="B682" s="11"/>
      <c r="D682" s="114"/>
      <c r="F682" s="2"/>
      <c r="G682" s="56"/>
      <c r="H682" s="274"/>
      <c r="I682" s="249"/>
    </row>
    <row r="683" spans="2:13" s="33" customFormat="1" ht="18" customHeight="1" x14ac:dyDescent="0.35">
      <c r="D683" s="114"/>
      <c r="G683" s="29"/>
      <c r="H683" s="273"/>
      <c r="I683" s="261"/>
      <c r="L683" s="29"/>
      <c r="M683" s="29"/>
    </row>
    <row r="684" spans="2:13" s="33" customFormat="1" ht="18" customHeight="1" x14ac:dyDescent="0.35">
      <c r="D684" s="114"/>
      <c r="F684" s="64"/>
      <c r="G684" s="63"/>
      <c r="H684" s="270"/>
      <c r="I684" s="261"/>
    </row>
    <row r="717" spans="3:13" ht="18" customHeight="1" x14ac:dyDescent="0.35">
      <c r="C717" s="33"/>
      <c r="F717" s="32"/>
      <c r="G717" s="32"/>
      <c r="H717" s="272"/>
      <c r="L717" s="32"/>
      <c r="M717" s="32"/>
    </row>
    <row r="718" spans="3:13" ht="18" customHeight="1" x14ac:dyDescent="0.35">
      <c r="C718" s="33"/>
      <c r="F718" s="32"/>
      <c r="G718" s="32"/>
      <c r="H718" s="272"/>
      <c r="L718" s="32"/>
      <c r="M718" s="32"/>
    </row>
    <row r="719" spans="3:13" ht="18" customHeight="1" x14ac:dyDescent="0.35">
      <c r="F719" s="32"/>
      <c r="G719" s="32"/>
      <c r="H719" s="272"/>
      <c r="L719" s="32"/>
      <c r="M719" s="32"/>
    </row>
    <row r="720" spans="3:13" ht="18" customHeight="1" x14ac:dyDescent="0.35">
      <c r="F720" s="32"/>
      <c r="G720" s="57"/>
      <c r="H720" s="269"/>
      <c r="L720" s="32"/>
      <c r="M720" s="32"/>
    </row>
    <row r="721" spans="2:14" s="33" customFormat="1" ht="18" customHeight="1" x14ac:dyDescent="0.35">
      <c r="D721" s="114"/>
      <c r="F721" s="29"/>
      <c r="H721" s="268"/>
      <c r="I721" s="261"/>
      <c r="L721" s="29"/>
      <c r="M721" s="29"/>
    </row>
    <row r="722" spans="2:14" s="1" customFormat="1" ht="18" customHeight="1" x14ac:dyDescent="0.35">
      <c r="B722" s="37"/>
      <c r="D722" s="114"/>
      <c r="E722" s="73"/>
      <c r="F722" s="2"/>
      <c r="G722" s="54"/>
      <c r="H722" s="275"/>
      <c r="I722" s="228"/>
      <c r="J722" s="69"/>
      <c r="K722" s="69"/>
      <c r="N722" s="53"/>
    </row>
    <row r="723" spans="2:14" s="1" customFormat="1" ht="18" customHeight="1" x14ac:dyDescent="0.35">
      <c r="B723" s="37"/>
      <c r="D723" s="114"/>
      <c r="E723" s="73"/>
      <c r="F723" s="2"/>
      <c r="G723" s="53"/>
      <c r="H723" s="265"/>
      <c r="I723" s="247"/>
      <c r="N723" s="53"/>
    </row>
    <row r="724" spans="2:14" s="1" customFormat="1" ht="18" customHeight="1" x14ac:dyDescent="0.35">
      <c r="B724" s="37"/>
      <c r="D724" s="114"/>
      <c r="E724" s="73"/>
      <c r="F724" s="2"/>
      <c r="G724" s="53"/>
      <c r="H724" s="265"/>
      <c r="I724" s="247"/>
      <c r="N724" s="53"/>
    </row>
    <row r="725" spans="2:14" s="1" customFormat="1" ht="18" customHeight="1" x14ac:dyDescent="0.35">
      <c r="B725" s="37"/>
      <c r="D725" s="114"/>
      <c r="E725" s="73"/>
      <c r="F725" s="2"/>
      <c r="G725" s="53"/>
      <c r="H725" s="265"/>
      <c r="I725" s="247"/>
      <c r="N725" s="53"/>
    </row>
    <row r="726" spans="2:14" s="1" customFormat="1" ht="18" customHeight="1" x14ac:dyDescent="0.35">
      <c r="B726" s="37"/>
      <c r="D726" s="114"/>
      <c r="E726" s="73"/>
      <c r="F726" s="2"/>
      <c r="G726" s="53"/>
      <c r="H726" s="265"/>
      <c r="I726" s="247"/>
      <c r="N726" s="53"/>
    </row>
    <row r="727" spans="2:14" s="69" customFormat="1" ht="18" customHeight="1" x14ac:dyDescent="0.35">
      <c r="B727" s="70"/>
      <c r="D727" s="114"/>
      <c r="E727" s="73"/>
      <c r="F727" s="2"/>
      <c r="G727" s="54"/>
      <c r="H727" s="275"/>
      <c r="I727" s="228"/>
      <c r="N727" s="54"/>
    </row>
    <row r="728" spans="2:14" s="69" customFormat="1" ht="18" customHeight="1" x14ac:dyDescent="0.35">
      <c r="B728" s="70"/>
      <c r="D728" s="114"/>
      <c r="E728" s="73"/>
      <c r="F728" s="2"/>
      <c r="G728" s="54"/>
      <c r="H728" s="275"/>
      <c r="I728" s="228"/>
      <c r="N728" s="54"/>
    </row>
    <row r="729" spans="2:14" s="69" customFormat="1" ht="18" customHeight="1" x14ac:dyDescent="0.35">
      <c r="B729" s="70"/>
      <c r="D729" s="114"/>
      <c r="E729" s="73"/>
      <c r="F729" s="2"/>
      <c r="G729" s="54"/>
      <c r="H729" s="275"/>
      <c r="I729" s="228"/>
      <c r="N729" s="54"/>
    </row>
    <row r="730" spans="2:14" s="69" customFormat="1" ht="18" customHeight="1" x14ac:dyDescent="0.35">
      <c r="B730" s="70"/>
      <c r="D730" s="114"/>
      <c r="E730" s="73"/>
      <c r="F730" s="2"/>
      <c r="G730" s="54"/>
      <c r="H730" s="275"/>
      <c r="I730" s="228"/>
      <c r="N730" s="54"/>
    </row>
    <row r="731" spans="2:14" s="69" customFormat="1" ht="18" customHeight="1" x14ac:dyDescent="0.35">
      <c r="B731" s="70"/>
      <c r="D731" s="114"/>
      <c r="E731" s="73"/>
      <c r="F731" s="2"/>
      <c r="G731" s="54"/>
      <c r="H731" s="275"/>
      <c r="I731" s="228"/>
      <c r="N731" s="54"/>
    </row>
    <row r="732" spans="2:14" s="33" customFormat="1" ht="18" customHeight="1" x14ac:dyDescent="0.35">
      <c r="D732" s="115"/>
      <c r="F732" s="29"/>
      <c r="G732" s="29"/>
      <c r="H732" s="273"/>
      <c r="I732" s="261"/>
      <c r="L732" s="29"/>
      <c r="M732" s="29"/>
    </row>
    <row r="746" spans="7:8" ht="18" customHeight="1" x14ac:dyDescent="0.35">
      <c r="G746" s="57"/>
      <c r="H746" s="269"/>
    </row>
    <row r="755" spans="6:6" ht="18" customHeight="1" x14ac:dyDescent="0.35">
      <c r="F755" s="65"/>
    </row>
    <row r="756" spans="6:6" ht="18" customHeight="1" x14ac:dyDescent="0.35">
      <c r="F756" s="65"/>
    </row>
    <row r="790" spans="3:13" ht="18" customHeight="1" x14ac:dyDescent="0.35">
      <c r="C790" s="33"/>
      <c r="F790" s="32"/>
      <c r="G790" s="32"/>
      <c r="H790" s="272"/>
      <c r="L790" s="32"/>
      <c r="M790" s="32"/>
    </row>
    <row r="791" spans="3:13" ht="18" customHeight="1" x14ac:dyDescent="0.35">
      <c r="C791" s="33"/>
      <c r="F791" s="32"/>
      <c r="G791" s="32"/>
      <c r="H791" s="272"/>
      <c r="L791" s="32"/>
      <c r="M791" s="32"/>
    </row>
    <row r="792" spans="3:13" ht="18" customHeight="1" x14ac:dyDescent="0.35">
      <c r="C792" s="33"/>
      <c r="F792" s="32"/>
      <c r="G792" s="32"/>
      <c r="H792" s="272"/>
      <c r="L792" s="32"/>
      <c r="M792" s="32"/>
    </row>
    <row r="793" spans="3:13" ht="18" customHeight="1" x14ac:dyDescent="0.35">
      <c r="C793" s="33"/>
      <c r="F793" s="32"/>
      <c r="G793" s="32"/>
      <c r="H793" s="272"/>
      <c r="L793" s="32"/>
      <c r="M793" s="32"/>
    </row>
    <row r="794" spans="3:13" ht="18" customHeight="1" x14ac:dyDescent="0.35">
      <c r="C794" s="33"/>
      <c r="F794" s="32"/>
      <c r="G794" s="32"/>
      <c r="H794" s="272"/>
      <c r="L794" s="32"/>
      <c r="M794" s="32"/>
    </row>
    <row r="795" spans="3:13" ht="18" customHeight="1" x14ac:dyDescent="0.35">
      <c r="C795" s="33"/>
      <c r="F795" s="32"/>
      <c r="G795" s="32"/>
      <c r="H795" s="272"/>
      <c r="L795" s="32"/>
      <c r="M795" s="32"/>
    </row>
    <row r="796" spans="3:13" ht="18" customHeight="1" x14ac:dyDescent="0.35">
      <c r="G796" s="32"/>
      <c r="H796" s="272"/>
      <c r="L796" s="32"/>
      <c r="M796" s="32"/>
    </row>
    <row r="797" spans="3:13" ht="18" customHeight="1" x14ac:dyDescent="0.35">
      <c r="G797" s="32"/>
      <c r="H797" s="272"/>
      <c r="L797" s="32"/>
      <c r="M797" s="32"/>
    </row>
    <row r="798" spans="3:13" ht="18" customHeight="1" x14ac:dyDescent="0.35">
      <c r="G798" s="32"/>
      <c r="H798" s="272"/>
      <c r="L798" s="32"/>
      <c r="M798" s="32"/>
    </row>
    <row r="799" spans="3:13" ht="18" customHeight="1" x14ac:dyDescent="0.35">
      <c r="G799" s="32"/>
      <c r="H799" s="272"/>
      <c r="L799" s="32"/>
      <c r="M799" s="32"/>
    </row>
    <row r="800" spans="3:13" ht="18" customHeight="1" x14ac:dyDescent="0.35">
      <c r="G800" s="32"/>
      <c r="H800" s="272"/>
      <c r="L800" s="32"/>
      <c r="M800" s="32"/>
    </row>
    <row r="801" spans="3:13" ht="18" customHeight="1" x14ac:dyDescent="0.35">
      <c r="C801" s="78"/>
      <c r="G801" s="32"/>
      <c r="H801" s="272"/>
      <c r="L801" s="32"/>
      <c r="M801" s="32"/>
    </row>
    <row r="802" spans="3:13" ht="18" customHeight="1" x14ac:dyDescent="0.35">
      <c r="C802" s="78"/>
      <c r="G802" s="32"/>
      <c r="H802" s="272"/>
      <c r="L802" s="32"/>
      <c r="M802" s="32"/>
    </row>
    <row r="803" spans="3:13" ht="18" customHeight="1" x14ac:dyDescent="0.35">
      <c r="C803" s="78"/>
      <c r="G803" s="32"/>
      <c r="H803" s="272"/>
      <c r="L803" s="32"/>
      <c r="M803" s="32"/>
    </row>
    <row r="804" spans="3:13" ht="18" customHeight="1" x14ac:dyDescent="0.35">
      <c r="C804" s="78"/>
      <c r="G804" s="32"/>
      <c r="H804" s="272"/>
      <c r="L804" s="32"/>
      <c r="M804" s="32"/>
    </row>
    <row r="805" spans="3:13" ht="18" customHeight="1" x14ac:dyDescent="0.35">
      <c r="C805" s="78"/>
      <c r="G805" s="32"/>
      <c r="H805" s="272"/>
      <c r="L805" s="32"/>
      <c r="M805" s="32"/>
    </row>
    <row r="806" spans="3:13" ht="18" customHeight="1" x14ac:dyDescent="0.35">
      <c r="C806" s="78"/>
      <c r="G806" s="32"/>
      <c r="H806" s="272"/>
      <c r="L806" s="32"/>
      <c r="M806" s="32"/>
    </row>
    <row r="807" spans="3:13" ht="18" customHeight="1" x14ac:dyDescent="0.35">
      <c r="C807" s="78"/>
      <c r="G807" s="32"/>
      <c r="H807" s="272"/>
      <c r="L807" s="32"/>
      <c r="M807" s="32"/>
    </row>
    <row r="808" spans="3:13" ht="18" customHeight="1" x14ac:dyDescent="0.35">
      <c r="C808" s="78"/>
      <c r="G808" s="32"/>
      <c r="H808" s="272"/>
      <c r="L808" s="32"/>
      <c r="M808" s="32"/>
    </row>
    <row r="809" spans="3:13" ht="18" customHeight="1" x14ac:dyDescent="0.35">
      <c r="C809" s="78"/>
      <c r="G809" s="32"/>
      <c r="H809" s="272"/>
      <c r="L809" s="32"/>
      <c r="M809" s="32"/>
    </row>
    <row r="810" spans="3:13" ht="18" customHeight="1" x14ac:dyDescent="0.35">
      <c r="C810" s="78"/>
      <c r="G810" s="32"/>
      <c r="H810" s="272"/>
      <c r="L810" s="32"/>
      <c r="M810" s="32"/>
    </row>
    <row r="811" spans="3:13" ht="18" customHeight="1" x14ac:dyDescent="0.35">
      <c r="C811" s="78"/>
      <c r="G811" s="32"/>
      <c r="H811" s="272"/>
      <c r="L811" s="32"/>
      <c r="M811" s="32"/>
    </row>
    <row r="812" spans="3:13" ht="18" customHeight="1" x14ac:dyDescent="0.35">
      <c r="C812" s="79"/>
      <c r="G812" s="32"/>
      <c r="H812" s="272"/>
      <c r="L812" s="32"/>
      <c r="M812" s="32"/>
    </row>
    <row r="813" spans="3:13" ht="18" customHeight="1" x14ac:dyDescent="0.35">
      <c r="C813" s="79"/>
      <c r="G813" s="32"/>
      <c r="H813" s="272"/>
      <c r="L813" s="32"/>
      <c r="M813" s="32"/>
    </row>
    <row r="814" spans="3:13" ht="18" customHeight="1" x14ac:dyDescent="0.35">
      <c r="C814" s="33"/>
      <c r="G814" s="32"/>
      <c r="H814" s="272"/>
      <c r="L814" s="32"/>
      <c r="M814" s="32"/>
    </row>
    <row r="815" spans="3:13" ht="18" customHeight="1" x14ac:dyDescent="0.35">
      <c r="E815" s="67"/>
      <c r="F815" s="67"/>
    </row>
    <row r="816" spans="3:13" ht="18" customHeight="1" x14ac:dyDescent="0.35">
      <c r="E816" s="67"/>
      <c r="F816" s="67"/>
    </row>
    <row r="817" spans="2:14" ht="18" customHeight="1" x14ac:dyDescent="0.35">
      <c r="E817" s="67"/>
      <c r="F817" s="67"/>
    </row>
    <row r="818" spans="2:14" ht="18" customHeight="1" x14ac:dyDescent="0.35">
      <c r="E818" s="67"/>
      <c r="F818" s="67"/>
    </row>
    <row r="819" spans="2:14" ht="18" customHeight="1" x14ac:dyDescent="0.35">
      <c r="E819" s="67"/>
      <c r="F819" s="67"/>
    </row>
    <row r="820" spans="2:14" ht="18" customHeight="1" x14ac:dyDescent="0.35">
      <c r="E820" s="67"/>
      <c r="F820" s="67"/>
    </row>
    <row r="822" spans="2:14" s="33" customFormat="1" ht="18" customHeight="1" x14ac:dyDescent="0.35">
      <c r="D822" s="114"/>
      <c r="G822" s="63"/>
      <c r="H822" s="270"/>
      <c r="I822" s="261"/>
    </row>
    <row r="823" spans="2:14" s="1" customFormat="1" ht="18" customHeight="1" x14ac:dyDescent="0.35">
      <c r="B823" s="37"/>
      <c r="C823" s="57"/>
      <c r="D823" s="114"/>
      <c r="E823" s="72"/>
      <c r="F823" s="59"/>
      <c r="G823" s="52"/>
      <c r="H823" s="264"/>
      <c r="I823" s="261"/>
      <c r="N823" s="53"/>
    </row>
    <row r="824" spans="2:14" s="1" customFormat="1" ht="18" customHeight="1" x14ac:dyDescent="0.35">
      <c r="B824" s="37"/>
      <c r="C824" s="57"/>
      <c r="D824" s="114"/>
      <c r="E824" s="72"/>
      <c r="F824" s="59"/>
      <c r="G824" s="53"/>
      <c r="H824" s="265"/>
      <c r="I824" s="261"/>
      <c r="N824" s="53"/>
    </row>
    <row r="825" spans="2:14" s="1" customFormat="1" ht="18" customHeight="1" x14ac:dyDescent="0.35">
      <c r="B825" s="37"/>
      <c r="C825" s="57"/>
      <c r="D825" s="114"/>
      <c r="E825" s="72"/>
      <c r="F825" s="59"/>
      <c r="G825" s="53"/>
      <c r="H825" s="265"/>
      <c r="I825" s="261"/>
      <c r="N825" s="53"/>
    </row>
    <row r="826" spans="2:14" s="1" customFormat="1" ht="18" customHeight="1" x14ac:dyDescent="0.35">
      <c r="B826" s="37"/>
      <c r="C826" s="57"/>
      <c r="D826" s="114"/>
      <c r="E826" s="73"/>
      <c r="F826" s="2"/>
      <c r="G826" s="53"/>
      <c r="H826" s="265"/>
      <c r="I826" s="247"/>
      <c r="N826" s="53"/>
    </row>
    <row r="827" spans="2:14" s="1" customFormat="1" ht="18" customHeight="1" x14ac:dyDescent="0.35">
      <c r="B827" s="37"/>
      <c r="C827" s="57"/>
      <c r="D827" s="114"/>
      <c r="E827" s="72"/>
      <c r="F827" s="59"/>
      <c r="G827" s="53"/>
      <c r="H827" s="265"/>
      <c r="I827" s="261"/>
      <c r="N827" s="53"/>
    </row>
    <row r="828" spans="2:14" s="1" customFormat="1" ht="18" customHeight="1" x14ac:dyDescent="0.35">
      <c r="B828" s="37"/>
      <c r="C828" s="57"/>
      <c r="D828" s="114"/>
      <c r="E828" s="72"/>
      <c r="F828" s="59"/>
      <c r="G828" s="53"/>
      <c r="H828" s="265"/>
      <c r="I828" s="247"/>
      <c r="N828" s="53"/>
    </row>
    <row r="829" spans="2:14" s="1" customFormat="1" ht="18" customHeight="1" x14ac:dyDescent="0.35">
      <c r="B829" s="37"/>
      <c r="C829" s="57"/>
      <c r="D829" s="114"/>
      <c r="E829" s="73"/>
      <c r="F829" s="2"/>
      <c r="G829" s="53"/>
      <c r="H829" s="265"/>
      <c r="I829" s="247"/>
      <c r="N829" s="53"/>
    </row>
    <row r="830" spans="2:14" s="1" customFormat="1" ht="18" customHeight="1" x14ac:dyDescent="0.35">
      <c r="B830" s="37"/>
      <c r="C830" s="57"/>
      <c r="D830" s="114"/>
      <c r="E830" s="73"/>
      <c r="F830" s="2"/>
      <c r="G830" s="53"/>
      <c r="H830" s="265"/>
      <c r="I830" s="247"/>
      <c r="N830" s="53"/>
    </row>
    <row r="831" spans="2:14" s="1" customFormat="1" ht="18" customHeight="1" x14ac:dyDescent="0.35">
      <c r="B831" s="37"/>
      <c r="C831" s="57"/>
      <c r="D831" s="114"/>
      <c r="E831" s="72"/>
      <c r="F831" s="59"/>
      <c r="G831" s="53"/>
      <c r="H831" s="265"/>
      <c r="I831" s="247"/>
      <c r="N831" s="53"/>
    </row>
    <row r="832" spans="2:14" s="1" customFormat="1" ht="18" customHeight="1" x14ac:dyDescent="0.35">
      <c r="B832" s="37"/>
      <c r="C832" s="57"/>
      <c r="D832" s="114"/>
      <c r="E832" s="72"/>
      <c r="F832" s="59"/>
      <c r="G832" s="53"/>
      <c r="H832" s="265"/>
      <c r="I832" s="247"/>
      <c r="N832" s="53"/>
    </row>
    <row r="833" spans="2:14" s="1" customFormat="1" ht="18" customHeight="1" x14ac:dyDescent="0.35">
      <c r="B833" s="37"/>
      <c r="C833" s="57"/>
      <c r="D833" s="114"/>
      <c r="E833" s="73"/>
      <c r="F833" s="2"/>
      <c r="G833" s="53"/>
      <c r="H833" s="265"/>
      <c r="I833" s="247"/>
      <c r="N833" s="53"/>
    </row>
    <row r="834" spans="2:14" s="1" customFormat="1" ht="18" customHeight="1" x14ac:dyDescent="0.35">
      <c r="B834" s="37"/>
      <c r="C834" s="57"/>
      <c r="D834" s="114"/>
      <c r="E834" s="73"/>
      <c r="F834" s="2"/>
      <c r="G834" s="53"/>
      <c r="H834" s="265"/>
      <c r="I834" s="247"/>
      <c r="N834" s="53"/>
    </row>
    <row r="835" spans="2:14" s="1" customFormat="1" ht="18" customHeight="1" x14ac:dyDescent="0.35">
      <c r="B835" s="37"/>
      <c r="C835" s="57"/>
      <c r="D835" s="114"/>
      <c r="E835" s="72"/>
      <c r="F835" s="59"/>
      <c r="H835" s="276"/>
      <c r="I835" s="247"/>
      <c r="N835" s="53"/>
    </row>
    <row r="836" spans="2:14" s="1" customFormat="1" ht="18" customHeight="1" x14ac:dyDescent="0.35">
      <c r="B836" s="37"/>
      <c r="C836" s="57"/>
      <c r="D836" s="114"/>
      <c r="E836" s="72"/>
      <c r="F836" s="59"/>
      <c r="G836" s="52"/>
      <c r="H836" s="264"/>
      <c r="I836" s="261"/>
      <c r="N836" s="53"/>
    </row>
    <row r="837" spans="2:14" s="1" customFormat="1" ht="18" customHeight="1" x14ac:dyDescent="0.35">
      <c r="B837" s="37"/>
      <c r="C837" s="67"/>
      <c r="D837" s="114"/>
      <c r="E837" s="72"/>
      <c r="F837" s="59"/>
      <c r="G837" s="53"/>
      <c r="H837" s="265"/>
      <c r="I837" s="261"/>
      <c r="N837" s="53"/>
    </row>
    <row r="838" spans="2:14" s="1" customFormat="1" ht="18" customHeight="1" x14ac:dyDescent="0.35">
      <c r="B838" s="37"/>
      <c r="C838" s="57"/>
      <c r="D838" s="114"/>
      <c r="E838" s="72"/>
      <c r="F838" s="59"/>
      <c r="G838" s="53"/>
      <c r="H838" s="265"/>
      <c r="I838" s="247"/>
      <c r="N838" s="53"/>
    </row>
    <row r="839" spans="2:14" s="33" customFormat="1" ht="18" customHeight="1" x14ac:dyDescent="0.35">
      <c r="D839" s="114"/>
      <c r="G839" s="63"/>
      <c r="H839" s="270"/>
      <c r="I839" s="261"/>
    </row>
    <row r="840" spans="2:14" s="33" customFormat="1" ht="18" customHeight="1" x14ac:dyDescent="0.35">
      <c r="D840" s="115"/>
      <c r="F840" s="29"/>
      <c r="G840" s="29"/>
      <c r="H840" s="273"/>
      <c r="I840" s="261"/>
      <c r="L840" s="29"/>
      <c r="M840" s="29"/>
    </row>
    <row r="867" spans="3:13" ht="18" customHeight="1" x14ac:dyDescent="0.35">
      <c r="C867" s="33"/>
      <c r="G867" s="57"/>
      <c r="H867" s="269"/>
      <c r="L867" s="32"/>
      <c r="M867" s="32"/>
    </row>
    <row r="868" spans="3:13" ht="18" customHeight="1" x14ac:dyDescent="0.35">
      <c r="C868" s="33"/>
      <c r="G868" s="57"/>
      <c r="H868" s="269"/>
      <c r="L868" s="32"/>
      <c r="M868" s="32"/>
    </row>
    <row r="869" spans="3:13" ht="18" customHeight="1" x14ac:dyDescent="0.35">
      <c r="C869" s="33"/>
      <c r="G869" s="57"/>
      <c r="H869" s="269"/>
      <c r="L869" s="32"/>
      <c r="M869" s="32"/>
    </row>
    <row r="870" spans="3:13" ht="18" customHeight="1" x14ac:dyDescent="0.35">
      <c r="C870" s="33"/>
      <c r="G870" s="57"/>
      <c r="H870" s="269"/>
      <c r="L870" s="32"/>
      <c r="M870" s="32"/>
    </row>
    <row r="871" spans="3:13" ht="18" customHeight="1" x14ac:dyDescent="0.35">
      <c r="C871" s="33"/>
      <c r="G871" s="57"/>
      <c r="H871" s="269"/>
      <c r="L871" s="32"/>
      <c r="M871" s="32"/>
    </row>
    <row r="872" spans="3:13" ht="18" customHeight="1" x14ac:dyDescent="0.35">
      <c r="C872" s="33"/>
      <c r="G872" s="57"/>
      <c r="H872" s="269"/>
      <c r="L872" s="32"/>
      <c r="M872" s="32"/>
    </row>
    <row r="873" spans="3:13" ht="18" customHeight="1" x14ac:dyDescent="0.35">
      <c r="C873" s="33"/>
      <c r="G873" s="57"/>
      <c r="H873" s="269"/>
      <c r="L873" s="32"/>
      <c r="M873" s="32"/>
    </row>
    <row r="874" spans="3:13" ht="18" customHeight="1" x14ac:dyDescent="0.35">
      <c r="C874" s="33"/>
      <c r="G874" s="57"/>
      <c r="H874" s="269"/>
      <c r="L874" s="32"/>
      <c r="M874" s="32"/>
    </row>
    <row r="875" spans="3:13" ht="18" customHeight="1" x14ac:dyDescent="0.35">
      <c r="C875" s="33"/>
      <c r="G875" s="57"/>
      <c r="H875" s="269"/>
      <c r="L875" s="32"/>
      <c r="M875" s="32"/>
    </row>
    <row r="876" spans="3:13" s="33" customFormat="1" ht="18" customHeight="1" x14ac:dyDescent="0.35">
      <c r="D876" s="115"/>
      <c r="F876" s="29"/>
      <c r="H876" s="268"/>
      <c r="I876" s="261"/>
      <c r="L876" s="29"/>
      <c r="M876" s="29"/>
    </row>
    <row r="877" spans="3:13" s="33" customFormat="1" ht="18" customHeight="1" x14ac:dyDescent="0.35">
      <c r="D877" s="114"/>
      <c r="F877" s="64"/>
      <c r="G877" s="63"/>
      <c r="H877" s="270"/>
      <c r="I877" s="261"/>
    </row>
    <row r="878" spans="3:13" s="33" customFormat="1" ht="18" customHeight="1" x14ac:dyDescent="0.35">
      <c r="D878" s="114"/>
      <c r="F878" s="64"/>
      <c r="G878" s="63"/>
      <c r="H878" s="270"/>
      <c r="I878" s="261"/>
    </row>
    <row r="879" spans="3:13" ht="18" customHeight="1" x14ac:dyDescent="0.35">
      <c r="F879" s="55"/>
    </row>
    <row r="880" spans="3:13" ht="18" customHeight="1" x14ac:dyDescent="0.35">
      <c r="F880" s="55"/>
    </row>
    <row r="881" spans="6:6" ht="18" customHeight="1" x14ac:dyDescent="0.35">
      <c r="F881" s="55"/>
    </row>
    <row r="882" spans="6:6" ht="18" customHeight="1" x14ac:dyDescent="0.35">
      <c r="F882" s="55"/>
    </row>
    <row r="883" spans="6:6" ht="18" customHeight="1" x14ac:dyDescent="0.35">
      <c r="F883" s="55"/>
    </row>
    <row r="884" spans="6:6" ht="18" customHeight="1" x14ac:dyDescent="0.35">
      <c r="F884" s="55"/>
    </row>
    <row r="885" spans="6:6" ht="18" customHeight="1" x14ac:dyDescent="0.35">
      <c r="F885" s="55"/>
    </row>
    <row r="886" spans="6:6" ht="18" customHeight="1" x14ac:dyDescent="0.35">
      <c r="F886" s="55"/>
    </row>
    <row r="887" spans="6:6" ht="18" customHeight="1" x14ac:dyDescent="0.35">
      <c r="F887" s="55"/>
    </row>
    <row r="888" spans="6:6" ht="18" customHeight="1" x14ac:dyDescent="0.35">
      <c r="F888" s="55"/>
    </row>
    <row r="889" spans="6:6" ht="18" customHeight="1" x14ac:dyDescent="0.35">
      <c r="F889" s="55"/>
    </row>
    <row r="890" spans="6:6" ht="18" customHeight="1" x14ac:dyDescent="0.35">
      <c r="F890" s="55"/>
    </row>
    <row r="891" spans="6:6" ht="18" customHeight="1" x14ac:dyDescent="0.35">
      <c r="F891" s="55"/>
    </row>
    <row r="892" spans="6:6" ht="18" customHeight="1" x14ac:dyDescent="0.35">
      <c r="F892" s="55"/>
    </row>
    <row r="893" spans="6:6" ht="18" customHeight="1" x14ac:dyDescent="0.35">
      <c r="F893" s="55"/>
    </row>
    <row r="894" spans="6:6" ht="18" customHeight="1" x14ac:dyDescent="0.35">
      <c r="F894" s="55"/>
    </row>
    <row r="895" spans="6:6" ht="18" customHeight="1" x14ac:dyDescent="0.35">
      <c r="F895" s="55"/>
    </row>
    <row r="896" spans="6:6" ht="18" customHeight="1" x14ac:dyDescent="0.35">
      <c r="F896" s="55"/>
    </row>
    <row r="897" spans="6:6" ht="18" customHeight="1" x14ac:dyDescent="0.35">
      <c r="F897" s="55"/>
    </row>
    <row r="898" spans="6:6" ht="18" customHeight="1" x14ac:dyDescent="0.35">
      <c r="F898" s="55"/>
    </row>
    <row r="899" spans="6:6" ht="18" customHeight="1" x14ac:dyDescent="0.35">
      <c r="F899" s="55"/>
    </row>
    <row r="900" spans="6:6" ht="18" customHeight="1" x14ac:dyDescent="0.35">
      <c r="F900" s="55"/>
    </row>
    <row r="901" spans="6:6" ht="18" customHeight="1" x14ac:dyDescent="0.35">
      <c r="F901" s="55"/>
    </row>
    <row r="902" spans="6:6" ht="18" customHeight="1" x14ac:dyDescent="0.35">
      <c r="F902" s="55"/>
    </row>
    <row r="903" spans="6:6" ht="18" customHeight="1" x14ac:dyDescent="0.35">
      <c r="F903" s="55"/>
    </row>
    <row r="904" spans="6:6" ht="18" customHeight="1" x14ac:dyDescent="0.35">
      <c r="F904" s="55"/>
    </row>
    <row r="905" spans="6:6" ht="18" customHeight="1" x14ac:dyDescent="0.35">
      <c r="F905" s="55"/>
    </row>
    <row r="906" spans="6:6" ht="18" customHeight="1" x14ac:dyDescent="0.35">
      <c r="F906" s="55"/>
    </row>
    <row r="907" spans="6:6" ht="18" customHeight="1" x14ac:dyDescent="0.35">
      <c r="F907" s="55"/>
    </row>
    <row r="908" spans="6:6" ht="18" customHeight="1" x14ac:dyDescent="0.35">
      <c r="F908" s="55"/>
    </row>
    <row r="909" spans="6:6" ht="18" customHeight="1" x14ac:dyDescent="0.35">
      <c r="F909" s="55"/>
    </row>
    <row r="910" spans="6:6" ht="18" customHeight="1" x14ac:dyDescent="0.35">
      <c r="F910" s="55"/>
    </row>
    <row r="911" spans="6:6" ht="18" customHeight="1" x14ac:dyDescent="0.35">
      <c r="F911" s="55"/>
    </row>
    <row r="912" spans="6:6" ht="18" customHeight="1" x14ac:dyDescent="0.35">
      <c r="F912" s="55"/>
    </row>
    <row r="913" spans="6:6" ht="18" customHeight="1" x14ac:dyDescent="0.35">
      <c r="F913" s="55"/>
    </row>
    <row r="914" spans="6:6" ht="18" customHeight="1" x14ac:dyDescent="0.35">
      <c r="F914" s="55"/>
    </row>
    <row r="915" spans="6:6" ht="18" customHeight="1" x14ac:dyDescent="0.35">
      <c r="F915" s="55"/>
    </row>
    <row r="916" spans="6:6" ht="18" customHeight="1" x14ac:dyDescent="0.35">
      <c r="F916" s="55"/>
    </row>
    <row r="917" spans="6:6" ht="18" customHeight="1" x14ac:dyDescent="0.35">
      <c r="F917" s="55"/>
    </row>
    <row r="918" spans="6:6" ht="18" customHeight="1" x14ac:dyDescent="0.35">
      <c r="F918" s="55"/>
    </row>
    <row r="919" spans="6:6" ht="18" customHeight="1" x14ac:dyDescent="0.35">
      <c r="F919" s="55"/>
    </row>
    <row r="920" spans="6:6" ht="18" customHeight="1" x14ac:dyDescent="0.35">
      <c r="F920" s="55"/>
    </row>
    <row r="921" spans="6:6" ht="18" customHeight="1" x14ac:dyDescent="0.35">
      <c r="F921" s="55"/>
    </row>
    <row r="922" spans="6:6" ht="18" customHeight="1" x14ac:dyDescent="0.35">
      <c r="F922" s="55"/>
    </row>
    <row r="923" spans="6:6" ht="18" customHeight="1" x14ac:dyDescent="0.35">
      <c r="F923" s="55"/>
    </row>
    <row r="924" spans="6:6" ht="18" customHeight="1" x14ac:dyDescent="0.35">
      <c r="F924" s="55"/>
    </row>
    <row r="925" spans="6:6" ht="18" customHeight="1" x14ac:dyDescent="0.35">
      <c r="F925" s="55"/>
    </row>
    <row r="926" spans="6:6" ht="18" customHeight="1" x14ac:dyDescent="0.35">
      <c r="F926" s="55"/>
    </row>
    <row r="927" spans="6:6" ht="18" customHeight="1" x14ac:dyDescent="0.35">
      <c r="F927" s="55"/>
    </row>
    <row r="928" spans="6:6" ht="18" customHeight="1" x14ac:dyDescent="0.35">
      <c r="F928" s="55"/>
    </row>
    <row r="929" spans="6:6" ht="18" customHeight="1" x14ac:dyDescent="0.35">
      <c r="F929" s="55"/>
    </row>
    <row r="930" spans="6:6" ht="18" customHeight="1" x14ac:dyDescent="0.35">
      <c r="F930" s="55"/>
    </row>
    <row r="931" spans="6:6" ht="18" customHeight="1" x14ac:dyDescent="0.35">
      <c r="F931" s="55"/>
    </row>
    <row r="932" spans="6:6" ht="18" customHeight="1" x14ac:dyDescent="0.35">
      <c r="F932" s="55"/>
    </row>
    <row r="933" spans="6:6" ht="18" customHeight="1" x14ac:dyDescent="0.35">
      <c r="F933" s="55"/>
    </row>
    <row r="934" spans="6:6" ht="18" customHeight="1" x14ac:dyDescent="0.35">
      <c r="F934" s="55"/>
    </row>
    <row r="935" spans="6:6" ht="18" customHeight="1" x14ac:dyDescent="0.35">
      <c r="F935" s="55"/>
    </row>
    <row r="936" spans="6:6" ht="18" customHeight="1" x14ac:dyDescent="0.35">
      <c r="F936" s="55"/>
    </row>
    <row r="937" spans="6:6" ht="18" customHeight="1" x14ac:dyDescent="0.35">
      <c r="F937" s="55"/>
    </row>
    <row r="938" spans="6:6" ht="18" customHeight="1" x14ac:dyDescent="0.35">
      <c r="F938" s="55"/>
    </row>
    <row r="939" spans="6:6" ht="18" customHeight="1" x14ac:dyDescent="0.35">
      <c r="F939" s="55"/>
    </row>
    <row r="940" spans="6:6" ht="18" customHeight="1" x14ac:dyDescent="0.35">
      <c r="F940" s="55"/>
    </row>
    <row r="941" spans="6:6" ht="18" customHeight="1" x14ac:dyDescent="0.35">
      <c r="F941" s="55"/>
    </row>
    <row r="942" spans="6:6" ht="18" customHeight="1" x14ac:dyDescent="0.35">
      <c r="F942" s="55"/>
    </row>
    <row r="943" spans="6:6" ht="18" customHeight="1" x14ac:dyDescent="0.35">
      <c r="F943" s="55"/>
    </row>
    <row r="944" spans="6:6" ht="18" customHeight="1" x14ac:dyDescent="0.35">
      <c r="F944" s="55"/>
    </row>
    <row r="945" spans="3:13" ht="18" customHeight="1" x14ac:dyDescent="0.35">
      <c r="F945" s="55"/>
    </row>
    <row r="946" spans="3:13" ht="18" customHeight="1" x14ac:dyDescent="0.35">
      <c r="F946" s="55"/>
    </row>
    <row r="947" spans="3:13" ht="18" customHeight="1" x14ac:dyDescent="0.35">
      <c r="F947" s="55"/>
    </row>
    <row r="948" spans="3:13" ht="18" customHeight="1" x14ac:dyDescent="0.35">
      <c r="F948" s="55"/>
    </row>
    <row r="949" spans="3:13" s="33" customFormat="1" ht="18" customHeight="1" x14ac:dyDescent="0.35">
      <c r="D949" s="114"/>
      <c r="F949" s="64"/>
      <c r="G949" s="63"/>
      <c r="H949" s="270"/>
      <c r="I949" s="261"/>
    </row>
    <row r="951" spans="3:13" ht="18" customHeight="1" x14ac:dyDescent="0.35">
      <c r="C951" s="33"/>
      <c r="F951" s="32"/>
      <c r="G951" s="32"/>
      <c r="H951" s="272"/>
      <c r="L951" s="32"/>
      <c r="M951" s="32"/>
    </row>
    <row r="952" spans="3:13" ht="18" customHeight="1" x14ac:dyDescent="0.35">
      <c r="C952" s="33"/>
      <c r="F952" s="32"/>
      <c r="G952" s="32"/>
      <c r="H952" s="272"/>
      <c r="L952" s="32"/>
      <c r="M952" s="32"/>
    </row>
    <row r="953" spans="3:13" ht="18" customHeight="1" x14ac:dyDescent="0.35">
      <c r="C953" s="33"/>
      <c r="F953" s="32"/>
      <c r="G953" s="32"/>
      <c r="H953" s="272"/>
      <c r="L953" s="32"/>
      <c r="M953" s="32"/>
    </row>
    <row r="954" spans="3:13" ht="18" customHeight="1" x14ac:dyDescent="0.35">
      <c r="C954" s="33"/>
      <c r="F954" s="32"/>
      <c r="G954" s="32"/>
      <c r="H954" s="272"/>
      <c r="L954" s="32"/>
      <c r="M954" s="32"/>
    </row>
    <row r="955" spans="3:13" ht="18" customHeight="1" x14ac:dyDescent="0.35">
      <c r="C955" s="33"/>
      <c r="F955" s="32"/>
      <c r="G955" s="32"/>
      <c r="H955" s="272"/>
      <c r="L955" s="32"/>
      <c r="M955" s="32"/>
    </row>
    <row r="956" spans="3:13" ht="18" customHeight="1" x14ac:dyDescent="0.35">
      <c r="C956" s="33"/>
      <c r="F956" s="32"/>
      <c r="G956" s="32"/>
      <c r="H956" s="272"/>
      <c r="L956" s="32"/>
      <c r="M956" s="32"/>
    </row>
    <row r="957" spans="3:13" ht="18" customHeight="1" x14ac:dyDescent="0.35">
      <c r="C957" s="33"/>
      <c r="F957" s="32"/>
      <c r="G957" s="32"/>
      <c r="H957" s="272"/>
      <c r="L957" s="32"/>
      <c r="M957" s="32"/>
    </row>
    <row r="958" spans="3:13" ht="18" customHeight="1" x14ac:dyDescent="0.35">
      <c r="C958" s="33"/>
      <c r="F958" s="32"/>
      <c r="G958" s="32"/>
      <c r="H958" s="272"/>
      <c r="L958" s="32"/>
      <c r="M958" s="32"/>
    </row>
    <row r="959" spans="3:13" ht="18" customHeight="1" x14ac:dyDescent="0.35">
      <c r="C959" s="33"/>
      <c r="G959" s="32"/>
      <c r="H959" s="272"/>
      <c r="L959" s="32"/>
      <c r="M959" s="32"/>
    </row>
    <row r="960" spans="3:13" ht="18" customHeight="1" x14ac:dyDescent="0.35">
      <c r="C960" s="33"/>
      <c r="G960" s="32"/>
      <c r="H960" s="272"/>
      <c r="L960" s="32"/>
      <c r="M960" s="32"/>
    </row>
    <row r="961" spans="3:13" ht="18" customHeight="1" x14ac:dyDescent="0.35">
      <c r="C961" s="33"/>
      <c r="G961" s="32"/>
      <c r="H961" s="272"/>
      <c r="L961" s="32"/>
      <c r="M961" s="32"/>
    </row>
    <row r="962" spans="3:13" ht="18" customHeight="1" x14ac:dyDescent="0.35">
      <c r="C962" s="33"/>
      <c r="G962" s="32"/>
      <c r="H962" s="272"/>
      <c r="L962" s="32"/>
      <c r="M962" s="32"/>
    </row>
    <row r="963" spans="3:13" ht="18" customHeight="1" x14ac:dyDescent="0.35">
      <c r="C963" s="33"/>
      <c r="G963" s="32"/>
      <c r="H963" s="272"/>
      <c r="L963" s="32"/>
      <c r="M963" s="32"/>
    </row>
    <row r="964" spans="3:13" ht="18" customHeight="1" x14ac:dyDescent="0.35">
      <c r="C964" s="33"/>
      <c r="G964" s="32"/>
      <c r="H964" s="272"/>
      <c r="L964" s="32"/>
      <c r="M964" s="32"/>
    </row>
    <row r="965" spans="3:13" ht="18" customHeight="1" x14ac:dyDescent="0.35">
      <c r="C965" s="33"/>
      <c r="G965" s="32"/>
      <c r="H965" s="272"/>
      <c r="L965" s="32"/>
      <c r="M965" s="32"/>
    </row>
    <row r="966" spans="3:13" ht="18" customHeight="1" x14ac:dyDescent="0.35">
      <c r="C966" s="33"/>
      <c r="G966" s="32"/>
      <c r="H966" s="272"/>
      <c r="L966" s="32"/>
      <c r="M966" s="32"/>
    </row>
    <row r="967" spans="3:13" s="33" customFormat="1" ht="18" customHeight="1" x14ac:dyDescent="0.35">
      <c r="D967" s="114"/>
      <c r="F967" s="64"/>
      <c r="G967" s="63"/>
      <c r="H967" s="270"/>
      <c r="I967" s="261"/>
    </row>
    <row r="968" spans="3:13" ht="18" customHeight="1" x14ac:dyDescent="0.35">
      <c r="F968" s="65"/>
    </row>
    <row r="969" spans="3:13" ht="18" customHeight="1" x14ac:dyDescent="0.35">
      <c r="D969" s="116"/>
      <c r="E969" s="67"/>
      <c r="F969" s="68"/>
    </row>
    <row r="970" spans="3:13" ht="18" customHeight="1" x14ac:dyDescent="0.35">
      <c r="D970" s="116"/>
      <c r="E970" s="67"/>
      <c r="F970" s="68"/>
    </row>
    <row r="971" spans="3:13" ht="18" customHeight="1" x14ac:dyDescent="0.35">
      <c r="D971" s="116"/>
      <c r="E971" s="67"/>
      <c r="F971" s="68"/>
    </row>
    <row r="972" spans="3:13" ht="18" customHeight="1" x14ac:dyDescent="0.35">
      <c r="F972" s="65"/>
    </row>
    <row r="973" spans="3:13" ht="18" customHeight="1" x14ac:dyDescent="0.35">
      <c r="F973" s="65"/>
    </row>
    <row r="974" spans="3:13" ht="18" customHeight="1" x14ac:dyDescent="0.35">
      <c r="F974" s="65"/>
    </row>
    <row r="975" spans="3:13" ht="18" customHeight="1" x14ac:dyDescent="0.35">
      <c r="D975" s="116"/>
    </row>
    <row r="976" spans="3:13" ht="18" customHeight="1" x14ac:dyDescent="0.35">
      <c r="D976" s="116"/>
    </row>
    <row r="977" spans="2:14" s="33" customFormat="1" ht="18" customHeight="1" x14ac:dyDescent="0.35">
      <c r="D977" s="116"/>
      <c r="G977" s="63"/>
      <c r="H977" s="270"/>
      <c r="I977" s="261"/>
    </row>
    <row r="978" spans="2:14" s="33" customFormat="1" ht="18" customHeight="1" x14ac:dyDescent="0.35">
      <c r="D978" s="114"/>
      <c r="G978" s="63"/>
      <c r="H978" s="270"/>
      <c r="I978" s="261"/>
    </row>
    <row r="979" spans="2:14" ht="18" customHeight="1" x14ac:dyDescent="0.35">
      <c r="D979" s="116"/>
      <c r="E979" s="67"/>
      <c r="F979" s="67"/>
    </row>
    <row r="981" spans="2:14" ht="18" customHeight="1" x14ac:dyDescent="0.35">
      <c r="C981" s="33"/>
    </row>
    <row r="982" spans="2:14" s="69" customFormat="1" ht="18" customHeight="1" x14ac:dyDescent="0.35">
      <c r="B982" s="70"/>
      <c r="D982" s="117"/>
      <c r="E982" s="73"/>
      <c r="F982" s="2"/>
      <c r="G982" s="54"/>
      <c r="H982" s="275"/>
      <c r="I982" s="228"/>
      <c r="N982" s="54"/>
    </row>
    <row r="983" spans="2:14" s="69" customFormat="1" ht="18" customHeight="1" x14ac:dyDescent="0.35">
      <c r="B983" s="70"/>
      <c r="D983" s="117"/>
      <c r="E983" s="73"/>
      <c r="F983" s="2"/>
      <c r="G983" s="54"/>
      <c r="H983" s="275"/>
      <c r="I983" s="228"/>
      <c r="N983" s="54"/>
    </row>
    <row r="984" spans="2:14" s="69" customFormat="1" ht="18" customHeight="1" x14ac:dyDescent="0.35">
      <c r="B984" s="70"/>
      <c r="C984" s="75"/>
      <c r="D984" s="118"/>
      <c r="E984" s="72"/>
      <c r="F984" s="59"/>
      <c r="G984" s="54"/>
      <c r="H984" s="275"/>
      <c r="I984" s="228"/>
      <c r="N984" s="54"/>
    </row>
    <row r="985" spans="2:14" s="69" customFormat="1" ht="18" customHeight="1" x14ac:dyDescent="0.35">
      <c r="B985" s="70"/>
      <c r="D985" s="117"/>
      <c r="E985" s="73"/>
      <c r="F985" s="2"/>
      <c r="G985" s="54"/>
      <c r="H985" s="275"/>
      <c r="I985" s="228"/>
      <c r="N985" s="54"/>
    </row>
    <row r="986" spans="2:14" s="69" customFormat="1" ht="18" customHeight="1" x14ac:dyDescent="0.35">
      <c r="B986" s="70"/>
      <c r="D986" s="117"/>
      <c r="E986" s="73"/>
      <c r="F986" s="2"/>
      <c r="G986" s="54"/>
      <c r="H986" s="275"/>
      <c r="I986" s="228"/>
      <c r="N986" s="54"/>
    </row>
    <row r="987" spans="2:14" s="69" customFormat="1" ht="18" customHeight="1" x14ac:dyDescent="0.35">
      <c r="B987" s="70"/>
      <c r="D987" s="117"/>
      <c r="E987" s="73"/>
      <c r="F987" s="2"/>
      <c r="G987" s="54"/>
      <c r="H987" s="275"/>
      <c r="I987" s="228"/>
      <c r="N987" s="54"/>
    </row>
    <row r="988" spans="2:14" s="69" customFormat="1" ht="18" customHeight="1" x14ac:dyDescent="0.35">
      <c r="B988" s="70"/>
      <c r="D988" s="117"/>
      <c r="E988" s="73"/>
      <c r="F988" s="2"/>
      <c r="G988" s="54"/>
      <c r="H988" s="275"/>
      <c r="I988" s="228"/>
      <c r="N988" s="54"/>
    </row>
    <row r="989" spans="2:14" s="69" customFormat="1" ht="18" customHeight="1" x14ac:dyDescent="0.35">
      <c r="B989" s="70"/>
      <c r="D989" s="117"/>
      <c r="E989" s="73"/>
      <c r="F989" s="2"/>
      <c r="G989" s="54"/>
      <c r="H989" s="275"/>
      <c r="I989" s="228"/>
      <c r="N989" s="54"/>
    </row>
    <row r="990" spans="2:14" s="69" customFormat="1" ht="18" customHeight="1" x14ac:dyDescent="0.35">
      <c r="B990" s="70"/>
      <c r="D990" s="117"/>
      <c r="E990" s="73"/>
      <c r="F990" s="2"/>
      <c r="G990" s="54"/>
      <c r="H990" s="275"/>
      <c r="I990" s="228"/>
      <c r="N990" s="54"/>
    </row>
    <row r="991" spans="2:14" s="33" customFormat="1" ht="18" customHeight="1" x14ac:dyDescent="0.35">
      <c r="D991" s="114"/>
      <c r="G991" s="63"/>
      <c r="H991" s="270"/>
      <c r="I991" s="261"/>
    </row>
    <row r="993" spans="3:13" ht="18" customHeight="1" x14ac:dyDescent="0.35">
      <c r="D993" s="116"/>
      <c r="E993" s="67"/>
      <c r="F993" s="67"/>
    </row>
    <row r="994" spans="3:13" ht="18" customHeight="1" x14ac:dyDescent="0.35">
      <c r="D994" s="116"/>
      <c r="E994" s="67"/>
      <c r="F994" s="67"/>
    </row>
    <row r="995" spans="3:13" ht="18" customHeight="1" x14ac:dyDescent="0.35">
      <c r="D995" s="116"/>
      <c r="E995" s="67"/>
      <c r="F995" s="67"/>
    </row>
    <row r="1008" spans="3:13" ht="18" customHeight="1" x14ac:dyDescent="0.35">
      <c r="C1008" s="33"/>
      <c r="G1008" s="32"/>
      <c r="H1008" s="272"/>
      <c r="M1008" s="32"/>
    </row>
    <row r="1009" spans="3:13" ht="18" customHeight="1" x14ac:dyDescent="0.35">
      <c r="C1009" s="33"/>
      <c r="G1009" s="32"/>
      <c r="H1009" s="272"/>
      <c r="M1009" s="32"/>
    </row>
    <row r="1010" spans="3:13" ht="18" customHeight="1" x14ac:dyDescent="0.35">
      <c r="C1010" s="33"/>
      <c r="G1010" s="32"/>
      <c r="H1010" s="272"/>
      <c r="M1010" s="32"/>
    </row>
    <row r="1011" spans="3:13" ht="18" customHeight="1" x14ac:dyDescent="0.35">
      <c r="G1011" s="32"/>
      <c r="H1011" s="272"/>
      <c r="M1011" s="32"/>
    </row>
    <row r="1012" spans="3:13" ht="18" customHeight="1" x14ac:dyDescent="0.35">
      <c r="G1012" s="32"/>
      <c r="H1012" s="272"/>
      <c r="M1012" s="32"/>
    </row>
    <row r="1013" spans="3:13" ht="18" customHeight="1" x14ac:dyDescent="0.35">
      <c r="G1013" s="32"/>
      <c r="H1013" s="272"/>
      <c r="M1013" s="32"/>
    </row>
    <row r="1014" spans="3:13" ht="18" customHeight="1" x14ac:dyDescent="0.35">
      <c r="G1014" s="32"/>
      <c r="H1014" s="272"/>
      <c r="M1014" s="32"/>
    </row>
    <row r="1015" spans="3:13" ht="18" customHeight="1" x14ac:dyDescent="0.35">
      <c r="G1015" s="32"/>
      <c r="H1015" s="272"/>
      <c r="M1015" s="32"/>
    </row>
    <row r="1016" spans="3:13" ht="18" customHeight="1" x14ac:dyDescent="0.35">
      <c r="G1016" s="32"/>
      <c r="H1016" s="272"/>
      <c r="M1016" s="32"/>
    </row>
    <row r="1017" spans="3:13" ht="18" customHeight="1" x14ac:dyDescent="0.35">
      <c r="G1017" s="32"/>
      <c r="H1017" s="272"/>
      <c r="M1017" s="32"/>
    </row>
    <row r="1018" spans="3:13" ht="18" customHeight="1" x14ac:dyDescent="0.35">
      <c r="D1018" s="116"/>
      <c r="E1018" s="67"/>
      <c r="F1018" s="67"/>
      <c r="G1018" s="32"/>
      <c r="H1018" s="272"/>
      <c r="M1018" s="32"/>
    </row>
    <row r="1019" spans="3:13" ht="18" customHeight="1" x14ac:dyDescent="0.35">
      <c r="G1019" s="32"/>
      <c r="H1019" s="272"/>
      <c r="M1019" s="32"/>
    </row>
    <row r="1020" spans="3:13" ht="18" customHeight="1" x14ac:dyDescent="0.35">
      <c r="G1020" s="32"/>
      <c r="H1020" s="272"/>
      <c r="M1020" s="32"/>
    </row>
    <row r="1021" spans="3:13" ht="18" customHeight="1" x14ac:dyDescent="0.35">
      <c r="G1021" s="32"/>
      <c r="H1021" s="272"/>
      <c r="M1021" s="32"/>
    </row>
    <row r="1022" spans="3:13" ht="18" customHeight="1" x14ac:dyDescent="0.35">
      <c r="G1022" s="32"/>
      <c r="H1022" s="272"/>
      <c r="M1022" s="32"/>
    </row>
    <row r="1023" spans="3:13" ht="18" customHeight="1" x14ac:dyDescent="0.35">
      <c r="G1023" s="32"/>
      <c r="H1023" s="272"/>
      <c r="M1023" s="32"/>
    </row>
    <row r="1024" spans="3:13" ht="18" customHeight="1" x14ac:dyDescent="0.35">
      <c r="G1024" s="32"/>
      <c r="H1024" s="272"/>
      <c r="M1024" s="32"/>
    </row>
    <row r="1025" spans="4:13" ht="18" customHeight="1" x14ac:dyDescent="0.35">
      <c r="G1025" s="32"/>
      <c r="H1025" s="272"/>
      <c r="M1025" s="32"/>
    </row>
    <row r="1026" spans="4:13" s="33" customFormat="1" ht="18" customHeight="1" x14ac:dyDescent="0.35">
      <c r="D1026" s="114"/>
      <c r="G1026" s="29"/>
      <c r="H1026" s="273"/>
      <c r="I1026" s="261"/>
      <c r="M1026" s="29"/>
    </row>
    <row r="1027" spans="4:13" s="33" customFormat="1" ht="18" customHeight="1" x14ac:dyDescent="0.35">
      <c r="D1027" s="114"/>
      <c r="G1027" s="29"/>
      <c r="H1027" s="273"/>
      <c r="I1027" s="261"/>
      <c r="M1027" s="29"/>
    </row>
    <row r="1028" spans="4:13" ht="18" customHeight="1" x14ac:dyDescent="0.35">
      <c r="D1028" s="116"/>
      <c r="E1028" s="67"/>
      <c r="F1028" s="67"/>
      <c r="G1028" s="32"/>
      <c r="H1028" s="272"/>
      <c r="M1028" s="32"/>
    </row>
    <row r="1029" spans="4:13" ht="18" customHeight="1" x14ac:dyDescent="0.35">
      <c r="D1029" s="116"/>
      <c r="E1029" s="67"/>
      <c r="F1029" s="67"/>
      <c r="G1029" s="32"/>
      <c r="H1029" s="272"/>
      <c r="M1029" s="32"/>
    </row>
    <row r="1030" spans="4:13" ht="18" customHeight="1" x14ac:dyDescent="0.35">
      <c r="D1030" s="116"/>
      <c r="E1030" s="67"/>
      <c r="F1030" s="67"/>
      <c r="G1030" s="32"/>
      <c r="H1030" s="272"/>
      <c r="M1030" s="32"/>
    </row>
    <row r="1031" spans="4:13" ht="18" customHeight="1" x14ac:dyDescent="0.35">
      <c r="G1031" s="32"/>
      <c r="H1031" s="272"/>
      <c r="M1031" s="32"/>
    </row>
    <row r="1032" spans="4:13" ht="18" customHeight="1" x14ac:dyDescent="0.35">
      <c r="G1032" s="32"/>
      <c r="H1032" s="272"/>
      <c r="M1032" s="32"/>
    </row>
    <row r="1033" spans="4:13" ht="18" customHeight="1" x14ac:dyDescent="0.35">
      <c r="G1033" s="32"/>
      <c r="H1033" s="272"/>
      <c r="M1033" s="32"/>
    </row>
    <row r="1034" spans="4:13" ht="18" customHeight="1" x14ac:dyDescent="0.35">
      <c r="G1034" s="32"/>
      <c r="H1034" s="272"/>
      <c r="M1034" s="32"/>
    </row>
    <row r="1035" spans="4:13" ht="18" customHeight="1" x14ac:dyDescent="0.35">
      <c r="G1035" s="32"/>
      <c r="H1035" s="272"/>
      <c r="M1035" s="32"/>
    </row>
    <row r="1036" spans="4:13" ht="18" customHeight="1" x14ac:dyDescent="0.35">
      <c r="G1036" s="32"/>
      <c r="H1036" s="272"/>
      <c r="M1036" s="32"/>
    </row>
    <row r="1037" spans="4:13" ht="18" customHeight="1" x14ac:dyDescent="0.35">
      <c r="G1037" s="32"/>
      <c r="H1037" s="272"/>
      <c r="M1037" s="32"/>
    </row>
    <row r="1038" spans="4:13" ht="18" customHeight="1" x14ac:dyDescent="0.35">
      <c r="G1038" s="32"/>
      <c r="H1038" s="272"/>
      <c r="M1038" s="32"/>
    </row>
    <row r="1039" spans="4:13" ht="18" customHeight="1" x14ac:dyDescent="0.35">
      <c r="G1039" s="32"/>
      <c r="H1039" s="272"/>
      <c r="M1039" s="32"/>
    </row>
    <row r="1040" spans="4:13" s="33" customFormat="1" ht="18" customHeight="1" x14ac:dyDescent="0.35">
      <c r="D1040" s="114"/>
      <c r="G1040" s="29"/>
      <c r="H1040" s="273"/>
      <c r="I1040" s="261"/>
      <c r="M1040" s="29"/>
    </row>
    <row r="1041" spans="2:14" s="69" customFormat="1" ht="18" customHeight="1" x14ac:dyDescent="0.35">
      <c r="B1041" s="70"/>
      <c r="D1041" s="118"/>
      <c r="E1041" s="72"/>
      <c r="F1041" s="59"/>
      <c r="G1041" s="54"/>
      <c r="H1041" s="275"/>
      <c r="I1041" s="228"/>
      <c r="N1041" s="54"/>
    </row>
    <row r="1042" spans="2:14" s="69" customFormat="1" ht="18" customHeight="1" x14ac:dyDescent="0.35">
      <c r="B1042" s="70"/>
      <c r="D1042" s="118"/>
      <c r="E1042" s="72"/>
      <c r="F1042" s="59"/>
      <c r="G1042" s="54"/>
      <c r="H1042" s="275"/>
      <c r="I1042" s="228"/>
      <c r="N1042" s="54"/>
    </row>
    <row r="1043" spans="2:14" s="69" customFormat="1" ht="18" customHeight="1" x14ac:dyDescent="0.35">
      <c r="B1043" s="70"/>
      <c r="D1043" s="117"/>
      <c r="E1043" s="73"/>
      <c r="F1043" s="2"/>
      <c r="G1043" s="54"/>
      <c r="H1043" s="275"/>
      <c r="I1043" s="228"/>
      <c r="N1043" s="54"/>
    </row>
    <row r="1044" spans="2:14" s="70" customFormat="1" ht="18" customHeight="1" x14ac:dyDescent="0.35">
      <c r="D1044" s="117"/>
      <c r="E1044" s="74"/>
      <c r="F1044" s="58"/>
      <c r="G1044" s="61"/>
      <c r="H1044" s="277"/>
      <c r="I1044" s="228"/>
      <c r="N1044" s="61"/>
    </row>
    <row r="1045" spans="2:14" s="69" customFormat="1" ht="18" customHeight="1" x14ac:dyDescent="0.35">
      <c r="B1045" s="70"/>
      <c r="D1045" s="117"/>
      <c r="E1045" s="73"/>
      <c r="F1045" s="2"/>
      <c r="G1045" s="54"/>
      <c r="H1045" s="275"/>
      <c r="I1045" s="228"/>
      <c r="N1045" s="54"/>
    </row>
    <row r="1056" spans="2:14" s="33" customFormat="1" ht="18" customHeight="1" x14ac:dyDescent="0.35">
      <c r="D1056" s="114"/>
      <c r="F1056" s="64"/>
      <c r="G1056" s="63"/>
      <c r="H1056" s="270"/>
      <c r="I1056" s="261"/>
    </row>
    <row r="1057" spans="3:13" s="33" customFormat="1" ht="18" customHeight="1" x14ac:dyDescent="0.35">
      <c r="D1057" s="114"/>
      <c r="F1057" s="64"/>
      <c r="G1057" s="63"/>
      <c r="H1057" s="270"/>
      <c r="I1057" s="261"/>
    </row>
    <row r="1059" spans="3:13" ht="18" customHeight="1" x14ac:dyDescent="0.35">
      <c r="D1059" s="116"/>
      <c r="E1059" s="67"/>
      <c r="F1059" s="67"/>
    </row>
    <row r="1060" spans="3:13" ht="18" customHeight="1" x14ac:dyDescent="0.35">
      <c r="C1060" s="33"/>
      <c r="D1060" s="115"/>
      <c r="G1060" s="32"/>
      <c r="H1060" s="272"/>
      <c r="M1060" s="32"/>
    </row>
    <row r="1061" spans="3:13" ht="18" customHeight="1" x14ac:dyDescent="0.35">
      <c r="C1061" s="33"/>
      <c r="G1061" s="32"/>
      <c r="H1061" s="272"/>
      <c r="M1061" s="32"/>
    </row>
    <row r="1062" spans="3:13" ht="18" customHeight="1" x14ac:dyDescent="0.35">
      <c r="C1062" s="33"/>
      <c r="D1062" s="115"/>
      <c r="G1062" s="32"/>
      <c r="H1062" s="272"/>
      <c r="M1062" s="32"/>
    </row>
    <row r="1063" spans="3:13" ht="18" customHeight="1" x14ac:dyDescent="0.35">
      <c r="C1063" s="33"/>
      <c r="D1063" s="115"/>
      <c r="G1063" s="32"/>
      <c r="H1063" s="272"/>
      <c r="M1063" s="32"/>
    </row>
    <row r="1064" spans="3:13" ht="18" customHeight="1" x14ac:dyDescent="0.35">
      <c r="C1064" s="33"/>
      <c r="D1064" s="116"/>
      <c r="E1064" s="67"/>
      <c r="F1064" s="67"/>
      <c r="G1064" s="32"/>
      <c r="H1064" s="272"/>
      <c r="M1064" s="32"/>
    </row>
    <row r="1065" spans="3:13" ht="18" customHeight="1" x14ac:dyDescent="0.35">
      <c r="C1065" s="33"/>
      <c r="D1065" s="119"/>
      <c r="E1065" s="67"/>
      <c r="F1065" s="67"/>
      <c r="G1065" s="32"/>
      <c r="H1065" s="272"/>
      <c r="M1065" s="32"/>
    </row>
    <row r="1066" spans="3:13" ht="18" customHeight="1" x14ac:dyDescent="0.35">
      <c r="C1066" s="33"/>
      <c r="D1066" s="115"/>
      <c r="G1066" s="32"/>
      <c r="H1066" s="272"/>
      <c r="M1066" s="32"/>
    </row>
    <row r="1067" spans="3:13" ht="18" customHeight="1" x14ac:dyDescent="0.35">
      <c r="C1067" s="33"/>
      <c r="G1067" s="32"/>
      <c r="H1067" s="272"/>
      <c r="M1067" s="32"/>
    </row>
    <row r="1068" spans="3:13" ht="18" customHeight="1" x14ac:dyDescent="0.35">
      <c r="C1068" s="33"/>
      <c r="G1068" s="32"/>
      <c r="H1068" s="272"/>
      <c r="M1068" s="32"/>
    </row>
    <row r="1069" spans="3:13" ht="18" customHeight="1" x14ac:dyDescent="0.35">
      <c r="C1069" s="33"/>
      <c r="D1069" s="115"/>
      <c r="G1069" s="32"/>
      <c r="H1069" s="272"/>
      <c r="M1069" s="32"/>
    </row>
    <row r="1070" spans="3:13" ht="18" customHeight="1" x14ac:dyDescent="0.35">
      <c r="C1070" s="33"/>
      <c r="D1070" s="115"/>
      <c r="G1070" s="32"/>
      <c r="H1070" s="272"/>
      <c r="M1070" s="32"/>
    </row>
    <row r="1071" spans="3:13" ht="18" customHeight="1" x14ac:dyDescent="0.35">
      <c r="C1071" s="33"/>
      <c r="G1071" s="32"/>
      <c r="H1071" s="272"/>
      <c r="M1071" s="32"/>
    </row>
    <row r="1072" spans="3:13" ht="18" customHeight="1" x14ac:dyDescent="0.35">
      <c r="C1072" s="33"/>
      <c r="D1072" s="115"/>
      <c r="G1072" s="32"/>
      <c r="H1072" s="272"/>
      <c r="M1072" s="32"/>
    </row>
    <row r="1073" spans="2:14" ht="18" customHeight="1" x14ac:dyDescent="0.35">
      <c r="C1073" s="33"/>
      <c r="D1073" s="115"/>
      <c r="G1073" s="32"/>
      <c r="H1073" s="272"/>
      <c r="M1073" s="32"/>
    </row>
    <row r="1074" spans="2:14" ht="18" customHeight="1" x14ac:dyDescent="0.35">
      <c r="C1074" s="33"/>
      <c r="G1074" s="32"/>
      <c r="H1074" s="272"/>
      <c r="M1074" s="32"/>
    </row>
    <row r="1075" spans="2:14" ht="18" customHeight="1" x14ac:dyDescent="0.35">
      <c r="D1075" s="115"/>
    </row>
    <row r="1076" spans="2:14" ht="18" customHeight="1" x14ac:dyDescent="0.35">
      <c r="D1076" s="115"/>
    </row>
    <row r="1077" spans="2:14" ht="18" customHeight="1" x14ac:dyDescent="0.35">
      <c r="C1077" s="33"/>
      <c r="D1077" s="116"/>
      <c r="E1077" s="67"/>
      <c r="F1077" s="67"/>
    </row>
    <row r="1078" spans="2:14" ht="18" customHeight="1" x14ac:dyDescent="0.35">
      <c r="D1078" s="116"/>
      <c r="E1078" s="67"/>
      <c r="F1078" s="67"/>
    </row>
    <row r="1079" spans="2:14" ht="18" customHeight="1" x14ac:dyDescent="0.35">
      <c r="D1079" s="116"/>
      <c r="E1079" s="67"/>
      <c r="F1079" s="67"/>
    </row>
    <row r="1080" spans="2:14" ht="18" customHeight="1" x14ac:dyDescent="0.35">
      <c r="D1080" s="116"/>
      <c r="E1080" s="67"/>
      <c r="F1080" s="67"/>
    </row>
    <row r="1081" spans="2:14" ht="18" customHeight="1" x14ac:dyDescent="0.35">
      <c r="D1081" s="116"/>
      <c r="E1081" s="67"/>
      <c r="F1081" s="67"/>
    </row>
    <row r="1082" spans="2:14" ht="18" customHeight="1" x14ac:dyDescent="0.35">
      <c r="D1082" s="116"/>
      <c r="E1082" s="67"/>
      <c r="F1082" s="67"/>
    </row>
    <row r="1084" spans="2:14" s="33" customFormat="1" ht="18" customHeight="1" x14ac:dyDescent="0.35">
      <c r="D1084" s="115"/>
      <c r="G1084" s="63"/>
      <c r="H1084" s="270"/>
      <c r="I1084" s="261"/>
    </row>
    <row r="1085" spans="2:14" s="69" customFormat="1" ht="18" customHeight="1" x14ac:dyDescent="0.35">
      <c r="B1085" s="70"/>
      <c r="D1085" s="118"/>
      <c r="E1085" s="72"/>
      <c r="F1085" s="59"/>
      <c r="G1085" s="54"/>
      <c r="H1085" s="275"/>
      <c r="I1085" s="228"/>
      <c r="N1085" s="54"/>
    </row>
    <row r="1086" spans="2:14" s="69" customFormat="1" ht="18" customHeight="1" x14ac:dyDescent="0.35">
      <c r="B1086" s="70"/>
      <c r="D1086" s="118"/>
      <c r="E1086" s="72"/>
      <c r="F1086" s="59"/>
      <c r="G1086" s="54"/>
      <c r="H1086" s="275"/>
      <c r="I1086" s="228"/>
      <c r="N1086" s="54"/>
    </row>
    <row r="1087" spans="2:14" s="69" customFormat="1" ht="18" customHeight="1" x14ac:dyDescent="0.35">
      <c r="B1087" s="70"/>
      <c r="D1087" s="118"/>
      <c r="E1087" s="72"/>
      <c r="F1087" s="59"/>
      <c r="G1087" s="54"/>
      <c r="H1087" s="275"/>
      <c r="I1087" s="228"/>
      <c r="N1087" s="54"/>
    </row>
    <row r="1088" spans="2:14" ht="18" customHeight="1" x14ac:dyDescent="0.35">
      <c r="D1088" s="115"/>
    </row>
    <row r="1089" spans="3:13" ht="18" customHeight="1" x14ac:dyDescent="0.35">
      <c r="D1089" s="115"/>
    </row>
    <row r="1090" spans="3:13" ht="18" customHeight="1" x14ac:dyDescent="0.35">
      <c r="C1090" s="33"/>
      <c r="D1090" s="115"/>
      <c r="F1090" s="32"/>
      <c r="G1090" s="32"/>
      <c r="H1090" s="272"/>
      <c r="M1090" s="32"/>
    </row>
    <row r="1091" spans="3:13" ht="18" customHeight="1" x14ac:dyDescent="0.35">
      <c r="C1091" s="33"/>
      <c r="D1091" s="115"/>
      <c r="F1091" s="32"/>
      <c r="G1091" s="32"/>
      <c r="H1091" s="272"/>
      <c r="M1091" s="32"/>
    </row>
    <row r="1092" spans="3:13" ht="18" customHeight="1" x14ac:dyDescent="0.35">
      <c r="C1092" s="33"/>
      <c r="D1092" s="115"/>
      <c r="F1092" s="32"/>
      <c r="G1092" s="32"/>
      <c r="H1092" s="272"/>
      <c r="M1092" s="32"/>
    </row>
    <row r="1093" spans="3:13" s="33" customFormat="1" ht="18" customHeight="1" x14ac:dyDescent="0.35">
      <c r="D1093" s="115"/>
      <c r="F1093" s="29"/>
      <c r="G1093" s="29"/>
      <c r="H1093" s="273"/>
      <c r="I1093" s="261"/>
      <c r="M1093" s="29"/>
    </row>
    <row r="1094" spans="3:13" ht="18" customHeight="1" x14ac:dyDescent="0.35">
      <c r="F1094" s="32"/>
    </row>
    <row r="1095" spans="3:13" ht="18" customHeight="1" x14ac:dyDescent="0.35">
      <c r="D1095" s="116"/>
      <c r="E1095" s="67"/>
      <c r="F1095" s="60"/>
    </row>
    <row r="1096" spans="3:13" ht="18" customHeight="1" x14ac:dyDescent="0.35">
      <c r="D1096" s="116"/>
      <c r="E1096" s="67"/>
      <c r="F1096" s="60"/>
    </row>
    <row r="1097" spans="3:13" ht="18" customHeight="1" x14ac:dyDescent="0.35">
      <c r="D1097" s="116"/>
      <c r="E1097" s="67"/>
      <c r="F1097" s="60"/>
    </row>
    <row r="1098" spans="3:13" ht="18" customHeight="1" x14ac:dyDescent="0.35">
      <c r="D1098" s="116"/>
      <c r="E1098" s="67"/>
      <c r="F1098" s="60"/>
    </row>
    <row r="1099" spans="3:13" ht="18" customHeight="1" x14ac:dyDescent="0.35">
      <c r="D1099" s="116"/>
      <c r="E1099" s="67"/>
      <c r="F1099" s="60"/>
    </row>
    <row r="1100" spans="3:13" ht="18" customHeight="1" x14ac:dyDescent="0.35">
      <c r="D1100" s="116"/>
      <c r="E1100" s="67"/>
      <c r="F1100" s="60"/>
    </row>
    <row r="1101" spans="3:13" ht="18" customHeight="1" x14ac:dyDescent="0.35">
      <c r="D1101" s="116"/>
      <c r="E1101" s="67"/>
      <c r="F1101" s="60"/>
    </row>
    <row r="1102" spans="3:13" ht="18" customHeight="1" x14ac:dyDescent="0.35">
      <c r="D1102" s="116"/>
      <c r="E1102" s="67"/>
      <c r="F1102" s="60"/>
    </row>
    <row r="1103" spans="3:13" ht="18" customHeight="1" x14ac:dyDescent="0.35">
      <c r="D1103" s="116"/>
      <c r="E1103" s="67"/>
      <c r="F1103" s="60"/>
    </row>
    <row r="1104" spans="3:13" ht="18" customHeight="1" x14ac:dyDescent="0.35">
      <c r="D1104" s="116"/>
      <c r="E1104" s="67"/>
      <c r="F1104" s="60"/>
    </row>
    <row r="1105" spans="4:6" ht="18" customHeight="1" x14ac:dyDescent="0.35">
      <c r="D1105" s="116"/>
      <c r="E1105" s="67"/>
      <c r="F1105" s="60"/>
    </row>
    <row r="1106" spans="4:6" ht="18" customHeight="1" x14ac:dyDescent="0.35">
      <c r="D1106" s="116"/>
      <c r="E1106" s="67"/>
      <c r="F1106" s="60"/>
    </row>
    <row r="1107" spans="4:6" ht="18" customHeight="1" x14ac:dyDescent="0.35">
      <c r="D1107" s="116"/>
      <c r="E1107" s="67"/>
      <c r="F1107" s="60"/>
    </row>
    <row r="1108" spans="4:6" ht="18" customHeight="1" x14ac:dyDescent="0.35">
      <c r="D1108" s="116"/>
      <c r="E1108" s="67"/>
      <c r="F1108" s="60"/>
    </row>
    <row r="1109" spans="4:6" ht="18" customHeight="1" x14ac:dyDescent="0.35">
      <c r="D1109" s="116"/>
      <c r="E1109" s="67"/>
      <c r="F1109" s="60"/>
    </row>
    <row r="1110" spans="4:6" ht="18" customHeight="1" x14ac:dyDescent="0.35">
      <c r="D1110" s="116"/>
      <c r="E1110" s="67"/>
      <c r="F1110" s="60"/>
    </row>
    <row r="1111" spans="4:6" ht="18" customHeight="1" x14ac:dyDescent="0.35">
      <c r="D1111" s="116"/>
      <c r="E1111" s="67"/>
      <c r="F1111" s="60"/>
    </row>
    <row r="1112" spans="4:6" ht="18" customHeight="1" x14ac:dyDescent="0.35">
      <c r="D1112" s="116"/>
      <c r="E1112" s="67"/>
      <c r="F1112" s="60"/>
    </row>
    <row r="1113" spans="4:6" ht="18" customHeight="1" x14ac:dyDescent="0.35">
      <c r="D1113" s="116"/>
      <c r="E1113" s="67"/>
      <c r="F1113" s="60"/>
    </row>
    <row r="1114" spans="4:6" ht="18" customHeight="1" x14ac:dyDescent="0.35">
      <c r="D1114" s="116"/>
      <c r="E1114" s="67"/>
      <c r="F1114" s="60"/>
    </row>
    <row r="1115" spans="4:6" ht="18" customHeight="1" x14ac:dyDescent="0.35">
      <c r="F1115" s="32"/>
    </row>
    <row r="1116" spans="4:6" ht="18" customHeight="1" x14ac:dyDescent="0.35">
      <c r="F1116" s="32"/>
    </row>
    <row r="1117" spans="4:6" ht="18" customHeight="1" x14ac:dyDescent="0.35">
      <c r="F1117" s="32"/>
    </row>
    <row r="1118" spans="4:6" ht="18" customHeight="1" x14ac:dyDescent="0.35">
      <c r="F1118" s="32"/>
    </row>
    <row r="1119" spans="4:6" ht="18" customHeight="1" x14ac:dyDescent="0.35">
      <c r="F1119" s="32"/>
    </row>
    <row r="1120" spans="4:6" ht="18" customHeight="1" x14ac:dyDescent="0.35">
      <c r="F1120" s="32"/>
    </row>
    <row r="1121" spans="6:6" ht="18" customHeight="1" x14ac:dyDescent="0.35">
      <c r="F1121" s="32"/>
    </row>
    <row r="1122" spans="6:6" ht="18" customHeight="1" x14ac:dyDescent="0.35">
      <c r="F1122" s="32"/>
    </row>
    <row r="1123" spans="6:6" ht="18" customHeight="1" x14ac:dyDescent="0.35">
      <c r="F1123" s="32"/>
    </row>
    <row r="1124" spans="6:6" ht="18" customHeight="1" x14ac:dyDescent="0.35">
      <c r="F1124" s="32"/>
    </row>
    <row r="1125" spans="6:6" ht="18" customHeight="1" x14ac:dyDescent="0.35">
      <c r="F1125" s="32"/>
    </row>
    <row r="1126" spans="6:6" ht="18" customHeight="1" x14ac:dyDescent="0.35">
      <c r="F1126" s="32"/>
    </row>
    <row r="1127" spans="6:6" ht="18" customHeight="1" x14ac:dyDescent="0.35">
      <c r="F1127" s="32"/>
    </row>
    <row r="1128" spans="6:6" ht="18" customHeight="1" x14ac:dyDescent="0.35">
      <c r="F1128" s="32"/>
    </row>
    <row r="1129" spans="6:6" ht="18" customHeight="1" x14ac:dyDescent="0.35">
      <c r="F1129" s="32"/>
    </row>
    <row r="1130" spans="6:6" ht="18" customHeight="1" x14ac:dyDescent="0.35">
      <c r="F1130" s="32"/>
    </row>
    <row r="1131" spans="6:6" ht="18" customHeight="1" x14ac:dyDescent="0.35">
      <c r="F1131" s="32"/>
    </row>
    <row r="1132" spans="6:6" ht="18" customHeight="1" x14ac:dyDescent="0.35">
      <c r="F1132" s="32"/>
    </row>
    <row r="1133" spans="6:6" ht="18" customHeight="1" x14ac:dyDescent="0.35">
      <c r="F1133" s="32"/>
    </row>
    <row r="1134" spans="6:6" ht="18" customHeight="1" x14ac:dyDescent="0.35">
      <c r="F1134" s="32"/>
    </row>
    <row r="1135" spans="6:6" ht="18" customHeight="1" x14ac:dyDescent="0.35">
      <c r="F1135" s="32"/>
    </row>
    <row r="1136" spans="6:6" ht="18" customHeight="1" x14ac:dyDescent="0.35">
      <c r="F1136" s="32"/>
    </row>
    <row r="1137" spans="6:6" ht="18" customHeight="1" x14ac:dyDescent="0.35">
      <c r="F1137" s="32"/>
    </row>
    <row r="1138" spans="6:6" ht="18" customHeight="1" x14ac:dyDescent="0.35">
      <c r="F1138" s="32"/>
    </row>
    <row r="1139" spans="6:6" ht="18" customHeight="1" x14ac:dyDescent="0.35">
      <c r="F1139" s="32"/>
    </row>
    <row r="1140" spans="6:6" ht="18" customHeight="1" x14ac:dyDescent="0.35">
      <c r="F1140" s="32"/>
    </row>
    <row r="1141" spans="6:6" ht="18" customHeight="1" x14ac:dyDescent="0.35">
      <c r="F1141" s="32"/>
    </row>
    <row r="1142" spans="6:6" ht="18" customHeight="1" x14ac:dyDescent="0.35">
      <c r="F1142" s="32"/>
    </row>
    <row r="1143" spans="6:6" ht="18" customHeight="1" x14ac:dyDescent="0.35">
      <c r="F1143" s="32"/>
    </row>
    <row r="1144" spans="6:6" ht="18" customHeight="1" x14ac:dyDescent="0.35">
      <c r="F1144" s="32"/>
    </row>
    <row r="1145" spans="6:6" ht="18" customHeight="1" x14ac:dyDescent="0.35">
      <c r="F1145" s="32"/>
    </row>
    <row r="1146" spans="6:6" ht="18" customHeight="1" x14ac:dyDescent="0.35">
      <c r="F1146" s="32"/>
    </row>
    <row r="1147" spans="6:6" ht="18" customHeight="1" x14ac:dyDescent="0.35">
      <c r="F1147" s="32"/>
    </row>
    <row r="1148" spans="6:6" ht="18" customHeight="1" x14ac:dyDescent="0.35">
      <c r="F1148" s="32"/>
    </row>
    <row r="1149" spans="6:6" ht="18" customHeight="1" x14ac:dyDescent="0.35">
      <c r="F1149" s="32"/>
    </row>
    <row r="1150" spans="6:6" ht="18" customHeight="1" x14ac:dyDescent="0.35">
      <c r="F1150" s="32"/>
    </row>
    <row r="1151" spans="6:6" ht="18" customHeight="1" x14ac:dyDescent="0.35">
      <c r="F1151" s="32"/>
    </row>
    <row r="1152" spans="6:6" ht="18" customHeight="1" x14ac:dyDescent="0.35">
      <c r="F1152" s="32"/>
    </row>
    <row r="1153" spans="6:8" ht="18" customHeight="1" x14ac:dyDescent="0.35">
      <c r="F1153" s="32"/>
    </row>
    <row r="1154" spans="6:8" ht="18" customHeight="1" x14ac:dyDescent="0.35">
      <c r="F1154" s="32"/>
      <c r="G1154" s="55"/>
      <c r="H1154" s="262"/>
    </row>
    <row r="1155" spans="6:8" ht="18" customHeight="1" x14ac:dyDescent="0.35">
      <c r="F1155" s="32"/>
    </row>
    <row r="1156" spans="6:8" ht="18" customHeight="1" x14ac:dyDescent="0.35">
      <c r="F1156" s="32"/>
    </row>
    <row r="1157" spans="6:8" ht="18" customHeight="1" x14ac:dyDescent="0.35">
      <c r="F1157" s="32"/>
    </row>
    <row r="1158" spans="6:8" ht="18" customHeight="1" x14ac:dyDescent="0.35">
      <c r="F1158" s="32"/>
    </row>
    <row r="1159" spans="6:8" ht="18" customHeight="1" x14ac:dyDescent="0.35">
      <c r="F1159" s="32"/>
    </row>
    <row r="1160" spans="6:8" ht="18" customHeight="1" x14ac:dyDescent="0.35">
      <c r="F1160" s="32"/>
    </row>
    <row r="1161" spans="6:8" ht="18" customHeight="1" x14ac:dyDescent="0.35">
      <c r="F1161" s="32"/>
    </row>
    <row r="1162" spans="6:8" ht="18" customHeight="1" x14ac:dyDescent="0.35">
      <c r="F1162" s="32"/>
    </row>
    <row r="1163" spans="6:8" ht="18" customHeight="1" x14ac:dyDescent="0.35">
      <c r="F1163" s="32"/>
    </row>
    <row r="1164" spans="6:8" ht="18" customHeight="1" x14ac:dyDescent="0.35">
      <c r="F1164" s="32"/>
    </row>
    <row r="1165" spans="6:8" ht="18" customHeight="1" x14ac:dyDescent="0.35">
      <c r="F1165" s="32"/>
    </row>
    <row r="1166" spans="6:8" ht="18" customHeight="1" x14ac:dyDescent="0.35">
      <c r="F1166" s="32"/>
    </row>
    <row r="1167" spans="6:8" ht="18" customHeight="1" x14ac:dyDescent="0.35">
      <c r="F1167" s="32"/>
    </row>
    <row r="1168" spans="6:8" ht="18" customHeight="1" x14ac:dyDescent="0.35">
      <c r="F1168" s="32"/>
    </row>
    <row r="1169" spans="6:6" ht="18" customHeight="1" x14ac:dyDescent="0.35">
      <c r="F1169" s="32"/>
    </row>
    <row r="1170" spans="6:6" ht="18" customHeight="1" x14ac:dyDescent="0.35">
      <c r="F1170" s="32"/>
    </row>
    <row r="1171" spans="6:6" ht="18" customHeight="1" x14ac:dyDescent="0.35">
      <c r="F1171" s="32"/>
    </row>
    <row r="1172" spans="6:6" ht="18" customHeight="1" x14ac:dyDescent="0.35">
      <c r="F1172" s="32"/>
    </row>
    <row r="1173" spans="6:6" ht="18" customHeight="1" x14ac:dyDescent="0.35">
      <c r="F1173" s="32"/>
    </row>
    <row r="1174" spans="6:6" ht="18" customHeight="1" x14ac:dyDescent="0.35">
      <c r="F1174" s="32"/>
    </row>
    <row r="1175" spans="6:6" ht="18" customHeight="1" x14ac:dyDescent="0.35">
      <c r="F1175" s="32"/>
    </row>
    <row r="1176" spans="6:6" ht="18" customHeight="1" x14ac:dyDescent="0.35">
      <c r="F1176" s="32"/>
    </row>
    <row r="1177" spans="6:6" ht="18" customHeight="1" x14ac:dyDescent="0.35">
      <c r="F1177" s="32"/>
    </row>
    <row r="1178" spans="6:6" ht="18" customHeight="1" x14ac:dyDescent="0.35">
      <c r="F1178" s="32"/>
    </row>
    <row r="1179" spans="6:6" ht="18" customHeight="1" x14ac:dyDescent="0.35">
      <c r="F1179" s="32"/>
    </row>
    <row r="1180" spans="6:6" ht="18" customHeight="1" x14ac:dyDescent="0.35">
      <c r="F1180" s="32"/>
    </row>
    <row r="1181" spans="6:6" ht="18" customHeight="1" x14ac:dyDescent="0.35">
      <c r="F1181" s="32"/>
    </row>
    <row r="1182" spans="6:6" ht="18" customHeight="1" x14ac:dyDescent="0.35">
      <c r="F1182" s="32"/>
    </row>
    <row r="1183" spans="6:6" ht="18" customHeight="1" x14ac:dyDescent="0.35">
      <c r="F1183" s="32"/>
    </row>
    <row r="1184" spans="6:6" ht="18" customHeight="1" x14ac:dyDescent="0.35">
      <c r="F1184" s="32"/>
    </row>
    <row r="1185" spans="6:6" ht="18" customHeight="1" x14ac:dyDescent="0.35">
      <c r="F1185" s="32"/>
    </row>
    <row r="1186" spans="6:6" ht="18" customHeight="1" x14ac:dyDescent="0.35">
      <c r="F1186" s="32"/>
    </row>
    <row r="1187" spans="6:6" ht="18" customHeight="1" x14ac:dyDescent="0.35">
      <c r="F1187" s="32"/>
    </row>
    <row r="1188" spans="6:6" ht="18" customHeight="1" x14ac:dyDescent="0.35">
      <c r="F1188" s="32"/>
    </row>
    <row r="1189" spans="6:6" ht="18" customHeight="1" x14ac:dyDescent="0.35">
      <c r="F1189" s="32"/>
    </row>
    <row r="1190" spans="6:6" ht="18" customHeight="1" x14ac:dyDescent="0.35">
      <c r="F1190" s="32"/>
    </row>
    <row r="1191" spans="6:6" ht="18" customHeight="1" x14ac:dyDescent="0.35">
      <c r="F1191" s="32"/>
    </row>
    <row r="1192" spans="6:6" ht="18" customHeight="1" x14ac:dyDescent="0.35">
      <c r="F1192" s="32"/>
    </row>
    <row r="1193" spans="6:6" ht="18" customHeight="1" x14ac:dyDescent="0.35">
      <c r="F1193" s="32"/>
    </row>
    <row r="1194" spans="6:6" ht="18" customHeight="1" x14ac:dyDescent="0.35">
      <c r="F1194" s="32"/>
    </row>
    <row r="1195" spans="6:6" ht="18" customHeight="1" x14ac:dyDescent="0.35">
      <c r="F1195" s="32"/>
    </row>
    <row r="1196" spans="6:6" ht="18" customHeight="1" x14ac:dyDescent="0.35">
      <c r="F1196" s="32"/>
    </row>
    <row r="1197" spans="6:6" ht="18" customHeight="1" x14ac:dyDescent="0.35">
      <c r="F1197" s="32"/>
    </row>
    <row r="1198" spans="6:6" ht="18" customHeight="1" x14ac:dyDescent="0.35">
      <c r="F1198" s="32"/>
    </row>
    <row r="1199" spans="6:6" ht="18" customHeight="1" x14ac:dyDescent="0.35">
      <c r="F1199" s="32"/>
    </row>
    <row r="1200" spans="6:6" ht="18" customHeight="1" x14ac:dyDescent="0.35">
      <c r="F1200" s="32"/>
    </row>
    <row r="1201" spans="2:14" ht="18" customHeight="1" x14ac:dyDescent="0.35">
      <c r="F1201" s="32"/>
    </row>
    <row r="1202" spans="2:14" ht="18" customHeight="1" x14ac:dyDescent="0.35">
      <c r="F1202" s="32"/>
    </row>
    <row r="1203" spans="2:14" ht="18" customHeight="1" x14ac:dyDescent="0.35">
      <c r="F1203" s="32"/>
    </row>
    <row r="1204" spans="2:14" ht="18" customHeight="1" x14ac:dyDescent="0.35">
      <c r="F1204" s="32"/>
    </row>
    <row r="1205" spans="2:14" ht="18" customHeight="1" x14ac:dyDescent="0.35">
      <c r="F1205" s="32"/>
    </row>
    <row r="1206" spans="2:14" ht="18" customHeight="1" x14ac:dyDescent="0.35">
      <c r="F1206" s="32"/>
    </row>
    <row r="1207" spans="2:14" ht="18" customHeight="1" x14ac:dyDescent="0.35">
      <c r="F1207" s="32"/>
    </row>
    <row r="1208" spans="2:14" ht="18" customHeight="1" x14ac:dyDescent="0.35">
      <c r="F1208" s="32"/>
    </row>
    <row r="1209" spans="2:14" ht="18" customHeight="1" x14ac:dyDescent="0.35">
      <c r="F1209" s="32"/>
    </row>
    <row r="1210" spans="2:14" s="69" customFormat="1" ht="18" customHeight="1" x14ac:dyDescent="0.35">
      <c r="B1210" s="70"/>
      <c r="C1210" s="70"/>
      <c r="D1210" s="114"/>
      <c r="E1210" s="73"/>
      <c r="F1210" s="2"/>
      <c r="G1210" s="54"/>
      <c r="H1210" s="275"/>
      <c r="I1210" s="228"/>
      <c r="N1210" s="54"/>
    </row>
    <row r="1211" spans="2:14" s="69" customFormat="1" ht="18" customHeight="1" x14ac:dyDescent="0.35">
      <c r="B1211" s="70"/>
      <c r="D1211" s="114"/>
      <c r="E1211" s="73"/>
      <c r="F1211" s="2"/>
      <c r="G1211" s="54"/>
      <c r="H1211" s="275"/>
      <c r="I1211" s="228"/>
      <c r="N1211" s="54"/>
    </row>
    <row r="1212" spans="2:14" s="69" customFormat="1" ht="18" customHeight="1" x14ac:dyDescent="0.35">
      <c r="B1212" s="70"/>
      <c r="D1212" s="114"/>
      <c r="E1212" s="73"/>
      <c r="F1212" s="2"/>
      <c r="G1212" s="54"/>
      <c r="H1212" s="275"/>
      <c r="I1212" s="228"/>
      <c r="N1212" s="54"/>
    </row>
    <row r="1213" spans="2:14" s="69" customFormat="1" ht="18" customHeight="1" x14ac:dyDescent="0.35">
      <c r="B1213" s="70"/>
      <c r="D1213" s="114"/>
      <c r="E1213" s="73"/>
      <c r="F1213" s="2"/>
      <c r="G1213" s="54"/>
      <c r="H1213" s="275"/>
      <c r="I1213" s="228"/>
      <c r="N1213" s="54"/>
    </row>
    <row r="1214" spans="2:14" s="69" customFormat="1" ht="18" customHeight="1" x14ac:dyDescent="0.35">
      <c r="B1214" s="70"/>
      <c r="D1214" s="114"/>
      <c r="E1214" s="73"/>
      <c r="F1214" s="2"/>
      <c r="G1214" s="54"/>
      <c r="H1214" s="275"/>
      <c r="I1214" s="228"/>
      <c r="N1214" s="54"/>
    </row>
    <row r="1215" spans="2:14" s="69" customFormat="1" ht="18" customHeight="1" x14ac:dyDescent="0.35">
      <c r="B1215" s="70"/>
      <c r="D1215" s="114"/>
      <c r="E1215" s="73"/>
      <c r="F1215" s="2"/>
      <c r="G1215" s="54"/>
      <c r="H1215" s="275"/>
      <c r="I1215" s="228"/>
      <c r="N1215" s="54"/>
    </row>
    <row r="1216" spans="2:14" s="69" customFormat="1" ht="18" customHeight="1" x14ac:dyDescent="0.35">
      <c r="B1216" s="70"/>
      <c r="D1216" s="117"/>
      <c r="E1216" s="73"/>
      <c r="F1216" s="80"/>
      <c r="G1216" s="54"/>
      <c r="H1216" s="275"/>
      <c r="I1216" s="228"/>
      <c r="N1216" s="54"/>
    </row>
    <row r="1217" spans="3:13" ht="18" customHeight="1" x14ac:dyDescent="0.35">
      <c r="D1217" s="120"/>
      <c r="F1217" s="32"/>
    </row>
    <row r="1218" spans="3:13" ht="18" customHeight="1" x14ac:dyDescent="0.35">
      <c r="D1218" s="120"/>
      <c r="F1218" s="32"/>
    </row>
    <row r="1219" spans="3:13" ht="18" customHeight="1" x14ac:dyDescent="0.35">
      <c r="C1219" s="33"/>
      <c r="D1219" s="115"/>
      <c r="F1219" s="32"/>
      <c r="G1219" s="32"/>
      <c r="H1219" s="272"/>
      <c r="L1219" s="32"/>
      <c r="M1219" s="32"/>
    </row>
    <row r="1220" spans="3:13" ht="18" customHeight="1" x14ac:dyDescent="0.35">
      <c r="C1220" s="33"/>
      <c r="D1220" s="119"/>
      <c r="E1220" s="67"/>
      <c r="F1220" s="60"/>
      <c r="G1220" s="32"/>
      <c r="H1220" s="272"/>
      <c r="L1220" s="32"/>
      <c r="M1220" s="32"/>
    </row>
    <row r="1221" spans="3:13" ht="18" customHeight="1" x14ac:dyDescent="0.35">
      <c r="C1221" s="33"/>
      <c r="D1221" s="119"/>
      <c r="E1221" s="67"/>
      <c r="F1221" s="60"/>
      <c r="G1221" s="32"/>
      <c r="H1221" s="272"/>
      <c r="L1221" s="32"/>
      <c r="M1221" s="32"/>
    </row>
    <row r="1222" spans="3:13" ht="18" customHeight="1" x14ac:dyDescent="0.35">
      <c r="C1222" s="33"/>
      <c r="D1222" s="115"/>
      <c r="F1222" s="32"/>
      <c r="G1222" s="32"/>
      <c r="H1222" s="272"/>
      <c r="L1222" s="32"/>
      <c r="M1222" s="32"/>
    </row>
    <row r="1223" spans="3:13" ht="18" customHeight="1" x14ac:dyDescent="0.35">
      <c r="C1223" s="33"/>
      <c r="D1223" s="115"/>
      <c r="F1223" s="32"/>
      <c r="G1223" s="32"/>
      <c r="H1223" s="272"/>
      <c r="L1223" s="32"/>
      <c r="M1223" s="32"/>
    </row>
    <row r="1224" spans="3:13" ht="18" customHeight="1" x14ac:dyDescent="0.35">
      <c r="C1224" s="33"/>
      <c r="D1224" s="115"/>
      <c r="F1224" s="32"/>
      <c r="G1224" s="32"/>
      <c r="H1224" s="272"/>
      <c r="L1224" s="32"/>
      <c r="M1224" s="32"/>
    </row>
    <row r="1225" spans="3:13" ht="18" customHeight="1" x14ac:dyDescent="0.35">
      <c r="C1225" s="33"/>
      <c r="D1225" s="115"/>
      <c r="F1225" s="32"/>
      <c r="G1225" s="32"/>
      <c r="H1225" s="272"/>
      <c r="L1225" s="32"/>
      <c r="M1225" s="32"/>
    </row>
    <row r="1226" spans="3:13" ht="18" customHeight="1" x14ac:dyDescent="0.35">
      <c r="C1226" s="33"/>
      <c r="D1226" s="115"/>
      <c r="F1226" s="32"/>
      <c r="G1226" s="32"/>
      <c r="H1226" s="272"/>
      <c r="L1226" s="32"/>
      <c r="M1226" s="32"/>
    </row>
    <row r="1227" spans="3:13" ht="18" customHeight="1" x14ac:dyDescent="0.35">
      <c r="C1227" s="33"/>
      <c r="D1227" s="115"/>
      <c r="F1227" s="32"/>
      <c r="G1227" s="32"/>
      <c r="H1227" s="272"/>
      <c r="L1227" s="32"/>
      <c r="M1227" s="32"/>
    </row>
    <row r="1228" spans="3:13" ht="18" customHeight="1" x14ac:dyDescent="0.35">
      <c r="C1228" s="33"/>
      <c r="D1228" s="115"/>
      <c r="F1228" s="32"/>
      <c r="G1228" s="32"/>
      <c r="H1228" s="272"/>
      <c r="L1228" s="32"/>
      <c r="M1228" s="32"/>
    </row>
    <row r="1229" spans="3:13" ht="18" customHeight="1" x14ac:dyDescent="0.35">
      <c r="C1229" s="33"/>
      <c r="D1229" s="115"/>
      <c r="F1229" s="32"/>
      <c r="G1229" s="32"/>
      <c r="H1229" s="272"/>
      <c r="L1229" s="32"/>
      <c r="M1229" s="32"/>
    </row>
    <row r="1230" spans="3:13" ht="18" customHeight="1" x14ac:dyDescent="0.35">
      <c r="C1230" s="33"/>
      <c r="D1230" s="115"/>
      <c r="F1230" s="32"/>
      <c r="G1230" s="32"/>
      <c r="H1230" s="272"/>
      <c r="L1230" s="32"/>
      <c r="M1230" s="32"/>
    </row>
    <row r="1231" spans="3:13" ht="18" customHeight="1" x14ac:dyDescent="0.35">
      <c r="C1231" s="33"/>
      <c r="D1231" s="115"/>
      <c r="F1231" s="32"/>
      <c r="G1231" s="32"/>
      <c r="H1231" s="272"/>
      <c r="L1231" s="32"/>
      <c r="M1231" s="32"/>
    </row>
    <row r="1232" spans="3:13" ht="18" customHeight="1" x14ac:dyDescent="0.35">
      <c r="C1232" s="33"/>
      <c r="D1232" s="115"/>
      <c r="F1232" s="32"/>
      <c r="G1232" s="32"/>
      <c r="H1232" s="272"/>
      <c r="L1232" s="32"/>
      <c r="M1232" s="32"/>
    </row>
    <row r="1233" spans="3:13" ht="18" customHeight="1" x14ac:dyDescent="0.35">
      <c r="C1233" s="33"/>
      <c r="D1233" s="115"/>
      <c r="F1233" s="32"/>
      <c r="G1233" s="32"/>
      <c r="H1233" s="272"/>
      <c r="L1233" s="32"/>
      <c r="M1233" s="32"/>
    </row>
    <row r="1234" spans="3:13" ht="18" customHeight="1" x14ac:dyDescent="0.35">
      <c r="C1234" s="33"/>
      <c r="D1234" s="115"/>
      <c r="F1234" s="32"/>
      <c r="G1234" s="32"/>
      <c r="H1234" s="272"/>
      <c r="L1234" s="32"/>
      <c r="M1234" s="32"/>
    </row>
    <row r="1235" spans="3:13" ht="18" customHeight="1" x14ac:dyDescent="0.35">
      <c r="C1235" s="33"/>
      <c r="D1235" s="115"/>
      <c r="F1235" s="32"/>
      <c r="G1235" s="32"/>
      <c r="H1235" s="272"/>
      <c r="L1235" s="32"/>
      <c r="M1235" s="32"/>
    </row>
    <row r="1236" spans="3:13" ht="18" customHeight="1" x14ac:dyDescent="0.35">
      <c r="C1236" s="33"/>
      <c r="D1236" s="115"/>
      <c r="F1236" s="32"/>
      <c r="G1236" s="32"/>
      <c r="H1236" s="272"/>
      <c r="L1236" s="32"/>
      <c r="M1236" s="32"/>
    </row>
    <row r="1237" spans="3:13" ht="18" customHeight="1" x14ac:dyDescent="0.35">
      <c r="C1237" s="33"/>
      <c r="D1237" s="115"/>
      <c r="F1237" s="32"/>
      <c r="G1237" s="32"/>
      <c r="H1237" s="272"/>
      <c r="L1237" s="32"/>
      <c r="M1237" s="32"/>
    </row>
    <row r="1238" spans="3:13" ht="18" customHeight="1" x14ac:dyDescent="0.35">
      <c r="C1238" s="33"/>
      <c r="D1238" s="115"/>
      <c r="F1238" s="32"/>
      <c r="G1238" s="32"/>
      <c r="H1238" s="272"/>
      <c r="L1238" s="32"/>
      <c r="M1238" s="32"/>
    </row>
    <row r="1239" spans="3:13" ht="18" customHeight="1" x14ac:dyDescent="0.35">
      <c r="C1239" s="33"/>
      <c r="D1239" s="115"/>
      <c r="F1239" s="32"/>
      <c r="G1239" s="32"/>
      <c r="H1239" s="272"/>
      <c r="L1239" s="32"/>
      <c r="M1239" s="32"/>
    </row>
    <row r="1240" spans="3:13" ht="18" customHeight="1" x14ac:dyDescent="0.35">
      <c r="C1240" s="33"/>
      <c r="D1240" s="115"/>
      <c r="F1240" s="32"/>
      <c r="G1240" s="32"/>
      <c r="H1240" s="272"/>
      <c r="L1240" s="32"/>
      <c r="M1240" s="32"/>
    </row>
    <row r="1241" spans="3:13" ht="18" customHeight="1" x14ac:dyDescent="0.35">
      <c r="C1241" s="33"/>
      <c r="D1241" s="115"/>
      <c r="F1241" s="32"/>
      <c r="G1241" s="32"/>
      <c r="H1241" s="272"/>
      <c r="L1241" s="32"/>
      <c r="M1241" s="32"/>
    </row>
    <row r="1242" spans="3:13" ht="18" customHeight="1" x14ac:dyDescent="0.35">
      <c r="C1242" s="33"/>
      <c r="D1242" s="115"/>
      <c r="F1242" s="32"/>
      <c r="G1242" s="32"/>
      <c r="H1242" s="272"/>
      <c r="L1242" s="32"/>
      <c r="M1242" s="32"/>
    </row>
    <row r="1243" spans="3:13" ht="18" customHeight="1" x14ac:dyDescent="0.35">
      <c r="C1243" s="33"/>
      <c r="D1243" s="115"/>
      <c r="F1243" s="32"/>
      <c r="G1243" s="32"/>
      <c r="H1243" s="272"/>
      <c r="L1243" s="32"/>
      <c r="M1243" s="32"/>
    </row>
    <row r="1244" spans="3:13" ht="18" customHeight="1" x14ac:dyDescent="0.35">
      <c r="C1244" s="33"/>
      <c r="D1244" s="115"/>
      <c r="F1244" s="32"/>
      <c r="G1244" s="32"/>
      <c r="H1244" s="272"/>
      <c r="L1244" s="32"/>
      <c r="M1244" s="32"/>
    </row>
    <row r="1245" spans="3:13" ht="18" customHeight="1" x14ac:dyDescent="0.35">
      <c r="C1245" s="33"/>
      <c r="D1245" s="115"/>
      <c r="F1245" s="32"/>
      <c r="G1245" s="32"/>
      <c r="H1245" s="272"/>
      <c r="L1245" s="32"/>
      <c r="M1245" s="32"/>
    </row>
    <row r="1246" spans="3:13" ht="18" customHeight="1" x14ac:dyDescent="0.35">
      <c r="C1246" s="33"/>
      <c r="D1246" s="115"/>
      <c r="F1246" s="32"/>
      <c r="G1246" s="32"/>
      <c r="H1246" s="272"/>
      <c r="L1246" s="32"/>
      <c r="M1246" s="32"/>
    </row>
    <row r="1247" spans="3:13" ht="18" customHeight="1" x14ac:dyDescent="0.35">
      <c r="C1247" s="33"/>
      <c r="D1247" s="115"/>
      <c r="F1247" s="32"/>
      <c r="G1247" s="32"/>
      <c r="H1247" s="272"/>
      <c r="L1247" s="32"/>
      <c r="M1247" s="32"/>
    </row>
    <row r="1248" spans="3:13" ht="18" customHeight="1" x14ac:dyDescent="0.35">
      <c r="C1248" s="33"/>
      <c r="D1248" s="115"/>
      <c r="F1248" s="32"/>
      <c r="G1248" s="32"/>
      <c r="H1248" s="272"/>
      <c r="L1248" s="32"/>
      <c r="M1248" s="32"/>
    </row>
    <row r="1249" spans="2:14" s="69" customFormat="1" ht="18" customHeight="1" x14ac:dyDescent="0.35">
      <c r="B1249" s="70"/>
      <c r="D1249" s="118"/>
      <c r="E1249" s="72"/>
      <c r="F1249" s="59"/>
      <c r="G1249" s="54"/>
      <c r="H1249" s="275"/>
      <c r="I1249" s="228"/>
      <c r="N1249" s="54"/>
    </row>
    <row r="1250" spans="2:14" s="69" customFormat="1" ht="18" customHeight="1" x14ac:dyDescent="0.35">
      <c r="B1250" s="70"/>
      <c r="D1250" s="118"/>
      <c r="E1250" s="72"/>
      <c r="F1250" s="59"/>
      <c r="G1250" s="54"/>
      <c r="H1250" s="275"/>
      <c r="I1250" s="228"/>
      <c r="N1250" s="54"/>
    </row>
    <row r="1251" spans="2:14" s="69" customFormat="1" ht="18" customHeight="1" x14ac:dyDescent="0.35">
      <c r="B1251" s="70"/>
      <c r="D1251" s="118"/>
      <c r="E1251" s="72"/>
      <c r="F1251" s="59"/>
      <c r="G1251" s="54"/>
      <c r="H1251" s="275"/>
      <c r="I1251" s="228"/>
      <c r="N1251" s="54"/>
    </row>
    <row r="1252" spans="2:14" s="69" customFormat="1" ht="18" customHeight="1" x14ac:dyDescent="0.35">
      <c r="B1252" s="70"/>
      <c r="D1252" s="117"/>
      <c r="E1252" s="73"/>
      <c r="F1252" s="2"/>
      <c r="G1252" s="54"/>
      <c r="H1252" s="275"/>
      <c r="I1252" s="228"/>
      <c r="N1252" s="54"/>
    </row>
    <row r="1253" spans="2:14" s="69" customFormat="1" ht="18" customHeight="1" x14ac:dyDescent="0.35">
      <c r="B1253" s="70"/>
      <c r="D1253" s="117"/>
      <c r="E1253" s="73"/>
      <c r="F1253" s="2"/>
      <c r="G1253" s="54"/>
      <c r="H1253" s="275"/>
      <c r="I1253" s="228"/>
      <c r="N1253" s="54"/>
    </row>
    <row r="1254" spans="2:14" s="33" customFormat="1" ht="18" customHeight="1" x14ac:dyDescent="0.35">
      <c r="D1254" s="115"/>
      <c r="F1254" s="29"/>
      <c r="G1254" s="29"/>
      <c r="H1254" s="273"/>
      <c r="I1254" s="261"/>
      <c r="L1254" s="29"/>
      <c r="M1254" s="29"/>
    </row>
    <row r="1255" spans="2:14" s="33" customFormat="1" ht="18" customHeight="1" x14ac:dyDescent="0.35">
      <c r="D1255" s="115"/>
      <c r="F1255" s="29"/>
      <c r="G1255" s="29"/>
      <c r="H1255" s="273"/>
      <c r="I1255" s="261"/>
      <c r="L1255" s="29"/>
      <c r="M1255" s="29"/>
    </row>
    <row r="1256" spans="2:14" ht="18" customHeight="1" x14ac:dyDescent="0.35">
      <c r="F1256" s="65"/>
    </row>
    <row r="1257" spans="2:14" s="33" customFormat="1" ht="18" customHeight="1" x14ac:dyDescent="0.35">
      <c r="C1257" s="81"/>
      <c r="D1257" s="114"/>
      <c r="F1257" s="29"/>
      <c r="G1257" s="63"/>
      <c r="H1257" s="270"/>
      <c r="I1257" s="261"/>
    </row>
    <row r="1258" spans="2:14" s="63" customFormat="1" ht="18" customHeight="1" x14ac:dyDescent="0.35">
      <c r="B1258" s="33"/>
      <c r="C1258" s="82"/>
      <c r="D1258" s="121"/>
      <c r="F1258" s="64"/>
      <c r="H1258" s="270"/>
      <c r="I1258" s="229"/>
      <c r="L1258" s="64"/>
      <c r="M1258" s="83"/>
    </row>
    <row r="1310" spans="4:9" s="33" customFormat="1" ht="18" customHeight="1" x14ac:dyDescent="0.35">
      <c r="D1310" s="114"/>
      <c r="G1310" s="63"/>
      <c r="H1310" s="270"/>
      <c r="I1310" s="261"/>
    </row>
    <row r="1338" spans="7:9" ht="18" customHeight="1" x14ac:dyDescent="0.35">
      <c r="G1338" s="55"/>
      <c r="H1338" s="262"/>
      <c r="I1338" s="229"/>
    </row>
    <row r="1373" spans="6:6" ht="18" customHeight="1" x14ac:dyDescent="0.35">
      <c r="F1373" s="32"/>
    </row>
    <row r="1407" spans="4:9" s="33" customFormat="1" ht="18" customHeight="1" x14ac:dyDescent="0.35">
      <c r="D1407" s="114"/>
      <c r="F1407" s="64"/>
      <c r="G1407" s="63"/>
      <c r="H1407" s="270"/>
      <c r="I1407" s="261"/>
    </row>
    <row r="1408" spans="4:9" ht="18" customHeight="1" x14ac:dyDescent="0.35">
      <c r="F1408" s="55"/>
    </row>
    <row r="1409" spans="6:6" ht="18" customHeight="1" x14ac:dyDescent="0.35">
      <c r="F1409" s="55"/>
    </row>
    <row r="1410" spans="6:6" ht="18" customHeight="1" x14ac:dyDescent="0.35">
      <c r="F1410" s="55"/>
    </row>
    <row r="1411" spans="6:6" ht="18" customHeight="1" x14ac:dyDescent="0.35">
      <c r="F1411" s="55"/>
    </row>
    <row r="1412" spans="6:6" ht="18" customHeight="1" x14ac:dyDescent="0.35">
      <c r="F1412" s="55"/>
    </row>
    <row r="1413" spans="6:6" ht="18" customHeight="1" x14ac:dyDescent="0.35">
      <c r="F1413" s="55"/>
    </row>
    <row r="1414" spans="6:6" ht="18" customHeight="1" x14ac:dyDescent="0.35">
      <c r="F1414" s="55"/>
    </row>
    <row r="1415" spans="6:6" ht="18" customHeight="1" x14ac:dyDescent="0.35">
      <c r="F1415" s="55"/>
    </row>
    <row r="1416" spans="6:6" ht="18" customHeight="1" x14ac:dyDescent="0.35">
      <c r="F1416" s="55"/>
    </row>
    <row r="1417" spans="6:6" ht="18" customHeight="1" x14ac:dyDescent="0.35">
      <c r="F1417" s="55"/>
    </row>
    <row r="1418" spans="6:6" ht="18" customHeight="1" x14ac:dyDescent="0.35">
      <c r="F1418" s="55"/>
    </row>
    <row r="1419" spans="6:6" ht="18" customHeight="1" x14ac:dyDescent="0.35">
      <c r="F1419" s="55"/>
    </row>
    <row r="1420" spans="6:6" ht="18" customHeight="1" x14ac:dyDescent="0.35">
      <c r="F1420" s="55"/>
    </row>
    <row r="1421" spans="6:6" ht="18" customHeight="1" x14ac:dyDescent="0.35">
      <c r="F1421" s="55"/>
    </row>
    <row r="1422" spans="6:6" ht="18" customHeight="1" x14ac:dyDescent="0.35">
      <c r="F1422" s="55"/>
    </row>
    <row r="1423" spans="6:6" ht="18" customHeight="1" x14ac:dyDescent="0.35">
      <c r="F1423" s="55"/>
    </row>
    <row r="1424" spans="6:6" ht="18" customHeight="1" x14ac:dyDescent="0.35">
      <c r="F1424" s="55"/>
    </row>
    <row r="1425" spans="6:6" ht="18" customHeight="1" x14ac:dyDescent="0.35">
      <c r="F1425" s="55"/>
    </row>
    <row r="1426" spans="6:6" ht="18" customHeight="1" x14ac:dyDescent="0.35">
      <c r="F1426" s="55"/>
    </row>
    <row r="1427" spans="6:6" ht="18" customHeight="1" x14ac:dyDescent="0.35">
      <c r="F1427" s="55"/>
    </row>
    <row r="1428" spans="6:6" ht="18" customHeight="1" x14ac:dyDescent="0.35">
      <c r="F1428" s="55"/>
    </row>
    <row r="1429" spans="6:6" ht="18" customHeight="1" x14ac:dyDescent="0.35">
      <c r="F1429" s="55"/>
    </row>
    <row r="1430" spans="6:6" ht="18" customHeight="1" x14ac:dyDescent="0.35">
      <c r="F1430" s="55"/>
    </row>
    <row r="1431" spans="6:6" ht="18" customHeight="1" x14ac:dyDescent="0.35">
      <c r="F1431" s="55"/>
    </row>
    <row r="1432" spans="6:6" ht="18" customHeight="1" x14ac:dyDescent="0.35">
      <c r="F1432" s="55"/>
    </row>
    <row r="1433" spans="6:6" ht="18" customHeight="1" x14ac:dyDescent="0.35">
      <c r="F1433" s="55"/>
    </row>
    <row r="1434" spans="6:6" ht="18" customHeight="1" x14ac:dyDescent="0.35">
      <c r="F1434" s="55"/>
    </row>
    <row r="1435" spans="6:6" ht="18" customHeight="1" x14ac:dyDescent="0.35">
      <c r="F1435" s="55"/>
    </row>
    <row r="1436" spans="6:6" ht="18" customHeight="1" x14ac:dyDescent="0.35">
      <c r="F1436" s="55"/>
    </row>
    <row r="1437" spans="6:6" ht="18" customHeight="1" x14ac:dyDescent="0.35">
      <c r="F1437" s="55"/>
    </row>
    <row r="1438" spans="6:6" ht="18" customHeight="1" x14ac:dyDescent="0.35">
      <c r="F1438" s="55"/>
    </row>
    <row r="1439" spans="6:6" ht="18" customHeight="1" x14ac:dyDescent="0.35">
      <c r="F1439" s="55"/>
    </row>
    <row r="1440" spans="6:6" ht="18" customHeight="1" x14ac:dyDescent="0.35">
      <c r="F1440" s="55"/>
    </row>
    <row r="1441" spans="6:8" ht="18" customHeight="1" x14ac:dyDescent="0.35">
      <c r="F1441" s="55"/>
    </row>
    <row r="1442" spans="6:8" ht="18" customHeight="1" x14ac:dyDescent="0.35">
      <c r="F1442" s="55"/>
    </row>
    <row r="1443" spans="6:8" ht="18" customHeight="1" x14ac:dyDescent="0.35">
      <c r="F1443" s="55"/>
    </row>
    <row r="1444" spans="6:8" ht="18" customHeight="1" x14ac:dyDescent="0.35">
      <c r="F1444" s="55"/>
    </row>
    <row r="1445" spans="6:8" ht="18" customHeight="1" x14ac:dyDescent="0.35">
      <c r="F1445" s="55"/>
    </row>
    <row r="1446" spans="6:8" ht="18" customHeight="1" x14ac:dyDescent="0.35">
      <c r="F1446" s="55"/>
    </row>
    <row r="1447" spans="6:8" ht="18" customHeight="1" x14ac:dyDescent="0.35">
      <c r="F1447" s="55"/>
    </row>
    <row r="1448" spans="6:8" ht="18" customHeight="1" x14ac:dyDescent="0.35">
      <c r="F1448" s="55"/>
    </row>
    <row r="1449" spans="6:8" ht="18" customHeight="1" x14ac:dyDescent="0.35">
      <c r="F1449" s="55"/>
    </row>
    <row r="1450" spans="6:8" ht="18" customHeight="1" x14ac:dyDescent="0.35">
      <c r="F1450" s="55"/>
      <c r="G1450" s="57"/>
      <c r="H1450" s="269"/>
    </row>
    <row r="1451" spans="6:8" ht="18" customHeight="1" x14ac:dyDescent="0.35">
      <c r="F1451" s="55"/>
      <c r="G1451" s="57"/>
      <c r="H1451" s="269"/>
    </row>
    <row r="1452" spans="6:8" ht="18" customHeight="1" x14ac:dyDescent="0.35">
      <c r="F1452" s="55"/>
    </row>
    <row r="1453" spans="6:8" ht="18" customHeight="1" x14ac:dyDescent="0.35">
      <c r="F1453" s="55"/>
    </row>
    <row r="1454" spans="6:8" ht="18" customHeight="1" x14ac:dyDescent="0.35">
      <c r="F1454" s="55"/>
    </row>
    <row r="1455" spans="6:8" ht="18" customHeight="1" x14ac:dyDescent="0.35">
      <c r="F1455" s="55"/>
    </row>
    <row r="1456" spans="6:8" ht="18" customHeight="1" x14ac:dyDescent="0.35">
      <c r="F1456" s="55"/>
    </row>
    <row r="1457" spans="6:6" ht="18" customHeight="1" x14ac:dyDescent="0.35">
      <c r="F1457" s="55"/>
    </row>
    <row r="1458" spans="6:6" ht="18" customHeight="1" x14ac:dyDescent="0.35">
      <c r="F1458" s="55"/>
    </row>
    <row r="1459" spans="6:6" ht="18" customHeight="1" x14ac:dyDescent="0.35">
      <c r="F1459" s="55"/>
    </row>
    <row r="1460" spans="6:6" ht="18" customHeight="1" x14ac:dyDescent="0.35">
      <c r="F1460" s="55"/>
    </row>
    <row r="1461" spans="6:6" ht="18" customHeight="1" x14ac:dyDescent="0.35">
      <c r="F1461" s="55"/>
    </row>
    <row r="1462" spans="6:6" ht="18" customHeight="1" x14ac:dyDescent="0.35">
      <c r="F1462" s="55"/>
    </row>
    <row r="1463" spans="6:6" ht="18" customHeight="1" x14ac:dyDescent="0.35">
      <c r="F1463" s="55"/>
    </row>
    <row r="1464" spans="6:6" ht="18" customHeight="1" x14ac:dyDescent="0.35">
      <c r="F1464" s="55"/>
    </row>
    <row r="1465" spans="6:6" ht="18" customHeight="1" x14ac:dyDescent="0.35">
      <c r="F1465" s="55"/>
    </row>
    <row r="1466" spans="6:6" ht="18" customHeight="1" x14ac:dyDescent="0.35">
      <c r="F1466" s="55"/>
    </row>
    <row r="1467" spans="6:6" ht="18" customHeight="1" x14ac:dyDescent="0.35">
      <c r="F1467" s="55"/>
    </row>
    <row r="1468" spans="6:6" ht="18" customHeight="1" x14ac:dyDescent="0.35">
      <c r="F1468" s="55"/>
    </row>
    <row r="1469" spans="6:6" ht="18" customHeight="1" x14ac:dyDescent="0.35">
      <c r="F1469" s="55"/>
    </row>
    <row r="1470" spans="6:6" ht="18" customHeight="1" x14ac:dyDescent="0.35">
      <c r="F1470" s="55"/>
    </row>
    <row r="1471" spans="6:6" ht="18" customHeight="1" x14ac:dyDescent="0.35">
      <c r="F1471" s="55"/>
    </row>
    <row r="1472" spans="6:6" ht="18" customHeight="1" x14ac:dyDescent="0.35">
      <c r="F1472" s="55"/>
    </row>
    <row r="1473" spans="6:6" ht="18" customHeight="1" x14ac:dyDescent="0.35">
      <c r="F1473" s="55"/>
    </row>
    <row r="1474" spans="6:6" ht="18" customHeight="1" x14ac:dyDescent="0.35">
      <c r="F1474" s="55"/>
    </row>
    <row r="1475" spans="6:6" ht="18" customHeight="1" x14ac:dyDescent="0.35">
      <c r="F1475" s="55"/>
    </row>
    <row r="1476" spans="6:6" ht="18" customHeight="1" x14ac:dyDescent="0.35">
      <c r="F1476" s="55"/>
    </row>
    <row r="1477" spans="6:6" ht="18" customHeight="1" x14ac:dyDescent="0.35">
      <c r="F1477" s="55"/>
    </row>
    <row r="1478" spans="6:6" ht="18" customHeight="1" x14ac:dyDescent="0.35">
      <c r="F1478" s="55"/>
    </row>
    <row r="1479" spans="6:6" ht="18" customHeight="1" x14ac:dyDescent="0.35">
      <c r="F1479" s="55"/>
    </row>
    <row r="1480" spans="6:6" ht="18" customHeight="1" x14ac:dyDescent="0.35">
      <c r="F1480" s="55"/>
    </row>
    <row r="1481" spans="6:6" ht="18" customHeight="1" x14ac:dyDescent="0.35">
      <c r="F1481" s="55"/>
    </row>
    <row r="1482" spans="6:6" ht="18" customHeight="1" x14ac:dyDescent="0.35">
      <c r="F1482" s="55"/>
    </row>
    <row r="1483" spans="6:6" ht="18" customHeight="1" x14ac:dyDescent="0.35">
      <c r="F1483" s="55"/>
    </row>
    <row r="1484" spans="6:6" ht="18" customHeight="1" x14ac:dyDescent="0.35">
      <c r="F1484" s="55"/>
    </row>
    <row r="1485" spans="6:6" ht="18" customHeight="1" x14ac:dyDescent="0.35">
      <c r="F1485" s="55"/>
    </row>
    <row r="1486" spans="6:6" ht="18" customHeight="1" x14ac:dyDescent="0.35">
      <c r="F1486" s="55"/>
    </row>
    <row r="1487" spans="6:6" ht="18" customHeight="1" x14ac:dyDescent="0.35">
      <c r="F1487" s="55"/>
    </row>
    <row r="1488" spans="6:6" ht="18" customHeight="1" x14ac:dyDescent="0.35">
      <c r="F1488" s="55"/>
    </row>
    <row r="1489" spans="6:6" ht="18" customHeight="1" x14ac:dyDescent="0.35">
      <c r="F1489" s="55"/>
    </row>
    <row r="1490" spans="6:6" ht="18" customHeight="1" x14ac:dyDescent="0.35">
      <c r="F1490" s="55"/>
    </row>
    <row r="1491" spans="6:6" ht="18" customHeight="1" x14ac:dyDescent="0.35">
      <c r="F1491" s="55"/>
    </row>
    <row r="1492" spans="6:6" ht="18" customHeight="1" x14ac:dyDescent="0.35">
      <c r="F1492" s="55"/>
    </row>
    <row r="1493" spans="6:6" ht="18" customHeight="1" x14ac:dyDescent="0.35">
      <c r="F1493" s="55"/>
    </row>
    <row r="1494" spans="6:6" ht="18" customHeight="1" x14ac:dyDescent="0.35">
      <c r="F1494" s="55"/>
    </row>
    <row r="1495" spans="6:6" ht="18" customHeight="1" x14ac:dyDescent="0.35">
      <c r="F1495" s="55"/>
    </row>
    <row r="1496" spans="6:6" ht="18" customHeight="1" x14ac:dyDescent="0.35">
      <c r="F1496" s="55"/>
    </row>
    <row r="1497" spans="6:6" ht="18" customHeight="1" x14ac:dyDescent="0.35">
      <c r="F1497" s="55"/>
    </row>
    <row r="1498" spans="6:6" ht="18" customHeight="1" x14ac:dyDescent="0.35">
      <c r="F1498" s="55"/>
    </row>
    <row r="1499" spans="6:6" ht="18" customHeight="1" x14ac:dyDescent="0.35">
      <c r="F1499" s="55"/>
    </row>
    <row r="1500" spans="6:6" ht="18" customHeight="1" x14ac:dyDescent="0.35">
      <c r="F1500" s="55"/>
    </row>
    <row r="1501" spans="6:6" ht="18" customHeight="1" x14ac:dyDescent="0.35">
      <c r="F1501" s="55"/>
    </row>
    <row r="1502" spans="6:6" ht="18" customHeight="1" x14ac:dyDescent="0.35">
      <c r="F1502" s="55"/>
    </row>
    <row r="1503" spans="6:6" ht="18" customHeight="1" x14ac:dyDescent="0.35">
      <c r="F1503" s="55"/>
    </row>
    <row r="1504" spans="6:6" ht="18" customHeight="1" x14ac:dyDescent="0.35">
      <c r="F1504" s="55"/>
    </row>
    <row r="1505" spans="5:6" ht="18" customHeight="1" x14ac:dyDescent="0.35">
      <c r="F1505" s="32"/>
    </row>
    <row r="1506" spans="5:6" ht="18" customHeight="1" x14ac:dyDescent="0.35">
      <c r="F1506" s="65"/>
    </row>
    <row r="1507" spans="5:6" ht="18" customHeight="1" x14ac:dyDescent="0.35">
      <c r="E1507" s="84"/>
      <c r="F1507" s="65"/>
    </row>
    <row r="1508" spans="5:6" ht="18" customHeight="1" x14ac:dyDescent="0.35">
      <c r="F1508" s="65"/>
    </row>
    <row r="1509" spans="5:6" ht="18" customHeight="1" x14ac:dyDescent="0.35">
      <c r="F1509" s="65"/>
    </row>
    <row r="1510" spans="5:6" ht="18" customHeight="1" x14ac:dyDescent="0.35">
      <c r="F1510" s="65"/>
    </row>
    <row r="1511" spans="5:6" ht="18" customHeight="1" x14ac:dyDescent="0.35">
      <c r="F1511" s="65"/>
    </row>
    <row r="1512" spans="5:6" ht="18" customHeight="1" x14ac:dyDescent="0.35">
      <c r="F1512" s="65"/>
    </row>
    <row r="1513" spans="5:6" ht="18" customHeight="1" x14ac:dyDescent="0.35">
      <c r="F1513" s="65"/>
    </row>
    <row r="1514" spans="5:6" ht="18" customHeight="1" x14ac:dyDescent="0.35">
      <c r="F1514" s="65"/>
    </row>
    <row r="1515" spans="5:6" ht="18" customHeight="1" x14ac:dyDescent="0.35">
      <c r="F1515" s="65"/>
    </row>
    <row r="1516" spans="5:6" ht="18" customHeight="1" x14ac:dyDescent="0.35">
      <c r="F1516" s="65"/>
    </row>
    <row r="1517" spans="5:6" ht="18" customHeight="1" x14ac:dyDescent="0.35">
      <c r="F1517" s="65"/>
    </row>
    <row r="1518" spans="5:6" ht="18" customHeight="1" x14ac:dyDescent="0.35">
      <c r="F1518" s="65"/>
    </row>
    <row r="1519" spans="5:6" ht="18" customHeight="1" x14ac:dyDescent="0.35">
      <c r="F1519" s="65"/>
    </row>
    <row r="1520" spans="5:6" ht="18" customHeight="1" x14ac:dyDescent="0.35">
      <c r="F1520" s="65"/>
    </row>
    <row r="1521" spans="6:6" ht="18" customHeight="1" x14ac:dyDescent="0.35">
      <c r="F1521" s="65"/>
    </row>
    <row r="1522" spans="6:6" ht="18" customHeight="1" x14ac:dyDescent="0.35">
      <c r="F1522" s="65"/>
    </row>
    <row r="1523" spans="6:6" ht="18" customHeight="1" x14ac:dyDescent="0.35">
      <c r="F1523" s="65"/>
    </row>
    <row r="1524" spans="6:6" ht="18" customHeight="1" x14ac:dyDescent="0.35">
      <c r="F1524" s="65"/>
    </row>
    <row r="1525" spans="6:6" ht="18" customHeight="1" x14ac:dyDescent="0.35">
      <c r="F1525" s="65"/>
    </row>
    <row r="1526" spans="6:6" ht="18" customHeight="1" x14ac:dyDescent="0.35">
      <c r="F1526" s="65"/>
    </row>
    <row r="1527" spans="6:6" ht="18" customHeight="1" x14ac:dyDescent="0.35">
      <c r="F1527" s="65"/>
    </row>
    <row r="1528" spans="6:6" ht="18" customHeight="1" x14ac:dyDescent="0.35">
      <c r="F1528" s="65"/>
    </row>
    <row r="1529" spans="6:6" ht="18" customHeight="1" x14ac:dyDescent="0.35">
      <c r="F1529" s="65"/>
    </row>
    <row r="1530" spans="6:6" ht="18" customHeight="1" x14ac:dyDescent="0.35">
      <c r="F1530" s="65"/>
    </row>
    <row r="1531" spans="6:6" ht="18" customHeight="1" x14ac:dyDescent="0.35">
      <c r="F1531" s="65"/>
    </row>
    <row r="1532" spans="6:6" ht="18" customHeight="1" x14ac:dyDescent="0.35">
      <c r="F1532" s="65"/>
    </row>
    <row r="1533" spans="6:6" ht="18" customHeight="1" x14ac:dyDescent="0.35">
      <c r="F1533" s="65"/>
    </row>
    <row r="1534" spans="6:6" ht="18" customHeight="1" x14ac:dyDescent="0.35">
      <c r="F1534" s="65"/>
    </row>
    <row r="1535" spans="6:6" ht="18" customHeight="1" x14ac:dyDescent="0.35">
      <c r="F1535" s="65"/>
    </row>
    <row r="1536" spans="6:6" ht="18" customHeight="1" x14ac:dyDescent="0.35">
      <c r="F1536" s="65"/>
    </row>
    <row r="1537" spans="6:6" ht="18" customHeight="1" x14ac:dyDescent="0.35">
      <c r="F1537" s="65"/>
    </row>
    <row r="1538" spans="6:6" ht="18" customHeight="1" x14ac:dyDescent="0.35">
      <c r="F1538" s="65"/>
    </row>
    <row r="1539" spans="6:6" ht="18" customHeight="1" x14ac:dyDescent="0.35">
      <c r="F1539" s="65"/>
    </row>
    <row r="1540" spans="6:6" ht="18" customHeight="1" x14ac:dyDescent="0.35">
      <c r="F1540" s="65"/>
    </row>
    <row r="1541" spans="6:6" ht="18" customHeight="1" x14ac:dyDescent="0.35">
      <c r="F1541" s="65"/>
    </row>
    <row r="1542" spans="6:6" ht="18" customHeight="1" x14ac:dyDescent="0.35">
      <c r="F1542" s="65"/>
    </row>
    <row r="1543" spans="6:6" ht="18" customHeight="1" x14ac:dyDescent="0.35">
      <c r="F1543" s="65"/>
    </row>
    <row r="1544" spans="6:6" ht="18" customHeight="1" x14ac:dyDescent="0.35">
      <c r="F1544" s="65"/>
    </row>
    <row r="1545" spans="6:6" ht="18" customHeight="1" x14ac:dyDescent="0.35">
      <c r="F1545" s="65"/>
    </row>
    <row r="1546" spans="6:6" ht="18" customHeight="1" x14ac:dyDescent="0.35">
      <c r="F1546" s="65"/>
    </row>
    <row r="1547" spans="6:6" ht="18" customHeight="1" x14ac:dyDescent="0.35">
      <c r="F1547" s="65"/>
    </row>
    <row r="1548" spans="6:6" ht="18" customHeight="1" x14ac:dyDescent="0.35">
      <c r="F1548" s="65"/>
    </row>
    <row r="1549" spans="6:6" ht="18" customHeight="1" x14ac:dyDescent="0.35">
      <c r="F1549" s="65"/>
    </row>
    <row r="1550" spans="6:6" ht="18" customHeight="1" x14ac:dyDescent="0.35">
      <c r="F1550" s="65"/>
    </row>
    <row r="1551" spans="6:6" ht="18" customHeight="1" x14ac:dyDescent="0.35">
      <c r="F1551" s="65"/>
    </row>
    <row r="1552" spans="6:6" ht="18" customHeight="1" x14ac:dyDescent="0.35">
      <c r="F1552" s="65"/>
    </row>
    <row r="1553" spans="6:6" ht="18" customHeight="1" x14ac:dyDescent="0.35">
      <c r="F1553" s="65"/>
    </row>
    <row r="1554" spans="6:6" ht="18" customHeight="1" x14ac:dyDescent="0.35">
      <c r="F1554" s="65"/>
    </row>
    <row r="1556" spans="6:6" ht="18" customHeight="1" x14ac:dyDescent="0.35">
      <c r="F1556" s="65"/>
    </row>
    <row r="1557" spans="6:6" ht="18" customHeight="1" x14ac:dyDescent="0.35">
      <c r="F1557" s="65"/>
    </row>
    <row r="1558" spans="6:6" ht="18" customHeight="1" x14ac:dyDescent="0.35">
      <c r="F1558" s="65"/>
    </row>
    <row r="1559" spans="6:6" ht="18" customHeight="1" x14ac:dyDescent="0.35">
      <c r="F1559" s="65"/>
    </row>
    <row r="1560" spans="6:6" ht="18" customHeight="1" x14ac:dyDescent="0.35">
      <c r="F1560" s="65"/>
    </row>
    <row r="1561" spans="6:6" ht="18" customHeight="1" x14ac:dyDescent="0.35">
      <c r="F1561" s="65"/>
    </row>
    <row r="1562" spans="6:6" ht="18" customHeight="1" x14ac:dyDescent="0.35">
      <c r="F1562" s="65"/>
    </row>
    <row r="1563" spans="6:6" ht="18" customHeight="1" x14ac:dyDescent="0.35">
      <c r="F1563" s="65"/>
    </row>
    <row r="1564" spans="6:6" ht="18" customHeight="1" x14ac:dyDescent="0.35">
      <c r="F1564" s="65"/>
    </row>
    <row r="1565" spans="6:6" ht="18" customHeight="1" x14ac:dyDescent="0.35">
      <c r="F1565" s="65"/>
    </row>
    <row r="1566" spans="6:6" ht="18" customHeight="1" x14ac:dyDescent="0.35">
      <c r="F1566" s="65"/>
    </row>
    <row r="1567" spans="6:6" ht="18" customHeight="1" x14ac:dyDescent="0.35">
      <c r="F1567" s="65"/>
    </row>
    <row r="1576" spans="6:6" ht="18" customHeight="1" x14ac:dyDescent="0.35">
      <c r="F1576" s="32"/>
    </row>
    <row r="1577" spans="6:6" ht="18" customHeight="1" x14ac:dyDescent="0.35">
      <c r="F1577" s="8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O123"/>
  <sheetViews>
    <sheetView zoomScale="90" zoomScaleNormal="90" workbookViewId="0">
      <pane ySplit="1" topLeftCell="A10" activePane="bottomLeft" state="frozen"/>
      <selection activeCell="D14" sqref="D14"/>
      <selection pane="bottomLeft" activeCell="H27" sqref="H27"/>
    </sheetView>
  </sheetViews>
  <sheetFormatPr defaultRowHeight="14.5" x14ac:dyDescent="0.35"/>
  <cols>
    <col min="2" max="2" width="11.1796875" customWidth="1"/>
    <col min="3" max="3" width="11.54296875" customWidth="1"/>
    <col min="4" max="4" width="27.7265625" customWidth="1"/>
    <col min="5" max="5" width="9.1796875" style="243"/>
    <col min="7" max="8" width="9.1796875" style="48"/>
    <col min="10" max="10" width="9.81640625" style="250" bestFit="1" customWidth="1"/>
    <col min="12" max="12" width="10.7265625" bestFit="1" customWidth="1"/>
    <col min="14" max="14" width="8.7265625" customWidth="1"/>
    <col min="16" max="16" width="9.81640625" bestFit="1" customWidth="1"/>
  </cols>
  <sheetData>
    <row r="1" spans="1:15" s="52" customFormat="1" ht="31" x14ac:dyDescent="0.35">
      <c r="A1" s="63" t="s">
        <v>534</v>
      </c>
      <c r="B1" s="63" t="s">
        <v>115</v>
      </c>
      <c r="C1" s="82" t="s">
        <v>183</v>
      </c>
      <c r="D1" s="63" t="s">
        <v>63</v>
      </c>
      <c r="E1" s="242" t="s">
        <v>184</v>
      </c>
      <c r="F1" s="63" t="s">
        <v>182</v>
      </c>
      <c r="G1" s="112" t="s">
        <v>180</v>
      </c>
      <c r="H1" s="112" t="s">
        <v>181</v>
      </c>
      <c r="I1" s="64" t="s">
        <v>61</v>
      </c>
      <c r="J1" s="93" t="s">
        <v>261</v>
      </c>
      <c r="L1" s="63" t="s">
        <v>61</v>
      </c>
      <c r="O1" s="52" t="s">
        <v>61</v>
      </c>
    </row>
    <row r="2" spans="1:15" ht="18.75" customHeight="1" x14ac:dyDescent="0.35">
      <c r="B2" s="6"/>
    </row>
    <row r="3" spans="1:15" x14ac:dyDescent="0.35">
      <c r="B3" s="431"/>
      <c r="C3" s="430"/>
      <c r="D3" s="430"/>
      <c r="E3" s="432"/>
      <c r="F3" s="430"/>
      <c r="G3" s="433"/>
      <c r="H3" s="433"/>
      <c r="I3" s="430"/>
    </row>
    <row r="4" spans="1:15" x14ac:dyDescent="0.35">
      <c r="B4" s="431">
        <v>45742</v>
      </c>
      <c r="C4" s="430"/>
      <c r="D4" s="430" t="s">
        <v>1549</v>
      </c>
      <c r="E4" s="432"/>
      <c r="F4" s="430">
        <v>150</v>
      </c>
      <c r="G4" s="433"/>
      <c r="H4" s="433">
        <v>-100</v>
      </c>
      <c r="I4" s="430"/>
    </row>
    <row r="5" spans="1:15" ht="15" thickBot="1" x14ac:dyDescent="0.4">
      <c r="B5" s="431"/>
      <c r="C5" s="430"/>
      <c r="D5" s="430"/>
      <c r="E5" s="432"/>
      <c r="F5" s="430"/>
      <c r="G5" s="433"/>
      <c r="H5" s="433"/>
      <c r="I5" s="430"/>
    </row>
    <row r="6" spans="1:15" ht="15" thickBot="1" x14ac:dyDescent="0.4">
      <c r="B6" s="431"/>
      <c r="C6" s="430"/>
      <c r="D6" s="430"/>
      <c r="E6" s="432"/>
      <c r="F6" s="680">
        <f>SUM(F4:F5)</f>
        <v>150</v>
      </c>
      <c r="G6" s="434">
        <f>SUM(G4:G5)</f>
        <v>0</v>
      </c>
      <c r="H6" s="434">
        <f>SUM(H4:H5)</f>
        <v>-100</v>
      </c>
      <c r="I6" s="430"/>
      <c r="J6" s="250">
        <f>+F6+H6</f>
        <v>50</v>
      </c>
    </row>
    <row r="7" spans="1:15" x14ac:dyDescent="0.35">
      <c r="B7" s="6"/>
    </row>
    <row r="8" spans="1:15" x14ac:dyDescent="0.35">
      <c r="B8" s="6"/>
    </row>
    <row r="9" spans="1:15" x14ac:dyDescent="0.35">
      <c r="B9" s="6">
        <v>45859</v>
      </c>
      <c r="D9" t="s">
        <v>1793</v>
      </c>
      <c r="F9">
        <v>45</v>
      </c>
      <c r="H9" s="48">
        <v>-20</v>
      </c>
      <c r="M9">
        <v>1302</v>
      </c>
    </row>
    <row r="10" spans="1:15" ht="15" thickBot="1" x14ac:dyDescent="0.4">
      <c r="B10" s="6"/>
      <c r="M10">
        <v>1212</v>
      </c>
    </row>
    <row r="11" spans="1:15" ht="15" thickBot="1" x14ac:dyDescent="0.4">
      <c r="B11" s="6"/>
      <c r="F11" s="331">
        <f>SUM(F9:F10)</f>
        <v>45</v>
      </c>
      <c r="G11" s="108">
        <f>SUM(G9:G10)</f>
        <v>0</v>
      </c>
      <c r="H11" s="108">
        <f>SUM(H9:H10)</f>
        <v>-20</v>
      </c>
      <c r="J11" s="250">
        <f>SUM(F11:I11)</f>
        <v>25</v>
      </c>
      <c r="M11">
        <f>+M9-M10</f>
        <v>90</v>
      </c>
    </row>
    <row r="12" spans="1:15" x14ac:dyDescent="0.35">
      <c r="B12" s="6"/>
    </row>
    <row r="13" spans="1:15" s="92" customFormat="1" hidden="1" x14ac:dyDescent="0.35">
      <c r="B13" s="689"/>
      <c r="E13" s="690"/>
      <c r="G13" s="250"/>
      <c r="H13" s="250"/>
      <c r="J13" s="250"/>
    </row>
    <row r="14" spans="1:15" s="92" customFormat="1" hidden="1" x14ac:dyDescent="0.35">
      <c r="B14" s="689">
        <v>45969</v>
      </c>
      <c r="D14" s="92" t="s">
        <v>2059</v>
      </c>
      <c r="E14" s="690"/>
      <c r="F14" s="92">
        <v>150</v>
      </c>
      <c r="G14" s="250"/>
      <c r="H14" s="250">
        <v>-80</v>
      </c>
      <c r="J14" s="250"/>
    </row>
    <row r="15" spans="1:15" s="92" customFormat="1" ht="15" hidden="1" thickBot="1" x14ac:dyDescent="0.4">
      <c r="B15" s="689"/>
      <c r="C15" s="689">
        <v>46030</v>
      </c>
      <c r="E15" s="690"/>
      <c r="G15" s="250"/>
      <c r="H15" s="250">
        <v>-70</v>
      </c>
      <c r="J15" s="250"/>
    </row>
    <row r="16" spans="1:15" s="92" customFormat="1" ht="15" hidden="1" thickBot="1" x14ac:dyDescent="0.4">
      <c r="B16" s="689"/>
      <c r="E16" s="690"/>
      <c r="F16" s="691">
        <f>SUM(F14:F15)</f>
        <v>150</v>
      </c>
      <c r="G16" s="334">
        <f>SUM(G14:G15)</f>
        <v>0</v>
      </c>
      <c r="H16" s="334">
        <f>SUM(H14:H15)</f>
        <v>-150</v>
      </c>
      <c r="J16" s="250">
        <f>+F16+H16</f>
        <v>0</v>
      </c>
    </row>
    <row r="17" spans="1:10" s="92" customFormat="1" hidden="1" x14ac:dyDescent="0.35">
      <c r="B17" s="689"/>
      <c r="E17" s="690"/>
      <c r="G17" s="250"/>
      <c r="H17" s="250"/>
      <c r="J17" s="250"/>
    </row>
    <row r="18" spans="1:10" s="92" customFormat="1" hidden="1" x14ac:dyDescent="0.35">
      <c r="B18" s="689">
        <v>45972</v>
      </c>
      <c r="D18" s="92" t="s">
        <v>1514</v>
      </c>
      <c r="E18" s="690"/>
      <c r="F18" s="92">
        <v>150</v>
      </c>
      <c r="G18" s="250"/>
      <c r="H18" s="250">
        <v>-25</v>
      </c>
      <c r="J18" s="250"/>
    </row>
    <row r="19" spans="1:10" s="92" customFormat="1" ht="15" hidden="1" thickBot="1" x14ac:dyDescent="0.4">
      <c r="B19" s="689"/>
      <c r="C19" s="689">
        <v>46043</v>
      </c>
      <c r="E19" s="690"/>
      <c r="G19" s="250"/>
      <c r="H19" s="250">
        <v>-125</v>
      </c>
      <c r="J19" s="250"/>
    </row>
    <row r="20" spans="1:10" s="92" customFormat="1" ht="15" hidden="1" thickBot="1" x14ac:dyDescent="0.4">
      <c r="B20" s="689"/>
      <c r="E20" s="690"/>
      <c r="F20" s="691">
        <f>SUM(F18:F19)</f>
        <v>150</v>
      </c>
      <c r="G20" s="334">
        <f>SUM(G18:G19)</f>
        <v>0</v>
      </c>
      <c r="H20" s="334">
        <f>SUM(H18:H19)</f>
        <v>-150</v>
      </c>
      <c r="J20" s="250">
        <f>+F20+H20</f>
        <v>0</v>
      </c>
    </row>
    <row r="21" spans="1:10" x14ac:dyDescent="0.35">
      <c r="B21" s="6"/>
    </row>
    <row r="22" spans="1:10" x14ac:dyDescent="0.35">
      <c r="B22" s="6">
        <v>45973</v>
      </c>
      <c r="D22" t="s">
        <v>545</v>
      </c>
      <c r="F22">
        <v>125</v>
      </c>
      <c r="H22" s="48">
        <v>-50</v>
      </c>
    </row>
    <row r="23" spans="1:10" x14ac:dyDescent="0.35">
      <c r="B23" s="6"/>
      <c r="C23" s="6">
        <v>45992</v>
      </c>
      <c r="H23" s="48">
        <v>-40</v>
      </c>
    </row>
    <row r="24" spans="1:10" x14ac:dyDescent="0.35">
      <c r="B24" s="6"/>
      <c r="C24" s="6">
        <v>45995</v>
      </c>
    </row>
    <row r="25" spans="1:10" ht="15" thickBot="1" x14ac:dyDescent="0.4">
      <c r="B25" s="6"/>
      <c r="C25" s="6">
        <v>46092</v>
      </c>
      <c r="H25" s="48">
        <v>-100</v>
      </c>
    </row>
    <row r="26" spans="1:10" ht="15" thickBot="1" x14ac:dyDescent="0.4">
      <c r="B26" s="6"/>
      <c r="F26" s="331">
        <f>SUM(F22:F24)</f>
        <v>125</v>
      </c>
      <c r="G26" s="108">
        <f>SUM(G22:G23)</f>
        <v>0</v>
      </c>
      <c r="H26" s="108">
        <f>SUM(H22:H25)</f>
        <v>-190</v>
      </c>
      <c r="J26" s="250">
        <f>+F26+H26</f>
        <v>-65</v>
      </c>
    </row>
    <row r="27" spans="1:10" x14ac:dyDescent="0.35">
      <c r="B27" s="6"/>
    </row>
    <row r="28" spans="1:10" x14ac:dyDescent="0.35">
      <c r="B28" s="6"/>
    </row>
    <row r="29" spans="1:10" x14ac:dyDescent="0.35">
      <c r="A29" s="12"/>
      <c r="B29" s="794">
        <v>45990</v>
      </c>
      <c r="C29" s="12"/>
      <c r="D29" s="12" t="s">
        <v>2077</v>
      </c>
      <c r="E29" s="795"/>
      <c r="F29" s="12">
        <v>65</v>
      </c>
      <c r="G29" s="796"/>
      <c r="H29" s="796">
        <v>-20</v>
      </c>
    </row>
    <row r="30" spans="1:10" ht="15" thickBot="1" x14ac:dyDescent="0.4">
      <c r="A30" s="12"/>
      <c r="B30" s="794"/>
      <c r="C30" s="12"/>
      <c r="D30" s="12"/>
      <c r="E30" s="795"/>
      <c r="F30" s="12"/>
      <c r="G30" s="796"/>
      <c r="H30" s="796"/>
    </row>
    <row r="31" spans="1:10" ht="15" thickBot="1" x14ac:dyDescent="0.4">
      <c r="A31" s="12"/>
      <c r="B31" s="794"/>
      <c r="C31" s="12"/>
      <c r="D31" s="12" t="s">
        <v>2638</v>
      </c>
      <c r="E31" s="795"/>
      <c r="F31" s="797">
        <f>SUM(F29:F30)</f>
        <v>65</v>
      </c>
      <c r="G31" s="798">
        <f>SUM(G29:G30)</f>
        <v>0</v>
      </c>
      <c r="H31" s="798">
        <f>SUM(H29:H30)</f>
        <v>-20</v>
      </c>
      <c r="J31" s="250">
        <f>SUM(F31:I31)</f>
        <v>45</v>
      </c>
    </row>
    <row r="32" spans="1:10" x14ac:dyDescent="0.35">
      <c r="B32" s="6"/>
    </row>
    <row r="33" spans="2:10" x14ac:dyDescent="0.35">
      <c r="B33" s="6">
        <v>45993</v>
      </c>
      <c r="D33" t="s">
        <v>1006</v>
      </c>
      <c r="F33">
        <v>70</v>
      </c>
      <c r="H33" s="48">
        <v>-20</v>
      </c>
    </row>
    <row r="34" spans="2:10" x14ac:dyDescent="0.35">
      <c r="B34" s="6"/>
      <c r="C34" s="6">
        <v>45995</v>
      </c>
      <c r="F34">
        <v>5</v>
      </c>
      <c r="H34" s="48">
        <v>-24</v>
      </c>
    </row>
    <row r="35" spans="2:10" ht="15" thickBot="1" x14ac:dyDescent="0.4">
      <c r="B35" s="6"/>
      <c r="C35" s="6">
        <v>46041</v>
      </c>
      <c r="H35" s="48">
        <v>-26</v>
      </c>
    </row>
    <row r="36" spans="2:10" ht="15" thickBot="1" x14ac:dyDescent="0.4">
      <c r="B36" s="6"/>
      <c r="F36" s="331">
        <f>SUM(F33:F34)</f>
        <v>75</v>
      </c>
      <c r="G36" s="108">
        <f>SUM(G33:G34)</f>
        <v>0</v>
      </c>
      <c r="H36" s="108">
        <f>SUM(H33:H35)</f>
        <v>-70</v>
      </c>
      <c r="J36" s="250">
        <f>SUM(F36:I36)</f>
        <v>5</v>
      </c>
    </row>
    <row r="37" spans="2:10" x14ac:dyDescent="0.35">
      <c r="B37" s="6"/>
    </row>
    <row r="38" spans="2:10" x14ac:dyDescent="0.35">
      <c r="B38" s="6"/>
    </row>
    <row r="39" spans="2:10" hidden="1" x14ac:dyDescent="0.35">
      <c r="B39" s="689">
        <v>46003</v>
      </c>
      <c r="C39" s="92"/>
      <c r="D39" s="92" t="s">
        <v>2079</v>
      </c>
      <c r="E39" s="690"/>
      <c r="F39" s="92">
        <v>125</v>
      </c>
      <c r="G39" s="250"/>
      <c r="H39" s="250">
        <v>-60</v>
      </c>
      <c r="I39" s="92"/>
    </row>
    <row r="40" spans="2:10" ht="15" hidden="1" thickBot="1" x14ac:dyDescent="0.4">
      <c r="B40" s="689"/>
      <c r="C40" s="689">
        <v>46024</v>
      </c>
      <c r="D40" s="92"/>
      <c r="E40" s="690"/>
      <c r="F40" s="92"/>
      <c r="G40" s="250"/>
      <c r="H40" s="250">
        <v>-65</v>
      </c>
      <c r="I40" s="92"/>
    </row>
    <row r="41" spans="2:10" ht="15" hidden="1" thickBot="1" x14ac:dyDescent="0.4">
      <c r="B41" s="689"/>
      <c r="C41" s="92"/>
      <c r="D41" s="92"/>
      <c r="E41" s="690"/>
      <c r="F41" s="691">
        <f>SUM(F39:F40)</f>
        <v>125</v>
      </c>
      <c r="G41" s="334">
        <f>SUM(G39:G40)</f>
        <v>0</v>
      </c>
      <c r="H41" s="334">
        <f>SUM(H39:H40)</f>
        <v>-125</v>
      </c>
      <c r="I41" s="92"/>
      <c r="J41" s="250">
        <f>SUM(F41:I41)</f>
        <v>0</v>
      </c>
    </row>
    <row r="42" spans="2:10" x14ac:dyDescent="0.35">
      <c r="B42" s="6"/>
    </row>
    <row r="43" spans="2:10" x14ac:dyDescent="0.35">
      <c r="B43" s="6">
        <v>46003</v>
      </c>
      <c r="D43" t="s">
        <v>1520</v>
      </c>
      <c r="F43">
        <v>480</v>
      </c>
      <c r="H43" s="48">
        <v>-20</v>
      </c>
      <c r="I43" t="s">
        <v>62</v>
      </c>
    </row>
    <row r="44" spans="2:10" x14ac:dyDescent="0.35">
      <c r="B44" s="6"/>
      <c r="H44" s="48">
        <v>-140</v>
      </c>
    </row>
    <row r="45" spans="2:10" x14ac:dyDescent="0.35">
      <c r="B45" s="6"/>
      <c r="C45" s="6">
        <v>46004</v>
      </c>
      <c r="H45" s="48">
        <v>-160</v>
      </c>
    </row>
    <row r="46" spans="2:10" ht="15" thickBot="1" x14ac:dyDescent="0.4">
      <c r="B46" s="6"/>
      <c r="C46" s="6">
        <v>46010</v>
      </c>
      <c r="H46" s="48">
        <v>-70</v>
      </c>
    </row>
    <row r="47" spans="2:10" ht="15" thickBot="1" x14ac:dyDescent="0.4">
      <c r="B47" s="6"/>
      <c r="F47" s="331">
        <f>SUM(F43:F46)</f>
        <v>480</v>
      </c>
      <c r="G47" s="108">
        <f>SUM(G43:G46)</f>
        <v>0</v>
      </c>
      <c r="H47" s="108">
        <f>SUM(H43:H46)</f>
        <v>-390</v>
      </c>
      <c r="J47" s="250">
        <f>SUM(F47:I47)</f>
        <v>90</v>
      </c>
    </row>
    <row r="48" spans="2:10" x14ac:dyDescent="0.35">
      <c r="B48" s="6"/>
    </row>
    <row r="49" spans="1:10" hidden="1" x14ac:dyDescent="0.35">
      <c r="B49" s="689">
        <v>46003</v>
      </c>
      <c r="C49" s="92"/>
      <c r="D49" s="92" t="s">
        <v>2080</v>
      </c>
      <c r="E49" s="690"/>
      <c r="F49" s="92">
        <v>65</v>
      </c>
      <c r="G49" s="250"/>
      <c r="H49" s="250">
        <v>-30</v>
      </c>
      <c r="I49" s="92"/>
    </row>
    <row r="50" spans="1:10" ht="15" hidden="1" thickBot="1" x14ac:dyDescent="0.4">
      <c r="B50" s="689"/>
      <c r="C50" s="689">
        <v>46039</v>
      </c>
      <c r="D50" s="92"/>
      <c r="E50" s="690"/>
      <c r="F50" s="92"/>
      <c r="G50" s="250"/>
      <c r="H50" s="250">
        <v>-35</v>
      </c>
      <c r="I50" s="92"/>
    </row>
    <row r="51" spans="1:10" ht="15" hidden="1" thickBot="1" x14ac:dyDescent="0.4">
      <c r="B51" s="689"/>
      <c r="C51" s="92"/>
      <c r="D51" s="92"/>
      <c r="E51" s="690"/>
      <c r="F51" s="691">
        <f>SUM(F49:F50)</f>
        <v>65</v>
      </c>
      <c r="G51" s="334">
        <f>SUM(G49:G50)</f>
        <v>0</v>
      </c>
      <c r="H51" s="334">
        <f>SUM(H49:H50)</f>
        <v>-65</v>
      </c>
      <c r="I51" s="92"/>
      <c r="J51" s="250">
        <f>SUM(F51:I51)</f>
        <v>0</v>
      </c>
    </row>
    <row r="52" spans="1:10" hidden="1" x14ac:dyDescent="0.35">
      <c r="B52" s="6"/>
    </row>
    <row r="53" spans="1:10" s="695" customFormat="1" x14ac:dyDescent="0.35">
      <c r="B53" s="694"/>
      <c r="D53" s="695" t="s">
        <v>2125</v>
      </c>
      <c r="E53" s="696"/>
      <c r="G53" s="697"/>
      <c r="H53" s="697"/>
      <c r="J53" s="697"/>
    </row>
    <row r="54" spans="1:10" x14ac:dyDescent="0.35">
      <c r="B54" s="6"/>
    </row>
    <row r="55" spans="1:10" hidden="1" x14ac:dyDescent="0.35">
      <c r="B55" s="689">
        <v>46024</v>
      </c>
      <c r="C55" s="92"/>
      <c r="D55" s="92" t="s">
        <v>2126</v>
      </c>
      <c r="E55" s="690"/>
      <c r="F55" s="92">
        <v>235</v>
      </c>
      <c r="G55" s="250"/>
      <c r="H55" s="250">
        <v>-90</v>
      </c>
      <c r="I55" s="92"/>
    </row>
    <row r="56" spans="1:10" ht="15" hidden="1" thickBot="1" x14ac:dyDescent="0.4">
      <c r="B56" s="689"/>
      <c r="C56" s="689">
        <v>46028</v>
      </c>
      <c r="D56" s="92"/>
      <c r="E56" s="690"/>
      <c r="F56" s="92"/>
      <c r="G56" s="250"/>
      <c r="H56" s="250">
        <v>-145</v>
      </c>
      <c r="I56" s="92"/>
    </row>
    <row r="57" spans="1:10" ht="15" hidden="1" thickBot="1" x14ac:dyDescent="0.4">
      <c r="B57" s="689"/>
      <c r="C57" s="92"/>
      <c r="D57" s="92"/>
      <c r="E57" s="690"/>
      <c r="F57" s="691">
        <f>SUM(F55:F56)</f>
        <v>235</v>
      </c>
      <c r="G57" s="334">
        <f>SUM(G55:G56)</f>
        <v>0</v>
      </c>
      <c r="H57" s="334">
        <f>SUM(H55:H56)</f>
        <v>-235</v>
      </c>
      <c r="I57" s="92"/>
      <c r="J57" s="250">
        <f>SUM(F57:I57)</f>
        <v>0</v>
      </c>
    </row>
    <row r="58" spans="1:10" hidden="1" x14ac:dyDescent="0.35">
      <c r="A58" s="92"/>
      <c r="B58" s="689">
        <v>46038</v>
      </c>
      <c r="C58" s="92"/>
      <c r="D58" s="92" t="s">
        <v>2265</v>
      </c>
      <c r="E58" s="690"/>
      <c r="F58" s="92">
        <v>65</v>
      </c>
      <c r="G58" s="250"/>
      <c r="H58" s="250">
        <v>-30</v>
      </c>
      <c r="I58" s="92"/>
    </row>
    <row r="59" spans="1:10" ht="15" hidden="1" thickBot="1" x14ac:dyDescent="0.4">
      <c r="A59" s="92"/>
      <c r="B59" s="689"/>
      <c r="C59" s="689">
        <v>46046</v>
      </c>
      <c r="D59" s="92"/>
      <c r="E59" s="690"/>
      <c r="F59" s="92"/>
      <c r="G59" s="250"/>
      <c r="H59" s="250">
        <v>-35</v>
      </c>
      <c r="I59" s="92"/>
    </row>
    <row r="60" spans="1:10" ht="15" hidden="1" thickBot="1" x14ac:dyDescent="0.4">
      <c r="A60" s="92"/>
      <c r="B60" s="689"/>
      <c r="C60" s="92"/>
      <c r="D60" s="92"/>
      <c r="E60" s="690"/>
      <c r="F60" s="691">
        <f>SUM(F58:F59)</f>
        <v>65</v>
      </c>
      <c r="G60" s="334">
        <f>SUM(G58:G59)</f>
        <v>0</v>
      </c>
      <c r="H60" s="334">
        <f>SUM(H58:H59)</f>
        <v>-65</v>
      </c>
      <c r="I60" s="92"/>
      <c r="J60" s="250">
        <f>+F60+H60</f>
        <v>0</v>
      </c>
    </row>
    <row r="61" spans="1:10" hidden="1" x14ac:dyDescent="0.35">
      <c r="B61" s="6"/>
    </row>
    <row r="62" spans="1:10" hidden="1" x14ac:dyDescent="0.35">
      <c r="B62" s="689">
        <v>46042</v>
      </c>
      <c r="C62" s="92"/>
      <c r="D62" s="92" t="s">
        <v>2268</v>
      </c>
      <c r="E62" s="690"/>
      <c r="F62" s="92">
        <v>180</v>
      </c>
      <c r="G62" s="250"/>
      <c r="H62" s="250">
        <v>-100</v>
      </c>
      <c r="I62" s="92"/>
    </row>
    <row r="63" spans="1:10" hidden="1" x14ac:dyDescent="0.35">
      <c r="B63" s="689"/>
      <c r="C63" s="92"/>
      <c r="D63" s="92"/>
      <c r="E63" s="690"/>
      <c r="F63" s="92">
        <v>15</v>
      </c>
      <c r="G63" s="250"/>
      <c r="H63" s="250"/>
      <c r="I63" s="92"/>
    </row>
    <row r="64" spans="1:10" ht="15" hidden="1" thickBot="1" x14ac:dyDescent="0.4">
      <c r="B64" s="689"/>
      <c r="C64" s="689">
        <v>46044</v>
      </c>
      <c r="D64" s="92"/>
      <c r="E64" s="690"/>
      <c r="F64" s="92"/>
      <c r="G64" s="250"/>
      <c r="H64" s="250">
        <v>-95</v>
      </c>
      <c r="I64" s="92"/>
    </row>
    <row r="65" spans="1:10" ht="15" hidden="1" thickBot="1" x14ac:dyDescent="0.4">
      <c r="B65" s="689"/>
      <c r="C65" s="92"/>
      <c r="D65" s="92"/>
      <c r="E65" s="690"/>
      <c r="F65" s="691">
        <f>SUM(F62:F64)</f>
        <v>195</v>
      </c>
      <c r="G65" s="334">
        <f>SUM(G62:G64)</f>
        <v>0</v>
      </c>
      <c r="H65" s="334">
        <f>SUM(H62:H64)</f>
        <v>-195</v>
      </c>
      <c r="I65" s="92"/>
      <c r="J65" s="250">
        <f>SUM(F65:I65)</f>
        <v>0</v>
      </c>
    </row>
    <row r="66" spans="1:10" hidden="1" x14ac:dyDescent="0.35">
      <c r="A66" s="92"/>
      <c r="B66" s="689">
        <v>46046</v>
      </c>
      <c r="C66" s="92"/>
      <c r="D66" s="92" t="s">
        <v>2304</v>
      </c>
      <c r="E66" s="690"/>
      <c r="F66" s="92">
        <v>65</v>
      </c>
      <c r="G66" s="250"/>
      <c r="H66" s="250">
        <v>-35</v>
      </c>
      <c r="I66" s="92"/>
    </row>
    <row r="67" spans="1:10" ht="15" hidden="1" thickBot="1" x14ac:dyDescent="0.4">
      <c r="A67" s="92"/>
      <c r="B67" s="689"/>
      <c r="C67" s="689">
        <v>46052</v>
      </c>
      <c r="D67" s="92"/>
      <c r="E67" s="690"/>
      <c r="F67" s="92"/>
      <c r="G67" s="250"/>
      <c r="H67" s="250">
        <v>-30</v>
      </c>
      <c r="I67" s="92"/>
    </row>
    <row r="68" spans="1:10" ht="15" hidden="1" thickBot="1" x14ac:dyDescent="0.4">
      <c r="A68" s="92"/>
      <c r="B68" s="689"/>
      <c r="C68" s="92"/>
      <c r="D68" s="92"/>
      <c r="E68" s="690"/>
      <c r="F68" s="691">
        <f>SUM(F66:F67)</f>
        <v>65</v>
      </c>
      <c r="G68" s="334">
        <f>SUM(G66:G67)</f>
        <v>0</v>
      </c>
      <c r="H68" s="334">
        <f>SUM(H66:H67)</f>
        <v>-65</v>
      </c>
      <c r="I68" s="92"/>
      <c r="J68" s="250">
        <f>SUM(F68:I68)</f>
        <v>0</v>
      </c>
    </row>
    <row r="69" spans="1:10" hidden="1" x14ac:dyDescent="0.35">
      <c r="A69" s="92"/>
      <c r="B69" s="689"/>
      <c r="C69" s="92"/>
      <c r="D69" s="92" t="s">
        <v>2407</v>
      </c>
      <c r="E69" s="690"/>
      <c r="F69" s="92"/>
      <c r="G69" s="250"/>
      <c r="H69" s="250"/>
      <c r="I69" s="92"/>
    </row>
    <row r="70" spans="1:10" hidden="1" x14ac:dyDescent="0.35">
      <c r="A70" s="92"/>
      <c r="B70" s="689">
        <v>46052</v>
      </c>
      <c r="C70" s="92"/>
      <c r="D70" s="92"/>
      <c r="E70" s="690"/>
      <c r="F70" s="92">
        <v>190</v>
      </c>
      <c r="G70" s="250"/>
      <c r="H70" s="250">
        <v>-90</v>
      </c>
      <c r="I70" s="92"/>
    </row>
    <row r="71" spans="1:10" ht="15" hidden="1" thickBot="1" x14ac:dyDescent="0.4">
      <c r="A71" s="92"/>
      <c r="B71" s="689"/>
      <c r="C71" s="689">
        <v>46057</v>
      </c>
      <c r="D71" s="92"/>
      <c r="E71" s="690"/>
      <c r="F71" s="92"/>
      <c r="G71" s="250"/>
      <c r="H71" s="250">
        <v>-100</v>
      </c>
      <c r="I71" s="92"/>
    </row>
    <row r="72" spans="1:10" ht="15" hidden="1" thickBot="1" x14ac:dyDescent="0.4">
      <c r="A72" s="92"/>
      <c r="B72" s="689"/>
      <c r="C72" s="92"/>
      <c r="D72" s="92"/>
      <c r="E72" s="690"/>
      <c r="F72" s="691">
        <f>SUM(F70:F71)</f>
        <v>190</v>
      </c>
      <c r="G72" s="334">
        <f>SUM(G70:G71)</f>
        <v>0</v>
      </c>
      <c r="H72" s="334">
        <f>SUM(H70:H71)</f>
        <v>-190</v>
      </c>
      <c r="I72" s="92"/>
      <c r="J72" s="250">
        <f>+F72+H72</f>
        <v>0</v>
      </c>
    </row>
    <row r="73" spans="1:10" hidden="1" x14ac:dyDescent="0.35">
      <c r="B73" s="6"/>
    </row>
    <row r="74" spans="1:10" hidden="1" x14ac:dyDescent="0.35">
      <c r="A74" s="92"/>
      <c r="B74" s="689">
        <v>46057</v>
      </c>
      <c r="C74" s="92"/>
      <c r="D74" s="92" t="s">
        <v>2473</v>
      </c>
      <c r="E74" s="690"/>
      <c r="F74" s="92">
        <v>95</v>
      </c>
      <c r="G74" s="250"/>
      <c r="H74" s="250">
        <v>-40</v>
      </c>
      <c r="I74" s="92"/>
    </row>
    <row r="75" spans="1:10" ht="15" hidden="1" thickBot="1" x14ac:dyDescent="0.4">
      <c r="A75" s="92"/>
      <c r="B75" s="689"/>
      <c r="C75" s="689">
        <v>46085</v>
      </c>
      <c r="D75" s="92"/>
      <c r="E75" s="690"/>
      <c r="F75" s="92"/>
      <c r="G75" s="250"/>
      <c r="H75" s="250">
        <v>-55</v>
      </c>
      <c r="I75" s="92"/>
    </row>
    <row r="76" spans="1:10" ht="15" hidden="1" thickBot="1" x14ac:dyDescent="0.4">
      <c r="A76" s="92"/>
      <c r="B76" s="689"/>
      <c r="C76" s="92"/>
      <c r="D76" s="92"/>
      <c r="E76" s="690"/>
      <c r="F76" s="691">
        <f>SUM(F74:F75)</f>
        <v>95</v>
      </c>
      <c r="G76" s="334">
        <f>SUM(G74:G75)</f>
        <v>0</v>
      </c>
      <c r="H76" s="334">
        <f>SUM(H74:H75)</f>
        <v>-95</v>
      </c>
      <c r="I76" s="92"/>
      <c r="J76" s="250">
        <f>SUM(F76:I76)</f>
        <v>0</v>
      </c>
    </row>
    <row r="77" spans="1:10" hidden="1" x14ac:dyDescent="0.35">
      <c r="B77" s="6"/>
    </row>
    <row r="78" spans="1:10" hidden="1" x14ac:dyDescent="0.35">
      <c r="A78" s="92"/>
      <c r="B78" s="689">
        <v>46072</v>
      </c>
      <c r="C78" s="92"/>
      <c r="D78" s="92" t="s">
        <v>2639</v>
      </c>
      <c r="E78" s="690"/>
      <c r="F78" s="92">
        <v>75</v>
      </c>
      <c r="G78" s="250"/>
      <c r="H78" s="250">
        <v>-30</v>
      </c>
      <c r="I78" s="92"/>
    </row>
    <row r="79" spans="1:10" ht="15" hidden="1" thickBot="1" x14ac:dyDescent="0.4">
      <c r="A79" s="92"/>
      <c r="B79" s="689"/>
      <c r="C79" s="689">
        <v>46093</v>
      </c>
      <c r="D79" s="92"/>
      <c r="E79" s="690"/>
      <c r="F79" s="92"/>
      <c r="G79" s="250"/>
      <c r="H79" s="250">
        <v>-45</v>
      </c>
      <c r="I79" s="92"/>
    </row>
    <row r="80" spans="1:10" ht="15" hidden="1" thickBot="1" x14ac:dyDescent="0.4">
      <c r="A80" s="92"/>
      <c r="B80" s="689"/>
      <c r="C80" s="92"/>
      <c r="D80" s="92"/>
      <c r="E80" s="690"/>
      <c r="F80" s="691">
        <f>SUM(F78:F79)</f>
        <v>75</v>
      </c>
      <c r="G80" s="334">
        <f>SUM(G78:G79)</f>
        <v>0</v>
      </c>
      <c r="H80" s="334">
        <f>SUM(H78:H79)</f>
        <v>-75</v>
      </c>
      <c r="I80" s="92"/>
      <c r="J80" s="250">
        <f>SUM(F80:I80)</f>
        <v>0</v>
      </c>
    </row>
    <row r="81" spans="1:10" x14ac:dyDescent="0.35">
      <c r="B81" s="6"/>
    </row>
    <row r="82" spans="1:10" hidden="1" x14ac:dyDescent="0.35">
      <c r="A82" s="92"/>
      <c r="B82" s="689">
        <v>46078</v>
      </c>
      <c r="C82" s="92"/>
      <c r="D82" s="92" t="s">
        <v>2304</v>
      </c>
      <c r="E82" s="690"/>
      <c r="F82" s="92">
        <v>125</v>
      </c>
      <c r="G82" s="250"/>
      <c r="H82" s="250">
        <v>-80</v>
      </c>
      <c r="I82" s="92"/>
    </row>
    <row r="83" spans="1:10" ht="15" hidden="1" thickBot="1" x14ac:dyDescent="0.4">
      <c r="A83" s="92"/>
      <c r="B83" s="689"/>
      <c r="C83" s="92" t="s">
        <v>797</v>
      </c>
      <c r="D83" s="92"/>
      <c r="E83" s="690"/>
      <c r="F83" s="92"/>
      <c r="G83" s="250"/>
      <c r="H83" s="250">
        <v>-45</v>
      </c>
      <c r="I83" s="92"/>
    </row>
    <row r="84" spans="1:10" ht="15" hidden="1" thickBot="1" x14ac:dyDescent="0.4">
      <c r="A84" s="92"/>
      <c r="B84" s="689"/>
      <c r="C84" s="92"/>
      <c r="D84" s="92"/>
      <c r="E84" s="690"/>
      <c r="F84" s="691">
        <f>SUM(F82:F83)</f>
        <v>125</v>
      </c>
      <c r="G84" s="334">
        <f>SUM(G82:G83)</f>
        <v>0</v>
      </c>
      <c r="H84" s="334">
        <f>SUM(H82:H83)</f>
        <v>-125</v>
      </c>
      <c r="I84" s="92"/>
      <c r="J84" s="250">
        <f>SUM(F84:I84)</f>
        <v>0</v>
      </c>
    </row>
    <row r="85" spans="1:10" x14ac:dyDescent="0.35">
      <c r="B85" s="6"/>
    </row>
    <row r="86" spans="1:10" hidden="1" x14ac:dyDescent="0.35">
      <c r="A86" s="92"/>
      <c r="B86" s="689">
        <v>46079</v>
      </c>
      <c r="C86" s="92"/>
      <c r="D86" s="92" t="s">
        <v>1006</v>
      </c>
      <c r="E86" s="690"/>
      <c r="F86" s="92">
        <v>80</v>
      </c>
      <c r="G86" s="250"/>
      <c r="H86" s="250">
        <v>-5</v>
      </c>
      <c r="I86" s="92"/>
    </row>
    <row r="87" spans="1:10" ht="15" hidden="1" thickBot="1" x14ac:dyDescent="0.4">
      <c r="A87" s="92"/>
      <c r="B87" s="689"/>
      <c r="C87" s="689">
        <v>46116</v>
      </c>
      <c r="D87" s="92"/>
      <c r="E87" s="690"/>
      <c r="F87" s="92"/>
      <c r="G87" s="250"/>
      <c r="H87" s="250">
        <v>-75</v>
      </c>
      <c r="I87" s="92"/>
    </row>
    <row r="88" spans="1:10" ht="15" hidden="1" thickBot="1" x14ac:dyDescent="0.4">
      <c r="A88" s="92"/>
      <c r="B88" s="689"/>
      <c r="C88" s="92"/>
      <c r="D88" s="92"/>
      <c r="E88" s="690"/>
      <c r="F88" s="691">
        <f>SUM(F86:F87)</f>
        <v>80</v>
      </c>
      <c r="G88" s="334">
        <f>SUM(G86:G87)</f>
        <v>0</v>
      </c>
      <c r="H88" s="334">
        <f>SUM(H86:H87)</f>
        <v>-80</v>
      </c>
      <c r="I88" s="92"/>
      <c r="J88" s="250">
        <f>SUM(F88:I88)</f>
        <v>0</v>
      </c>
    </row>
    <row r="89" spans="1:10" x14ac:dyDescent="0.35">
      <c r="B89" s="6"/>
    </row>
    <row r="90" spans="1:10" hidden="1" x14ac:dyDescent="0.35">
      <c r="A90" s="92"/>
      <c r="B90" s="689">
        <v>46079</v>
      </c>
      <c r="C90" s="92"/>
      <c r="D90" s="92" t="s">
        <v>2658</v>
      </c>
      <c r="E90" s="690"/>
      <c r="F90" s="92">
        <v>25</v>
      </c>
      <c r="G90" s="250"/>
      <c r="H90" s="250">
        <v>-10</v>
      </c>
      <c r="I90" s="92"/>
    </row>
    <row r="91" spans="1:10" ht="15" hidden="1" thickBot="1" x14ac:dyDescent="0.4">
      <c r="A91" s="92"/>
      <c r="B91" s="689"/>
      <c r="C91" s="689">
        <v>46086</v>
      </c>
      <c r="D91" s="92"/>
      <c r="E91" s="690"/>
      <c r="F91" s="92"/>
      <c r="G91" s="250"/>
      <c r="H91" s="250">
        <v>-15</v>
      </c>
      <c r="I91" s="92"/>
    </row>
    <row r="92" spans="1:10" ht="15" hidden="1" thickBot="1" x14ac:dyDescent="0.4">
      <c r="A92" s="92"/>
      <c r="B92" s="689"/>
      <c r="C92" s="92"/>
      <c r="D92" s="92"/>
      <c r="E92" s="690"/>
      <c r="F92" s="691">
        <f>SUM(F90:F91)</f>
        <v>25</v>
      </c>
      <c r="G92" s="334">
        <f>SUM(G90:G91)</f>
        <v>0</v>
      </c>
      <c r="H92" s="334">
        <f>SUM(H90:H91)</f>
        <v>-25</v>
      </c>
      <c r="I92" s="92"/>
      <c r="J92" s="250">
        <f>SUM(F92:I92)</f>
        <v>0</v>
      </c>
    </row>
    <row r="93" spans="1:10" hidden="1" x14ac:dyDescent="0.35">
      <c r="B93" s="6"/>
    </row>
    <row r="94" spans="1:10" hidden="1" x14ac:dyDescent="0.35">
      <c r="A94" s="92"/>
      <c r="B94" s="689">
        <v>46081</v>
      </c>
      <c r="C94" s="92"/>
      <c r="D94" s="92" t="s">
        <v>2749</v>
      </c>
      <c r="E94" s="690"/>
      <c r="F94" s="92">
        <v>195</v>
      </c>
      <c r="G94" s="250"/>
      <c r="H94" s="250">
        <v>-100</v>
      </c>
      <c r="I94" s="92"/>
    </row>
    <row r="95" spans="1:10" ht="15" hidden="1" thickBot="1" x14ac:dyDescent="0.4">
      <c r="A95" s="92"/>
      <c r="B95" s="689"/>
      <c r="C95" s="689">
        <v>46084</v>
      </c>
      <c r="D95" s="92"/>
      <c r="E95" s="690"/>
      <c r="F95" s="92"/>
      <c r="G95" s="250"/>
      <c r="H95" s="250">
        <v>-95</v>
      </c>
      <c r="I95" s="92"/>
    </row>
    <row r="96" spans="1:10" ht="15" hidden="1" thickBot="1" x14ac:dyDescent="0.4">
      <c r="A96" s="92"/>
      <c r="B96" s="689"/>
      <c r="C96" s="92"/>
      <c r="D96" s="92"/>
      <c r="E96" s="690"/>
      <c r="F96" s="691">
        <f>SUM(F94:F95)</f>
        <v>195</v>
      </c>
      <c r="G96" s="334">
        <f>SUM(G94:G95)</f>
        <v>0</v>
      </c>
      <c r="H96" s="334">
        <f>SUM(H94:H95)</f>
        <v>-195</v>
      </c>
      <c r="I96" s="92"/>
      <c r="J96" s="250">
        <f>SUM(F96:I96)</f>
        <v>0</v>
      </c>
    </row>
    <row r="97" spans="1:10" x14ac:dyDescent="0.35">
      <c r="B97" s="6"/>
      <c r="J97" s="48"/>
    </row>
    <row r="98" spans="1:10" x14ac:dyDescent="0.35">
      <c r="B98" s="6">
        <v>46085</v>
      </c>
      <c r="D98" t="s">
        <v>2755</v>
      </c>
      <c r="F98">
        <v>65</v>
      </c>
      <c r="H98" s="48">
        <v>-20</v>
      </c>
      <c r="J98" s="48"/>
    </row>
    <row r="99" spans="1:10" ht="15" thickBot="1" x14ac:dyDescent="0.4">
      <c r="B99" s="6"/>
      <c r="J99" s="48"/>
    </row>
    <row r="100" spans="1:10" ht="15" thickBot="1" x14ac:dyDescent="0.4">
      <c r="B100" s="6"/>
      <c r="F100" s="331">
        <f>SUM(F98:F99)</f>
        <v>65</v>
      </c>
      <c r="G100" s="108">
        <f>SUM(G98:G99)</f>
        <v>0</v>
      </c>
      <c r="H100" s="108">
        <f>SUM(H98:H99)</f>
        <v>-20</v>
      </c>
      <c r="J100" s="48">
        <f>SUM(F100:I100)</f>
        <v>45</v>
      </c>
    </row>
    <row r="101" spans="1:10" x14ac:dyDescent="0.35">
      <c r="B101" s="6"/>
      <c r="J101" s="48"/>
    </row>
    <row r="102" spans="1:10" hidden="1" x14ac:dyDescent="0.35">
      <c r="A102" s="92"/>
      <c r="B102" s="689">
        <v>46094</v>
      </c>
      <c r="C102" s="92"/>
      <c r="D102" s="92" t="s">
        <v>2843</v>
      </c>
      <c r="E102" s="690"/>
      <c r="F102" s="92">
        <v>150</v>
      </c>
      <c r="G102" s="250"/>
      <c r="H102" s="250">
        <v>-75</v>
      </c>
      <c r="J102" s="48"/>
    </row>
    <row r="103" spans="1:10" ht="15" hidden="1" thickBot="1" x14ac:dyDescent="0.4">
      <c r="A103" s="92"/>
      <c r="B103" s="689"/>
      <c r="C103" s="689">
        <v>46101</v>
      </c>
      <c r="D103" s="92"/>
      <c r="E103" s="690"/>
      <c r="F103" s="92"/>
      <c r="G103" s="250"/>
      <c r="H103" s="250">
        <v>-75</v>
      </c>
      <c r="J103" s="48"/>
    </row>
    <row r="104" spans="1:10" ht="15" hidden="1" thickBot="1" x14ac:dyDescent="0.4">
      <c r="A104" s="92"/>
      <c r="B104" s="689"/>
      <c r="C104" s="92"/>
      <c r="D104" s="92"/>
      <c r="E104" s="690"/>
      <c r="F104" s="691">
        <f>SUM(F102:F103)</f>
        <v>150</v>
      </c>
      <c r="G104" s="334">
        <f>SUM(G102:G103)</f>
        <v>0</v>
      </c>
      <c r="H104" s="334">
        <f>SUM(H102:H103)</f>
        <v>-150</v>
      </c>
      <c r="J104" s="48">
        <f>SUM(F104:I104)</f>
        <v>0</v>
      </c>
    </row>
    <row r="105" spans="1:10" x14ac:dyDescent="0.35">
      <c r="B105" s="6"/>
      <c r="J105" s="48"/>
    </row>
    <row r="106" spans="1:10" x14ac:dyDescent="0.35">
      <c r="B106" s="6">
        <v>46102</v>
      </c>
      <c r="D106" t="s">
        <v>2847</v>
      </c>
      <c r="F106">
        <v>65</v>
      </c>
      <c r="H106" s="48">
        <v>-20</v>
      </c>
      <c r="J106" s="48"/>
    </row>
    <row r="107" spans="1:10" ht="15" thickBot="1" x14ac:dyDescent="0.4">
      <c r="B107" s="6"/>
    </row>
    <row r="108" spans="1:10" ht="15" thickBot="1" x14ac:dyDescent="0.4">
      <c r="B108" s="6"/>
      <c r="F108" s="331">
        <f>SUM(F106:F107)</f>
        <v>65</v>
      </c>
      <c r="G108" s="108">
        <f>SUM(G106:G107)</f>
        <v>0</v>
      </c>
      <c r="H108" s="108">
        <f>SUM(H106:H107)</f>
        <v>-20</v>
      </c>
      <c r="J108" s="250">
        <f>SUM(F108:I108)</f>
        <v>45</v>
      </c>
    </row>
    <row r="109" spans="1:10" x14ac:dyDescent="0.35">
      <c r="B109" s="6"/>
    </row>
    <row r="110" spans="1:10" x14ac:dyDescent="0.35">
      <c r="B110" s="6">
        <v>46112</v>
      </c>
      <c r="D110" t="s">
        <v>3002</v>
      </c>
      <c r="F110">
        <v>25</v>
      </c>
      <c r="H110" s="48">
        <v>-10</v>
      </c>
    </row>
    <row r="111" spans="1:10" x14ac:dyDescent="0.35">
      <c r="B111" s="6"/>
      <c r="C111" s="6">
        <v>46132</v>
      </c>
      <c r="H111" s="48">
        <v>-10</v>
      </c>
    </row>
    <row r="112" spans="1:10" ht="15" thickBot="1" x14ac:dyDescent="0.4">
      <c r="B112" s="6"/>
      <c r="C112" s="6">
        <v>46135</v>
      </c>
      <c r="F112">
        <v>25</v>
      </c>
      <c r="H112" s="48">
        <v>-10</v>
      </c>
    </row>
    <row r="113" spans="2:10" ht="15" thickBot="1" x14ac:dyDescent="0.4">
      <c r="B113" s="6"/>
      <c r="F113" s="331">
        <f>SUM(F110:F112)</f>
        <v>50</v>
      </c>
      <c r="G113" s="108">
        <f t="shared" ref="G113" si="0">SUM(G110:G111)</f>
        <v>0</v>
      </c>
      <c r="H113" s="108">
        <f>SUM(H110:H112)</f>
        <v>-30</v>
      </c>
      <c r="J113" s="250">
        <f>SUM(F113:I113)</f>
        <v>20</v>
      </c>
    </row>
    <row r="114" spans="2:10" x14ac:dyDescent="0.35">
      <c r="B114" s="6"/>
    </row>
    <row r="115" spans="2:10" x14ac:dyDescent="0.35">
      <c r="B115" s="6"/>
    </row>
    <row r="116" spans="2:10" x14ac:dyDescent="0.35">
      <c r="B116" s="6">
        <v>46139</v>
      </c>
      <c r="D116" t="s">
        <v>3154</v>
      </c>
      <c r="F116">
        <v>125</v>
      </c>
      <c r="H116" s="48">
        <v>-25</v>
      </c>
    </row>
    <row r="117" spans="2:10" ht="15" thickBot="1" x14ac:dyDescent="0.4">
      <c r="B117" s="6"/>
    </row>
    <row r="118" spans="2:10" ht="15" thickBot="1" x14ac:dyDescent="0.4">
      <c r="B118" s="6"/>
      <c r="F118" s="331">
        <f t="shared" ref="F118:H118" si="1">SUM(F116:F117)</f>
        <v>125</v>
      </c>
      <c r="G118" s="108">
        <f t="shared" si="1"/>
        <v>0</v>
      </c>
      <c r="H118" s="108">
        <f t="shared" si="1"/>
        <v>-25</v>
      </c>
      <c r="J118" s="250">
        <f>SUM(F118:I118)</f>
        <v>100</v>
      </c>
    </row>
    <row r="119" spans="2:10" x14ac:dyDescent="0.35">
      <c r="B119" s="6"/>
    </row>
    <row r="120" spans="2:10" ht="15" thickBot="1" x14ac:dyDescent="0.4"/>
    <row r="121" spans="2:10" ht="15" thickBot="1" x14ac:dyDescent="0.4">
      <c r="D121" s="7" t="s">
        <v>26</v>
      </c>
      <c r="E121" s="329"/>
      <c r="F121" s="8"/>
      <c r="G121" s="110"/>
      <c r="H121" s="110"/>
      <c r="I121" s="8"/>
      <c r="J121" s="251">
        <f>SUM(J2:J120)</f>
        <v>360</v>
      </c>
    </row>
    <row r="123" spans="2:10" x14ac:dyDescent="0.35">
      <c r="B123" s="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61"/>
  <sheetViews>
    <sheetView topLeftCell="C1" zoomScale="90" zoomScaleNormal="90" workbookViewId="0">
      <selection activeCell="M5" sqref="M5:M8"/>
    </sheetView>
  </sheetViews>
  <sheetFormatPr defaultRowHeight="14.5" x14ac:dyDescent="0.35"/>
  <cols>
    <col min="2" max="2" width="9.1796875" style="3"/>
    <col min="3" max="3" width="20.453125" customWidth="1"/>
    <col min="4" max="4" width="13.453125" customWidth="1"/>
    <col min="5" max="5" width="14" customWidth="1"/>
    <col min="6" max="6" width="13.453125" customWidth="1"/>
    <col min="7" max="7" width="15" customWidth="1"/>
    <col min="8" max="8" width="10.54296875" customWidth="1"/>
    <col min="9" max="9" width="12.7265625" customWidth="1"/>
    <col min="10" max="10" width="11.7265625" style="2" customWidth="1"/>
    <col min="11" max="11" width="11" customWidth="1"/>
    <col min="12" max="12" width="9.7265625" customWidth="1"/>
    <col min="13" max="13" width="10" customWidth="1"/>
  </cols>
  <sheetData>
    <row r="1" spans="1:14" ht="15" thickBot="1" x14ac:dyDescent="0.4">
      <c r="A1" t="s">
        <v>534</v>
      </c>
    </row>
    <row r="2" spans="1:14" ht="15" thickBot="1" x14ac:dyDescent="0.4">
      <c r="B2" s="332"/>
      <c r="C2" s="394" t="s">
        <v>1004</v>
      </c>
      <c r="D2" s="394" t="s">
        <v>1003</v>
      </c>
      <c r="E2" s="394" t="s">
        <v>1002</v>
      </c>
      <c r="F2" s="394" t="s">
        <v>1002</v>
      </c>
      <c r="G2" s="395" t="s">
        <v>999</v>
      </c>
      <c r="H2" s="395" t="s">
        <v>1000</v>
      </c>
      <c r="I2" s="395" t="s">
        <v>999</v>
      </c>
      <c r="J2" s="396" t="s">
        <v>1001</v>
      </c>
      <c r="K2" s="394" t="s">
        <v>1005</v>
      </c>
      <c r="L2" s="592" t="s">
        <v>1001</v>
      </c>
      <c r="M2" s="691" t="s">
        <v>1457</v>
      </c>
      <c r="N2" s="44"/>
    </row>
    <row r="3" spans="1:14" s="808" customFormat="1" ht="30.5" customHeight="1" thickBot="1" x14ac:dyDescent="0.4">
      <c r="B3" s="809"/>
      <c r="C3" s="810"/>
      <c r="D3" s="811"/>
      <c r="E3" s="811"/>
      <c r="F3" s="812"/>
      <c r="G3" s="813"/>
      <c r="H3" s="813"/>
      <c r="I3" s="814"/>
      <c r="J3" s="815"/>
      <c r="K3" s="816" t="s">
        <v>1460</v>
      </c>
      <c r="L3" s="817" t="s">
        <v>1461</v>
      </c>
      <c r="M3" s="818" t="s">
        <v>1791</v>
      </c>
      <c r="N3" s="819"/>
    </row>
    <row r="4" spans="1:14" s="3" customFormat="1" ht="15" thickBot="1" x14ac:dyDescent="0.4">
      <c r="B4" s="388" t="s">
        <v>76</v>
      </c>
      <c r="C4" s="389" t="s">
        <v>164</v>
      </c>
      <c r="D4" s="390" t="s">
        <v>167</v>
      </c>
      <c r="E4" s="390" t="s">
        <v>166</v>
      </c>
      <c r="F4" s="391" t="s">
        <v>165</v>
      </c>
      <c r="G4" s="390" t="s">
        <v>294</v>
      </c>
      <c r="H4" s="390" t="s">
        <v>380</v>
      </c>
      <c r="I4" s="391" t="s">
        <v>564</v>
      </c>
      <c r="J4" s="392" t="s">
        <v>565</v>
      </c>
      <c r="K4" s="393" t="s">
        <v>750</v>
      </c>
      <c r="L4" s="393" t="s">
        <v>989</v>
      </c>
      <c r="M4" s="7" t="s">
        <v>1456</v>
      </c>
      <c r="N4" s="281" t="s">
        <v>2308</v>
      </c>
    </row>
    <row r="5" spans="1:14" x14ac:dyDescent="0.35">
      <c r="B5" s="379" t="s">
        <v>104</v>
      </c>
      <c r="C5" s="380"/>
      <c r="D5" s="381">
        <v>3811</v>
      </c>
      <c r="E5" s="381">
        <v>5584</v>
      </c>
      <c r="F5" s="826">
        <v>8183</v>
      </c>
      <c r="G5" s="383">
        <v>2814</v>
      </c>
      <c r="H5" s="383">
        <v>4180</v>
      </c>
      <c r="I5" s="384">
        <v>1485</v>
      </c>
      <c r="J5" s="382">
        <v>6068</v>
      </c>
      <c r="K5" s="374">
        <v>4140</v>
      </c>
      <c r="L5" s="374">
        <v>3230</v>
      </c>
      <c r="M5" s="374">
        <v>5024</v>
      </c>
      <c r="N5" s="761">
        <f>+'daily sales'!B195</f>
        <v>5642</v>
      </c>
    </row>
    <row r="6" spans="1:14" x14ac:dyDescent="0.35">
      <c r="B6" s="377" t="s">
        <v>105</v>
      </c>
      <c r="C6" s="376"/>
      <c r="D6" s="111">
        <v>4126</v>
      </c>
      <c r="E6" s="111">
        <v>5317</v>
      </c>
      <c r="F6" s="824">
        <v>5000</v>
      </c>
      <c r="G6" s="44">
        <v>2883</v>
      </c>
      <c r="H6" s="44">
        <v>3413</v>
      </c>
      <c r="I6" s="253">
        <v>1570</v>
      </c>
      <c r="J6" s="234">
        <v>5403</v>
      </c>
      <c r="K6" s="374">
        <v>6376</v>
      </c>
      <c r="L6" s="374">
        <v>3380</v>
      </c>
      <c r="M6" s="374">
        <v>5030</v>
      </c>
      <c r="N6" s="827">
        <f>+'daily sales'!B378</f>
        <v>6915</v>
      </c>
    </row>
    <row r="7" spans="1:14" x14ac:dyDescent="0.35">
      <c r="B7" s="377" t="s">
        <v>106</v>
      </c>
      <c r="C7" s="376"/>
      <c r="D7" s="111">
        <v>5742</v>
      </c>
      <c r="E7" s="111">
        <v>6635</v>
      </c>
      <c r="F7" s="824">
        <v>6500</v>
      </c>
      <c r="G7" s="44">
        <v>6262</v>
      </c>
      <c r="H7" s="44">
        <v>6532</v>
      </c>
      <c r="I7" s="253">
        <v>6010</v>
      </c>
      <c r="J7" s="234">
        <v>6778</v>
      </c>
      <c r="K7" s="374">
        <v>8031</v>
      </c>
      <c r="L7" s="374">
        <v>5258</v>
      </c>
      <c r="M7" s="374">
        <v>6741</v>
      </c>
      <c r="N7" s="827">
        <f>+'daily sales'!B597</f>
        <v>9315</v>
      </c>
    </row>
    <row r="8" spans="1:14" x14ac:dyDescent="0.35">
      <c r="B8" s="377" t="s">
        <v>107</v>
      </c>
      <c r="C8" s="376"/>
      <c r="D8" s="921">
        <v>12651</v>
      </c>
      <c r="E8" s="111">
        <v>7539</v>
      </c>
      <c r="F8" s="824">
        <v>7200</v>
      </c>
      <c r="G8" s="44">
        <v>2162</v>
      </c>
      <c r="H8" s="44">
        <v>128</v>
      </c>
      <c r="I8" s="253">
        <v>4066</v>
      </c>
      <c r="J8" s="234">
        <v>8490</v>
      </c>
      <c r="K8" s="374">
        <v>11232</v>
      </c>
      <c r="L8" s="374">
        <v>7090</v>
      </c>
      <c r="M8" s="374">
        <v>7345</v>
      </c>
      <c r="N8" s="761">
        <f>+'daily sales'!B810</f>
        <v>6284</v>
      </c>
    </row>
    <row r="9" spans="1:14" x14ac:dyDescent="0.35">
      <c r="B9" s="377" t="s">
        <v>108</v>
      </c>
      <c r="C9" s="376"/>
      <c r="D9" s="111">
        <v>5651</v>
      </c>
      <c r="E9" s="111">
        <v>6359</v>
      </c>
      <c r="F9" s="824">
        <v>9000</v>
      </c>
      <c r="G9" s="44">
        <v>6517</v>
      </c>
      <c r="H9" s="44">
        <v>3594</v>
      </c>
      <c r="I9" s="253">
        <v>6722</v>
      </c>
      <c r="J9" s="234">
        <v>8879</v>
      </c>
      <c r="K9" s="374">
        <v>10926</v>
      </c>
      <c r="L9" s="374">
        <v>7471</v>
      </c>
      <c r="M9" s="374">
        <v>10118</v>
      </c>
      <c r="N9" s="44"/>
    </row>
    <row r="10" spans="1:14" x14ac:dyDescent="0.35">
      <c r="B10" s="377" t="s">
        <v>109</v>
      </c>
      <c r="C10" s="376"/>
      <c r="D10" s="111">
        <v>8161</v>
      </c>
      <c r="E10" s="111">
        <v>11905</v>
      </c>
      <c r="F10" s="824">
        <v>10000</v>
      </c>
      <c r="G10" s="44">
        <v>1498</v>
      </c>
      <c r="H10" s="44">
        <v>3961</v>
      </c>
      <c r="I10" s="253">
        <v>7798</v>
      </c>
      <c r="J10" s="234">
        <v>9362</v>
      </c>
      <c r="K10" s="375">
        <v>7742</v>
      </c>
      <c r="L10" s="374">
        <v>8907</v>
      </c>
      <c r="M10" s="374">
        <v>9778</v>
      </c>
      <c r="N10" s="44"/>
    </row>
    <row r="11" spans="1:14" x14ac:dyDescent="0.35">
      <c r="B11" s="377" t="s">
        <v>110</v>
      </c>
      <c r="C11" s="376"/>
      <c r="D11" s="111">
        <v>6484</v>
      </c>
      <c r="E11" s="111">
        <v>6736</v>
      </c>
      <c r="F11" s="824">
        <v>8000</v>
      </c>
      <c r="G11" s="44">
        <v>6873</v>
      </c>
      <c r="H11" s="44">
        <v>5060</v>
      </c>
      <c r="I11" s="253">
        <v>4364</v>
      </c>
      <c r="J11" s="234">
        <v>6653</v>
      </c>
      <c r="K11" s="374">
        <v>9525</v>
      </c>
      <c r="L11" s="374">
        <v>6370</v>
      </c>
      <c r="M11" s="374">
        <v>6612</v>
      </c>
      <c r="N11" s="44"/>
    </row>
    <row r="12" spans="1:14" x14ac:dyDescent="0.35">
      <c r="B12" s="377" t="s">
        <v>111</v>
      </c>
      <c r="C12" s="376"/>
      <c r="D12" s="111">
        <v>8230</v>
      </c>
      <c r="E12" s="111">
        <v>10761</v>
      </c>
      <c r="F12" s="824">
        <v>7000</v>
      </c>
      <c r="G12" s="44">
        <v>5505</v>
      </c>
      <c r="H12" s="44">
        <v>3150</v>
      </c>
      <c r="I12" s="253">
        <v>6270</v>
      </c>
      <c r="J12" s="234">
        <v>8335</v>
      </c>
      <c r="K12" s="374">
        <v>10015</v>
      </c>
      <c r="L12" s="374">
        <v>7479</v>
      </c>
      <c r="M12" s="374">
        <v>7650</v>
      </c>
      <c r="N12" s="44"/>
    </row>
    <row r="13" spans="1:14" x14ac:dyDescent="0.35">
      <c r="B13" s="377" t="s">
        <v>78</v>
      </c>
      <c r="C13" s="376">
        <v>6540</v>
      </c>
      <c r="D13" s="111">
        <v>11580</v>
      </c>
      <c r="E13" s="111">
        <v>6736</v>
      </c>
      <c r="F13" s="824">
        <v>12000</v>
      </c>
      <c r="G13" s="44">
        <v>6114</v>
      </c>
      <c r="H13" s="44">
        <v>5083</v>
      </c>
      <c r="I13" s="253">
        <v>8932</v>
      </c>
      <c r="J13" s="234">
        <v>6658</v>
      </c>
      <c r="K13" s="374">
        <v>8403</v>
      </c>
      <c r="L13" s="374">
        <v>6808</v>
      </c>
      <c r="M13" s="374">
        <v>4785</v>
      </c>
      <c r="N13" s="44"/>
    </row>
    <row r="14" spans="1:14" x14ac:dyDescent="0.35">
      <c r="B14" s="377" t="s">
        <v>79</v>
      </c>
      <c r="C14" s="376">
        <v>11157</v>
      </c>
      <c r="D14" s="111">
        <v>10088</v>
      </c>
      <c r="E14" s="111">
        <v>18642.599999999999</v>
      </c>
      <c r="F14" s="824">
        <v>15000</v>
      </c>
      <c r="G14" s="44">
        <v>6691</v>
      </c>
      <c r="H14" s="44">
        <v>3875</v>
      </c>
      <c r="I14" s="253">
        <v>6199</v>
      </c>
      <c r="J14" s="234">
        <v>9675</v>
      </c>
      <c r="K14" s="374">
        <v>7623</v>
      </c>
      <c r="L14" s="374">
        <v>8649</v>
      </c>
      <c r="M14" s="374">
        <v>9160</v>
      </c>
      <c r="N14" s="761"/>
    </row>
    <row r="15" spans="1:14" x14ac:dyDescent="0.35">
      <c r="B15" s="377" t="s">
        <v>80</v>
      </c>
      <c r="C15" s="376">
        <v>6993</v>
      </c>
      <c r="D15" s="111">
        <v>6191</v>
      </c>
      <c r="E15" s="111">
        <v>9327</v>
      </c>
      <c r="F15" s="824">
        <v>10000</v>
      </c>
      <c r="G15" s="44">
        <v>6841</v>
      </c>
      <c r="H15" s="44">
        <v>4706</v>
      </c>
      <c r="I15" s="253">
        <v>7739</v>
      </c>
      <c r="J15" s="234">
        <v>6915</v>
      </c>
      <c r="K15" s="374">
        <v>8747</v>
      </c>
      <c r="L15" s="374">
        <v>6038</v>
      </c>
      <c r="M15" s="374">
        <v>5325</v>
      </c>
      <c r="N15" s="44"/>
    </row>
    <row r="16" spans="1:14" ht="15" thickBot="1" x14ac:dyDescent="0.4">
      <c r="B16" s="378" t="s">
        <v>81</v>
      </c>
      <c r="C16" s="376">
        <v>9405</v>
      </c>
      <c r="D16" s="236">
        <v>8897</v>
      </c>
      <c r="E16" s="236">
        <v>8279</v>
      </c>
      <c r="F16" s="825">
        <v>8000</v>
      </c>
      <c r="G16" s="238">
        <v>7148</v>
      </c>
      <c r="H16" s="238">
        <v>6947</v>
      </c>
      <c r="I16" s="254">
        <v>11255</v>
      </c>
      <c r="J16" s="326">
        <v>8645</v>
      </c>
      <c r="K16" s="374">
        <v>13002</v>
      </c>
      <c r="L16" s="374">
        <v>6840</v>
      </c>
      <c r="M16" s="374">
        <v>10621</v>
      </c>
      <c r="N16" s="285"/>
    </row>
    <row r="17" spans="2:16" ht="15" thickBot="1" x14ac:dyDescent="0.4">
      <c r="B17" s="110" t="s">
        <v>25</v>
      </c>
      <c r="C17" s="51">
        <f t="shared" ref="C17:J17" si="0">SUM(C5:C16)</f>
        <v>34095</v>
      </c>
      <c r="D17" s="51">
        <f t="shared" si="0"/>
        <v>91612</v>
      </c>
      <c r="E17" s="51">
        <f t="shared" si="0"/>
        <v>103820.6</v>
      </c>
      <c r="F17" s="51">
        <f t="shared" si="0"/>
        <v>105883</v>
      </c>
      <c r="G17" s="51">
        <f t="shared" si="0"/>
        <v>61308</v>
      </c>
      <c r="H17" s="51">
        <f t="shared" si="0"/>
        <v>50629</v>
      </c>
      <c r="I17" s="51">
        <f t="shared" si="0"/>
        <v>72410</v>
      </c>
      <c r="J17" s="51">
        <f t="shared" si="0"/>
        <v>91861</v>
      </c>
      <c r="K17" s="51">
        <f>SUM(K5:K16)</f>
        <v>105762</v>
      </c>
      <c r="L17" s="51">
        <f>SUM(L5:L16)</f>
        <v>77520</v>
      </c>
      <c r="M17" s="760">
        <f>SUM(M5:M16)</f>
        <v>88189</v>
      </c>
      <c r="N17" s="760">
        <f>SUM(N5:N16)</f>
        <v>28156</v>
      </c>
    </row>
    <row r="18" spans="2:16" x14ac:dyDescent="0.35">
      <c r="L18" s="4"/>
    </row>
    <row r="19" spans="2:16" x14ac:dyDescent="0.35">
      <c r="B19" s="3" t="s">
        <v>525</v>
      </c>
      <c r="C19" s="2">
        <f>+C17/4</f>
        <v>8523.75</v>
      </c>
      <c r="D19" s="2">
        <f t="shared" ref="D19:N19" si="1">+D17/12</f>
        <v>7634.333333333333</v>
      </c>
      <c r="E19" s="2">
        <f t="shared" si="1"/>
        <v>8651.7166666666672</v>
      </c>
      <c r="F19" s="2">
        <f t="shared" si="1"/>
        <v>8823.5833333333339</v>
      </c>
      <c r="G19" s="2">
        <f t="shared" si="1"/>
        <v>5109</v>
      </c>
      <c r="H19" s="2">
        <f t="shared" si="1"/>
        <v>4219.083333333333</v>
      </c>
      <c r="I19" s="2">
        <f t="shared" si="1"/>
        <v>6034.166666666667</v>
      </c>
      <c r="J19" s="2">
        <f t="shared" si="1"/>
        <v>7655.083333333333</v>
      </c>
      <c r="K19" s="2">
        <f t="shared" si="1"/>
        <v>8813.5</v>
      </c>
      <c r="L19" s="2">
        <f t="shared" si="1"/>
        <v>6460</v>
      </c>
      <c r="M19" s="2">
        <f t="shared" si="1"/>
        <v>7349.083333333333</v>
      </c>
      <c r="N19" s="2">
        <f t="shared" si="1"/>
        <v>2346.3333333333335</v>
      </c>
    </row>
    <row r="21" spans="2:16" x14ac:dyDescent="0.35">
      <c r="B21" s="3" t="s">
        <v>607</v>
      </c>
    </row>
    <row r="22" spans="2:16" x14ac:dyDescent="0.35">
      <c r="B22" s="3" t="s">
        <v>608</v>
      </c>
      <c r="D22" s="4">
        <f>+D5+D6+D7</f>
        <v>13679</v>
      </c>
      <c r="E22" s="4">
        <f t="shared" ref="E22:J22" si="2">+E5+E6+E7</f>
        <v>17536</v>
      </c>
      <c r="F22" s="4">
        <f t="shared" si="2"/>
        <v>19683</v>
      </c>
      <c r="G22" s="4">
        <f t="shared" si="2"/>
        <v>11959</v>
      </c>
      <c r="H22" s="4">
        <f t="shared" si="2"/>
        <v>14125</v>
      </c>
      <c r="I22" s="4">
        <f t="shared" si="2"/>
        <v>9065</v>
      </c>
      <c r="J22" s="2">
        <f t="shared" si="2"/>
        <v>18249</v>
      </c>
      <c r="K22" s="2">
        <f>+K5+K6+K7</f>
        <v>18547</v>
      </c>
      <c r="L22" s="2">
        <f>+L5+L6+L7</f>
        <v>11868</v>
      </c>
      <c r="M22" s="2">
        <f>+M5+M6+M7</f>
        <v>16795</v>
      </c>
      <c r="N22" s="2">
        <f>+N5+N6+N7</f>
        <v>21872</v>
      </c>
    </row>
    <row r="23" spans="2:16" x14ac:dyDescent="0.35">
      <c r="B23" s="3" t="s">
        <v>609</v>
      </c>
      <c r="D23" s="4">
        <f>+D8+D9+D10</f>
        <v>26463</v>
      </c>
      <c r="E23" s="4">
        <f t="shared" ref="E23:J23" si="3">+E8+E9+E10</f>
        <v>25803</v>
      </c>
      <c r="F23" s="4">
        <f t="shared" si="3"/>
        <v>26200</v>
      </c>
      <c r="G23" s="4">
        <f t="shared" si="3"/>
        <v>10177</v>
      </c>
      <c r="H23" s="4">
        <f t="shared" si="3"/>
        <v>7683</v>
      </c>
      <c r="I23" s="4">
        <f t="shared" si="3"/>
        <v>18586</v>
      </c>
      <c r="J23" s="2">
        <f t="shared" si="3"/>
        <v>26731</v>
      </c>
      <c r="K23" s="2">
        <f>+K8+K9+K10</f>
        <v>29900</v>
      </c>
      <c r="L23" s="2">
        <f>+L8+L9+L10</f>
        <v>23468</v>
      </c>
      <c r="M23" s="338">
        <f>+M8+M9+M10</f>
        <v>27241</v>
      </c>
      <c r="N23" s="338">
        <f>+N8+N9+N10</f>
        <v>6284</v>
      </c>
    </row>
    <row r="24" spans="2:16" x14ac:dyDescent="0.35">
      <c r="B24" s="3" t="s">
        <v>610</v>
      </c>
      <c r="D24" s="4">
        <f>+D11+D12+D13</f>
        <v>26294</v>
      </c>
      <c r="E24" s="4">
        <f t="shared" ref="E24:J24" si="4">+E11+E12+E13</f>
        <v>24233</v>
      </c>
      <c r="F24" s="4">
        <f t="shared" si="4"/>
        <v>27000</v>
      </c>
      <c r="G24" s="4">
        <f t="shared" si="4"/>
        <v>18492</v>
      </c>
      <c r="H24" s="4">
        <f t="shared" si="4"/>
        <v>13293</v>
      </c>
      <c r="I24" s="4">
        <f t="shared" si="4"/>
        <v>19566</v>
      </c>
      <c r="J24" s="2">
        <f t="shared" si="4"/>
        <v>21646</v>
      </c>
      <c r="K24" s="2">
        <f>+K11+K12+K13</f>
        <v>27943</v>
      </c>
      <c r="L24" s="2">
        <f>+L11+L12+L13</f>
        <v>20657</v>
      </c>
      <c r="M24" s="2">
        <f>+M11+M12+M13</f>
        <v>19047</v>
      </c>
      <c r="N24" s="2">
        <f>+N11+N12+N13</f>
        <v>0</v>
      </c>
    </row>
    <row r="25" spans="2:16" x14ac:dyDescent="0.35">
      <c r="B25" s="3" t="s">
        <v>611</v>
      </c>
      <c r="D25" s="4">
        <f>+D14+D15+D16</f>
        <v>25176</v>
      </c>
      <c r="E25" s="4">
        <f t="shared" ref="E25:J25" si="5">+E14+E15+E16</f>
        <v>36248.6</v>
      </c>
      <c r="F25" s="4">
        <f t="shared" si="5"/>
        <v>33000</v>
      </c>
      <c r="G25" s="4">
        <f t="shared" si="5"/>
        <v>20680</v>
      </c>
      <c r="H25" s="4">
        <f t="shared" si="5"/>
        <v>15528</v>
      </c>
      <c r="I25" s="4">
        <f t="shared" si="5"/>
        <v>25193</v>
      </c>
      <c r="J25" s="2">
        <f t="shared" si="5"/>
        <v>25235</v>
      </c>
      <c r="K25" s="2">
        <f>+K14+K15+K16</f>
        <v>29372</v>
      </c>
      <c r="L25" s="2">
        <f>+L14+L15+L16</f>
        <v>21527</v>
      </c>
      <c r="M25" s="338">
        <f>+M14+M15+M16</f>
        <v>25106</v>
      </c>
      <c r="N25" s="338">
        <f>+N14+N15+N16</f>
        <v>0</v>
      </c>
    </row>
    <row r="26" spans="2:16" ht="15" thickBot="1" x14ac:dyDescent="0.4"/>
    <row r="27" spans="2:16" ht="15" thickBot="1" x14ac:dyDescent="0.4">
      <c r="D27" s="258">
        <f>SUM(D22:D26)</f>
        <v>91612</v>
      </c>
      <c r="E27" s="259">
        <f t="shared" ref="E27:N27" si="6">SUM(E22:E26)</f>
        <v>103820.6</v>
      </c>
      <c r="F27" s="259">
        <f t="shared" si="6"/>
        <v>105883</v>
      </c>
      <c r="G27" s="259">
        <f t="shared" si="6"/>
        <v>61308</v>
      </c>
      <c r="H27" s="259">
        <f t="shared" si="6"/>
        <v>50629</v>
      </c>
      <c r="I27" s="259">
        <f t="shared" si="6"/>
        <v>72410</v>
      </c>
      <c r="J27" s="260">
        <f t="shared" si="6"/>
        <v>91861</v>
      </c>
      <c r="K27" s="260">
        <f t="shared" si="6"/>
        <v>105762</v>
      </c>
      <c r="L27" s="260">
        <f t="shared" si="6"/>
        <v>77520</v>
      </c>
      <c r="M27" s="876">
        <f t="shared" si="6"/>
        <v>88189</v>
      </c>
      <c r="N27" s="260">
        <f t="shared" si="6"/>
        <v>28156</v>
      </c>
    </row>
    <row r="28" spans="2:16" x14ac:dyDescent="0.35">
      <c r="M28" s="4"/>
    </row>
    <row r="29" spans="2:16" x14ac:dyDescent="0.35">
      <c r="B29" s="3" t="s">
        <v>726</v>
      </c>
      <c r="D29" s="2">
        <f>+D27/4</f>
        <v>22903</v>
      </c>
      <c r="E29" s="2">
        <f t="shared" ref="E29:M29" si="7">+E27/4</f>
        <v>25955.15</v>
      </c>
      <c r="F29" s="2">
        <f t="shared" si="7"/>
        <v>26470.75</v>
      </c>
      <c r="G29" s="2">
        <f t="shared" si="7"/>
        <v>15327</v>
      </c>
      <c r="H29" s="2">
        <f t="shared" si="7"/>
        <v>12657.25</v>
      </c>
      <c r="I29" s="2">
        <f t="shared" si="7"/>
        <v>18102.5</v>
      </c>
      <c r="J29" s="2">
        <f>+J27/4</f>
        <v>22965.25</v>
      </c>
      <c r="K29" s="2">
        <f>+K27/4</f>
        <v>26440.5</v>
      </c>
      <c r="L29" s="2">
        <f t="shared" si="7"/>
        <v>19380</v>
      </c>
      <c r="M29" s="2">
        <f t="shared" si="7"/>
        <v>22047.25</v>
      </c>
    </row>
    <row r="31" spans="2:16" ht="15" thickBot="1" x14ac:dyDescent="0.4"/>
    <row r="32" spans="2:16" ht="15" thickBot="1" x14ac:dyDescent="0.4">
      <c r="D32" s="553"/>
      <c r="E32" s="554"/>
      <c r="F32" s="557"/>
      <c r="G32" s="555"/>
      <c r="H32" s="335"/>
      <c r="I32" s="335"/>
      <c r="J32" s="335"/>
      <c r="K32" s="335"/>
      <c r="L32" s="335"/>
      <c r="M32" s="335"/>
      <c r="N32" s="556"/>
      <c r="O32" s="335"/>
      <c r="P32" s="336"/>
    </row>
    <row r="33" spans="2:16" ht="29.5" thickBot="1" x14ac:dyDescent="0.4">
      <c r="D33" s="537" t="s">
        <v>76</v>
      </c>
      <c r="E33" s="558" t="s">
        <v>1533</v>
      </c>
      <c r="F33" s="539" t="s">
        <v>1287</v>
      </c>
      <c r="G33" s="538" t="s">
        <v>1532</v>
      </c>
      <c r="H33" s="539" t="s">
        <v>1288</v>
      </c>
      <c r="I33" s="540"/>
      <c r="J33" s="541"/>
      <c r="K33" s="540"/>
      <c r="L33" s="540"/>
      <c r="M33" s="541"/>
      <c r="N33" s="542"/>
      <c r="O33" s="543"/>
      <c r="P33" s="544"/>
    </row>
    <row r="34" spans="2:16" x14ac:dyDescent="0.35">
      <c r="D34" s="545" t="s">
        <v>104</v>
      </c>
      <c r="E34" s="559"/>
      <c r="F34" s="380" t="e">
        <f>+'daily sales'!#REF!</f>
        <v>#REF!</v>
      </c>
      <c r="G34" s="546">
        <f>+'stock purchase 2026'!I1158</f>
        <v>3538.2857142857074</v>
      </c>
      <c r="H34" s="381" t="e">
        <f>+'daily sales'!#REF!</f>
        <v>#REF!</v>
      </c>
      <c r="I34" s="381"/>
      <c r="J34" s="382"/>
      <c r="K34" s="383"/>
      <c r="L34" s="383"/>
      <c r="M34" s="384"/>
      <c r="N34" s="382"/>
      <c r="O34" s="374"/>
      <c r="P34" s="327" t="e">
        <f>+'daily sales'!#REF!</f>
        <v>#REF!</v>
      </c>
    </row>
    <row r="35" spans="2:16" x14ac:dyDescent="0.35">
      <c r="D35" s="547" t="s">
        <v>105</v>
      </c>
      <c r="E35" s="560">
        <f>+'stock purchase 2026'!I19</f>
        <v>300</v>
      </c>
      <c r="F35" s="376" t="e">
        <f>+'daily sales'!#REF!</f>
        <v>#REF!</v>
      </c>
      <c r="G35" s="548">
        <f>+'stock purchase 2026'!I1169</f>
        <v>252</v>
      </c>
      <c r="H35" s="111" t="e">
        <f>+'daily sales'!#REF!</f>
        <v>#REF!</v>
      </c>
      <c r="I35" s="111"/>
      <c r="J35" s="235"/>
      <c r="K35" s="44"/>
      <c r="L35" s="44"/>
      <c r="M35" s="253"/>
      <c r="N35" s="234"/>
      <c r="O35" s="374"/>
      <c r="P35" s="327" t="e">
        <f>+'daily sales'!#REF!</f>
        <v>#REF!</v>
      </c>
    </row>
    <row r="36" spans="2:16" x14ac:dyDescent="0.35">
      <c r="D36" s="547" t="s">
        <v>106</v>
      </c>
      <c r="E36" s="560">
        <f>+'stock purchase 2026'!I255</f>
        <v>4191.8799999999865</v>
      </c>
      <c r="F36" s="376" t="e">
        <f>+'daily sales'!#REF!</f>
        <v>#REF!</v>
      </c>
      <c r="G36" s="548">
        <f>+'stock purchase 2026'!I1222</f>
        <v>364.80000000000018</v>
      </c>
      <c r="H36" s="111" t="e">
        <f>+'daily sales'!#REF!</f>
        <v>#REF!</v>
      </c>
      <c r="I36" s="111"/>
      <c r="J36" s="235"/>
      <c r="K36" s="44"/>
      <c r="L36" s="44"/>
      <c r="M36" s="253"/>
      <c r="N36" s="234"/>
      <c r="O36" s="374"/>
      <c r="P36" s="48"/>
    </row>
    <row r="37" spans="2:16" x14ac:dyDescent="0.35">
      <c r="B37" s="42" t="e">
        <f>+H46-F34-F35-F36-F37</f>
        <v>#REF!</v>
      </c>
      <c r="D37" s="547" t="s">
        <v>107</v>
      </c>
      <c r="E37" s="560">
        <f>+'stock purchase 2026'!I379</f>
        <v>4087</v>
      </c>
      <c r="F37" s="376" t="e">
        <f>+'daily sales'!#REF!</f>
        <v>#REF!</v>
      </c>
      <c r="G37" s="548">
        <f>+'stock purchase 2026'!I1248</f>
        <v>41</v>
      </c>
      <c r="H37" s="111" t="e">
        <f>+'daily sales'!#REF!</f>
        <v>#REF!</v>
      </c>
      <c r="I37" s="111"/>
      <c r="J37" s="235"/>
      <c r="K37" s="44"/>
      <c r="L37" s="44"/>
      <c r="M37" s="253"/>
      <c r="N37" s="234"/>
      <c r="O37" s="374"/>
      <c r="P37" s="48"/>
    </row>
    <row r="38" spans="2:16" x14ac:dyDescent="0.35">
      <c r="D38" s="547" t="s">
        <v>108</v>
      </c>
      <c r="E38" s="560"/>
      <c r="F38" s="376" t="e">
        <f>+'daily sales'!#REF!</f>
        <v>#REF!</v>
      </c>
      <c r="G38" s="548">
        <f>+'stock purchase 2026'!I1863</f>
        <v>9628.9499999999516</v>
      </c>
      <c r="H38" s="111" t="e">
        <f>+'daily sales'!#REF!</f>
        <v>#REF!</v>
      </c>
      <c r="I38" s="111"/>
      <c r="J38" s="235"/>
      <c r="K38" s="44"/>
      <c r="L38" s="44"/>
      <c r="M38" s="253"/>
      <c r="N38" s="234"/>
      <c r="O38" s="374"/>
      <c r="P38" s="327"/>
    </row>
    <row r="39" spans="2:16" x14ac:dyDescent="0.35">
      <c r="D39" s="547" t="s">
        <v>109</v>
      </c>
      <c r="E39" s="560">
        <f>+'stock purchase 2026'!I458</f>
        <v>1960</v>
      </c>
      <c r="F39" s="376" t="e">
        <f>+'daily sales'!#REF!</f>
        <v>#REF!</v>
      </c>
      <c r="G39" s="548">
        <f>+'stock purchase 2026'!I1958</f>
        <v>2734.75</v>
      </c>
      <c r="H39" s="111" t="e">
        <f>+'daily sales'!#REF!</f>
        <v>#REF!</v>
      </c>
      <c r="I39" s="111"/>
      <c r="J39" s="235"/>
      <c r="K39" s="44"/>
      <c r="L39" s="44"/>
      <c r="M39" s="253"/>
      <c r="N39" s="234"/>
      <c r="O39" s="375"/>
      <c r="P39" s="48"/>
    </row>
    <row r="40" spans="2:16" x14ac:dyDescent="0.35">
      <c r="D40" s="547" t="s">
        <v>110</v>
      </c>
      <c r="E40" s="560">
        <f>+'stock purchase 2026'!I477</f>
        <v>683.5</v>
      </c>
      <c r="F40" s="376" t="e">
        <f>+'daily sales'!#REF!</f>
        <v>#REF!</v>
      </c>
      <c r="G40" s="548">
        <f>+'stock purchase 2026'!I2009</f>
        <v>1892</v>
      </c>
      <c r="H40" s="111" t="e">
        <f>+'daily sales'!#REF!</f>
        <v>#REF!</v>
      </c>
      <c r="I40" s="111"/>
      <c r="J40" s="235"/>
      <c r="K40" s="44"/>
      <c r="L40" s="44"/>
      <c r="M40" s="253"/>
      <c r="N40" s="234"/>
      <c r="O40" s="374"/>
      <c r="P40" s="48"/>
    </row>
    <row r="41" spans="2:16" x14ac:dyDescent="0.35">
      <c r="D41" s="547" t="s">
        <v>111</v>
      </c>
      <c r="E41" s="560">
        <f>+'stock purchase 2026'!I650</f>
        <v>5598.5</v>
      </c>
      <c r="F41" s="376" t="e">
        <f>+'daily sales'!#REF!</f>
        <v>#REF!</v>
      </c>
      <c r="G41" s="548">
        <f>+'stock purchase 2026'!I2045</f>
        <v>832</v>
      </c>
      <c r="H41" s="111" t="e">
        <f>+'daily sales'!#REF!</f>
        <v>#REF!</v>
      </c>
      <c r="I41" s="111"/>
      <c r="J41" s="235"/>
      <c r="K41" s="44"/>
      <c r="L41" s="44"/>
      <c r="M41" s="253"/>
      <c r="N41" s="234"/>
      <c r="O41" s="374"/>
      <c r="P41" s="48"/>
    </row>
    <row r="42" spans="2:16" x14ac:dyDescent="0.35">
      <c r="D42" s="547" t="s">
        <v>78</v>
      </c>
      <c r="E42" s="560">
        <f>+'stock purchase 2026'!I691</f>
        <v>824</v>
      </c>
      <c r="F42" s="376" t="e">
        <f>+'daily sales'!#REF!</f>
        <v>#REF!</v>
      </c>
      <c r="G42" s="548">
        <f>+'stock purchase 2026'!I2413</f>
        <v>5225.2000000000007</v>
      </c>
      <c r="H42" s="111" t="e">
        <f>+'daily sales'!#REF!</f>
        <v>#REF!</v>
      </c>
      <c r="I42" s="111"/>
      <c r="J42" s="235"/>
      <c r="K42" s="44"/>
      <c r="L42" s="44"/>
      <c r="M42" s="253"/>
      <c r="N42" s="234"/>
      <c r="O42" s="374"/>
      <c r="P42" s="48"/>
    </row>
    <row r="43" spans="2:16" x14ac:dyDescent="0.35">
      <c r="D43" s="547" t="s">
        <v>79</v>
      </c>
      <c r="E43" s="560">
        <f>+'stock purchase 2026'!I778</f>
        <v>4046.8</v>
      </c>
      <c r="F43" s="376" t="e">
        <f>+'daily sales'!#REF!</f>
        <v>#REF!</v>
      </c>
      <c r="G43" s="548">
        <f>+'stock purchase 2026'!I2466</f>
        <v>6497.2000000000007</v>
      </c>
      <c r="H43" s="111" t="e">
        <f>+'daily sales'!#REF!+'daily sales'!#REF!</f>
        <v>#REF!</v>
      </c>
      <c r="I43" s="111"/>
      <c r="J43" s="235"/>
      <c r="K43" s="44"/>
      <c r="L43" s="44"/>
      <c r="M43" s="253"/>
      <c r="N43" s="234"/>
      <c r="O43" s="374"/>
      <c r="P43" s="48"/>
    </row>
    <row r="44" spans="2:16" x14ac:dyDescent="0.35">
      <c r="D44" s="547" t="s">
        <v>80</v>
      </c>
      <c r="E44" s="560">
        <f>+'stock purchase 2026'!I853</f>
        <v>2300</v>
      </c>
      <c r="F44" s="376" t="e">
        <f>+'daily sales'!#REF!</f>
        <v>#REF!</v>
      </c>
      <c r="G44" s="548">
        <f>+'stock purchase 2026'!I2846</f>
        <v>4523.285714285721</v>
      </c>
      <c r="H44" s="111">
        <f>+M15</f>
        <v>5325</v>
      </c>
      <c r="I44" s="111"/>
      <c r="J44" s="235"/>
      <c r="K44" s="44"/>
      <c r="L44" s="44"/>
      <c r="M44" s="253"/>
      <c r="N44" s="234"/>
      <c r="O44" s="374"/>
      <c r="P44" s="48"/>
    </row>
    <row r="45" spans="2:16" ht="15" thickBot="1" x14ac:dyDescent="0.4">
      <c r="D45" s="549" t="s">
        <v>81</v>
      </c>
      <c r="E45" s="561">
        <f>+'stock purchase 2026'!I871</f>
        <v>343</v>
      </c>
      <c r="F45" s="376" t="e">
        <f>+'daily sales'!#REF!</f>
        <v>#REF!</v>
      </c>
      <c r="G45" s="550">
        <f>+'stock purchase 2026'!I2875</f>
        <v>489.27536231884056</v>
      </c>
      <c r="H45" s="236">
        <f>+M16</f>
        <v>10621</v>
      </c>
      <c r="I45" s="236"/>
      <c r="J45" s="237"/>
      <c r="K45" s="238"/>
      <c r="L45" s="238"/>
      <c r="M45" s="254"/>
      <c r="N45" s="326"/>
      <c r="O45" s="374"/>
      <c r="P45" s="48"/>
    </row>
    <row r="46" spans="2:16" ht="15" thickBot="1" x14ac:dyDescent="0.4">
      <c r="D46" s="551" t="s">
        <v>25</v>
      </c>
      <c r="E46" s="552">
        <f>SUM(E34:E45)</f>
        <v>24334.679999999986</v>
      </c>
      <c r="F46" s="51" t="e">
        <f t="shared" ref="F46:N46" si="8">SUM(F34:F45)</f>
        <v>#REF!</v>
      </c>
      <c r="G46" s="548">
        <f t="shared" si="8"/>
        <v>36018.746790890225</v>
      </c>
      <c r="H46" s="51" t="e">
        <f t="shared" si="8"/>
        <v>#REF!</v>
      </c>
      <c r="I46" s="51">
        <f t="shared" si="8"/>
        <v>0</v>
      </c>
      <c r="J46" s="51">
        <f t="shared" si="8"/>
        <v>0</v>
      </c>
      <c r="K46" s="51">
        <f t="shared" si="8"/>
        <v>0</v>
      </c>
      <c r="L46" s="51">
        <f t="shared" si="8"/>
        <v>0</v>
      </c>
      <c r="M46" s="51">
        <f t="shared" si="8"/>
        <v>0</v>
      </c>
      <c r="N46" s="51">
        <f t="shared" si="8"/>
        <v>0</v>
      </c>
      <c r="O46" s="51">
        <f>SUM(O34:O45)</f>
        <v>0</v>
      </c>
      <c r="P46" s="51" t="e">
        <f>SUM(P34:P45)</f>
        <v>#REF!</v>
      </c>
    </row>
    <row r="47" spans="2:16" x14ac:dyDescent="0.35">
      <c r="B47" s="3" t="s">
        <v>38</v>
      </c>
      <c r="D47" s="562"/>
      <c r="E47" s="563" t="e">
        <f>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</f>
        <v>#REF!</v>
      </c>
      <c r="G47" s="565" t="e">
        <f>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+cashbook!#REF!</f>
        <v>#REF!</v>
      </c>
      <c r="H47" s="564"/>
      <c r="I47" s="564"/>
      <c r="J47" s="564"/>
      <c r="K47" s="564"/>
      <c r="L47" s="564"/>
      <c r="M47" s="564"/>
      <c r="N47" s="564"/>
      <c r="O47" s="564"/>
      <c r="P47" s="564"/>
    </row>
    <row r="48" spans="2:16" x14ac:dyDescent="0.35">
      <c r="D48" s="562"/>
      <c r="E48" s="563"/>
      <c r="F48" s="564"/>
      <c r="G48" s="565"/>
      <c r="H48" s="564"/>
      <c r="I48" s="564"/>
      <c r="J48" s="564"/>
      <c r="K48" s="564"/>
      <c r="L48" s="564"/>
      <c r="M48" s="564"/>
      <c r="N48" s="564"/>
      <c r="O48" s="564"/>
      <c r="P48" s="564"/>
    </row>
    <row r="49" spans="2:11" x14ac:dyDescent="0.35">
      <c r="B49" s="3" t="s">
        <v>2101</v>
      </c>
      <c r="F49" s="564" t="e">
        <f>+F46-E46-E47</f>
        <v>#REF!</v>
      </c>
      <c r="G49" s="4" t="e">
        <f>+H46-G46-G47</f>
        <v>#REF!</v>
      </c>
    </row>
    <row r="52" spans="2:11" x14ac:dyDescent="0.35">
      <c r="J52"/>
      <c r="K52" s="2"/>
    </row>
    <row r="53" spans="2:11" x14ac:dyDescent="0.35">
      <c r="C53" s="3"/>
    </row>
    <row r="61" spans="2:11" x14ac:dyDescent="0.35">
      <c r="C61" s="3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AA3421"/>
  <sheetViews>
    <sheetView view="pageBreakPreview" topLeftCell="F1" zoomScaleNormal="140" zoomScaleSheetLayoutView="100" workbookViewId="0">
      <pane ySplit="1" topLeftCell="A3233" activePane="bottomLeft" state="frozen"/>
      <selection activeCell="E33" sqref="E33"/>
      <selection pane="bottomLeft" activeCell="F3261" sqref="A3261:XFD3352"/>
    </sheetView>
  </sheetViews>
  <sheetFormatPr defaultColWidth="9.1796875" defaultRowHeight="14.5" outlineLevelRow="1" x14ac:dyDescent="0.35"/>
  <cols>
    <col min="1" max="1" width="8.26953125" style="3" hidden="1" customWidth="1"/>
    <col min="2" max="2" width="15.7265625" style="3" hidden="1" customWidth="1"/>
    <col min="3" max="4" width="14.54296875" style="233" customWidth="1"/>
    <col min="5" max="5" width="8.26953125" customWidth="1"/>
    <col min="6" max="6" width="7.81640625" style="366" customWidth="1"/>
    <col min="7" max="7" width="40.453125" style="245" customWidth="1"/>
    <col min="8" max="8" width="9.90625" style="245" customWidth="1"/>
    <col min="9" max="9" width="13.1796875" style="173" customWidth="1"/>
    <col min="10" max="10" width="12.453125" customWidth="1"/>
    <col min="11" max="11" width="16" style="173" customWidth="1"/>
    <col min="12" max="12" width="9.1796875" style="173" customWidth="1"/>
    <col min="13" max="13" width="8.26953125" style="173" customWidth="1"/>
    <col min="14" max="14" width="9.1796875" customWidth="1"/>
    <col min="15" max="15" width="9.453125" style="173" customWidth="1"/>
    <col min="16" max="16" width="10.54296875" style="173" bestFit="1" customWidth="1"/>
    <col min="17" max="17" width="8.453125" customWidth="1"/>
    <col min="18" max="18" width="9.26953125" customWidth="1"/>
    <col min="19" max="19" width="24.7265625" customWidth="1"/>
    <col min="20" max="20" width="10.26953125" bestFit="1" customWidth="1"/>
    <col min="21" max="21" width="10.7265625" bestFit="1" customWidth="1"/>
  </cols>
  <sheetData>
    <row r="1" spans="1:23" s="63" customFormat="1" ht="46.5" customHeight="1" x14ac:dyDescent="0.35">
      <c r="A1" s="63" t="s">
        <v>546</v>
      </c>
      <c r="B1" s="63" t="s">
        <v>1014</v>
      </c>
      <c r="C1" s="363" t="s">
        <v>0</v>
      </c>
      <c r="D1" s="363"/>
      <c r="E1" s="168" t="s">
        <v>20</v>
      </c>
      <c r="F1" s="168" t="s">
        <v>402</v>
      </c>
      <c r="G1" s="270" t="s">
        <v>1</v>
      </c>
      <c r="H1" s="270"/>
      <c r="I1" s="169" t="s">
        <v>2</v>
      </c>
      <c r="J1" s="169" t="s">
        <v>3</v>
      </c>
      <c r="K1" s="169" t="s">
        <v>722</v>
      </c>
      <c r="L1" s="169" t="s">
        <v>5</v>
      </c>
      <c r="M1" s="169" t="s">
        <v>6</v>
      </c>
      <c r="N1" s="170" t="s">
        <v>7</v>
      </c>
      <c r="O1" s="169" t="s">
        <v>8</v>
      </c>
      <c r="P1" s="172" t="s">
        <v>9</v>
      </c>
      <c r="Q1" s="169" t="s">
        <v>27</v>
      </c>
      <c r="R1" s="169" t="s">
        <v>315</v>
      </c>
      <c r="S1" s="169"/>
      <c r="T1" s="171" t="s">
        <v>22</v>
      </c>
      <c r="U1" s="169" t="s">
        <v>21</v>
      </c>
      <c r="W1" s="169"/>
    </row>
    <row r="2" spans="1:23" s="63" customFormat="1" ht="18" hidden="1" customHeight="1" x14ac:dyDescent="0.35">
      <c r="C2" s="403">
        <v>45323</v>
      </c>
      <c r="D2" s="403"/>
      <c r="E2" s="168"/>
      <c r="F2" s="168"/>
      <c r="G2" s="270"/>
      <c r="H2" s="270"/>
      <c r="I2" s="169"/>
      <c r="J2" s="169"/>
      <c r="K2" s="169"/>
      <c r="L2" s="169"/>
      <c r="M2" s="169"/>
      <c r="N2" s="170"/>
      <c r="O2" s="169"/>
      <c r="P2" s="172"/>
      <c r="Q2" s="169"/>
      <c r="R2" s="169"/>
      <c r="S2" s="169"/>
      <c r="T2" s="171"/>
      <c r="U2" s="169"/>
      <c r="W2" s="169"/>
    </row>
    <row r="3" spans="1:23" s="63" customFormat="1" ht="18" hidden="1" customHeight="1" x14ac:dyDescent="0.35">
      <c r="B3" s="63" t="s">
        <v>469</v>
      </c>
      <c r="C3" s="363" t="s">
        <v>1069</v>
      </c>
      <c r="D3" s="363"/>
      <c r="E3" s="168"/>
      <c r="F3" s="168">
        <v>44</v>
      </c>
      <c r="G3" s="270" t="s">
        <v>1070</v>
      </c>
      <c r="H3" s="270"/>
      <c r="I3" s="169">
        <v>25</v>
      </c>
      <c r="J3" s="169"/>
      <c r="K3" s="169"/>
      <c r="L3" s="169"/>
      <c r="M3" s="169"/>
      <c r="N3" s="170"/>
      <c r="O3" s="169">
        <v>90</v>
      </c>
      <c r="P3" s="169">
        <v>90</v>
      </c>
      <c r="Q3" s="169"/>
      <c r="R3" s="169"/>
      <c r="S3" s="405" t="s">
        <v>1074</v>
      </c>
      <c r="T3" s="406">
        <v>45359</v>
      </c>
      <c r="U3" s="405">
        <f>+P3*18000</f>
        <v>1620000</v>
      </c>
      <c r="W3" s="169"/>
    </row>
    <row r="4" spans="1:23" s="63" customFormat="1" ht="18" hidden="1" customHeight="1" x14ac:dyDescent="0.35">
      <c r="B4" s="63" t="s">
        <v>469</v>
      </c>
      <c r="C4" s="363" t="s">
        <v>1069</v>
      </c>
      <c r="D4" s="363"/>
      <c r="E4" s="168"/>
      <c r="F4" s="168">
        <v>46</v>
      </c>
      <c r="G4" s="270" t="s">
        <v>1070</v>
      </c>
      <c r="H4" s="270"/>
      <c r="I4" s="169">
        <v>25</v>
      </c>
      <c r="J4" s="169"/>
      <c r="K4" s="169"/>
      <c r="L4" s="169"/>
      <c r="M4" s="169"/>
      <c r="N4" s="170"/>
      <c r="O4" s="169">
        <v>90</v>
      </c>
      <c r="P4" s="169">
        <v>90</v>
      </c>
      <c r="Q4" s="169"/>
      <c r="R4" s="169"/>
      <c r="S4" s="405" t="s">
        <v>1078</v>
      </c>
      <c r="T4" s="406">
        <v>45377</v>
      </c>
      <c r="U4" s="405">
        <f>+P4*20000</f>
        <v>1800000</v>
      </c>
      <c r="W4" s="169"/>
    </row>
    <row r="5" spans="1:23" s="63" customFormat="1" ht="18" hidden="1" customHeight="1" x14ac:dyDescent="0.35">
      <c r="B5" s="63" t="s">
        <v>469</v>
      </c>
      <c r="C5" s="363" t="s">
        <v>1069</v>
      </c>
      <c r="D5" s="363"/>
      <c r="E5" s="168"/>
      <c r="F5" s="168">
        <v>48</v>
      </c>
      <c r="G5" s="270" t="s">
        <v>1070</v>
      </c>
      <c r="H5" s="270"/>
      <c r="I5" s="169">
        <v>25</v>
      </c>
      <c r="J5" s="169"/>
      <c r="K5" s="169"/>
      <c r="L5" s="169"/>
      <c r="M5" s="169"/>
      <c r="N5" s="170"/>
      <c r="O5" s="169">
        <v>90</v>
      </c>
      <c r="P5" s="169">
        <v>90</v>
      </c>
      <c r="Q5" s="169"/>
      <c r="R5" s="169"/>
      <c r="S5" s="405" t="s">
        <v>1075</v>
      </c>
      <c r="T5" s="406">
        <v>45369</v>
      </c>
      <c r="U5" s="405">
        <f>+P5*18000</f>
        <v>1620000</v>
      </c>
      <c r="W5" s="169"/>
    </row>
    <row r="6" spans="1:23" s="63" customFormat="1" ht="18" hidden="1" customHeight="1" x14ac:dyDescent="0.35">
      <c r="B6" s="63" t="s">
        <v>469</v>
      </c>
      <c r="C6" s="363" t="s">
        <v>1069</v>
      </c>
      <c r="D6" s="363"/>
      <c r="E6" s="168"/>
      <c r="F6" s="168">
        <v>50</v>
      </c>
      <c r="G6" s="270" t="s">
        <v>1070</v>
      </c>
      <c r="H6" s="270"/>
      <c r="I6" s="169">
        <v>25</v>
      </c>
      <c r="J6" s="169"/>
      <c r="K6" s="169"/>
      <c r="L6" s="169"/>
      <c r="M6" s="169"/>
      <c r="N6" s="170"/>
      <c r="O6" s="169">
        <v>90</v>
      </c>
      <c r="P6" s="169">
        <v>90</v>
      </c>
      <c r="Q6" s="169"/>
      <c r="R6" s="169"/>
      <c r="S6" s="405" t="s">
        <v>1073</v>
      </c>
      <c r="T6" s="406">
        <v>45358</v>
      </c>
      <c r="U6" s="405">
        <f>+P6*18000</f>
        <v>1620000</v>
      </c>
      <c r="W6" s="169"/>
    </row>
    <row r="7" spans="1:23" s="63" customFormat="1" ht="18" hidden="1" customHeight="1" x14ac:dyDescent="0.35">
      <c r="B7" s="63" t="s">
        <v>469</v>
      </c>
      <c r="C7" s="363" t="s">
        <v>1069</v>
      </c>
      <c r="D7" s="363"/>
      <c r="E7" s="168"/>
      <c r="F7" s="168">
        <v>52</v>
      </c>
      <c r="G7" s="270" t="s">
        <v>1071</v>
      </c>
      <c r="H7" s="270"/>
      <c r="I7" s="169">
        <v>25</v>
      </c>
      <c r="J7" s="169"/>
      <c r="K7" s="169"/>
      <c r="L7" s="169"/>
      <c r="M7" s="169"/>
      <c r="N7" s="170"/>
      <c r="O7" s="169">
        <v>90</v>
      </c>
      <c r="P7" s="169">
        <v>90</v>
      </c>
      <c r="Q7" s="169"/>
      <c r="R7" s="169"/>
      <c r="S7" s="405" t="s">
        <v>12</v>
      </c>
      <c r="T7" s="406">
        <v>45384</v>
      </c>
      <c r="U7" s="405">
        <f>+P7*35000</f>
        <v>3150000</v>
      </c>
      <c r="W7" s="169"/>
    </row>
    <row r="8" spans="1:23" s="63" customFormat="1" ht="18" hidden="1" customHeight="1" x14ac:dyDescent="0.35">
      <c r="B8" s="63" t="s">
        <v>469</v>
      </c>
      <c r="C8" s="363" t="s">
        <v>1069</v>
      </c>
      <c r="D8" s="363"/>
      <c r="E8" s="168"/>
      <c r="F8" s="168">
        <v>54</v>
      </c>
      <c r="G8" s="270" t="s">
        <v>1071</v>
      </c>
      <c r="H8" s="270"/>
      <c r="I8" s="169">
        <v>25</v>
      </c>
      <c r="J8" s="169"/>
      <c r="K8" s="169"/>
      <c r="L8" s="169"/>
      <c r="M8" s="169"/>
      <c r="N8" s="170"/>
      <c r="O8" s="169">
        <v>90</v>
      </c>
      <c r="P8" s="169">
        <v>90</v>
      </c>
      <c r="Q8" s="169"/>
      <c r="R8" s="169"/>
      <c r="S8" s="405"/>
      <c r="T8" s="406"/>
      <c r="U8" s="405"/>
      <c r="W8" s="169"/>
    </row>
    <row r="9" spans="1:23" s="63" customFormat="1" ht="18" hidden="1" customHeight="1" x14ac:dyDescent="0.35">
      <c r="B9" s="63" t="s">
        <v>469</v>
      </c>
      <c r="C9" s="363" t="s">
        <v>1069</v>
      </c>
      <c r="D9" s="363"/>
      <c r="E9" s="168"/>
      <c r="F9" s="168">
        <v>56</v>
      </c>
      <c r="G9" s="270" t="s">
        <v>1071</v>
      </c>
      <c r="H9" s="270"/>
      <c r="I9" s="169">
        <v>25</v>
      </c>
      <c r="J9" s="169"/>
      <c r="K9" s="169"/>
      <c r="L9" s="169"/>
      <c r="M9" s="169"/>
      <c r="N9" s="170"/>
      <c r="O9" s="169">
        <v>90</v>
      </c>
      <c r="P9" s="169">
        <v>90</v>
      </c>
      <c r="Q9" s="169"/>
      <c r="R9" s="169"/>
      <c r="S9" s="405"/>
      <c r="T9" s="406"/>
      <c r="U9" s="405"/>
      <c r="W9" s="169"/>
    </row>
    <row r="10" spans="1:23" s="63" customFormat="1" ht="18" hidden="1" customHeight="1" x14ac:dyDescent="0.35">
      <c r="B10" s="63" t="s">
        <v>469</v>
      </c>
      <c r="C10" s="363" t="s">
        <v>1069</v>
      </c>
      <c r="D10" s="363"/>
      <c r="E10" s="168"/>
      <c r="F10" s="168">
        <v>58</v>
      </c>
      <c r="G10" s="270" t="s">
        <v>1071</v>
      </c>
      <c r="H10" s="270"/>
      <c r="I10" s="169">
        <v>25</v>
      </c>
      <c r="J10" s="169"/>
      <c r="K10" s="169"/>
      <c r="L10" s="169"/>
      <c r="M10" s="169"/>
      <c r="N10" s="170"/>
      <c r="O10" s="169">
        <v>90</v>
      </c>
      <c r="P10" s="169">
        <v>90</v>
      </c>
      <c r="Q10" s="169"/>
      <c r="R10" s="169"/>
      <c r="S10" s="405"/>
      <c r="T10" s="406"/>
      <c r="U10" s="405"/>
      <c r="W10" s="169"/>
    </row>
    <row r="11" spans="1:23" s="63" customFormat="1" ht="18" hidden="1" customHeight="1" x14ac:dyDescent="0.35">
      <c r="B11" s="63" t="s">
        <v>469</v>
      </c>
      <c r="C11" s="363" t="s">
        <v>1069</v>
      </c>
      <c r="D11" s="363"/>
      <c r="E11" s="168"/>
      <c r="F11" s="168">
        <v>44</v>
      </c>
      <c r="G11" s="270" t="s">
        <v>1072</v>
      </c>
      <c r="H11" s="270"/>
      <c r="I11" s="169">
        <v>25</v>
      </c>
      <c r="J11" s="169"/>
      <c r="K11" s="169"/>
      <c r="L11" s="169"/>
      <c r="M11" s="169"/>
      <c r="N11" s="170"/>
      <c r="O11" s="169">
        <v>90</v>
      </c>
      <c r="P11" s="169">
        <v>90</v>
      </c>
      <c r="Q11" s="169"/>
      <c r="R11" s="169"/>
      <c r="S11" s="405" t="s">
        <v>12</v>
      </c>
      <c r="T11" s="406">
        <v>45372</v>
      </c>
      <c r="U11" s="405">
        <f>+P11*20000</f>
        <v>1800000</v>
      </c>
      <c r="W11" s="169"/>
    </row>
    <row r="12" spans="1:23" s="63" customFormat="1" ht="18" hidden="1" customHeight="1" x14ac:dyDescent="0.35">
      <c r="B12" s="63" t="s">
        <v>469</v>
      </c>
      <c r="C12" s="363" t="s">
        <v>1069</v>
      </c>
      <c r="D12" s="363"/>
      <c r="E12" s="168"/>
      <c r="F12" s="168">
        <v>46</v>
      </c>
      <c r="G12" s="270" t="s">
        <v>1072</v>
      </c>
      <c r="H12" s="270"/>
      <c r="I12" s="169">
        <v>25</v>
      </c>
      <c r="J12" s="169"/>
      <c r="K12" s="169"/>
      <c r="L12" s="169"/>
      <c r="M12" s="169"/>
      <c r="N12" s="170"/>
      <c r="O12" s="169">
        <v>90</v>
      </c>
      <c r="P12" s="169">
        <v>90</v>
      </c>
      <c r="Q12" s="169"/>
      <c r="R12" s="169"/>
      <c r="S12" s="405" t="s">
        <v>1074</v>
      </c>
      <c r="T12" s="406">
        <v>45359</v>
      </c>
      <c r="U12" s="405">
        <f>+P12*18000</f>
        <v>1620000</v>
      </c>
      <c r="W12" s="169"/>
    </row>
    <row r="13" spans="1:23" s="63" customFormat="1" ht="18" hidden="1" customHeight="1" x14ac:dyDescent="0.35">
      <c r="B13" s="63" t="s">
        <v>469</v>
      </c>
      <c r="C13" s="363" t="s">
        <v>1069</v>
      </c>
      <c r="D13" s="363"/>
      <c r="E13" s="168"/>
      <c r="F13" s="168">
        <v>48</v>
      </c>
      <c r="G13" s="270" t="s">
        <v>1072</v>
      </c>
      <c r="H13" s="270"/>
      <c r="I13" s="169">
        <v>25</v>
      </c>
      <c r="J13" s="169"/>
      <c r="K13" s="169"/>
      <c r="L13" s="169"/>
      <c r="M13" s="169"/>
      <c r="N13" s="170"/>
      <c r="O13" s="169">
        <v>90</v>
      </c>
      <c r="P13" s="169">
        <v>90</v>
      </c>
      <c r="Q13" s="169"/>
      <c r="R13" s="169"/>
      <c r="S13" s="240" t="s">
        <v>12</v>
      </c>
      <c r="T13" s="406">
        <v>45378</v>
      </c>
      <c r="U13" s="405">
        <f>+P13*30000</f>
        <v>2700000</v>
      </c>
      <c r="W13" s="169"/>
    </row>
    <row r="14" spans="1:23" s="63" customFormat="1" ht="18" hidden="1" customHeight="1" x14ac:dyDescent="0.35">
      <c r="B14" s="63" t="s">
        <v>469</v>
      </c>
      <c r="C14" s="363" t="s">
        <v>1069</v>
      </c>
      <c r="D14" s="363"/>
      <c r="E14" s="168"/>
      <c r="F14" s="168">
        <v>50</v>
      </c>
      <c r="G14" s="270" t="s">
        <v>1072</v>
      </c>
      <c r="H14" s="270"/>
      <c r="I14" s="169">
        <v>25</v>
      </c>
      <c r="J14" s="169"/>
      <c r="K14" s="169"/>
      <c r="L14" s="169"/>
      <c r="M14" s="169"/>
      <c r="N14" s="170"/>
      <c r="O14" s="169">
        <v>90</v>
      </c>
      <c r="P14" s="169">
        <v>90</v>
      </c>
      <c r="Q14" s="169"/>
      <c r="R14" s="169"/>
      <c r="S14" s="240" t="s">
        <v>12</v>
      </c>
      <c r="T14" s="406">
        <v>45384</v>
      </c>
      <c r="U14" s="405">
        <f>+P14*35000</f>
        <v>3150000</v>
      </c>
      <c r="W14" s="169"/>
    </row>
    <row r="15" spans="1:23" s="63" customFormat="1" ht="18" hidden="1" customHeight="1" x14ac:dyDescent="0.35">
      <c r="C15" s="363" t="s">
        <v>1069</v>
      </c>
      <c r="D15" s="363"/>
      <c r="E15" s="168"/>
      <c r="F15" s="168">
        <v>44</v>
      </c>
      <c r="G15" s="264" t="s">
        <v>1160</v>
      </c>
      <c r="H15" s="264"/>
      <c r="I15" s="169"/>
      <c r="J15" s="169"/>
      <c r="K15" s="169"/>
      <c r="L15" s="169"/>
      <c r="M15" s="169"/>
      <c r="N15" s="170"/>
      <c r="O15" s="169"/>
      <c r="P15" s="169">
        <v>90</v>
      </c>
      <c r="Q15" s="169"/>
      <c r="R15" s="169"/>
      <c r="S15" s="240"/>
      <c r="T15" s="406"/>
      <c r="U15" s="405"/>
      <c r="W15" s="169"/>
    </row>
    <row r="16" spans="1:23" s="63" customFormat="1" ht="18" hidden="1" customHeight="1" x14ac:dyDescent="0.35">
      <c r="C16" s="363" t="s">
        <v>1069</v>
      </c>
      <c r="D16" s="363"/>
      <c r="E16" s="168"/>
      <c r="F16" s="168">
        <v>46</v>
      </c>
      <c r="G16" s="264" t="s">
        <v>1160</v>
      </c>
      <c r="H16" s="264"/>
      <c r="I16" s="169"/>
      <c r="J16" s="169"/>
      <c r="K16" s="169"/>
      <c r="L16" s="169"/>
      <c r="M16" s="169"/>
      <c r="N16" s="170"/>
      <c r="O16" s="169"/>
      <c r="P16" s="169">
        <v>90</v>
      </c>
      <c r="Q16" s="169"/>
      <c r="R16" s="169"/>
      <c r="S16" s="240"/>
      <c r="T16" s="406"/>
      <c r="U16" s="405"/>
      <c r="W16" s="169"/>
    </row>
    <row r="17" spans="1:27" s="63" customFormat="1" ht="18" hidden="1" customHeight="1" x14ac:dyDescent="0.35">
      <c r="C17" s="363" t="s">
        <v>1069</v>
      </c>
      <c r="D17" s="363"/>
      <c r="E17" s="168"/>
      <c r="F17" s="168">
        <v>48</v>
      </c>
      <c r="G17" s="264" t="s">
        <v>1160</v>
      </c>
      <c r="H17" s="264"/>
      <c r="I17" s="169"/>
      <c r="J17" s="169"/>
      <c r="K17" s="169"/>
      <c r="L17" s="169"/>
      <c r="M17" s="169"/>
      <c r="N17" s="170"/>
      <c r="O17" s="169"/>
      <c r="P17" s="169">
        <v>90</v>
      </c>
      <c r="Q17" s="169"/>
      <c r="R17" s="169"/>
      <c r="S17" s="240"/>
      <c r="T17" s="406"/>
      <c r="U17" s="405"/>
      <c r="W17" s="169"/>
    </row>
    <row r="18" spans="1:27" s="63" customFormat="1" ht="18" hidden="1" customHeight="1" thickBot="1" x14ac:dyDescent="0.4">
      <c r="C18" s="363" t="s">
        <v>1069</v>
      </c>
      <c r="D18" s="363"/>
      <c r="E18" s="168"/>
      <c r="F18" s="168">
        <v>50</v>
      </c>
      <c r="G18" s="264" t="s">
        <v>1160</v>
      </c>
      <c r="H18" s="264"/>
      <c r="I18" s="169"/>
      <c r="J18" s="169"/>
      <c r="K18" s="169"/>
      <c r="L18" s="169"/>
      <c r="M18" s="169"/>
      <c r="N18" s="170"/>
      <c r="O18" s="169"/>
      <c r="P18" s="169">
        <v>90</v>
      </c>
      <c r="Q18" s="169"/>
      <c r="R18" s="169"/>
      <c r="S18" s="240"/>
      <c r="T18" s="406"/>
      <c r="U18" s="405"/>
      <c r="W18" s="169"/>
    </row>
    <row r="19" spans="1:27" s="63" customFormat="1" ht="18" hidden="1" customHeight="1" thickBot="1" x14ac:dyDescent="0.4">
      <c r="C19" s="363"/>
      <c r="D19" s="363"/>
      <c r="E19" s="168"/>
      <c r="F19" s="168"/>
      <c r="G19" s="270" t="s">
        <v>1292</v>
      </c>
      <c r="H19" s="270"/>
      <c r="I19" s="414">
        <f>SUM(I3:I14)</f>
        <v>300</v>
      </c>
      <c r="J19" s="126"/>
      <c r="K19" s="126"/>
      <c r="L19" s="126"/>
      <c r="M19" s="126"/>
      <c r="N19" s="412"/>
      <c r="O19" s="413">
        <f>SUM(O3:O14)</f>
        <v>1080</v>
      </c>
      <c r="P19" s="172"/>
      <c r="Q19" s="169"/>
      <c r="R19" s="169"/>
      <c r="S19" s="169"/>
      <c r="T19" s="171"/>
      <c r="U19" s="169"/>
      <c r="W19" s="169"/>
    </row>
    <row r="20" spans="1:27" hidden="1" x14ac:dyDescent="0.35">
      <c r="A20"/>
      <c r="C20" s="398"/>
      <c r="D20" s="398"/>
      <c r="I20" s="146"/>
      <c r="N20" s="174"/>
    </row>
    <row r="21" spans="1:27" hidden="1" x14ac:dyDescent="0.35">
      <c r="A21"/>
      <c r="B21" s="3" t="s">
        <v>807</v>
      </c>
      <c r="G21" s="472" t="s">
        <v>1293</v>
      </c>
      <c r="H21" s="472"/>
      <c r="I21" s="146"/>
      <c r="N21" s="174"/>
    </row>
    <row r="22" spans="1:27" hidden="1" x14ac:dyDescent="0.35">
      <c r="A22"/>
      <c r="B22" s="409" t="s">
        <v>1015</v>
      </c>
      <c r="C22" s="233" t="s">
        <v>783</v>
      </c>
      <c r="F22" s="366">
        <v>42</v>
      </c>
      <c r="G22" s="245" t="s">
        <v>1016</v>
      </c>
      <c r="I22" s="146">
        <v>45</v>
      </c>
      <c r="J22">
        <v>4192</v>
      </c>
      <c r="K22" s="173">
        <v>3417</v>
      </c>
      <c r="L22" s="173">
        <f t="shared" ref="L22:L44" si="0">+K22/J22*I22</f>
        <v>36.680582061068705</v>
      </c>
      <c r="M22" s="402">
        <f t="shared" ref="M22:M44" si="1">+I22+L22</f>
        <v>81.680582061068705</v>
      </c>
      <c r="N22" s="174">
        <v>1.4</v>
      </c>
      <c r="O22" s="173">
        <f t="shared" ref="O22:O44" si="2">+M22*N22</f>
        <v>114.35281488549617</v>
      </c>
      <c r="P22" s="173">
        <v>150</v>
      </c>
      <c r="Y22" s="173"/>
      <c r="Z22" s="173"/>
      <c r="AA22" s="173"/>
    </row>
    <row r="23" spans="1:27" hidden="1" x14ac:dyDescent="0.35">
      <c r="A23"/>
      <c r="B23" s="409" t="s">
        <v>1015</v>
      </c>
      <c r="C23" s="233" t="s">
        <v>783</v>
      </c>
      <c r="F23" s="366">
        <v>44</v>
      </c>
      <c r="G23" s="245" t="s">
        <v>1016</v>
      </c>
      <c r="I23" s="146">
        <v>45</v>
      </c>
      <c r="J23">
        <v>4192</v>
      </c>
      <c r="K23" s="173">
        <v>3417</v>
      </c>
      <c r="L23" s="173">
        <f t="shared" si="0"/>
        <v>36.680582061068705</v>
      </c>
      <c r="M23" s="402">
        <f t="shared" si="1"/>
        <v>81.680582061068705</v>
      </c>
      <c r="N23" s="174">
        <v>1.4</v>
      </c>
      <c r="O23" s="173">
        <f t="shared" si="2"/>
        <v>114.35281488549617</v>
      </c>
      <c r="P23" s="173">
        <v>150</v>
      </c>
    </row>
    <row r="24" spans="1:27" hidden="1" x14ac:dyDescent="0.35">
      <c r="A24"/>
      <c r="B24" s="409" t="s">
        <v>1015</v>
      </c>
      <c r="C24" s="233" t="s">
        <v>783</v>
      </c>
      <c r="F24" s="366">
        <v>46</v>
      </c>
      <c r="G24" s="371" t="s">
        <v>1016</v>
      </c>
      <c r="H24" s="371"/>
      <c r="I24" s="370">
        <v>45</v>
      </c>
      <c r="J24" s="12">
        <v>4192</v>
      </c>
      <c r="K24" s="176">
        <v>3417</v>
      </c>
      <c r="L24" s="176">
        <f t="shared" si="0"/>
        <v>36.680582061068705</v>
      </c>
      <c r="M24" s="410">
        <f t="shared" si="1"/>
        <v>81.680582061068705</v>
      </c>
      <c r="N24" s="411">
        <v>1.4</v>
      </c>
      <c r="O24" s="176">
        <f t="shared" si="2"/>
        <v>114.35281488549617</v>
      </c>
      <c r="P24" s="176">
        <v>150</v>
      </c>
      <c r="S24" t="s">
        <v>1099</v>
      </c>
      <c r="T24" s="6">
        <v>45386</v>
      </c>
      <c r="U24">
        <f>+P24*35000</f>
        <v>5250000</v>
      </c>
    </row>
    <row r="25" spans="1:27" hidden="1" x14ac:dyDescent="0.35">
      <c r="A25"/>
      <c r="B25" s="409" t="s">
        <v>1015</v>
      </c>
      <c r="C25" s="233" t="s">
        <v>783</v>
      </c>
      <c r="F25" s="366">
        <v>48</v>
      </c>
      <c r="G25" s="371" t="s">
        <v>1016</v>
      </c>
      <c r="H25" s="371"/>
      <c r="I25" s="370">
        <v>45</v>
      </c>
      <c r="J25" s="12">
        <v>4192</v>
      </c>
      <c r="K25" s="176">
        <v>3417</v>
      </c>
      <c r="L25" s="176">
        <f t="shared" si="0"/>
        <v>36.680582061068705</v>
      </c>
      <c r="M25" s="410">
        <f t="shared" si="1"/>
        <v>81.680582061068705</v>
      </c>
      <c r="N25" s="411">
        <v>1.4</v>
      </c>
      <c r="O25" s="176">
        <f t="shared" si="2"/>
        <v>114.35281488549617</v>
      </c>
      <c r="P25" s="176">
        <v>150</v>
      </c>
      <c r="S25" t="s">
        <v>1086</v>
      </c>
      <c r="T25" s="6">
        <v>45379</v>
      </c>
      <c r="U25">
        <f>+P25*30000</f>
        <v>4500000</v>
      </c>
    </row>
    <row r="26" spans="1:27" hidden="1" x14ac:dyDescent="0.35">
      <c r="A26"/>
      <c r="B26" s="409" t="s">
        <v>1015</v>
      </c>
      <c r="C26" s="233" t="s">
        <v>783</v>
      </c>
      <c r="F26" s="366">
        <v>36</v>
      </c>
      <c r="G26" s="245" t="s">
        <v>1017</v>
      </c>
      <c r="I26" s="146">
        <v>45</v>
      </c>
      <c r="J26">
        <v>4192</v>
      </c>
      <c r="K26" s="173">
        <v>3417</v>
      </c>
      <c r="L26" s="173">
        <f t="shared" si="0"/>
        <v>36.680582061068705</v>
      </c>
      <c r="M26" s="402">
        <f t="shared" si="1"/>
        <v>81.680582061068705</v>
      </c>
      <c r="N26" s="174">
        <v>1.4</v>
      </c>
      <c r="O26" s="173">
        <f t="shared" si="2"/>
        <v>114.35281488549617</v>
      </c>
      <c r="P26" s="173">
        <v>150</v>
      </c>
    </row>
    <row r="27" spans="1:27" hidden="1" x14ac:dyDescent="0.35">
      <c r="A27"/>
      <c r="B27" s="409" t="s">
        <v>1015</v>
      </c>
      <c r="C27" s="233" t="s">
        <v>783</v>
      </c>
      <c r="F27" s="366">
        <v>38</v>
      </c>
      <c r="G27" s="245" t="s">
        <v>1017</v>
      </c>
      <c r="I27" s="146">
        <v>45</v>
      </c>
      <c r="J27">
        <v>4192</v>
      </c>
      <c r="K27" s="173">
        <v>3417</v>
      </c>
      <c r="L27" s="173">
        <f t="shared" si="0"/>
        <v>36.680582061068705</v>
      </c>
      <c r="M27" s="402">
        <f t="shared" si="1"/>
        <v>81.680582061068705</v>
      </c>
      <c r="N27" s="174">
        <v>1.4</v>
      </c>
      <c r="O27" s="173">
        <f t="shared" si="2"/>
        <v>114.35281488549617</v>
      </c>
      <c r="P27" s="173">
        <v>150</v>
      </c>
    </row>
    <row r="28" spans="1:27" hidden="1" x14ac:dyDescent="0.35">
      <c r="A28"/>
      <c r="B28" s="409" t="s">
        <v>1015</v>
      </c>
      <c r="C28" s="233" t="s">
        <v>783</v>
      </c>
      <c r="F28" s="366">
        <v>40</v>
      </c>
      <c r="G28" s="245" t="s">
        <v>1017</v>
      </c>
      <c r="I28" s="146">
        <v>45</v>
      </c>
      <c r="J28">
        <v>4192</v>
      </c>
      <c r="K28" s="173">
        <v>3417</v>
      </c>
      <c r="L28" s="173">
        <f t="shared" si="0"/>
        <v>36.680582061068705</v>
      </c>
      <c r="M28" s="402">
        <f t="shared" si="1"/>
        <v>81.680582061068705</v>
      </c>
      <c r="N28" s="174">
        <v>1.4</v>
      </c>
      <c r="O28" s="173">
        <f t="shared" si="2"/>
        <v>114.35281488549617</v>
      </c>
      <c r="P28" s="173">
        <v>150</v>
      </c>
    </row>
    <row r="29" spans="1:27" hidden="1" x14ac:dyDescent="0.35">
      <c r="A29"/>
      <c r="B29" s="409" t="s">
        <v>1015</v>
      </c>
      <c r="C29" s="233" t="s">
        <v>783</v>
      </c>
      <c r="F29" s="366">
        <v>42</v>
      </c>
      <c r="G29" s="371" t="s">
        <v>1017</v>
      </c>
      <c r="H29" s="371"/>
      <c r="I29" s="370">
        <v>45</v>
      </c>
      <c r="J29" s="12">
        <v>4192</v>
      </c>
      <c r="K29" s="176">
        <v>3417</v>
      </c>
      <c r="L29" s="176">
        <f t="shared" si="0"/>
        <v>36.680582061068705</v>
      </c>
      <c r="M29" s="410">
        <f t="shared" si="1"/>
        <v>81.680582061068705</v>
      </c>
      <c r="N29" s="411">
        <v>1.4</v>
      </c>
      <c r="O29" s="176">
        <f t="shared" si="2"/>
        <v>114.35281488549617</v>
      </c>
      <c r="P29" s="176">
        <v>150</v>
      </c>
      <c r="S29" t="s">
        <v>12</v>
      </c>
      <c r="T29" s="6">
        <v>45378</v>
      </c>
      <c r="U29">
        <f>+P29*30000</f>
        <v>4500000</v>
      </c>
    </row>
    <row r="30" spans="1:27" hidden="1" x14ac:dyDescent="0.35">
      <c r="A30"/>
      <c r="B30" s="409" t="s">
        <v>1028</v>
      </c>
      <c r="C30" s="233" t="s">
        <v>1028</v>
      </c>
      <c r="F30" s="399">
        <v>38</v>
      </c>
      <c r="G30" s="245" t="s">
        <v>1031</v>
      </c>
      <c r="I30" s="146">
        <v>38</v>
      </c>
      <c r="J30">
        <v>4192</v>
      </c>
      <c r="K30" s="173">
        <v>3417</v>
      </c>
      <c r="L30" s="173">
        <f t="shared" si="0"/>
        <v>30.974713740458018</v>
      </c>
      <c r="M30" s="402">
        <f t="shared" si="1"/>
        <v>68.974713740458014</v>
      </c>
      <c r="N30" s="174">
        <v>1.4</v>
      </c>
      <c r="O30" s="173">
        <f t="shared" si="2"/>
        <v>96.564599236641214</v>
      </c>
      <c r="P30" s="173">
        <v>125</v>
      </c>
    </row>
    <row r="31" spans="1:27" hidden="1" x14ac:dyDescent="0.35">
      <c r="A31"/>
      <c r="B31" s="409" t="s">
        <v>1028</v>
      </c>
      <c r="C31" s="233" t="s">
        <v>1028</v>
      </c>
      <c r="F31" s="399">
        <v>40</v>
      </c>
      <c r="G31" s="245" t="s">
        <v>1031</v>
      </c>
      <c r="I31" s="146">
        <v>38</v>
      </c>
      <c r="J31">
        <v>4192</v>
      </c>
      <c r="K31" s="173">
        <v>3417</v>
      </c>
      <c r="L31" s="173">
        <f t="shared" si="0"/>
        <v>30.974713740458018</v>
      </c>
      <c r="M31" s="402">
        <f t="shared" si="1"/>
        <v>68.974713740458014</v>
      </c>
      <c r="N31" s="174">
        <v>1.4</v>
      </c>
      <c r="O31" s="173">
        <f t="shared" si="2"/>
        <v>96.564599236641214</v>
      </c>
      <c r="P31" s="173">
        <v>125</v>
      </c>
    </row>
    <row r="32" spans="1:27" hidden="1" x14ac:dyDescent="0.35">
      <c r="A32"/>
      <c r="B32" s="409" t="s">
        <v>1028</v>
      </c>
      <c r="C32" s="233" t="s">
        <v>1028</v>
      </c>
      <c r="F32" s="399">
        <v>42</v>
      </c>
      <c r="G32" s="245" t="s">
        <v>1031</v>
      </c>
      <c r="I32" s="146">
        <v>38</v>
      </c>
      <c r="J32">
        <v>4192</v>
      </c>
      <c r="K32" s="173">
        <v>3417</v>
      </c>
      <c r="L32" s="173">
        <f t="shared" si="0"/>
        <v>30.974713740458018</v>
      </c>
      <c r="M32" s="402">
        <f t="shared" si="1"/>
        <v>68.974713740458014</v>
      </c>
      <c r="N32" s="174">
        <v>1.4</v>
      </c>
      <c r="O32" s="173">
        <f t="shared" si="2"/>
        <v>96.564599236641214</v>
      </c>
      <c r="P32" s="173">
        <v>125</v>
      </c>
    </row>
    <row r="33" spans="1:21" hidden="1" x14ac:dyDescent="0.35">
      <c r="A33"/>
      <c r="B33" s="409" t="s">
        <v>1028</v>
      </c>
      <c r="C33" s="233" t="s">
        <v>1028</v>
      </c>
      <c r="F33" s="399">
        <v>38</v>
      </c>
      <c r="G33" s="245" t="s">
        <v>1032</v>
      </c>
      <c r="I33" s="146">
        <v>29</v>
      </c>
      <c r="J33">
        <v>4192</v>
      </c>
      <c r="K33" s="173">
        <v>3417</v>
      </c>
      <c r="L33" s="173">
        <f t="shared" si="0"/>
        <v>23.638597328244277</v>
      </c>
      <c r="M33" s="402">
        <f t="shared" si="1"/>
        <v>52.638597328244273</v>
      </c>
      <c r="N33" s="174">
        <v>1.4</v>
      </c>
      <c r="O33" s="173">
        <f t="shared" si="2"/>
        <v>73.694036259541974</v>
      </c>
      <c r="P33" s="173">
        <v>125</v>
      </c>
    </row>
    <row r="34" spans="1:21" hidden="1" x14ac:dyDescent="0.35">
      <c r="A34"/>
      <c r="B34" s="409" t="s">
        <v>1028</v>
      </c>
      <c r="C34" s="233" t="s">
        <v>1028</v>
      </c>
      <c r="F34" s="399">
        <v>40</v>
      </c>
      <c r="G34" s="245" t="s">
        <v>1032</v>
      </c>
      <c r="I34" s="146">
        <v>29</v>
      </c>
      <c r="J34">
        <v>4192</v>
      </c>
      <c r="K34" s="173">
        <v>3417</v>
      </c>
      <c r="L34" s="173">
        <f t="shared" si="0"/>
        <v>23.638597328244277</v>
      </c>
      <c r="M34" s="402">
        <f t="shared" si="1"/>
        <v>52.638597328244273</v>
      </c>
      <c r="N34" s="174">
        <v>1.4</v>
      </c>
      <c r="O34" s="173">
        <f t="shared" si="2"/>
        <v>73.694036259541974</v>
      </c>
      <c r="P34" s="173">
        <v>125</v>
      </c>
    </row>
    <row r="35" spans="1:21" hidden="1" x14ac:dyDescent="0.35">
      <c r="A35"/>
      <c r="B35" s="409" t="s">
        <v>1028</v>
      </c>
      <c r="C35" s="233" t="s">
        <v>1028</v>
      </c>
      <c r="F35" s="399">
        <v>42</v>
      </c>
      <c r="G35" s="245" t="s">
        <v>1032</v>
      </c>
      <c r="I35" s="146">
        <v>29</v>
      </c>
      <c r="J35">
        <v>4192</v>
      </c>
      <c r="K35" s="173">
        <v>3417</v>
      </c>
      <c r="L35" s="173">
        <f t="shared" si="0"/>
        <v>23.638597328244277</v>
      </c>
      <c r="M35" s="402">
        <f t="shared" si="1"/>
        <v>52.638597328244273</v>
      </c>
      <c r="N35" s="174">
        <v>1.4</v>
      </c>
      <c r="O35" s="173">
        <f t="shared" si="2"/>
        <v>73.694036259541974</v>
      </c>
      <c r="P35" s="173">
        <v>125</v>
      </c>
    </row>
    <row r="36" spans="1:21" hidden="1" x14ac:dyDescent="0.35">
      <c r="A36"/>
      <c r="B36" s="409" t="s">
        <v>1051</v>
      </c>
      <c r="C36" s="233" t="s">
        <v>944</v>
      </c>
      <c r="F36" s="366">
        <v>44</v>
      </c>
      <c r="G36" s="245" t="s">
        <v>1052</v>
      </c>
      <c r="I36" s="146">
        <v>68</v>
      </c>
      <c r="J36">
        <v>4192</v>
      </c>
      <c r="K36" s="173">
        <v>3417</v>
      </c>
      <c r="L36" s="173">
        <f t="shared" si="0"/>
        <v>55.42843511450382</v>
      </c>
      <c r="M36" s="402">
        <f t="shared" si="1"/>
        <v>123.42843511450383</v>
      </c>
      <c r="N36" s="174">
        <v>1.4</v>
      </c>
      <c r="O36" s="173">
        <f t="shared" si="2"/>
        <v>172.79980916030536</v>
      </c>
      <c r="P36" s="173">
        <v>200</v>
      </c>
    </row>
    <row r="37" spans="1:21" hidden="1" x14ac:dyDescent="0.35">
      <c r="A37"/>
      <c r="B37" s="409" t="s">
        <v>1051</v>
      </c>
      <c r="C37" s="233" t="s">
        <v>944</v>
      </c>
      <c r="F37" s="366" t="s">
        <v>1128</v>
      </c>
      <c r="G37" s="245" t="s">
        <v>1052</v>
      </c>
      <c r="I37" s="146">
        <v>68</v>
      </c>
      <c r="J37">
        <v>4192</v>
      </c>
      <c r="K37" s="173">
        <v>3417</v>
      </c>
      <c r="L37" s="173">
        <f t="shared" si="0"/>
        <v>55.42843511450382</v>
      </c>
      <c r="M37" s="402">
        <f t="shared" si="1"/>
        <v>123.42843511450383</v>
      </c>
      <c r="N37" s="174">
        <v>1.4</v>
      </c>
      <c r="O37" s="173">
        <f t="shared" si="2"/>
        <v>172.79980916030536</v>
      </c>
      <c r="P37" s="173">
        <v>200</v>
      </c>
    </row>
    <row r="38" spans="1:21" hidden="1" x14ac:dyDescent="0.35">
      <c r="A38"/>
      <c r="B38" s="409" t="s">
        <v>1051</v>
      </c>
      <c r="C38" s="233" t="s">
        <v>944</v>
      </c>
      <c r="F38" s="366">
        <v>48</v>
      </c>
      <c r="G38" s="371" t="s">
        <v>1052</v>
      </c>
      <c r="H38" s="371"/>
      <c r="I38" s="370">
        <v>68</v>
      </c>
      <c r="J38" s="12">
        <v>4192</v>
      </c>
      <c r="K38" s="176">
        <v>3417</v>
      </c>
      <c r="L38" s="176">
        <f t="shared" si="0"/>
        <v>55.42843511450382</v>
      </c>
      <c r="M38" s="410">
        <f t="shared" si="1"/>
        <v>123.42843511450383</v>
      </c>
      <c r="N38" s="411">
        <v>1.4</v>
      </c>
      <c r="O38" s="176">
        <f t="shared" si="2"/>
        <v>172.79980916030536</v>
      </c>
      <c r="P38" s="176">
        <v>200</v>
      </c>
      <c r="S38" t="s">
        <v>1099</v>
      </c>
      <c r="T38" s="6">
        <v>45386</v>
      </c>
      <c r="U38">
        <f>+P38*35000</f>
        <v>7000000</v>
      </c>
    </row>
    <row r="39" spans="1:21" hidden="1" x14ac:dyDescent="0.35">
      <c r="A39"/>
      <c r="B39" s="409" t="s">
        <v>1051</v>
      </c>
      <c r="C39" s="233" t="s">
        <v>1051</v>
      </c>
      <c r="F39" s="366">
        <v>52</v>
      </c>
      <c r="G39" s="245" t="s">
        <v>1053</v>
      </c>
      <c r="I39" s="146">
        <v>68</v>
      </c>
      <c r="J39">
        <v>4192</v>
      </c>
      <c r="K39" s="173">
        <v>3417</v>
      </c>
      <c r="L39" s="173">
        <f t="shared" si="0"/>
        <v>55.42843511450382</v>
      </c>
      <c r="M39" s="402">
        <f t="shared" si="1"/>
        <v>123.42843511450383</v>
      </c>
      <c r="N39" s="174">
        <v>1.4</v>
      </c>
      <c r="O39" s="173">
        <f t="shared" si="2"/>
        <v>172.79980916030536</v>
      </c>
      <c r="P39" s="173">
        <v>200</v>
      </c>
    </row>
    <row r="40" spans="1:21" hidden="1" x14ac:dyDescent="0.35">
      <c r="A40"/>
      <c r="B40" s="409" t="s">
        <v>1051</v>
      </c>
      <c r="C40" s="233" t="s">
        <v>1051</v>
      </c>
      <c r="F40" s="366">
        <v>54</v>
      </c>
      <c r="G40" s="245" t="s">
        <v>1053</v>
      </c>
      <c r="I40" s="146">
        <v>68</v>
      </c>
      <c r="J40">
        <v>4192</v>
      </c>
      <c r="K40" s="173">
        <v>3417</v>
      </c>
      <c r="L40" s="173">
        <f t="shared" si="0"/>
        <v>55.42843511450382</v>
      </c>
      <c r="M40" s="402">
        <f t="shared" si="1"/>
        <v>123.42843511450383</v>
      </c>
      <c r="N40" s="174">
        <v>1.4</v>
      </c>
      <c r="O40" s="173">
        <f t="shared" si="2"/>
        <v>172.79980916030536</v>
      </c>
      <c r="P40" s="173">
        <v>200</v>
      </c>
    </row>
    <row r="41" spans="1:21" hidden="1" x14ac:dyDescent="0.35">
      <c r="A41"/>
      <c r="B41" s="409" t="s">
        <v>1051</v>
      </c>
      <c r="C41" s="233" t="s">
        <v>1051</v>
      </c>
      <c r="F41" s="366">
        <v>56</v>
      </c>
      <c r="G41" s="245" t="s">
        <v>1053</v>
      </c>
      <c r="I41" s="146">
        <v>68</v>
      </c>
      <c r="J41">
        <v>4192</v>
      </c>
      <c r="K41" s="173">
        <v>3417</v>
      </c>
      <c r="L41" s="173">
        <f t="shared" si="0"/>
        <v>55.42843511450382</v>
      </c>
      <c r="M41" s="402">
        <f t="shared" si="1"/>
        <v>123.42843511450383</v>
      </c>
      <c r="N41" s="174">
        <v>1.4</v>
      </c>
      <c r="O41" s="173">
        <f t="shared" si="2"/>
        <v>172.79980916030536</v>
      </c>
      <c r="P41" s="173">
        <v>200</v>
      </c>
    </row>
    <row r="42" spans="1:21" hidden="1" x14ac:dyDescent="0.35">
      <c r="A42"/>
      <c r="B42" s="409" t="s">
        <v>1051</v>
      </c>
      <c r="C42" s="233" t="s">
        <v>1051</v>
      </c>
      <c r="F42" s="366">
        <v>52</v>
      </c>
      <c r="G42" s="245" t="s">
        <v>1054</v>
      </c>
      <c r="I42" s="146">
        <v>39</v>
      </c>
      <c r="J42">
        <v>4192</v>
      </c>
      <c r="K42" s="173">
        <v>3417</v>
      </c>
      <c r="L42" s="173">
        <f t="shared" si="0"/>
        <v>31.789837786259543</v>
      </c>
      <c r="M42" s="402">
        <f t="shared" si="1"/>
        <v>70.78983778625954</v>
      </c>
      <c r="N42" s="174">
        <v>1.4</v>
      </c>
      <c r="O42" s="173">
        <f t="shared" si="2"/>
        <v>99.105772900763355</v>
      </c>
      <c r="P42" s="173" t="s">
        <v>61</v>
      </c>
    </row>
    <row r="43" spans="1:21" hidden="1" x14ac:dyDescent="0.35">
      <c r="A43"/>
      <c r="B43" s="409" t="s">
        <v>1051</v>
      </c>
      <c r="C43" s="233" t="s">
        <v>1051</v>
      </c>
      <c r="F43" s="366">
        <v>54</v>
      </c>
      <c r="G43" s="245" t="s">
        <v>1054</v>
      </c>
      <c r="I43" s="146">
        <v>39</v>
      </c>
      <c r="J43">
        <v>4192</v>
      </c>
      <c r="K43" s="173">
        <v>3417</v>
      </c>
      <c r="L43" s="173">
        <f t="shared" si="0"/>
        <v>31.789837786259543</v>
      </c>
      <c r="M43" s="402">
        <f t="shared" si="1"/>
        <v>70.78983778625954</v>
      </c>
      <c r="N43" s="174">
        <v>1.4</v>
      </c>
      <c r="O43" s="173">
        <f t="shared" si="2"/>
        <v>99.105772900763355</v>
      </c>
      <c r="P43" s="173">
        <v>125</v>
      </c>
    </row>
    <row r="44" spans="1:21" hidden="1" x14ac:dyDescent="0.35">
      <c r="A44"/>
      <c r="B44" s="409" t="s">
        <v>1051</v>
      </c>
      <c r="C44" s="233" t="s">
        <v>1051</v>
      </c>
      <c r="F44" s="366">
        <v>56</v>
      </c>
      <c r="G44" s="245" t="s">
        <v>1054</v>
      </c>
      <c r="I44" s="146">
        <v>39</v>
      </c>
      <c r="J44">
        <v>4192</v>
      </c>
      <c r="K44" s="173">
        <v>3417</v>
      </c>
      <c r="L44" s="173">
        <f t="shared" si="0"/>
        <v>31.789837786259543</v>
      </c>
      <c r="M44" s="402">
        <f t="shared" si="1"/>
        <v>70.78983778625954</v>
      </c>
      <c r="N44" s="174">
        <v>1.4</v>
      </c>
      <c r="O44" s="173">
        <f t="shared" si="2"/>
        <v>99.105772900763355</v>
      </c>
      <c r="P44" s="173">
        <v>125</v>
      </c>
    </row>
    <row r="45" spans="1:21" s="3" customFormat="1" hidden="1" x14ac:dyDescent="0.35">
      <c r="C45" s="232"/>
      <c r="D45" s="232"/>
      <c r="F45" s="340"/>
      <c r="G45" s="256"/>
      <c r="H45" s="256"/>
      <c r="I45" s="146"/>
      <c r="J45" s="400"/>
      <c r="K45" s="400"/>
      <c r="L45" s="400"/>
      <c r="M45" s="400"/>
      <c r="N45" s="400"/>
      <c r="O45" s="400"/>
      <c r="P45" s="400"/>
    </row>
    <row r="46" spans="1:21" hidden="1" x14ac:dyDescent="0.35">
      <c r="A46"/>
      <c r="B46" s="3" t="s">
        <v>13</v>
      </c>
      <c r="I46" s="146"/>
      <c r="N46" s="174"/>
    </row>
    <row r="47" spans="1:21" hidden="1" x14ac:dyDescent="0.35">
      <c r="A47"/>
      <c r="B47" s="409" t="s">
        <v>1018</v>
      </c>
      <c r="C47" s="233" t="s">
        <v>1085</v>
      </c>
      <c r="F47" s="366">
        <v>42</v>
      </c>
      <c r="G47" s="245" t="s">
        <v>1019</v>
      </c>
      <c r="I47" s="146">
        <v>33</v>
      </c>
      <c r="J47">
        <v>4192</v>
      </c>
      <c r="K47" s="173">
        <v>3417</v>
      </c>
      <c r="L47" s="173">
        <f t="shared" ref="L47:L110" si="3">+K47/J47*I47</f>
        <v>26.899093511450381</v>
      </c>
      <c r="M47" s="402">
        <f t="shared" ref="M47:M110" si="4">+I47+L47</f>
        <v>59.899093511450381</v>
      </c>
      <c r="N47" s="174">
        <v>1.4</v>
      </c>
      <c r="O47" s="173">
        <f t="shared" ref="O47:O110" si="5">+M47*N47</f>
        <v>83.858730916030524</v>
      </c>
      <c r="P47" s="173">
        <v>110</v>
      </c>
    </row>
    <row r="48" spans="1:21" hidden="1" x14ac:dyDescent="0.35">
      <c r="A48"/>
      <c r="B48" s="409" t="s">
        <v>1018</v>
      </c>
      <c r="C48" s="233" t="s">
        <v>1085</v>
      </c>
      <c r="F48" s="366">
        <v>44</v>
      </c>
      <c r="G48" s="371" t="s">
        <v>1019</v>
      </c>
      <c r="H48" s="371"/>
      <c r="I48" s="370">
        <v>33</v>
      </c>
      <c r="J48" s="12">
        <v>4192</v>
      </c>
      <c r="K48" s="176">
        <v>3417</v>
      </c>
      <c r="L48" s="176">
        <f t="shared" si="3"/>
        <v>26.899093511450381</v>
      </c>
      <c r="M48" s="410">
        <f t="shared" si="4"/>
        <v>59.899093511450381</v>
      </c>
      <c r="N48" s="411">
        <v>1.4</v>
      </c>
      <c r="O48" s="176">
        <f t="shared" si="5"/>
        <v>83.858730916030524</v>
      </c>
      <c r="P48" s="176">
        <v>110</v>
      </c>
      <c r="S48" t="s">
        <v>12</v>
      </c>
      <c r="T48" s="6">
        <v>45378</v>
      </c>
      <c r="U48">
        <f>+P48*30000</f>
        <v>3300000</v>
      </c>
    </row>
    <row r="49" spans="1:21" hidden="1" x14ac:dyDescent="0.35">
      <c r="A49"/>
      <c r="B49" s="409" t="s">
        <v>1018</v>
      </c>
      <c r="C49" s="233" t="s">
        <v>1085</v>
      </c>
      <c r="F49" s="366">
        <v>46</v>
      </c>
      <c r="G49" s="245" t="s">
        <v>1019</v>
      </c>
      <c r="I49" s="146">
        <v>33</v>
      </c>
      <c r="J49">
        <v>4192</v>
      </c>
      <c r="K49" s="173">
        <v>3417</v>
      </c>
      <c r="L49" s="173">
        <f t="shared" si="3"/>
        <v>26.899093511450381</v>
      </c>
      <c r="M49" s="402">
        <f t="shared" si="4"/>
        <v>59.899093511450381</v>
      </c>
      <c r="N49" s="174">
        <v>1.4</v>
      </c>
      <c r="O49" s="173">
        <f t="shared" si="5"/>
        <v>83.858730916030524</v>
      </c>
      <c r="P49" s="173">
        <v>110</v>
      </c>
    </row>
    <row r="50" spans="1:21" hidden="1" x14ac:dyDescent="0.35">
      <c r="A50"/>
      <c r="B50" s="409" t="s">
        <v>1018</v>
      </c>
      <c r="C50" s="233" t="s">
        <v>1085</v>
      </c>
      <c r="F50" s="366">
        <v>48</v>
      </c>
      <c r="G50" s="245" t="s">
        <v>1019</v>
      </c>
      <c r="I50" s="146">
        <v>33</v>
      </c>
      <c r="J50">
        <v>4192</v>
      </c>
      <c r="K50" s="173">
        <v>3417</v>
      </c>
      <c r="L50" s="173">
        <f t="shared" si="3"/>
        <v>26.899093511450381</v>
      </c>
      <c r="M50" s="402">
        <f t="shared" si="4"/>
        <v>59.899093511450381</v>
      </c>
      <c r="N50" s="174">
        <v>1.4</v>
      </c>
      <c r="O50" s="173">
        <f t="shared" si="5"/>
        <v>83.858730916030524</v>
      </c>
      <c r="P50" s="173">
        <v>110</v>
      </c>
    </row>
    <row r="51" spans="1:21" hidden="1" x14ac:dyDescent="0.35">
      <c r="A51"/>
      <c r="B51" s="3" t="s">
        <v>1020</v>
      </c>
      <c r="C51" s="233" t="s">
        <v>886</v>
      </c>
      <c r="F51" s="366">
        <v>38</v>
      </c>
      <c r="G51" s="245" t="s">
        <v>1021</v>
      </c>
      <c r="I51" s="146">
        <v>40</v>
      </c>
      <c r="J51">
        <v>4192</v>
      </c>
      <c r="K51" s="173">
        <v>3417</v>
      </c>
      <c r="L51" s="173">
        <f t="shared" si="3"/>
        <v>32.604961832061072</v>
      </c>
      <c r="M51" s="402">
        <f t="shared" si="4"/>
        <v>72.604961832061065</v>
      </c>
      <c r="N51" s="174">
        <v>1.4</v>
      </c>
      <c r="O51" s="173">
        <f t="shared" si="5"/>
        <v>101.64694656488548</v>
      </c>
      <c r="P51" s="173">
        <v>125</v>
      </c>
    </row>
    <row r="52" spans="1:21" hidden="1" x14ac:dyDescent="0.35">
      <c r="A52"/>
      <c r="B52" s="3" t="s">
        <v>1020</v>
      </c>
      <c r="C52" s="233" t="s">
        <v>886</v>
      </c>
      <c r="F52" s="366">
        <v>40</v>
      </c>
      <c r="G52" s="245" t="s">
        <v>1021</v>
      </c>
      <c r="I52" s="146">
        <v>40</v>
      </c>
      <c r="J52">
        <v>4192</v>
      </c>
      <c r="K52" s="173">
        <v>3417</v>
      </c>
      <c r="L52" s="173">
        <f t="shared" si="3"/>
        <v>32.604961832061072</v>
      </c>
      <c r="M52" s="402">
        <f t="shared" si="4"/>
        <v>72.604961832061065</v>
      </c>
      <c r="N52" s="174">
        <v>1.4</v>
      </c>
      <c r="O52" s="173">
        <f t="shared" si="5"/>
        <v>101.64694656488548</v>
      </c>
      <c r="P52" s="173">
        <v>125</v>
      </c>
    </row>
    <row r="53" spans="1:21" hidden="1" x14ac:dyDescent="0.35">
      <c r="A53"/>
      <c r="B53" s="3" t="s">
        <v>1020</v>
      </c>
      <c r="C53" s="233" t="s">
        <v>886</v>
      </c>
      <c r="F53" s="366">
        <v>42</v>
      </c>
      <c r="G53" s="371" t="s">
        <v>1021</v>
      </c>
      <c r="H53" s="371"/>
      <c r="I53" s="370">
        <v>40</v>
      </c>
      <c r="J53" s="12">
        <v>4192</v>
      </c>
      <c r="K53" s="176">
        <v>3417</v>
      </c>
      <c r="L53" s="176">
        <f t="shared" si="3"/>
        <v>32.604961832061072</v>
      </c>
      <c r="M53" s="410">
        <f t="shared" si="4"/>
        <v>72.604961832061065</v>
      </c>
      <c r="N53" s="411">
        <v>1.4</v>
      </c>
      <c r="O53" s="176">
        <f t="shared" si="5"/>
        <v>101.64694656488548</v>
      </c>
      <c r="P53" s="176">
        <v>110</v>
      </c>
      <c r="S53" t="s">
        <v>998</v>
      </c>
      <c r="T53" s="6">
        <v>45379</v>
      </c>
      <c r="U53">
        <f>+P53*30000</f>
        <v>3300000</v>
      </c>
    </row>
    <row r="54" spans="1:21" hidden="1" x14ac:dyDescent="0.35">
      <c r="A54"/>
      <c r="B54" s="3" t="s">
        <v>1020</v>
      </c>
      <c r="C54" s="233" t="s">
        <v>886</v>
      </c>
      <c r="F54" s="366">
        <v>44</v>
      </c>
      <c r="G54" s="245" t="s">
        <v>1021</v>
      </c>
      <c r="I54" s="146">
        <v>40</v>
      </c>
      <c r="J54">
        <v>4192</v>
      </c>
      <c r="K54" s="173">
        <v>3417</v>
      </c>
      <c r="L54" s="173">
        <f t="shared" si="3"/>
        <v>32.604961832061072</v>
      </c>
      <c r="M54" s="402">
        <f t="shared" si="4"/>
        <v>72.604961832061065</v>
      </c>
      <c r="N54" s="174">
        <v>1.4</v>
      </c>
      <c r="O54" s="173">
        <f t="shared" si="5"/>
        <v>101.64694656488548</v>
      </c>
      <c r="P54" s="173">
        <v>110</v>
      </c>
    </row>
    <row r="55" spans="1:21" hidden="1" x14ac:dyDescent="0.35">
      <c r="A55"/>
      <c r="B55" s="3" t="s">
        <v>1020</v>
      </c>
      <c r="C55" s="233" t="s">
        <v>886</v>
      </c>
      <c r="F55" s="366">
        <v>44</v>
      </c>
      <c r="G55" s="245" t="s">
        <v>1022</v>
      </c>
      <c r="I55" s="145">
        <v>42</v>
      </c>
      <c r="J55">
        <v>4192</v>
      </c>
      <c r="K55" s="173">
        <v>3417</v>
      </c>
      <c r="L55" s="173">
        <f t="shared" si="3"/>
        <v>34.235209923664122</v>
      </c>
      <c r="M55" s="402">
        <f t="shared" si="4"/>
        <v>76.235209923664115</v>
      </c>
      <c r="N55" s="174">
        <v>1.4</v>
      </c>
      <c r="O55" s="173">
        <f t="shared" si="5"/>
        <v>106.72929389312975</v>
      </c>
      <c r="P55" s="173">
        <v>110</v>
      </c>
    </row>
    <row r="56" spans="1:21" hidden="1" x14ac:dyDescent="0.35">
      <c r="A56"/>
      <c r="B56" s="3" t="s">
        <v>1020</v>
      </c>
      <c r="C56" s="233" t="s">
        <v>886</v>
      </c>
      <c r="F56" s="366">
        <v>46</v>
      </c>
      <c r="G56" s="245" t="s">
        <v>1022</v>
      </c>
      <c r="I56" s="145">
        <v>42</v>
      </c>
      <c r="J56">
        <v>4192</v>
      </c>
      <c r="K56" s="173">
        <v>3417</v>
      </c>
      <c r="L56" s="173">
        <f t="shared" si="3"/>
        <v>34.235209923664122</v>
      </c>
      <c r="M56" s="402">
        <f t="shared" si="4"/>
        <v>76.235209923664115</v>
      </c>
      <c r="N56" s="174">
        <v>1.4</v>
      </c>
      <c r="O56" s="173">
        <f t="shared" si="5"/>
        <v>106.72929389312975</v>
      </c>
      <c r="P56" s="173">
        <v>110</v>
      </c>
    </row>
    <row r="57" spans="1:21" hidden="1" x14ac:dyDescent="0.35">
      <c r="A57"/>
      <c r="B57" s="3" t="s">
        <v>1020</v>
      </c>
      <c r="C57" s="233" t="s">
        <v>886</v>
      </c>
      <c r="F57" s="366">
        <v>48</v>
      </c>
      <c r="G57" s="245" t="s">
        <v>1022</v>
      </c>
      <c r="I57" s="145">
        <v>42</v>
      </c>
      <c r="J57">
        <v>4192</v>
      </c>
      <c r="K57" s="173">
        <v>3417</v>
      </c>
      <c r="L57" s="173">
        <f t="shared" si="3"/>
        <v>34.235209923664122</v>
      </c>
      <c r="M57" s="402">
        <f t="shared" si="4"/>
        <v>76.235209923664115</v>
      </c>
      <c r="N57" s="174">
        <v>1.4</v>
      </c>
      <c r="O57" s="173">
        <f t="shared" si="5"/>
        <v>106.72929389312975</v>
      </c>
      <c r="P57" s="173">
        <v>110</v>
      </c>
    </row>
    <row r="58" spans="1:21" hidden="1" x14ac:dyDescent="0.35">
      <c r="A58"/>
      <c r="B58" s="3" t="s">
        <v>1020</v>
      </c>
      <c r="C58" s="233" t="s">
        <v>886</v>
      </c>
      <c r="F58" s="366">
        <v>50</v>
      </c>
      <c r="G58" s="245" t="s">
        <v>1022</v>
      </c>
      <c r="I58" s="145">
        <v>42</v>
      </c>
      <c r="J58">
        <v>4192</v>
      </c>
      <c r="K58" s="173">
        <v>3417</v>
      </c>
      <c r="L58" s="173">
        <f t="shared" si="3"/>
        <v>34.235209923664122</v>
      </c>
      <c r="M58" s="402">
        <f t="shared" si="4"/>
        <v>76.235209923664115</v>
      </c>
      <c r="N58" s="174">
        <v>1.4</v>
      </c>
      <c r="O58" s="173">
        <f t="shared" si="5"/>
        <v>106.72929389312975</v>
      </c>
      <c r="P58" s="173">
        <v>110</v>
      </c>
    </row>
    <row r="59" spans="1:21" hidden="1" x14ac:dyDescent="0.35">
      <c r="A59"/>
      <c r="B59" s="3" t="s">
        <v>1020</v>
      </c>
      <c r="C59" s="233" t="s">
        <v>886</v>
      </c>
      <c r="F59" s="366">
        <v>44</v>
      </c>
      <c r="G59" s="371" t="s">
        <v>1023</v>
      </c>
      <c r="H59" s="371"/>
      <c r="I59" s="342">
        <v>37</v>
      </c>
      <c r="J59" s="12">
        <v>4192</v>
      </c>
      <c r="K59" s="176">
        <v>3417</v>
      </c>
      <c r="L59" s="176">
        <f t="shared" si="3"/>
        <v>30.159589694656489</v>
      </c>
      <c r="M59" s="410">
        <f t="shared" si="4"/>
        <v>67.159589694656489</v>
      </c>
      <c r="N59" s="411">
        <v>1.4</v>
      </c>
      <c r="O59" s="176">
        <f t="shared" si="5"/>
        <v>94.023425572519074</v>
      </c>
      <c r="P59" s="176">
        <v>125</v>
      </c>
      <c r="S59" s="6" t="s">
        <v>998</v>
      </c>
      <c r="T59" s="6">
        <v>45379</v>
      </c>
      <c r="U59">
        <f>+P59*30000</f>
        <v>3750000</v>
      </c>
    </row>
    <row r="60" spans="1:21" hidden="1" x14ac:dyDescent="0.35">
      <c r="A60"/>
      <c r="B60" s="3" t="s">
        <v>1020</v>
      </c>
      <c r="C60" s="233" t="s">
        <v>886</v>
      </c>
      <c r="F60" s="366">
        <v>46</v>
      </c>
      <c r="G60" s="371" t="s">
        <v>1023</v>
      </c>
      <c r="H60" s="371"/>
      <c r="I60" s="342">
        <v>37</v>
      </c>
      <c r="J60" s="12">
        <v>4192</v>
      </c>
      <c r="K60" s="176">
        <v>3417</v>
      </c>
      <c r="L60" s="176">
        <f t="shared" si="3"/>
        <v>30.159589694656489</v>
      </c>
      <c r="M60" s="410">
        <f t="shared" si="4"/>
        <v>67.159589694656489</v>
      </c>
      <c r="N60" s="411">
        <v>1.4</v>
      </c>
      <c r="O60" s="176">
        <f t="shared" si="5"/>
        <v>94.023425572519074</v>
      </c>
      <c r="P60" s="176">
        <v>125</v>
      </c>
      <c r="S60" t="s">
        <v>12</v>
      </c>
      <c r="T60" s="6">
        <v>45378</v>
      </c>
      <c r="U60">
        <f>+P60*30000</f>
        <v>3750000</v>
      </c>
    </row>
    <row r="61" spans="1:21" hidden="1" x14ac:dyDescent="0.35">
      <c r="A61"/>
      <c r="B61" s="3" t="s">
        <v>1020</v>
      </c>
      <c r="C61" s="233" t="s">
        <v>886</v>
      </c>
      <c r="F61" s="366">
        <v>48</v>
      </c>
      <c r="G61" s="245" t="s">
        <v>1023</v>
      </c>
      <c r="I61" s="145">
        <v>37</v>
      </c>
      <c r="J61">
        <v>4192</v>
      </c>
      <c r="K61" s="173">
        <v>3417</v>
      </c>
      <c r="L61" s="173">
        <f t="shared" si="3"/>
        <v>30.159589694656489</v>
      </c>
      <c r="M61" s="402">
        <f t="shared" si="4"/>
        <v>67.159589694656489</v>
      </c>
      <c r="N61" s="174">
        <v>1.4</v>
      </c>
      <c r="O61" s="173">
        <f t="shared" si="5"/>
        <v>94.023425572519074</v>
      </c>
      <c r="P61" s="173">
        <v>125</v>
      </c>
    </row>
    <row r="62" spans="1:21" hidden="1" x14ac:dyDescent="0.35">
      <c r="A62"/>
      <c r="B62" s="3" t="s">
        <v>1020</v>
      </c>
      <c r="C62" s="233" t="s">
        <v>886</v>
      </c>
      <c r="F62" s="366">
        <v>50</v>
      </c>
      <c r="G62" s="245" t="s">
        <v>1023</v>
      </c>
      <c r="I62" s="145">
        <v>37</v>
      </c>
      <c r="J62">
        <v>4192</v>
      </c>
      <c r="K62" s="173">
        <v>3417</v>
      </c>
      <c r="L62" s="173">
        <f t="shared" si="3"/>
        <v>30.159589694656489</v>
      </c>
      <c r="M62" s="402">
        <f t="shared" si="4"/>
        <v>67.159589694656489</v>
      </c>
      <c r="N62" s="174">
        <v>1.4</v>
      </c>
      <c r="O62" s="173">
        <f t="shared" si="5"/>
        <v>94.023425572519074</v>
      </c>
      <c r="P62" s="173">
        <v>125</v>
      </c>
    </row>
    <row r="63" spans="1:21" hidden="1" x14ac:dyDescent="0.35">
      <c r="A63"/>
      <c r="B63" s="409" t="s">
        <v>227</v>
      </c>
      <c r="C63" s="232" t="s">
        <v>864</v>
      </c>
      <c r="D63" s="232"/>
      <c r="F63" s="366">
        <v>42</v>
      </c>
      <c r="G63" s="245" t="s">
        <v>1024</v>
      </c>
      <c r="I63" s="146">
        <v>27</v>
      </c>
      <c r="J63">
        <v>4192</v>
      </c>
      <c r="K63" s="173">
        <v>3417</v>
      </c>
      <c r="L63" s="173">
        <f t="shared" si="3"/>
        <v>22.008349236641223</v>
      </c>
      <c r="M63" s="402">
        <f t="shared" si="4"/>
        <v>49.008349236641223</v>
      </c>
      <c r="N63" s="174">
        <v>1.4</v>
      </c>
      <c r="O63" s="173">
        <f t="shared" si="5"/>
        <v>68.611688931297707</v>
      </c>
      <c r="P63" s="173">
        <v>110</v>
      </c>
    </row>
    <row r="64" spans="1:21" hidden="1" x14ac:dyDescent="0.35">
      <c r="A64"/>
      <c r="B64" s="409" t="s">
        <v>227</v>
      </c>
      <c r="C64" s="232" t="s">
        <v>864</v>
      </c>
      <c r="D64" s="232"/>
      <c r="F64" s="366">
        <v>44</v>
      </c>
      <c r="G64" s="245" t="s">
        <v>1024</v>
      </c>
      <c r="I64" s="146">
        <v>27</v>
      </c>
      <c r="J64">
        <v>4192</v>
      </c>
      <c r="K64" s="173">
        <v>3417</v>
      </c>
      <c r="L64" s="173">
        <f t="shared" si="3"/>
        <v>22.008349236641223</v>
      </c>
      <c r="M64" s="402">
        <f t="shared" si="4"/>
        <v>49.008349236641223</v>
      </c>
      <c r="N64" s="174">
        <v>1.4</v>
      </c>
      <c r="O64" s="173">
        <f t="shared" si="5"/>
        <v>68.611688931297707</v>
      </c>
      <c r="P64" s="173">
        <v>110</v>
      </c>
    </row>
    <row r="65" spans="1:21" hidden="1" x14ac:dyDescent="0.35">
      <c r="A65"/>
      <c r="B65" s="409" t="s">
        <v>227</v>
      </c>
      <c r="C65" s="232" t="s">
        <v>864</v>
      </c>
      <c r="D65" s="232"/>
      <c r="F65" s="366">
        <v>46</v>
      </c>
      <c r="G65" s="245" t="s">
        <v>1024</v>
      </c>
      <c r="I65" s="146">
        <v>27</v>
      </c>
      <c r="J65">
        <v>4192</v>
      </c>
      <c r="K65" s="173">
        <v>3417</v>
      </c>
      <c r="L65" s="173">
        <f t="shared" si="3"/>
        <v>22.008349236641223</v>
      </c>
      <c r="M65" s="402">
        <f t="shared" si="4"/>
        <v>49.008349236641223</v>
      </c>
      <c r="N65" s="174">
        <v>1.4</v>
      </c>
      <c r="O65" s="173">
        <f t="shared" si="5"/>
        <v>68.611688931297707</v>
      </c>
      <c r="P65" s="173">
        <v>110</v>
      </c>
    </row>
    <row r="66" spans="1:21" hidden="1" x14ac:dyDescent="0.35">
      <c r="A66"/>
      <c r="B66" s="409" t="s">
        <v>227</v>
      </c>
      <c r="C66" s="232" t="s">
        <v>864</v>
      </c>
      <c r="D66" s="232"/>
      <c r="F66" s="366">
        <v>48</v>
      </c>
      <c r="G66" s="371" t="s">
        <v>1024</v>
      </c>
      <c r="H66" s="371"/>
      <c r="I66" s="370">
        <v>27</v>
      </c>
      <c r="J66" s="12">
        <v>4192</v>
      </c>
      <c r="K66" s="176">
        <v>3417</v>
      </c>
      <c r="L66" s="176">
        <f t="shared" si="3"/>
        <v>22.008349236641223</v>
      </c>
      <c r="M66" s="410">
        <f t="shared" si="4"/>
        <v>49.008349236641223</v>
      </c>
      <c r="N66" s="411">
        <v>1.4</v>
      </c>
      <c r="O66" s="176">
        <f t="shared" si="5"/>
        <v>68.611688931297707</v>
      </c>
      <c r="P66" s="176">
        <v>110</v>
      </c>
      <c r="S66" t="s">
        <v>12</v>
      </c>
      <c r="T66" s="6">
        <v>45371</v>
      </c>
      <c r="U66">
        <f>+P66*20000</f>
        <v>2200000</v>
      </c>
    </row>
    <row r="67" spans="1:21" hidden="1" x14ac:dyDescent="0.35">
      <c r="A67"/>
      <c r="B67" s="409" t="s">
        <v>227</v>
      </c>
      <c r="C67" s="233" t="s">
        <v>1092</v>
      </c>
      <c r="F67" s="366">
        <v>42</v>
      </c>
      <c r="G67" s="245" t="s">
        <v>1025</v>
      </c>
      <c r="I67" s="146">
        <v>35</v>
      </c>
      <c r="J67">
        <v>4192</v>
      </c>
      <c r="K67" s="173">
        <v>3417</v>
      </c>
      <c r="L67" s="173">
        <f t="shared" si="3"/>
        <v>28.529341603053435</v>
      </c>
      <c r="M67" s="402">
        <f t="shared" si="4"/>
        <v>63.529341603053439</v>
      </c>
      <c r="N67" s="174">
        <v>1.4</v>
      </c>
      <c r="O67" s="173">
        <f t="shared" si="5"/>
        <v>88.941078244274806</v>
      </c>
      <c r="P67" s="173">
        <v>110</v>
      </c>
    </row>
    <row r="68" spans="1:21" hidden="1" x14ac:dyDescent="0.35">
      <c r="A68"/>
      <c r="B68" s="409" t="s">
        <v>227</v>
      </c>
      <c r="C68" s="233" t="s">
        <v>1092</v>
      </c>
      <c r="F68" s="366">
        <v>44</v>
      </c>
      <c r="G68" s="245" t="s">
        <v>1025</v>
      </c>
      <c r="I68" s="146">
        <v>35</v>
      </c>
      <c r="J68">
        <v>4192</v>
      </c>
      <c r="K68" s="173">
        <v>3417</v>
      </c>
      <c r="L68" s="173">
        <f t="shared" si="3"/>
        <v>28.529341603053435</v>
      </c>
      <c r="M68" s="402">
        <f t="shared" si="4"/>
        <v>63.529341603053439</v>
      </c>
      <c r="N68" s="174">
        <v>1.4</v>
      </c>
      <c r="O68" s="173">
        <f t="shared" si="5"/>
        <v>88.941078244274806</v>
      </c>
      <c r="P68" s="173">
        <v>110</v>
      </c>
    </row>
    <row r="69" spans="1:21" hidden="1" x14ac:dyDescent="0.35">
      <c r="A69"/>
      <c r="B69" s="409" t="s">
        <v>227</v>
      </c>
      <c r="C69" s="233" t="s">
        <v>1092</v>
      </c>
      <c r="F69" s="366">
        <v>46</v>
      </c>
      <c r="G69" s="245" t="s">
        <v>1025</v>
      </c>
      <c r="I69" s="146">
        <v>35</v>
      </c>
      <c r="J69">
        <v>4192</v>
      </c>
      <c r="K69" s="173">
        <v>3417</v>
      </c>
      <c r="L69" s="173">
        <f t="shared" si="3"/>
        <v>28.529341603053435</v>
      </c>
      <c r="M69" s="402">
        <f t="shared" si="4"/>
        <v>63.529341603053439</v>
      </c>
      <c r="N69" s="174">
        <v>1.4</v>
      </c>
      <c r="O69" s="173">
        <f t="shared" si="5"/>
        <v>88.941078244274806</v>
      </c>
      <c r="P69" s="173">
        <v>110</v>
      </c>
    </row>
    <row r="70" spans="1:21" hidden="1" x14ac:dyDescent="0.35">
      <c r="A70"/>
      <c r="B70" s="409" t="s">
        <v>227</v>
      </c>
      <c r="C70" s="233" t="s">
        <v>1092</v>
      </c>
      <c r="F70" s="366">
        <v>48</v>
      </c>
      <c r="G70" s="245" t="s">
        <v>1025</v>
      </c>
      <c r="I70" s="146">
        <v>35</v>
      </c>
      <c r="J70">
        <v>4192</v>
      </c>
      <c r="K70" s="173">
        <v>3417</v>
      </c>
      <c r="L70" s="173">
        <f t="shared" si="3"/>
        <v>28.529341603053435</v>
      </c>
      <c r="M70" s="402">
        <f t="shared" si="4"/>
        <v>63.529341603053439</v>
      </c>
      <c r="N70" s="174">
        <v>1.4</v>
      </c>
      <c r="O70" s="173">
        <f t="shared" si="5"/>
        <v>88.941078244274806</v>
      </c>
      <c r="P70" s="173">
        <v>110</v>
      </c>
    </row>
    <row r="71" spans="1:21" hidden="1" x14ac:dyDescent="0.35">
      <c r="A71"/>
      <c r="B71" s="409" t="s">
        <v>227</v>
      </c>
      <c r="C71" s="233" t="s">
        <v>408</v>
      </c>
      <c r="F71" s="366">
        <v>42</v>
      </c>
      <c r="G71" s="245" t="s">
        <v>1026</v>
      </c>
      <c r="I71" s="146">
        <v>36</v>
      </c>
      <c r="J71">
        <v>4192</v>
      </c>
      <c r="K71" s="173">
        <v>3417</v>
      </c>
      <c r="L71" s="173">
        <f t="shared" si="3"/>
        <v>29.344465648854964</v>
      </c>
      <c r="M71" s="402">
        <f t="shared" si="4"/>
        <v>65.344465648854964</v>
      </c>
      <c r="N71" s="174">
        <v>1.4</v>
      </c>
      <c r="O71" s="173">
        <f t="shared" si="5"/>
        <v>91.482251908396947</v>
      </c>
      <c r="P71" s="173">
        <v>125</v>
      </c>
    </row>
    <row r="72" spans="1:21" hidden="1" x14ac:dyDescent="0.35">
      <c r="A72"/>
      <c r="B72" s="409" t="s">
        <v>227</v>
      </c>
      <c r="C72" s="233" t="s">
        <v>408</v>
      </c>
      <c r="F72" s="366">
        <v>44</v>
      </c>
      <c r="G72" s="245" t="s">
        <v>1026</v>
      </c>
      <c r="I72" s="146">
        <v>36</v>
      </c>
      <c r="J72">
        <v>4192</v>
      </c>
      <c r="K72" s="173">
        <v>3417</v>
      </c>
      <c r="L72" s="173">
        <f t="shared" si="3"/>
        <v>29.344465648854964</v>
      </c>
      <c r="M72" s="402">
        <f t="shared" si="4"/>
        <v>65.344465648854964</v>
      </c>
      <c r="N72" s="174">
        <v>1.4</v>
      </c>
      <c r="O72" s="173">
        <f t="shared" si="5"/>
        <v>91.482251908396947</v>
      </c>
      <c r="P72" s="173">
        <v>125</v>
      </c>
    </row>
    <row r="73" spans="1:21" hidden="1" x14ac:dyDescent="0.35">
      <c r="A73"/>
      <c r="B73" s="409" t="s">
        <v>227</v>
      </c>
      <c r="C73" s="233" t="s">
        <v>408</v>
      </c>
      <c r="F73" s="366">
        <v>46</v>
      </c>
      <c r="G73" s="245" t="s">
        <v>1026</v>
      </c>
      <c r="I73" s="146">
        <v>36</v>
      </c>
      <c r="J73">
        <v>4192</v>
      </c>
      <c r="K73" s="173">
        <v>3417</v>
      </c>
      <c r="L73" s="173">
        <f t="shared" si="3"/>
        <v>29.344465648854964</v>
      </c>
      <c r="M73" s="402">
        <f t="shared" si="4"/>
        <v>65.344465648854964</v>
      </c>
      <c r="N73" s="174">
        <v>1.4</v>
      </c>
      <c r="O73" s="173">
        <f t="shared" si="5"/>
        <v>91.482251908396947</v>
      </c>
      <c r="P73" s="173">
        <v>125</v>
      </c>
    </row>
    <row r="74" spans="1:21" hidden="1" x14ac:dyDescent="0.35">
      <c r="A74"/>
      <c r="B74" s="409" t="s">
        <v>227</v>
      </c>
      <c r="C74" s="233" t="s">
        <v>408</v>
      </c>
      <c r="F74" s="366">
        <v>48</v>
      </c>
      <c r="G74" s="245" t="s">
        <v>1026</v>
      </c>
      <c r="I74" s="146">
        <v>36</v>
      </c>
      <c r="J74">
        <v>4192</v>
      </c>
      <c r="K74" s="173">
        <v>3417</v>
      </c>
      <c r="L74" s="173">
        <f t="shared" si="3"/>
        <v>29.344465648854964</v>
      </c>
      <c r="M74" s="402">
        <f t="shared" si="4"/>
        <v>65.344465648854964</v>
      </c>
      <c r="N74" s="174">
        <v>1.4</v>
      </c>
      <c r="O74" s="173">
        <f t="shared" si="5"/>
        <v>91.482251908396947</v>
      </c>
      <c r="P74" s="173">
        <v>125</v>
      </c>
    </row>
    <row r="75" spans="1:21" hidden="1" x14ac:dyDescent="0.35">
      <c r="A75"/>
      <c r="B75" s="409" t="s">
        <v>227</v>
      </c>
      <c r="C75" s="233" t="s">
        <v>1093</v>
      </c>
      <c r="F75" s="366">
        <v>50</v>
      </c>
      <c r="G75" s="245" t="s">
        <v>1027</v>
      </c>
      <c r="I75" s="146">
        <v>42</v>
      </c>
      <c r="J75">
        <v>4192</v>
      </c>
      <c r="K75" s="173">
        <v>3417</v>
      </c>
      <c r="L75" s="173">
        <f t="shared" si="3"/>
        <v>34.235209923664122</v>
      </c>
      <c r="M75" s="402">
        <f t="shared" si="4"/>
        <v>76.235209923664115</v>
      </c>
      <c r="N75" s="174">
        <v>1.4</v>
      </c>
      <c r="O75" s="173">
        <f t="shared" si="5"/>
        <v>106.72929389312975</v>
      </c>
      <c r="P75" s="173">
        <v>125</v>
      </c>
    </row>
    <row r="76" spans="1:21" hidden="1" x14ac:dyDescent="0.35">
      <c r="A76"/>
      <c r="B76" s="409" t="s">
        <v>227</v>
      </c>
      <c r="C76" s="233" t="s">
        <v>1093</v>
      </c>
      <c r="F76" s="366">
        <v>52</v>
      </c>
      <c r="G76" s="245" t="s">
        <v>1027</v>
      </c>
      <c r="I76" s="146">
        <v>42</v>
      </c>
      <c r="J76">
        <v>4192</v>
      </c>
      <c r="K76" s="173">
        <v>3417</v>
      </c>
      <c r="L76" s="173">
        <f t="shared" si="3"/>
        <v>34.235209923664122</v>
      </c>
      <c r="M76" s="402">
        <f t="shared" si="4"/>
        <v>76.235209923664115</v>
      </c>
      <c r="N76" s="174">
        <v>1.4</v>
      </c>
      <c r="O76" s="173">
        <f t="shared" si="5"/>
        <v>106.72929389312975</v>
      </c>
      <c r="P76" s="173">
        <v>125</v>
      </c>
    </row>
    <row r="77" spans="1:21" hidden="1" x14ac:dyDescent="0.35">
      <c r="A77"/>
      <c r="B77" s="409" t="s">
        <v>227</v>
      </c>
      <c r="C77" s="233" t="s">
        <v>1093</v>
      </c>
      <c r="F77" s="366">
        <v>54</v>
      </c>
      <c r="G77" s="245" t="s">
        <v>1027</v>
      </c>
      <c r="I77" s="146">
        <v>42</v>
      </c>
      <c r="J77">
        <v>4192</v>
      </c>
      <c r="K77" s="173">
        <v>3417</v>
      </c>
      <c r="L77" s="173">
        <f t="shared" si="3"/>
        <v>34.235209923664122</v>
      </c>
      <c r="M77" s="402">
        <f t="shared" si="4"/>
        <v>76.235209923664115</v>
      </c>
      <c r="N77" s="174">
        <v>1.4</v>
      </c>
      <c r="O77" s="173">
        <f t="shared" si="5"/>
        <v>106.72929389312975</v>
      </c>
      <c r="P77" s="173">
        <v>125</v>
      </c>
    </row>
    <row r="78" spans="1:21" ht="14.25" hidden="1" customHeight="1" x14ac:dyDescent="0.35">
      <c r="A78"/>
      <c r="B78" s="409" t="s">
        <v>227</v>
      </c>
      <c r="C78" s="233" t="s">
        <v>1093</v>
      </c>
      <c r="F78" s="366">
        <v>56</v>
      </c>
      <c r="G78" s="371" t="s">
        <v>1027</v>
      </c>
      <c r="H78" s="371"/>
      <c r="I78" s="370">
        <v>42</v>
      </c>
      <c r="J78" s="12">
        <v>4192</v>
      </c>
      <c r="K78" s="176">
        <v>3417</v>
      </c>
      <c r="L78" s="176">
        <f t="shared" si="3"/>
        <v>34.235209923664122</v>
      </c>
      <c r="M78" s="410">
        <f t="shared" si="4"/>
        <v>76.235209923664115</v>
      </c>
      <c r="N78" s="411">
        <v>1.4</v>
      </c>
      <c r="O78" s="176">
        <f t="shared" si="5"/>
        <v>106.72929389312975</v>
      </c>
      <c r="P78" s="176">
        <v>125</v>
      </c>
      <c r="S78" t="s">
        <v>1076</v>
      </c>
      <c r="T78" s="6">
        <v>45379</v>
      </c>
      <c r="U78">
        <f>+P78*30000</f>
        <v>3750000</v>
      </c>
    </row>
    <row r="79" spans="1:21" ht="16.5" hidden="1" customHeight="1" x14ac:dyDescent="0.35">
      <c r="A79"/>
      <c r="B79" s="409" t="s">
        <v>1028</v>
      </c>
      <c r="C79" s="233" t="s">
        <v>1028</v>
      </c>
      <c r="F79" s="366">
        <v>38</v>
      </c>
      <c r="G79" s="245" t="s">
        <v>1029</v>
      </c>
      <c r="I79" s="146">
        <v>22</v>
      </c>
      <c r="J79">
        <v>4192</v>
      </c>
      <c r="K79" s="173">
        <v>3417</v>
      </c>
      <c r="L79" s="173">
        <f t="shared" si="3"/>
        <v>17.93272900763359</v>
      </c>
      <c r="M79" s="402">
        <f t="shared" si="4"/>
        <v>39.93272900763359</v>
      </c>
      <c r="N79" s="174">
        <v>1.4</v>
      </c>
      <c r="O79" s="173">
        <f t="shared" si="5"/>
        <v>55.905820610687023</v>
      </c>
      <c r="P79" s="173">
        <v>110</v>
      </c>
    </row>
    <row r="80" spans="1:21" hidden="1" x14ac:dyDescent="0.35">
      <c r="A80"/>
      <c r="B80" s="409" t="s">
        <v>1028</v>
      </c>
      <c r="C80" s="233" t="s">
        <v>1028</v>
      </c>
      <c r="F80" s="366">
        <v>40</v>
      </c>
      <c r="G80" s="245" t="s">
        <v>1029</v>
      </c>
      <c r="I80" s="146">
        <v>22</v>
      </c>
      <c r="J80">
        <v>4192</v>
      </c>
      <c r="K80" s="173">
        <v>3417</v>
      </c>
      <c r="L80" s="173">
        <f t="shared" si="3"/>
        <v>17.93272900763359</v>
      </c>
      <c r="M80" s="402">
        <f t="shared" si="4"/>
        <v>39.93272900763359</v>
      </c>
      <c r="N80" s="174">
        <v>1.4</v>
      </c>
      <c r="O80" s="173">
        <f t="shared" si="5"/>
        <v>55.905820610687023</v>
      </c>
      <c r="P80" s="173">
        <v>110</v>
      </c>
    </row>
    <row r="81" spans="1:21" hidden="1" x14ac:dyDescent="0.35">
      <c r="A81"/>
      <c r="B81" s="409" t="s">
        <v>1028</v>
      </c>
      <c r="C81" s="233" t="s">
        <v>1028</v>
      </c>
      <c r="F81" s="366">
        <v>42</v>
      </c>
      <c r="G81" s="245" t="s">
        <v>1029</v>
      </c>
      <c r="I81" s="146">
        <v>22</v>
      </c>
      <c r="J81">
        <v>4192</v>
      </c>
      <c r="K81" s="173">
        <v>3417</v>
      </c>
      <c r="L81" s="173">
        <f t="shared" si="3"/>
        <v>17.93272900763359</v>
      </c>
      <c r="M81" s="402">
        <f t="shared" si="4"/>
        <v>39.93272900763359</v>
      </c>
      <c r="N81" s="174">
        <v>1.4</v>
      </c>
      <c r="O81" s="173">
        <f t="shared" si="5"/>
        <v>55.905820610687023</v>
      </c>
      <c r="P81" s="173">
        <v>110</v>
      </c>
    </row>
    <row r="82" spans="1:21" hidden="1" x14ac:dyDescent="0.35">
      <c r="A82"/>
      <c r="B82" s="409" t="s">
        <v>1028</v>
      </c>
      <c r="C82" s="233" t="s">
        <v>1028</v>
      </c>
      <c r="F82" s="366">
        <v>38</v>
      </c>
      <c r="G82" s="245" t="s">
        <v>1030</v>
      </c>
      <c r="I82" s="146">
        <v>22</v>
      </c>
      <c r="J82">
        <v>4192</v>
      </c>
      <c r="K82" s="173">
        <v>3417</v>
      </c>
      <c r="L82" s="173">
        <f t="shared" si="3"/>
        <v>17.93272900763359</v>
      </c>
      <c r="M82" s="402">
        <f t="shared" si="4"/>
        <v>39.93272900763359</v>
      </c>
      <c r="N82" s="174">
        <v>1.4</v>
      </c>
      <c r="O82" s="173">
        <f t="shared" si="5"/>
        <v>55.905820610687023</v>
      </c>
      <c r="P82" s="173">
        <v>110</v>
      </c>
    </row>
    <row r="83" spans="1:21" hidden="1" x14ac:dyDescent="0.35">
      <c r="A83"/>
      <c r="B83" s="409" t="s">
        <v>1028</v>
      </c>
      <c r="C83" s="233" t="s">
        <v>1028</v>
      </c>
      <c r="F83" s="366">
        <v>40</v>
      </c>
      <c r="G83" s="245" t="s">
        <v>1030</v>
      </c>
      <c r="I83" s="146">
        <v>22</v>
      </c>
      <c r="J83">
        <v>4192</v>
      </c>
      <c r="K83" s="173">
        <v>3417</v>
      </c>
      <c r="L83" s="173">
        <f t="shared" si="3"/>
        <v>17.93272900763359</v>
      </c>
      <c r="M83" s="402">
        <f t="shared" si="4"/>
        <v>39.93272900763359</v>
      </c>
      <c r="N83" s="174">
        <v>1.4</v>
      </c>
      <c r="O83" s="173">
        <f t="shared" si="5"/>
        <v>55.905820610687023</v>
      </c>
      <c r="P83" s="173">
        <v>110</v>
      </c>
    </row>
    <row r="84" spans="1:21" hidden="1" x14ac:dyDescent="0.35">
      <c r="A84"/>
      <c r="B84" s="409" t="s">
        <v>1028</v>
      </c>
      <c r="C84" s="233" t="s">
        <v>1028</v>
      </c>
      <c r="F84" s="366">
        <v>42</v>
      </c>
      <c r="G84" s="245" t="s">
        <v>1030</v>
      </c>
      <c r="I84" s="146">
        <v>22</v>
      </c>
      <c r="J84">
        <v>4192</v>
      </c>
      <c r="K84" s="173">
        <v>3417</v>
      </c>
      <c r="L84" s="173">
        <f t="shared" si="3"/>
        <v>17.93272900763359</v>
      </c>
      <c r="M84" s="402">
        <f t="shared" si="4"/>
        <v>39.93272900763359</v>
      </c>
      <c r="N84" s="174">
        <v>1.4</v>
      </c>
      <c r="O84" s="173">
        <f t="shared" si="5"/>
        <v>55.905820610687023</v>
      </c>
      <c r="P84" s="173">
        <v>110</v>
      </c>
    </row>
    <row r="85" spans="1:21" hidden="1" x14ac:dyDescent="0.35">
      <c r="A85"/>
      <c r="B85" s="409" t="s">
        <v>1035</v>
      </c>
      <c r="C85" s="233" t="s">
        <v>1035</v>
      </c>
      <c r="F85" s="366">
        <v>1</v>
      </c>
      <c r="G85" s="245" t="s">
        <v>1039</v>
      </c>
      <c r="I85" s="146">
        <v>24</v>
      </c>
      <c r="J85">
        <v>4192</v>
      </c>
      <c r="K85" s="173">
        <v>3417</v>
      </c>
      <c r="L85" s="173">
        <f t="shared" si="3"/>
        <v>19.56297709923664</v>
      </c>
      <c r="M85" s="402">
        <f t="shared" si="4"/>
        <v>43.56297709923664</v>
      </c>
      <c r="N85" s="174">
        <v>1.4</v>
      </c>
      <c r="O85" s="173">
        <f t="shared" si="5"/>
        <v>60.988167938931291</v>
      </c>
      <c r="P85" s="173">
        <v>110</v>
      </c>
    </row>
    <row r="86" spans="1:21" hidden="1" x14ac:dyDescent="0.35">
      <c r="A86"/>
      <c r="B86" s="409" t="s">
        <v>1035</v>
      </c>
      <c r="C86" s="233" t="s">
        <v>1035</v>
      </c>
      <c r="F86" s="366">
        <v>2</v>
      </c>
      <c r="G86" s="371" t="s">
        <v>1039</v>
      </c>
      <c r="H86" s="371"/>
      <c r="I86" s="370">
        <v>24</v>
      </c>
      <c r="J86" s="12">
        <v>4192</v>
      </c>
      <c r="K86" s="176">
        <v>3417</v>
      </c>
      <c r="L86" s="176">
        <f t="shared" si="3"/>
        <v>19.56297709923664</v>
      </c>
      <c r="M86" s="410">
        <f t="shared" si="4"/>
        <v>43.56297709923664</v>
      </c>
      <c r="N86" s="411">
        <v>1.4</v>
      </c>
      <c r="O86" s="176">
        <f t="shared" si="5"/>
        <v>60.988167938931291</v>
      </c>
      <c r="P86" s="176">
        <v>110</v>
      </c>
      <c r="S86" t="s">
        <v>1076</v>
      </c>
      <c r="T86" s="6">
        <v>45374</v>
      </c>
      <c r="U86">
        <f>+P86*20000</f>
        <v>2200000</v>
      </c>
    </row>
    <row r="87" spans="1:21" hidden="1" x14ac:dyDescent="0.35">
      <c r="A87"/>
      <c r="B87" s="409" t="s">
        <v>1035</v>
      </c>
      <c r="C87" s="233" t="s">
        <v>1035</v>
      </c>
      <c r="F87" s="366">
        <v>1</v>
      </c>
      <c r="G87" s="245" t="s">
        <v>1037</v>
      </c>
      <c r="I87" s="146">
        <v>24</v>
      </c>
      <c r="J87">
        <v>4192</v>
      </c>
      <c r="K87" s="173">
        <v>3417</v>
      </c>
      <c r="L87" s="173">
        <f t="shared" si="3"/>
        <v>19.56297709923664</v>
      </c>
      <c r="M87" s="402">
        <f t="shared" si="4"/>
        <v>43.56297709923664</v>
      </c>
      <c r="N87" s="174">
        <v>1.4</v>
      </c>
      <c r="O87" s="173">
        <f t="shared" si="5"/>
        <v>60.988167938931291</v>
      </c>
      <c r="P87" s="173">
        <v>110</v>
      </c>
    </row>
    <row r="88" spans="1:21" hidden="1" x14ac:dyDescent="0.35">
      <c r="A88"/>
      <c r="B88" s="409" t="s">
        <v>1035</v>
      </c>
      <c r="C88" s="233" t="s">
        <v>1035</v>
      </c>
      <c r="F88" s="366">
        <v>2</v>
      </c>
      <c r="G88" s="371" t="s">
        <v>1037</v>
      </c>
      <c r="H88" s="371"/>
      <c r="I88" s="370">
        <v>24</v>
      </c>
      <c r="J88" s="12">
        <v>4192</v>
      </c>
      <c r="K88" s="176">
        <v>3417</v>
      </c>
      <c r="L88" s="176">
        <f t="shared" si="3"/>
        <v>19.56297709923664</v>
      </c>
      <c r="M88" s="410">
        <f t="shared" si="4"/>
        <v>43.56297709923664</v>
      </c>
      <c r="N88" s="411">
        <v>1.4</v>
      </c>
      <c r="O88" s="176">
        <f t="shared" si="5"/>
        <v>60.988167938931291</v>
      </c>
      <c r="P88" s="176">
        <v>110</v>
      </c>
      <c r="S88" t="s">
        <v>1076</v>
      </c>
      <c r="T88" s="6">
        <v>45374</v>
      </c>
      <c r="U88">
        <f>+P88*20000</f>
        <v>2200000</v>
      </c>
    </row>
    <row r="89" spans="1:21" hidden="1" x14ac:dyDescent="0.35">
      <c r="A89"/>
      <c r="B89" s="409" t="s">
        <v>1035</v>
      </c>
      <c r="C89" s="233" t="s">
        <v>1035</v>
      </c>
      <c r="F89" s="366">
        <v>1</v>
      </c>
      <c r="G89" s="245" t="s">
        <v>1038</v>
      </c>
      <c r="I89" s="146">
        <v>23</v>
      </c>
      <c r="J89">
        <v>4192</v>
      </c>
      <c r="K89" s="173">
        <v>3417</v>
      </c>
      <c r="L89" s="173">
        <f t="shared" si="3"/>
        <v>18.747853053435115</v>
      </c>
      <c r="M89" s="402">
        <f t="shared" si="4"/>
        <v>41.747853053435115</v>
      </c>
      <c r="N89" s="174">
        <v>1.4</v>
      </c>
      <c r="O89" s="173">
        <f t="shared" si="5"/>
        <v>58.446994274809157</v>
      </c>
      <c r="P89" s="173">
        <v>110</v>
      </c>
    </row>
    <row r="90" spans="1:21" hidden="1" x14ac:dyDescent="0.35">
      <c r="A90"/>
      <c r="B90" s="409" t="s">
        <v>1035</v>
      </c>
      <c r="C90" s="233" t="s">
        <v>1035</v>
      </c>
      <c r="F90" s="366">
        <v>2</v>
      </c>
      <c r="G90" s="245" t="s">
        <v>1038</v>
      </c>
      <c r="I90" s="146">
        <v>23</v>
      </c>
      <c r="J90">
        <v>4192</v>
      </c>
      <c r="K90" s="173">
        <v>3417</v>
      </c>
      <c r="L90" s="173">
        <f t="shared" si="3"/>
        <v>18.747853053435115</v>
      </c>
      <c r="M90" s="402">
        <f t="shared" si="4"/>
        <v>41.747853053435115</v>
      </c>
      <c r="N90" s="174">
        <v>1.4</v>
      </c>
      <c r="O90" s="173">
        <f t="shared" si="5"/>
        <v>58.446994274809157</v>
      </c>
      <c r="P90" s="173">
        <v>110</v>
      </c>
    </row>
    <row r="91" spans="1:21" hidden="1" x14ac:dyDescent="0.35">
      <c r="A91"/>
      <c r="B91" s="409" t="s">
        <v>1040</v>
      </c>
      <c r="C91" s="233" t="s">
        <v>1040</v>
      </c>
      <c r="F91" s="366">
        <v>50</v>
      </c>
      <c r="G91" s="245" t="s">
        <v>1041</v>
      </c>
      <c r="I91" s="146">
        <v>25</v>
      </c>
      <c r="J91">
        <v>4192</v>
      </c>
      <c r="K91" s="173">
        <v>3417</v>
      </c>
      <c r="L91" s="173">
        <f t="shared" si="3"/>
        <v>20.378101145038169</v>
      </c>
      <c r="M91" s="402">
        <f t="shared" si="4"/>
        <v>45.378101145038173</v>
      </c>
      <c r="N91" s="174">
        <v>1.4</v>
      </c>
      <c r="O91" s="173">
        <f t="shared" si="5"/>
        <v>63.529341603053439</v>
      </c>
      <c r="P91" s="173">
        <v>110</v>
      </c>
    </row>
    <row r="92" spans="1:21" hidden="1" x14ac:dyDescent="0.35">
      <c r="A92"/>
      <c r="B92" s="409" t="s">
        <v>1040</v>
      </c>
      <c r="C92" s="233" t="s">
        <v>1040</v>
      </c>
      <c r="F92" s="366">
        <v>52</v>
      </c>
      <c r="G92" s="245" t="s">
        <v>1041</v>
      </c>
      <c r="I92" s="146">
        <v>25</v>
      </c>
      <c r="J92">
        <v>4192</v>
      </c>
      <c r="K92" s="173">
        <v>3417</v>
      </c>
      <c r="L92" s="173">
        <f t="shared" si="3"/>
        <v>20.378101145038169</v>
      </c>
      <c r="M92" s="402">
        <f t="shared" si="4"/>
        <v>45.378101145038173</v>
      </c>
      <c r="N92" s="174">
        <v>1.4</v>
      </c>
      <c r="O92" s="173">
        <f t="shared" si="5"/>
        <v>63.529341603053439</v>
      </c>
      <c r="P92" s="173">
        <v>110</v>
      </c>
    </row>
    <row r="93" spans="1:21" hidden="1" x14ac:dyDescent="0.35">
      <c r="A93"/>
      <c r="B93" s="409" t="s">
        <v>1040</v>
      </c>
      <c r="C93" s="233" t="s">
        <v>1040</v>
      </c>
      <c r="F93" s="366">
        <v>54</v>
      </c>
      <c r="G93" s="245" t="s">
        <v>1041</v>
      </c>
      <c r="I93" s="146">
        <v>25</v>
      </c>
      <c r="J93">
        <v>4192</v>
      </c>
      <c r="K93" s="173">
        <v>3417</v>
      </c>
      <c r="L93" s="173">
        <f t="shared" si="3"/>
        <v>20.378101145038169</v>
      </c>
      <c r="M93" s="402">
        <f t="shared" si="4"/>
        <v>45.378101145038173</v>
      </c>
      <c r="N93" s="174">
        <v>1.4</v>
      </c>
      <c r="O93" s="173">
        <f t="shared" si="5"/>
        <v>63.529341603053439</v>
      </c>
      <c r="P93" s="173">
        <v>110</v>
      </c>
    </row>
    <row r="94" spans="1:21" hidden="1" x14ac:dyDescent="0.35">
      <c r="A94"/>
      <c r="B94" s="409" t="s">
        <v>1040</v>
      </c>
      <c r="C94" s="233" t="s">
        <v>1040</v>
      </c>
      <c r="F94" s="366">
        <v>56</v>
      </c>
      <c r="G94" s="245" t="s">
        <v>1041</v>
      </c>
      <c r="I94" s="146">
        <v>25</v>
      </c>
      <c r="J94">
        <v>4192</v>
      </c>
      <c r="K94" s="173">
        <v>3417</v>
      </c>
      <c r="L94" s="173">
        <f t="shared" si="3"/>
        <v>20.378101145038169</v>
      </c>
      <c r="M94" s="402">
        <f t="shared" si="4"/>
        <v>45.378101145038173</v>
      </c>
      <c r="N94" s="174">
        <v>1.4</v>
      </c>
      <c r="O94" s="173">
        <f t="shared" si="5"/>
        <v>63.529341603053439</v>
      </c>
      <c r="P94" s="173">
        <v>110</v>
      </c>
    </row>
    <row r="95" spans="1:21" hidden="1" x14ac:dyDescent="0.35">
      <c r="A95"/>
      <c r="B95" s="409" t="s">
        <v>1040</v>
      </c>
      <c r="C95" s="233" t="s">
        <v>1040</v>
      </c>
      <c r="F95" s="366">
        <v>50</v>
      </c>
      <c r="G95" s="245" t="s">
        <v>1042</v>
      </c>
      <c r="I95" s="146">
        <v>25</v>
      </c>
      <c r="J95">
        <v>4192</v>
      </c>
      <c r="K95" s="173">
        <v>3417</v>
      </c>
      <c r="L95" s="173">
        <f t="shared" si="3"/>
        <v>20.378101145038169</v>
      </c>
      <c r="M95" s="402">
        <f t="shared" si="4"/>
        <v>45.378101145038173</v>
      </c>
      <c r="N95" s="174">
        <v>1.4</v>
      </c>
      <c r="O95" s="173">
        <f t="shared" si="5"/>
        <v>63.529341603053439</v>
      </c>
      <c r="P95" s="173">
        <v>110</v>
      </c>
    </row>
    <row r="96" spans="1:21" hidden="1" x14ac:dyDescent="0.35">
      <c r="A96"/>
      <c r="B96" s="409" t="s">
        <v>1040</v>
      </c>
      <c r="C96" s="233" t="s">
        <v>1040</v>
      </c>
      <c r="F96" s="366">
        <v>52</v>
      </c>
      <c r="G96" s="245" t="s">
        <v>1042</v>
      </c>
      <c r="I96" s="146">
        <v>25</v>
      </c>
      <c r="J96">
        <v>4192</v>
      </c>
      <c r="K96" s="173">
        <v>3417</v>
      </c>
      <c r="L96" s="173">
        <f t="shared" si="3"/>
        <v>20.378101145038169</v>
      </c>
      <c r="M96" s="402">
        <f t="shared" si="4"/>
        <v>45.378101145038173</v>
      </c>
      <c r="N96" s="174">
        <v>1.4</v>
      </c>
      <c r="O96" s="173">
        <f t="shared" si="5"/>
        <v>63.529341603053439</v>
      </c>
      <c r="P96" s="173">
        <v>110</v>
      </c>
    </row>
    <row r="97" spans="1:21" hidden="1" x14ac:dyDescent="0.35">
      <c r="A97"/>
      <c r="B97" s="409" t="s">
        <v>1040</v>
      </c>
      <c r="C97" s="233" t="s">
        <v>1040</v>
      </c>
      <c r="F97" s="366">
        <v>54</v>
      </c>
      <c r="G97" s="245" t="s">
        <v>1042</v>
      </c>
      <c r="I97" s="146">
        <v>25</v>
      </c>
      <c r="J97">
        <v>4192</v>
      </c>
      <c r="K97" s="173">
        <v>3417</v>
      </c>
      <c r="L97" s="173">
        <f t="shared" si="3"/>
        <v>20.378101145038169</v>
      </c>
      <c r="M97" s="402">
        <f t="shared" si="4"/>
        <v>45.378101145038173</v>
      </c>
      <c r="N97" s="174">
        <v>1.4</v>
      </c>
      <c r="O97" s="173">
        <f t="shared" si="5"/>
        <v>63.529341603053439</v>
      </c>
      <c r="P97" s="173">
        <v>110</v>
      </c>
    </row>
    <row r="98" spans="1:21" hidden="1" x14ac:dyDescent="0.35">
      <c r="A98"/>
      <c r="B98" s="409" t="s">
        <v>1040</v>
      </c>
      <c r="C98" s="233" t="s">
        <v>1040</v>
      </c>
      <c r="F98" s="366">
        <v>56</v>
      </c>
      <c r="G98" s="245" t="s">
        <v>1042</v>
      </c>
      <c r="I98" s="146">
        <v>25</v>
      </c>
      <c r="J98">
        <v>4192</v>
      </c>
      <c r="K98" s="173">
        <v>3417</v>
      </c>
      <c r="L98" s="173">
        <f t="shared" si="3"/>
        <v>20.378101145038169</v>
      </c>
      <c r="M98" s="402">
        <f t="shared" si="4"/>
        <v>45.378101145038173</v>
      </c>
      <c r="N98" s="174">
        <v>1.4</v>
      </c>
      <c r="O98" s="173">
        <f t="shared" si="5"/>
        <v>63.529341603053439</v>
      </c>
      <c r="P98" s="173">
        <v>110</v>
      </c>
    </row>
    <row r="99" spans="1:21" hidden="1" x14ac:dyDescent="0.35">
      <c r="A99"/>
      <c r="B99" s="409" t="s">
        <v>469</v>
      </c>
      <c r="C99" s="233" t="s">
        <v>941</v>
      </c>
      <c r="F99" s="366">
        <v>44</v>
      </c>
      <c r="G99" s="371" t="s">
        <v>1043</v>
      </c>
      <c r="H99" s="371"/>
      <c r="I99" s="370">
        <v>25</v>
      </c>
      <c r="J99" s="12">
        <v>4192</v>
      </c>
      <c r="K99" s="176">
        <v>3417</v>
      </c>
      <c r="L99" s="176">
        <f t="shared" si="3"/>
        <v>20.378101145038169</v>
      </c>
      <c r="M99" s="410">
        <f t="shared" si="4"/>
        <v>45.378101145038173</v>
      </c>
      <c r="N99" s="411">
        <v>1.4</v>
      </c>
      <c r="O99" s="176">
        <f t="shared" si="5"/>
        <v>63.529341603053439</v>
      </c>
      <c r="P99" s="176">
        <v>110</v>
      </c>
      <c r="S99" t="s">
        <v>1095</v>
      </c>
      <c r="T99" s="6">
        <v>45384</v>
      </c>
      <c r="U99">
        <f>+P99*35000</f>
        <v>3850000</v>
      </c>
    </row>
    <row r="100" spans="1:21" hidden="1" x14ac:dyDescent="0.35">
      <c r="A100"/>
      <c r="B100" s="409" t="s">
        <v>469</v>
      </c>
      <c r="C100" s="233" t="s">
        <v>941</v>
      </c>
      <c r="F100" s="366">
        <v>46</v>
      </c>
      <c r="G100" s="245" t="s">
        <v>1043</v>
      </c>
      <c r="I100" s="146">
        <v>25</v>
      </c>
      <c r="J100">
        <v>4192</v>
      </c>
      <c r="K100" s="173">
        <v>3417</v>
      </c>
      <c r="L100" s="173">
        <f t="shared" si="3"/>
        <v>20.378101145038169</v>
      </c>
      <c r="M100" s="402">
        <f t="shared" si="4"/>
        <v>45.378101145038173</v>
      </c>
      <c r="N100" s="174">
        <v>1.4</v>
      </c>
      <c r="O100" s="173">
        <f t="shared" si="5"/>
        <v>63.529341603053439</v>
      </c>
      <c r="P100" s="173">
        <v>110</v>
      </c>
    </row>
    <row r="101" spans="1:21" hidden="1" x14ac:dyDescent="0.35">
      <c r="A101"/>
      <c r="B101" s="409" t="s">
        <v>469</v>
      </c>
      <c r="C101" s="233" t="s">
        <v>941</v>
      </c>
      <c r="F101" s="366">
        <v>48</v>
      </c>
      <c r="G101" s="371" t="s">
        <v>1043</v>
      </c>
      <c r="H101" s="371"/>
      <c r="I101" s="370">
        <v>25</v>
      </c>
      <c r="J101" s="12">
        <v>4192</v>
      </c>
      <c r="K101" s="176">
        <v>3417</v>
      </c>
      <c r="L101" s="176">
        <f t="shared" si="3"/>
        <v>20.378101145038169</v>
      </c>
      <c r="M101" s="410">
        <f t="shared" si="4"/>
        <v>45.378101145038173</v>
      </c>
      <c r="N101" s="411">
        <v>1.4</v>
      </c>
      <c r="O101" s="176">
        <f t="shared" si="5"/>
        <v>63.529341603053439</v>
      </c>
      <c r="P101" s="176">
        <v>110</v>
      </c>
      <c r="S101" t="s">
        <v>1096</v>
      </c>
      <c r="T101" s="6">
        <v>45384</v>
      </c>
      <c r="U101">
        <f>+P101*35000</f>
        <v>3850000</v>
      </c>
    </row>
    <row r="102" spans="1:21" hidden="1" x14ac:dyDescent="0.35">
      <c r="A102"/>
      <c r="B102" s="409" t="s">
        <v>469</v>
      </c>
      <c r="C102" s="233" t="s">
        <v>941</v>
      </c>
      <c r="F102" s="366">
        <v>50</v>
      </c>
      <c r="G102" s="245" t="s">
        <v>1043</v>
      </c>
      <c r="I102" s="146">
        <v>25</v>
      </c>
      <c r="J102">
        <v>4192</v>
      </c>
      <c r="K102" s="173">
        <v>3417</v>
      </c>
      <c r="L102" s="173">
        <f t="shared" si="3"/>
        <v>20.378101145038169</v>
      </c>
      <c r="M102" s="402">
        <f t="shared" si="4"/>
        <v>45.378101145038173</v>
      </c>
      <c r="N102" s="174">
        <v>1.4</v>
      </c>
      <c r="O102" s="173">
        <f t="shared" si="5"/>
        <v>63.529341603053439</v>
      </c>
      <c r="P102" s="173">
        <v>110</v>
      </c>
    </row>
    <row r="103" spans="1:21" hidden="1" x14ac:dyDescent="0.35">
      <c r="A103"/>
      <c r="B103" s="409" t="s">
        <v>469</v>
      </c>
      <c r="C103" s="233" t="s">
        <v>941</v>
      </c>
      <c r="F103" s="366">
        <v>44</v>
      </c>
      <c r="G103" s="371" t="s">
        <v>1044</v>
      </c>
      <c r="H103" s="371"/>
      <c r="I103" s="370">
        <v>25</v>
      </c>
      <c r="J103" s="12">
        <v>4192</v>
      </c>
      <c r="K103" s="176">
        <v>3417</v>
      </c>
      <c r="L103" s="176">
        <f t="shared" si="3"/>
        <v>20.378101145038169</v>
      </c>
      <c r="M103" s="410">
        <f t="shared" si="4"/>
        <v>45.378101145038173</v>
      </c>
      <c r="N103" s="411">
        <v>1.4</v>
      </c>
      <c r="O103" s="176">
        <f t="shared" si="5"/>
        <v>63.529341603053439</v>
      </c>
      <c r="P103" s="176">
        <v>110</v>
      </c>
      <c r="S103" t="s">
        <v>1098</v>
      </c>
      <c r="T103" s="6">
        <v>45385</v>
      </c>
      <c r="U103">
        <f>+P103*35000</f>
        <v>3850000</v>
      </c>
    </row>
    <row r="104" spans="1:21" hidden="1" x14ac:dyDescent="0.35">
      <c r="A104"/>
      <c r="B104" s="409" t="s">
        <v>469</v>
      </c>
      <c r="C104" s="233" t="s">
        <v>941</v>
      </c>
      <c r="F104" s="366">
        <v>46</v>
      </c>
      <c r="G104" s="245" t="s">
        <v>1044</v>
      </c>
      <c r="I104" s="146">
        <v>25</v>
      </c>
      <c r="J104">
        <v>4192</v>
      </c>
      <c r="K104" s="173">
        <v>3417</v>
      </c>
      <c r="L104" s="173">
        <f t="shared" si="3"/>
        <v>20.378101145038169</v>
      </c>
      <c r="M104" s="402">
        <f t="shared" si="4"/>
        <v>45.378101145038173</v>
      </c>
      <c r="N104" s="174">
        <v>1.4</v>
      </c>
      <c r="O104" s="173">
        <f t="shared" si="5"/>
        <v>63.529341603053439</v>
      </c>
      <c r="P104" s="173">
        <v>110</v>
      </c>
    </row>
    <row r="105" spans="1:21" hidden="1" x14ac:dyDescent="0.35">
      <c r="A105"/>
      <c r="B105" s="409" t="s">
        <v>469</v>
      </c>
      <c r="C105" s="233" t="s">
        <v>941</v>
      </c>
      <c r="F105" s="366">
        <v>48</v>
      </c>
      <c r="G105" s="245" t="s">
        <v>1044</v>
      </c>
      <c r="I105" s="146">
        <v>25</v>
      </c>
      <c r="J105">
        <v>4192</v>
      </c>
      <c r="K105" s="173">
        <v>3417</v>
      </c>
      <c r="L105" s="173">
        <f t="shared" si="3"/>
        <v>20.378101145038169</v>
      </c>
      <c r="M105" s="402">
        <f t="shared" si="4"/>
        <v>45.378101145038173</v>
      </c>
      <c r="N105" s="174">
        <v>1.4</v>
      </c>
      <c r="O105" s="173">
        <f t="shared" si="5"/>
        <v>63.529341603053439</v>
      </c>
      <c r="P105" s="173">
        <v>110</v>
      </c>
    </row>
    <row r="106" spans="1:21" hidden="1" x14ac:dyDescent="0.35">
      <c r="A106"/>
      <c r="B106" s="409" t="s">
        <v>469</v>
      </c>
      <c r="C106" s="233" t="s">
        <v>941</v>
      </c>
      <c r="F106" s="366">
        <v>50</v>
      </c>
      <c r="G106" s="245" t="s">
        <v>1044</v>
      </c>
      <c r="I106" s="146">
        <v>25</v>
      </c>
      <c r="J106">
        <v>4192</v>
      </c>
      <c r="K106" s="173">
        <v>3417</v>
      </c>
      <c r="L106" s="173">
        <f t="shared" si="3"/>
        <v>20.378101145038169</v>
      </c>
      <c r="M106" s="402">
        <f t="shared" si="4"/>
        <v>45.378101145038173</v>
      </c>
      <c r="N106" s="174">
        <v>1.4</v>
      </c>
      <c r="O106" s="173">
        <f t="shared" si="5"/>
        <v>63.529341603053439</v>
      </c>
      <c r="P106" s="173">
        <v>110</v>
      </c>
    </row>
    <row r="107" spans="1:21" hidden="1" x14ac:dyDescent="0.35">
      <c r="A107"/>
      <c r="B107" s="409" t="s">
        <v>937</v>
      </c>
      <c r="C107" s="233" t="s">
        <v>1087</v>
      </c>
      <c r="F107" s="366">
        <v>42</v>
      </c>
      <c r="G107" s="245" t="s">
        <v>1045</v>
      </c>
      <c r="I107" s="146">
        <v>18</v>
      </c>
      <c r="J107">
        <v>4192</v>
      </c>
      <c r="K107" s="173">
        <v>3417</v>
      </c>
      <c r="L107" s="173">
        <f t="shared" si="3"/>
        <v>14.672232824427482</v>
      </c>
      <c r="M107" s="402">
        <f t="shared" si="4"/>
        <v>32.672232824427482</v>
      </c>
      <c r="N107" s="174">
        <v>1.4</v>
      </c>
      <c r="O107" s="173">
        <f t="shared" si="5"/>
        <v>45.741125954198473</v>
      </c>
      <c r="P107" s="173">
        <v>75</v>
      </c>
    </row>
    <row r="108" spans="1:21" hidden="1" x14ac:dyDescent="0.35">
      <c r="A108"/>
      <c r="B108" s="409" t="s">
        <v>937</v>
      </c>
      <c r="C108" s="233" t="s">
        <v>1087</v>
      </c>
      <c r="F108" s="366">
        <v>44</v>
      </c>
      <c r="G108" s="245" t="s">
        <v>1045</v>
      </c>
      <c r="I108" s="146">
        <v>18</v>
      </c>
      <c r="J108">
        <v>4192</v>
      </c>
      <c r="K108" s="173">
        <v>3417</v>
      </c>
      <c r="L108" s="173">
        <f t="shared" si="3"/>
        <v>14.672232824427482</v>
      </c>
      <c r="M108" s="402">
        <f t="shared" si="4"/>
        <v>32.672232824427482</v>
      </c>
      <c r="N108" s="174">
        <v>1.4</v>
      </c>
      <c r="O108" s="173">
        <f t="shared" si="5"/>
        <v>45.741125954198473</v>
      </c>
      <c r="P108" s="173">
        <v>75</v>
      </c>
    </row>
    <row r="109" spans="1:21" hidden="1" x14ac:dyDescent="0.35">
      <c r="A109"/>
      <c r="B109" s="409" t="s">
        <v>937</v>
      </c>
      <c r="C109" s="233" t="s">
        <v>1087</v>
      </c>
      <c r="F109" s="366">
        <v>46</v>
      </c>
      <c r="G109" s="371" t="s">
        <v>1088</v>
      </c>
      <c r="H109" s="371"/>
      <c r="I109" s="370">
        <v>18</v>
      </c>
      <c r="J109" s="12">
        <v>4192</v>
      </c>
      <c r="K109" s="176">
        <v>3417</v>
      </c>
      <c r="L109" s="176">
        <f t="shared" si="3"/>
        <v>14.672232824427482</v>
      </c>
      <c r="M109" s="410">
        <f t="shared" si="4"/>
        <v>32.672232824427482</v>
      </c>
      <c r="N109" s="411">
        <v>1.4</v>
      </c>
      <c r="O109" s="176">
        <f t="shared" si="5"/>
        <v>45.741125954198473</v>
      </c>
      <c r="P109" s="176">
        <v>85</v>
      </c>
      <c r="S109" t="s">
        <v>1089</v>
      </c>
      <c r="T109" s="6">
        <v>45385</v>
      </c>
      <c r="U109">
        <f>+P109*30000</f>
        <v>2550000</v>
      </c>
    </row>
    <row r="110" spans="1:21" hidden="1" x14ac:dyDescent="0.35">
      <c r="A110"/>
      <c r="B110" s="409" t="s">
        <v>937</v>
      </c>
      <c r="C110" s="233" t="s">
        <v>1087</v>
      </c>
      <c r="F110" s="366">
        <v>48</v>
      </c>
      <c r="G110" s="371" t="s">
        <v>1045</v>
      </c>
      <c r="H110" s="371"/>
      <c r="I110" s="370">
        <v>18</v>
      </c>
      <c r="J110" s="12">
        <v>4192</v>
      </c>
      <c r="K110" s="176">
        <v>3417</v>
      </c>
      <c r="L110" s="176">
        <f t="shared" si="3"/>
        <v>14.672232824427482</v>
      </c>
      <c r="M110" s="410">
        <f t="shared" si="4"/>
        <v>32.672232824427482</v>
      </c>
      <c r="N110" s="411">
        <v>1.4</v>
      </c>
      <c r="O110" s="176">
        <f t="shared" si="5"/>
        <v>45.741125954198473</v>
      </c>
      <c r="P110" s="176">
        <v>85</v>
      </c>
      <c r="S110" t="s">
        <v>1090</v>
      </c>
      <c r="T110" s="6">
        <v>45385</v>
      </c>
      <c r="U110">
        <f>+P110*30000</f>
        <v>2550000</v>
      </c>
    </row>
    <row r="111" spans="1:21" hidden="1" x14ac:dyDescent="0.35">
      <c r="A111"/>
      <c r="B111" s="409" t="s">
        <v>937</v>
      </c>
      <c r="C111" s="233" t="s">
        <v>1087</v>
      </c>
      <c r="F111" s="366">
        <v>42</v>
      </c>
      <c r="G111" s="371" t="s">
        <v>1046</v>
      </c>
      <c r="H111" s="371"/>
      <c r="I111" s="370">
        <v>18</v>
      </c>
      <c r="J111" s="12">
        <v>4192</v>
      </c>
      <c r="K111" s="176">
        <v>3417</v>
      </c>
      <c r="L111" s="176">
        <f t="shared" ref="L111:L174" si="6">+K111/J111*I111</f>
        <v>14.672232824427482</v>
      </c>
      <c r="M111" s="410">
        <f t="shared" ref="M111:M174" si="7">+I111+L111</f>
        <v>32.672232824427482</v>
      </c>
      <c r="N111" s="411">
        <v>1.4</v>
      </c>
      <c r="O111" s="176">
        <f t="shared" ref="O111:O174" si="8">+M111*N111</f>
        <v>45.741125954198473</v>
      </c>
      <c r="P111" s="176">
        <v>75</v>
      </c>
      <c r="S111" t="s">
        <v>998</v>
      </c>
      <c r="T111" s="6">
        <v>45379</v>
      </c>
      <c r="U111">
        <f>+P111*30000</f>
        <v>2250000</v>
      </c>
    </row>
    <row r="112" spans="1:21" hidden="1" x14ac:dyDescent="0.35">
      <c r="A112"/>
      <c r="B112" s="409" t="s">
        <v>937</v>
      </c>
      <c r="C112" s="233" t="s">
        <v>1087</v>
      </c>
      <c r="F112" s="366">
        <v>40</v>
      </c>
      <c r="G112" s="371" t="s">
        <v>1046</v>
      </c>
      <c r="H112" s="371"/>
      <c r="I112" s="370">
        <v>18</v>
      </c>
      <c r="J112" s="12">
        <v>4192</v>
      </c>
      <c r="K112" s="176">
        <v>3417</v>
      </c>
      <c r="L112" s="176">
        <f t="shared" si="6"/>
        <v>14.672232824427482</v>
      </c>
      <c r="M112" s="410">
        <f t="shared" si="7"/>
        <v>32.672232824427482</v>
      </c>
      <c r="N112" s="411">
        <v>1.4</v>
      </c>
      <c r="O112" s="176">
        <f t="shared" si="8"/>
        <v>45.741125954198473</v>
      </c>
      <c r="P112" s="176">
        <v>75</v>
      </c>
      <c r="S112" t="s">
        <v>1097</v>
      </c>
      <c r="T112" s="6">
        <v>45385</v>
      </c>
      <c r="U112">
        <f>+P112*35000</f>
        <v>2625000</v>
      </c>
    </row>
    <row r="113" spans="1:21" hidden="1" x14ac:dyDescent="0.35">
      <c r="A113"/>
      <c r="B113" s="409" t="s">
        <v>937</v>
      </c>
      <c r="C113" s="233" t="s">
        <v>1087</v>
      </c>
      <c r="F113" s="366">
        <v>44</v>
      </c>
      <c r="G113" s="245" t="s">
        <v>1046</v>
      </c>
      <c r="I113" s="146">
        <v>18</v>
      </c>
      <c r="J113">
        <v>4192</v>
      </c>
      <c r="K113" s="173">
        <v>3417</v>
      </c>
      <c r="L113" s="173">
        <f t="shared" si="6"/>
        <v>14.672232824427482</v>
      </c>
      <c r="M113" s="402">
        <f t="shared" si="7"/>
        <v>32.672232824427482</v>
      </c>
      <c r="N113" s="174">
        <v>1.4</v>
      </c>
      <c r="O113" s="173">
        <f t="shared" si="8"/>
        <v>45.741125954198473</v>
      </c>
      <c r="P113" s="173">
        <v>75</v>
      </c>
    </row>
    <row r="114" spans="1:21" hidden="1" x14ac:dyDescent="0.35">
      <c r="A114"/>
      <c r="B114" s="409" t="s">
        <v>937</v>
      </c>
      <c r="C114" s="233" t="s">
        <v>1087</v>
      </c>
      <c r="F114" s="366">
        <v>46</v>
      </c>
      <c r="G114" s="245" t="s">
        <v>1046</v>
      </c>
      <c r="I114" s="146">
        <v>18</v>
      </c>
      <c r="J114">
        <v>4192</v>
      </c>
      <c r="K114" s="173">
        <v>3417</v>
      </c>
      <c r="L114" s="173">
        <f t="shared" si="6"/>
        <v>14.672232824427482</v>
      </c>
      <c r="M114" s="402">
        <f t="shared" si="7"/>
        <v>32.672232824427482</v>
      </c>
      <c r="N114" s="174">
        <v>1.4</v>
      </c>
      <c r="O114" s="173">
        <f t="shared" si="8"/>
        <v>45.741125954198473</v>
      </c>
      <c r="P114" s="173">
        <v>75</v>
      </c>
    </row>
    <row r="115" spans="1:21" hidden="1" x14ac:dyDescent="0.35">
      <c r="A115"/>
      <c r="B115" s="409" t="s">
        <v>1047</v>
      </c>
      <c r="C115" s="233" t="s">
        <v>1047</v>
      </c>
      <c r="F115" s="366">
        <v>42</v>
      </c>
      <c r="G115" s="245" t="s">
        <v>1048</v>
      </c>
      <c r="I115" s="146">
        <v>50</v>
      </c>
      <c r="J115">
        <v>4192</v>
      </c>
      <c r="K115" s="173">
        <v>3417</v>
      </c>
      <c r="L115" s="173">
        <f t="shared" si="6"/>
        <v>40.756202290076338</v>
      </c>
      <c r="M115" s="402">
        <f t="shared" si="7"/>
        <v>90.756202290076345</v>
      </c>
      <c r="N115" s="174">
        <v>1.4</v>
      </c>
      <c r="O115" s="173">
        <f t="shared" si="8"/>
        <v>127.05868320610688</v>
      </c>
      <c r="P115" s="173">
        <v>150</v>
      </c>
    </row>
    <row r="116" spans="1:21" hidden="1" x14ac:dyDescent="0.35">
      <c r="A116"/>
      <c r="B116" s="409" t="s">
        <v>1047</v>
      </c>
      <c r="C116" s="233" t="s">
        <v>1047</v>
      </c>
      <c r="F116" s="366">
        <v>44</v>
      </c>
      <c r="G116" s="245" t="s">
        <v>1048</v>
      </c>
      <c r="I116" s="146">
        <v>50</v>
      </c>
      <c r="J116">
        <v>4192</v>
      </c>
      <c r="K116" s="173">
        <v>3417</v>
      </c>
      <c r="L116" s="173">
        <f t="shared" si="6"/>
        <v>40.756202290076338</v>
      </c>
      <c r="M116" s="402">
        <f t="shared" si="7"/>
        <v>90.756202290076345</v>
      </c>
      <c r="N116" s="174">
        <v>1.4</v>
      </c>
      <c r="O116" s="173">
        <f t="shared" si="8"/>
        <v>127.05868320610688</v>
      </c>
      <c r="P116" s="173">
        <v>150</v>
      </c>
    </row>
    <row r="117" spans="1:21" hidden="1" x14ac:dyDescent="0.35">
      <c r="A117"/>
      <c r="B117" s="409" t="s">
        <v>1047</v>
      </c>
      <c r="C117" s="233" t="s">
        <v>1047</v>
      </c>
      <c r="F117" s="366">
        <v>46</v>
      </c>
      <c r="G117" s="245" t="s">
        <v>1048</v>
      </c>
      <c r="I117" s="146">
        <v>50</v>
      </c>
      <c r="J117">
        <v>4192</v>
      </c>
      <c r="K117" s="173">
        <v>3417</v>
      </c>
      <c r="L117" s="173">
        <f t="shared" si="6"/>
        <v>40.756202290076338</v>
      </c>
      <c r="M117" s="402">
        <f t="shared" si="7"/>
        <v>90.756202290076345</v>
      </c>
      <c r="N117" s="174">
        <v>1.4</v>
      </c>
      <c r="O117" s="173">
        <f t="shared" si="8"/>
        <v>127.05868320610688</v>
      </c>
      <c r="P117" s="173">
        <v>150</v>
      </c>
    </row>
    <row r="118" spans="1:21" hidden="1" x14ac:dyDescent="0.35">
      <c r="A118"/>
      <c r="B118" s="409" t="s">
        <v>1047</v>
      </c>
      <c r="C118" s="233" t="s">
        <v>1047</v>
      </c>
      <c r="F118" s="366">
        <v>48</v>
      </c>
      <c r="G118" s="372" t="s">
        <v>1048</v>
      </c>
      <c r="H118" s="372"/>
      <c r="I118" s="415">
        <v>50</v>
      </c>
      <c r="J118" s="343">
        <v>4192</v>
      </c>
      <c r="K118" s="373">
        <v>3417</v>
      </c>
      <c r="L118" s="373">
        <f t="shared" si="6"/>
        <v>40.756202290076338</v>
      </c>
      <c r="M118" s="407">
        <f t="shared" si="7"/>
        <v>90.756202290076345</v>
      </c>
      <c r="N118" s="408">
        <v>1.4</v>
      </c>
      <c r="O118" s="373">
        <f t="shared" si="8"/>
        <v>127.05868320610688</v>
      </c>
      <c r="P118" s="373">
        <v>150</v>
      </c>
      <c r="S118" t="s">
        <v>987</v>
      </c>
    </row>
    <row r="119" spans="1:21" hidden="1" x14ac:dyDescent="0.35">
      <c r="A119"/>
      <c r="B119" s="409" t="s">
        <v>1047</v>
      </c>
      <c r="C119" s="233" t="s">
        <v>1047</v>
      </c>
      <c r="F119" s="366">
        <v>42</v>
      </c>
      <c r="G119" s="245" t="s">
        <v>1049</v>
      </c>
      <c r="I119" s="146">
        <v>50</v>
      </c>
      <c r="J119">
        <v>4192</v>
      </c>
      <c r="K119" s="173">
        <v>3417</v>
      </c>
      <c r="L119" s="173">
        <f t="shared" si="6"/>
        <v>40.756202290076338</v>
      </c>
      <c r="M119" s="402">
        <f t="shared" si="7"/>
        <v>90.756202290076345</v>
      </c>
      <c r="N119" s="174">
        <v>1.4</v>
      </c>
      <c r="O119" s="173">
        <f t="shared" si="8"/>
        <v>127.05868320610688</v>
      </c>
      <c r="P119" s="173">
        <v>150</v>
      </c>
    </row>
    <row r="120" spans="1:21" hidden="1" x14ac:dyDescent="0.35">
      <c r="A120"/>
      <c r="B120" s="409" t="s">
        <v>1047</v>
      </c>
      <c r="C120" s="233" t="s">
        <v>1047</v>
      </c>
      <c r="F120" s="366">
        <v>44</v>
      </c>
      <c r="G120" s="245" t="s">
        <v>1049</v>
      </c>
      <c r="I120" s="146">
        <v>50</v>
      </c>
      <c r="J120">
        <v>4192</v>
      </c>
      <c r="K120" s="173">
        <v>3417</v>
      </c>
      <c r="L120" s="173">
        <f t="shared" si="6"/>
        <v>40.756202290076338</v>
      </c>
      <c r="M120" s="402">
        <f t="shared" si="7"/>
        <v>90.756202290076345</v>
      </c>
      <c r="N120" s="174">
        <v>1.4</v>
      </c>
      <c r="O120" s="173">
        <f t="shared" si="8"/>
        <v>127.05868320610688</v>
      </c>
      <c r="P120" s="173">
        <v>150</v>
      </c>
    </row>
    <row r="121" spans="1:21" hidden="1" x14ac:dyDescent="0.35">
      <c r="A121"/>
      <c r="B121" s="409" t="s">
        <v>1047</v>
      </c>
      <c r="C121" s="233" t="s">
        <v>1047</v>
      </c>
      <c r="F121" s="366">
        <v>46</v>
      </c>
      <c r="G121" s="245" t="s">
        <v>1049</v>
      </c>
      <c r="I121" s="146">
        <v>50</v>
      </c>
      <c r="J121">
        <v>4192</v>
      </c>
      <c r="K121" s="173">
        <v>3417</v>
      </c>
      <c r="L121" s="173">
        <f t="shared" si="6"/>
        <v>40.756202290076338</v>
      </c>
      <c r="M121" s="402">
        <f t="shared" si="7"/>
        <v>90.756202290076345</v>
      </c>
      <c r="N121" s="174">
        <v>1.4</v>
      </c>
      <c r="O121" s="173">
        <f t="shared" si="8"/>
        <v>127.05868320610688</v>
      </c>
      <c r="P121" s="173">
        <v>150</v>
      </c>
    </row>
    <row r="122" spans="1:21" hidden="1" x14ac:dyDescent="0.35">
      <c r="A122"/>
      <c r="B122" s="409" t="s">
        <v>1047</v>
      </c>
      <c r="C122" s="233" t="s">
        <v>1047</v>
      </c>
      <c r="F122" s="366">
        <v>48</v>
      </c>
      <c r="G122" s="245" t="s">
        <v>1049</v>
      </c>
      <c r="I122" s="146">
        <v>50</v>
      </c>
      <c r="J122">
        <v>4192</v>
      </c>
      <c r="K122" s="173">
        <v>3417</v>
      </c>
      <c r="L122" s="173">
        <f t="shared" si="6"/>
        <v>40.756202290076338</v>
      </c>
      <c r="M122" s="402">
        <f t="shared" si="7"/>
        <v>90.756202290076345</v>
      </c>
      <c r="N122" s="174">
        <v>1.4</v>
      </c>
      <c r="O122" s="173">
        <f t="shared" si="8"/>
        <v>127.05868320610688</v>
      </c>
      <c r="P122" s="173">
        <v>150</v>
      </c>
    </row>
    <row r="123" spans="1:21" hidden="1" x14ac:dyDescent="0.35">
      <c r="A123"/>
      <c r="B123" s="409" t="s">
        <v>715</v>
      </c>
      <c r="C123" s="233" t="s">
        <v>715</v>
      </c>
      <c r="F123" s="366">
        <v>42</v>
      </c>
      <c r="G123" s="371" t="s">
        <v>1050</v>
      </c>
      <c r="H123" s="371"/>
      <c r="I123" s="370">
        <v>55</v>
      </c>
      <c r="J123" s="12">
        <v>4192</v>
      </c>
      <c r="K123" s="176">
        <v>3417</v>
      </c>
      <c r="L123" s="176">
        <f t="shared" si="6"/>
        <v>44.831822519083971</v>
      </c>
      <c r="M123" s="410">
        <f t="shared" si="7"/>
        <v>99.831822519083971</v>
      </c>
      <c r="N123" s="411">
        <v>1.4</v>
      </c>
      <c r="O123" s="176">
        <f t="shared" si="8"/>
        <v>139.76455152671755</v>
      </c>
      <c r="P123" s="176">
        <v>150</v>
      </c>
      <c r="S123" t="s">
        <v>1094</v>
      </c>
      <c r="T123" s="6">
        <v>45384</v>
      </c>
      <c r="U123">
        <f>+P123*35000</f>
        <v>5250000</v>
      </c>
    </row>
    <row r="124" spans="1:21" hidden="1" x14ac:dyDescent="0.35">
      <c r="A124"/>
      <c r="B124" s="409" t="s">
        <v>715</v>
      </c>
      <c r="C124" s="233" t="s">
        <v>715</v>
      </c>
      <c r="F124" s="366">
        <v>44</v>
      </c>
      <c r="G124" s="245" t="s">
        <v>1050</v>
      </c>
      <c r="I124" s="146">
        <v>55</v>
      </c>
      <c r="J124">
        <v>4192</v>
      </c>
      <c r="K124" s="173">
        <v>3417</v>
      </c>
      <c r="L124" s="173">
        <f t="shared" si="6"/>
        <v>44.831822519083971</v>
      </c>
      <c r="M124" s="402">
        <f t="shared" si="7"/>
        <v>99.831822519083971</v>
      </c>
      <c r="N124" s="174">
        <v>1.4</v>
      </c>
      <c r="O124" s="173">
        <f t="shared" si="8"/>
        <v>139.76455152671755</v>
      </c>
      <c r="P124" s="173">
        <v>150</v>
      </c>
    </row>
    <row r="125" spans="1:21" hidden="1" x14ac:dyDescent="0.35">
      <c r="A125"/>
      <c r="B125" s="409" t="s">
        <v>715</v>
      </c>
      <c r="C125" s="233" t="s">
        <v>715</v>
      </c>
      <c r="F125" s="366">
        <v>46</v>
      </c>
      <c r="G125" s="371" t="s">
        <v>1050</v>
      </c>
      <c r="H125" s="371"/>
      <c r="I125" s="370">
        <v>55</v>
      </c>
      <c r="J125" s="12">
        <v>4192</v>
      </c>
      <c r="K125" s="176">
        <v>3417</v>
      </c>
      <c r="L125" s="176">
        <f t="shared" si="6"/>
        <v>44.831822519083971</v>
      </c>
      <c r="M125" s="410">
        <f t="shared" si="7"/>
        <v>99.831822519083971</v>
      </c>
      <c r="N125" s="411">
        <v>1.4</v>
      </c>
      <c r="O125" s="176">
        <f t="shared" si="8"/>
        <v>139.76455152671755</v>
      </c>
      <c r="P125" s="176">
        <v>150</v>
      </c>
      <c r="S125" t="s">
        <v>12</v>
      </c>
      <c r="T125" s="6">
        <v>45378</v>
      </c>
      <c r="U125">
        <f>+P125*30000</f>
        <v>4500000</v>
      </c>
    </row>
    <row r="126" spans="1:21" hidden="1" x14ac:dyDescent="0.35">
      <c r="A126"/>
      <c r="B126" s="409" t="s">
        <v>715</v>
      </c>
      <c r="C126" s="233" t="s">
        <v>715</v>
      </c>
      <c r="F126" s="366">
        <v>48</v>
      </c>
      <c r="G126" s="371" t="s">
        <v>1050</v>
      </c>
      <c r="H126" s="371"/>
      <c r="I126" s="370">
        <v>55</v>
      </c>
      <c r="J126" s="12">
        <v>4192</v>
      </c>
      <c r="K126" s="176">
        <v>3417</v>
      </c>
      <c r="L126" s="176">
        <f t="shared" si="6"/>
        <v>44.831822519083971</v>
      </c>
      <c r="M126" s="410">
        <f t="shared" si="7"/>
        <v>99.831822519083971</v>
      </c>
      <c r="N126" s="411">
        <v>1.4</v>
      </c>
      <c r="O126" s="176">
        <f t="shared" si="8"/>
        <v>139.76455152671755</v>
      </c>
      <c r="P126" s="176">
        <v>150</v>
      </c>
      <c r="S126" t="s">
        <v>1084</v>
      </c>
      <c r="T126" s="6">
        <v>45381</v>
      </c>
      <c r="U126">
        <f>+P126*30000</f>
        <v>4500000</v>
      </c>
    </row>
    <row r="127" spans="1:21" hidden="1" x14ac:dyDescent="0.35">
      <c r="A127"/>
      <c r="B127" s="409" t="s">
        <v>1055</v>
      </c>
      <c r="C127" s="233" t="s">
        <v>1091</v>
      </c>
      <c r="F127" s="366">
        <v>42</v>
      </c>
      <c r="G127" s="245" t="s">
        <v>1056</v>
      </c>
      <c r="I127" s="146">
        <v>32</v>
      </c>
      <c r="J127">
        <v>4192</v>
      </c>
      <c r="K127" s="173">
        <v>3417</v>
      </c>
      <c r="L127" s="173">
        <f t="shared" si="6"/>
        <v>26.083969465648856</v>
      </c>
      <c r="M127" s="402">
        <f t="shared" si="7"/>
        <v>58.083969465648856</v>
      </c>
      <c r="N127" s="174">
        <v>1.4</v>
      </c>
      <c r="O127" s="173">
        <f t="shared" si="8"/>
        <v>81.317557251908397</v>
      </c>
      <c r="P127" s="173">
        <v>110</v>
      </c>
    </row>
    <row r="128" spans="1:21" hidden="1" x14ac:dyDescent="0.35">
      <c r="A128"/>
      <c r="B128" s="409" t="s">
        <v>1055</v>
      </c>
      <c r="C128" s="233" t="s">
        <v>1091</v>
      </c>
      <c r="F128" s="366">
        <v>44</v>
      </c>
      <c r="G128" s="245" t="s">
        <v>1056</v>
      </c>
      <c r="I128" s="146">
        <v>32</v>
      </c>
      <c r="J128">
        <v>4192</v>
      </c>
      <c r="K128" s="173">
        <v>3417</v>
      </c>
      <c r="L128" s="173">
        <f t="shared" si="6"/>
        <v>26.083969465648856</v>
      </c>
      <c r="M128" s="402">
        <f t="shared" si="7"/>
        <v>58.083969465648856</v>
      </c>
      <c r="N128" s="174">
        <v>1.4</v>
      </c>
      <c r="O128" s="173">
        <f t="shared" si="8"/>
        <v>81.317557251908397</v>
      </c>
      <c r="P128" s="173">
        <v>110</v>
      </c>
    </row>
    <row r="129" spans="1:21" hidden="1" x14ac:dyDescent="0.35">
      <c r="A129"/>
      <c r="B129" s="409" t="s">
        <v>1055</v>
      </c>
      <c r="C129" s="233" t="s">
        <v>1091</v>
      </c>
      <c r="F129" s="366">
        <v>46</v>
      </c>
      <c r="G129" s="245" t="s">
        <v>1056</v>
      </c>
      <c r="I129" s="146">
        <v>32</v>
      </c>
      <c r="J129">
        <v>4192</v>
      </c>
      <c r="K129" s="173">
        <v>3417</v>
      </c>
      <c r="L129" s="173">
        <f t="shared" si="6"/>
        <v>26.083969465648856</v>
      </c>
      <c r="M129" s="402">
        <f t="shared" si="7"/>
        <v>58.083969465648856</v>
      </c>
      <c r="N129" s="174">
        <v>1.4</v>
      </c>
      <c r="O129" s="173">
        <f t="shared" si="8"/>
        <v>81.317557251908397</v>
      </c>
      <c r="P129" s="173">
        <v>110</v>
      </c>
    </row>
    <row r="130" spans="1:21" hidden="1" x14ac:dyDescent="0.35">
      <c r="A130"/>
      <c r="B130" s="409" t="s">
        <v>1055</v>
      </c>
      <c r="C130" s="233" t="s">
        <v>1091</v>
      </c>
      <c r="F130" s="366">
        <v>48</v>
      </c>
      <c r="G130" s="245" t="s">
        <v>1056</v>
      </c>
      <c r="I130" s="146">
        <v>32</v>
      </c>
      <c r="J130">
        <v>4192</v>
      </c>
      <c r="K130" s="173">
        <v>3417</v>
      </c>
      <c r="L130" s="173">
        <f t="shared" si="6"/>
        <v>26.083969465648856</v>
      </c>
      <c r="M130" s="402">
        <f t="shared" si="7"/>
        <v>58.083969465648856</v>
      </c>
      <c r="N130" s="174">
        <v>1.4</v>
      </c>
      <c r="O130" s="173">
        <f t="shared" si="8"/>
        <v>81.317557251908397</v>
      </c>
      <c r="P130" s="173">
        <v>110</v>
      </c>
    </row>
    <row r="131" spans="1:21" hidden="1" x14ac:dyDescent="0.35">
      <c r="A131"/>
      <c r="B131" s="3" t="s">
        <v>1033</v>
      </c>
      <c r="C131" s="233" t="s">
        <v>1028</v>
      </c>
      <c r="F131" s="399">
        <v>42</v>
      </c>
      <c r="G131" s="245" t="s">
        <v>1034</v>
      </c>
      <c r="I131" s="146">
        <v>12</v>
      </c>
      <c r="J131">
        <v>4192</v>
      </c>
      <c r="K131" s="173">
        <v>3417</v>
      </c>
      <c r="L131" s="173">
        <f t="shared" si="6"/>
        <v>9.7814885496183201</v>
      </c>
      <c r="M131" s="402">
        <f t="shared" si="7"/>
        <v>21.78148854961832</v>
      </c>
      <c r="N131" s="174">
        <v>1.4</v>
      </c>
      <c r="O131" s="173">
        <f t="shared" si="8"/>
        <v>30.494083969465645</v>
      </c>
      <c r="P131" s="173">
        <v>45</v>
      </c>
    </row>
    <row r="132" spans="1:21" hidden="1" x14ac:dyDescent="0.35">
      <c r="A132"/>
      <c r="C132" s="233" t="s">
        <v>1028</v>
      </c>
      <c r="F132" s="399">
        <v>44</v>
      </c>
      <c r="G132" s="245" t="s">
        <v>1034</v>
      </c>
      <c r="I132" s="146">
        <v>12</v>
      </c>
      <c r="J132">
        <v>4192</v>
      </c>
      <c r="K132" s="173">
        <v>3417</v>
      </c>
      <c r="L132" s="173">
        <f t="shared" si="6"/>
        <v>9.7814885496183201</v>
      </c>
      <c r="M132" s="402">
        <f t="shared" si="7"/>
        <v>21.78148854961832</v>
      </c>
      <c r="N132" s="174">
        <v>1.4</v>
      </c>
      <c r="O132" s="173">
        <f t="shared" si="8"/>
        <v>30.494083969465645</v>
      </c>
      <c r="P132" s="173">
        <v>45</v>
      </c>
    </row>
    <row r="133" spans="1:21" hidden="1" x14ac:dyDescent="0.35">
      <c r="A133"/>
      <c r="C133" s="233" t="s">
        <v>1028</v>
      </c>
      <c r="F133" s="399">
        <v>46</v>
      </c>
      <c r="G133" s="245" t="s">
        <v>1034</v>
      </c>
      <c r="I133" s="146">
        <v>12</v>
      </c>
      <c r="J133">
        <v>4192</v>
      </c>
      <c r="K133" s="173">
        <v>3417</v>
      </c>
      <c r="L133" s="173">
        <f t="shared" si="6"/>
        <v>9.7814885496183201</v>
      </c>
      <c r="M133" s="402">
        <f t="shared" si="7"/>
        <v>21.78148854961832</v>
      </c>
      <c r="N133" s="174">
        <v>1.4</v>
      </c>
      <c r="O133" s="173">
        <f t="shared" si="8"/>
        <v>30.494083969465645</v>
      </c>
      <c r="P133" s="173">
        <v>45</v>
      </c>
    </row>
    <row r="134" spans="1:21" hidden="1" x14ac:dyDescent="0.35">
      <c r="A134"/>
      <c r="B134" s="3" t="s">
        <v>1057</v>
      </c>
      <c r="G134" s="245" t="s">
        <v>1058</v>
      </c>
      <c r="I134" s="146">
        <v>15</v>
      </c>
      <c r="J134">
        <v>4192</v>
      </c>
      <c r="K134" s="173">
        <v>3417</v>
      </c>
      <c r="L134" s="173">
        <f t="shared" si="6"/>
        <v>12.226860687022901</v>
      </c>
      <c r="M134" s="402">
        <f t="shared" si="7"/>
        <v>27.226860687022899</v>
      </c>
      <c r="N134" s="174">
        <v>1.4</v>
      </c>
      <c r="O134" s="173">
        <f t="shared" si="8"/>
        <v>38.117604961832058</v>
      </c>
      <c r="P134" s="173">
        <v>45</v>
      </c>
    </row>
    <row r="135" spans="1:21" hidden="1" x14ac:dyDescent="0.35">
      <c r="A135"/>
      <c r="B135" s="3" t="s">
        <v>1035</v>
      </c>
      <c r="C135" s="232" t="s">
        <v>1080</v>
      </c>
      <c r="D135" s="232"/>
      <c r="F135" s="366" t="s">
        <v>1079</v>
      </c>
      <c r="G135" s="245" t="s">
        <v>1036</v>
      </c>
      <c r="I135" s="173">
        <v>10</v>
      </c>
      <c r="J135">
        <v>4192</v>
      </c>
      <c r="K135" s="173">
        <v>3417</v>
      </c>
      <c r="L135" s="173">
        <f t="shared" si="6"/>
        <v>8.151240458015268</v>
      </c>
      <c r="M135" s="402">
        <f t="shared" si="7"/>
        <v>18.151240458015266</v>
      </c>
      <c r="N135" s="174">
        <v>1.4</v>
      </c>
      <c r="O135" s="173">
        <f t="shared" si="8"/>
        <v>25.411736641221371</v>
      </c>
      <c r="P135" s="173">
        <v>35</v>
      </c>
    </row>
    <row r="136" spans="1:21" hidden="1" x14ac:dyDescent="0.35">
      <c r="B136" s="409" t="s">
        <v>1035</v>
      </c>
      <c r="C136" s="232" t="s">
        <v>1080</v>
      </c>
      <c r="D136" s="232"/>
      <c r="F136" s="366" t="s">
        <v>409</v>
      </c>
      <c r="G136" s="371" t="s">
        <v>1036</v>
      </c>
      <c r="H136" s="371"/>
      <c r="I136" s="176">
        <v>10</v>
      </c>
      <c r="J136" s="12">
        <v>4192</v>
      </c>
      <c r="K136" s="176">
        <v>3417</v>
      </c>
      <c r="L136" s="176">
        <f t="shared" si="6"/>
        <v>8.151240458015268</v>
      </c>
      <c r="M136" s="410">
        <f t="shared" si="7"/>
        <v>18.151240458015266</v>
      </c>
      <c r="N136" s="411">
        <v>1.4</v>
      </c>
      <c r="O136" s="176">
        <f t="shared" si="8"/>
        <v>25.411736641221371</v>
      </c>
      <c r="P136" s="176">
        <v>35</v>
      </c>
      <c r="S136" t="s">
        <v>12</v>
      </c>
      <c r="T136" s="6">
        <v>45376</v>
      </c>
      <c r="U136">
        <f>+P136*20000</f>
        <v>700000</v>
      </c>
    </row>
    <row r="137" spans="1:21" hidden="1" x14ac:dyDescent="0.35">
      <c r="B137" s="3" t="s">
        <v>1035</v>
      </c>
      <c r="C137" s="232" t="s">
        <v>1080</v>
      </c>
      <c r="D137" s="232"/>
      <c r="F137" s="366" t="s">
        <v>407</v>
      </c>
      <c r="G137" s="245" t="s">
        <v>1036</v>
      </c>
      <c r="I137" s="173">
        <v>10</v>
      </c>
      <c r="J137">
        <v>4192</v>
      </c>
      <c r="K137" s="173">
        <v>3417</v>
      </c>
      <c r="L137" s="173">
        <f t="shared" si="6"/>
        <v>8.151240458015268</v>
      </c>
      <c r="M137" s="402">
        <f t="shared" si="7"/>
        <v>18.151240458015266</v>
      </c>
      <c r="N137" s="174">
        <v>1.4</v>
      </c>
      <c r="O137" s="173">
        <f t="shared" si="8"/>
        <v>25.411736641221371</v>
      </c>
      <c r="P137" s="173">
        <v>35</v>
      </c>
    </row>
    <row r="138" spans="1:21" hidden="1" x14ac:dyDescent="0.35">
      <c r="B138" s="3" t="s">
        <v>1035</v>
      </c>
      <c r="C138" s="232" t="s">
        <v>1080</v>
      </c>
      <c r="D138" s="232"/>
      <c r="F138" s="366" t="s">
        <v>408</v>
      </c>
      <c r="G138" s="245" t="s">
        <v>1081</v>
      </c>
      <c r="I138" s="173">
        <v>10</v>
      </c>
      <c r="J138">
        <v>4192</v>
      </c>
      <c r="K138" s="173">
        <v>3417</v>
      </c>
      <c r="L138" s="173">
        <f t="shared" si="6"/>
        <v>8.151240458015268</v>
      </c>
      <c r="M138" s="402">
        <f t="shared" si="7"/>
        <v>18.151240458015266</v>
      </c>
      <c r="N138" s="174">
        <v>1.4</v>
      </c>
      <c r="O138" s="173">
        <f t="shared" si="8"/>
        <v>25.411736641221371</v>
      </c>
      <c r="P138" s="173">
        <v>35</v>
      </c>
    </row>
    <row r="139" spans="1:21" hidden="1" x14ac:dyDescent="0.35">
      <c r="B139" s="409" t="s">
        <v>1035</v>
      </c>
      <c r="C139" s="232" t="s">
        <v>1080</v>
      </c>
      <c r="D139" s="232"/>
      <c r="F139" s="366" t="s">
        <v>407</v>
      </c>
      <c r="G139" s="245" t="s">
        <v>1081</v>
      </c>
      <c r="I139" s="173">
        <v>10</v>
      </c>
      <c r="J139">
        <v>4192</v>
      </c>
      <c r="K139" s="173">
        <v>3417</v>
      </c>
      <c r="L139" s="173">
        <f t="shared" si="6"/>
        <v>8.151240458015268</v>
      </c>
      <c r="M139" s="402">
        <f t="shared" si="7"/>
        <v>18.151240458015266</v>
      </c>
      <c r="N139" s="174">
        <v>1.4</v>
      </c>
      <c r="O139" s="173">
        <f t="shared" si="8"/>
        <v>25.411736641221371</v>
      </c>
      <c r="P139" s="173">
        <v>35</v>
      </c>
    </row>
    <row r="140" spans="1:21" hidden="1" x14ac:dyDescent="0.35">
      <c r="B140" s="3" t="s">
        <v>1035</v>
      </c>
      <c r="C140" s="232" t="s">
        <v>1080</v>
      </c>
      <c r="D140" s="232"/>
      <c r="F140" s="366" t="s">
        <v>409</v>
      </c>
      <c r="G140" s="245" t="s">
        <v>1081</v>
      </c>
      <c r="I140" s="173">
        <v>10</v>
      </c>
      <c r="J140">
        <v>4192</v>
      </c>
      <c r="K140" s="173">
        <v>3417</v>
      </c>
      <c r="L140" s="173">
        <f t="shared" si="6"/>
        <v>8.151240458015268</v>
      </c>
      <c r="M140" s="402">
        <f t="shared" si="7"/>
        <v>18.151240458015266</v>
      </c>
      <c r="N140" s="174">
        <v>1.4</v>
      </c>
      <c r="O140" s="173">
        <f t="shared" si="8"/>
        <v>25.411736641221371</v>
      </c>
      <c r="P140" s="173">
        <v>35</v>
      </c>
    </row>
    <row r="141" spans="1:21" hidden="1" x14ac:dyDescent="0.35">
      <c r="B141" s="3" t="s">
        <v>1035</v>
      </c>
      <c r="C141" s="232" t="s">
        <v>1080</v>
      </c>
      <c r="D141" s="232"/>
      <c r="F141" s="366" t="s">
        <v>408</v>
      </c>
      <c r="G141" s="245" t="s">
        <v>1082</v>
      </c>
      <c r="I141" s="173">
        <v>10</v>
      </c>
      <c r="J141">
        <v>4192</v>
      </c>
      <c r="K141" s="173">
        <v>3417</v>
      </c>
      <c r="L141" s="173">
        <f t="shared" si="6"/>
        <v>8.151240458015268</v>
      </c>
      <c r="M141" s="402">
        <f t="shared" si="7"/>
        <v>18.151240458015266</v>
      </c>
      <c r="N141" s="174">
        <v>1.4</v>
      </c>
      <c r="O141" s="173">
        <f t="shared" si="8"/>
        <v>25.411736641221371</v>
      </c>
      <c r="P141" s="173">
        <v>35</v>
      </c>
    </row>
    <row r="142" spans="1:21" hidden="1" x14ac:dyDescent="0.35">
      <c r="B142" s="3" t="s">
        <v>1035</v>
      </c>
      <c r="C142" s="232" t="s">
        <v>1080</v>
      </c>
      <c r="D142" s="232"/>
      <c r="F142" s="366" t="s">
        <v>407</v>
      </c>
      <c r="G142" s="245" t="s">
        <v>1082</v>
      </c>
      <c r="I142" s="173">
        <v>10</v>
      </c>
      <c r="J142">
        <v>4192</v>
      </c>
      <c r="K142" s="173">
        <v>3417</v>
      </c>
      <c r="L142" s="173">
        <f t="shared" si="6"/>
        <v>8.151240458015268</v>
      </c>
      <c r="M142" s="402">
        <f t="shared" si="7"/>
        <v>18.151240458015266</v>
      </c>
      <c r="N142" s="174">
        <v>1.4</v>
      </c>
      <c r="O142" s="173">
        <f t="shared" si="8"/>
        <v>25.411736641221371</v>
      </c>
      <c r="P142" s="173">
        <v>35</v>
      </c>
    </row>
    <row r="143" spans="1:21" hidden="1" x14ac:dyDescent="0.35">
      <c r="B143" s="3" t="s">
        <v>1035</v>
      </c>
      <c r="C143" s="232" t="s">
        <v>1080</v>
      </c>
      <c r="D143" s="232"/>
      <c r="F143" s="366" t="s">
        <v>409</v>
      </c>
      <c r="G143" s="245" t="s">
        <v>1082</v>
      </c>
      <c r="I143" s="173">
        <v>10</v>
      </c>
      <c r="J143">
        <v>4192</v>
      </c>
      <c r="K143" s="173">
        <v>3417</v>
      </c>
      <c r="L143" s="173">
        <f t="shared" si="6"/>
        <v>8.151240458015268</v>
      </c>
      <c r="M143" s="402">
        <f t="shared" si="7"/>
        <v>18.151240458015266</v>
      </c>
      <c r="N143" s="174">
        <v>1.4</v>
      </c>
      <c r="O143" s="173">
        <f t="shared" si="8"/>
        <v>25.411736641221371</v>
      </c>
      <c r="P143" s="173">
        <v>35</v>
      </c>
    </row>
    <row r="144" spans="1:21" hidden="1" x14ac:dyDescent="0.35">
      <c r="B144" s="3" t="s">
        <v>1035</v>
      </c>
      <c r="C144" s="232" t="s">
        <v>1080</v>
      </c>
      <c r="D144" s="232"/>
      <c r="F144" s="366" t="s">
        <v>408</v>
      </c>
      <c r="G144" s="245" t="s">
        <v>1083</v>
      </c>
      <c r="I144" s="173">
        <v>10</v>
      </c>
      <c r="J144">
        <v>4192</v>
      </c>
      <c r="K144" s="173">
        <v>3417</v>
      </c>
      <c r="L144" s="173">
        <f t="shared" si="6"/>
        <v>8.151240458015268</v>
      </c>
      <c r="M144" s="402">
        <f t="shared" si="7"/>
        <v>18.151240458015266</v>
      </c>
      <c r="N144" s="174">
        <v>1.4</v>
      </c>
      <c r="O144" s="173">
        <f t="shared" si="8"/>
        <v>25.411736641221371</v>
      </c>
      <c r="P144" s="173">
        <v>35</v>
      </c>
    </row>
    <row r="145" spans="1:16" hidden="1" x14ac:dyDescent="0.35">
      <c r="B145" s="3" t="s">
        <v>1035</v>
      </c>
      <c r="C145" s="232" t="s">
        <v>1080</v>
      </c>
      <c r="D145" s="232"/>
      <c r="F145" s="366" t="s">
        <v>407</v>
      </c>
      <c r="G145" s="245" t="s">
        <v>1083</v>
      </c>
      <c r="I145" s="173">
        <v>10</v>
      </c>
      <c r="J145">
        <v>4192</v>
      </c>
      <c r="K145" s="173">
        <v>3417</v>
      </c>
      <c r="L145" s="173">
        <f t="shared" si="6"/>
        <v>8.151240458015268</v>
      </c>
      <c r="M145" s="402">
        <f t="shared" si="7"/>
        <v>18.151240458015266</v>
      </c>
      <c r="N145" s="174">
        <v>1.4</v>
      </c>
      <c r="O145" s="173">
        <f t="shared" si="8"/>
        <v>25.411736641221371</v>
      </c>
      <c r="P145" s="173">
        <v>35</v>
      </c>
    </row>
    <row r="146" spans="1:16" hidden="1" x14ac:dyDescent="0.35">
      <c r="B146" s="3" t="s">
        <v>1035</v>
      </c>
      <c r="C146" s="232" t="s">
        <v>1080</v>
      </c>
      <c r="D146" s="232"/>
      <c r="F146" s="366" t="s">
        <v>409</v>
      </c>
      <c r="G146" s="245" t="s">
        <v>1083</v>
      </c>
      <c r="I146" s="173">
        <v>10</v>
      </c>
      <c r="J146">
        <v>4192</v>
      </c>
      <c r="K146" s="173">
        <v>3417</v>
      </c>
      <c r="L146" s="173">
        <f t="shared" si="6"/>
        <v>8.151240458015268</v>
      </c>
      <c r="M146" s="402">
        <f t="shared" si="7"/>
        <v>18.151240458015266</v>
      </c>
      <c r="N146" s="174">
        <v>1.4</v>
      </c>
      <c r="O146" s="173">
        <f t="shared" si="8"/>
        <v>25.411736641221371</v>
      </c>
      <c r="P146" s="173">
        <v>35</v>
      </c>
    </row>
    <row r="147" spans="1:16" hidden="1" x14ac:dyDescent="0.35">
      <c r="B147" s="3" t="s">
        <v>581</v>
      </c>
      <c r="F147" s="366">
        <v>4</v>
      </c>
      <c r="G147" s="245" t="s">
        <v>1059</v>
      </c>
      <c r="I147" s="173">
        <v>1.62</v>
      </c>
      <c r="J147">
        <v>4192</v>
      </c>
      <c r="K147" s="173">
        <v>3417</v>
      </c>
      <c r="L147" s="173">
        <f t="shared" si="6"/>
        <v>1.3205009541984734</v>
      </c>
      <c r="M147" s="402">
        <f t="shared" si="7"/>
        <v>2.9405009541984732</v>
      </c>
      <c r="N147" s="174">
        <v>1.4</v>
      </c>
      <c r="O147" s="173">
        <f t="shared" si="8"/>
        <v>4.1167013358778624</v>
      </c>
      <c r="P147" s="173">
        <v>5</v>
      </c>
    </row>
    <row r="148" spans="1:16" hidden="1" x14ac:dyDescent="0.35">
      <c r="F148" s="366">
        <v>4</v>
      </c>
      <c r="G148" s="245" t="s">
        <v>1059</v>
      </c>
      <c r="I148" s="173">
        <v>1.62</v>
      </c>
      <c r="J148">
        <v>4192</v>
      </c>
      <c r="K148" s="173">
        <v>3417</v>
      </c>
      <c r="L148" s="173">
        <f t="shared" si="6"/>
        <v>1.3205009541984734</v>
      </c>
      <c r="M148" s="402">
        <f t="shared" si="7"/>
        <v>2.9405009541984732</v>
      </c>
      <c r="N148" s="174">
        <v>1.4</v>
      </c>
      <c r="O148" s="173">
        <f t="shared" si="8"/>
        <v>4.1167013358778624</v>
      </c>
      <c r="P148" s="173">
        <v>5</v>
      </c>
    </row>
    <row r="149" spans="1:16" hidden="1" x14ac:dyDescent="0.35">
      <c r="F149" s="366">
        <v>4</v>
      </c>
      <c r="G149" s="245" t="s">
        <v>1059</v>
      </c>
      <c r="I149" s="173">
        <v>1.62</v>
      </c>
      <c r="J149">
        <v>4192</v>
      </c>
      <c r="K149" s="173">
        <v>3417</v>
      </c>
      <c r="L149" s="173">
        <f t="shared" si="6"/>
        <v>1.3205009541984734</v>
      </c>
      <c r="M149" s="402">
        <f t="shared" si="7"/>
        <v>2.9405009541984732</v>
      </c>
      <c r="N149" s="174">
        <v>1.4</v>
      </c>
      <c r="O149" s="173">
        <f t="shared" si="8"/>
        <v>4.1167013358778624</v>
      </c>
      <c r="P149" s="173">
        <v>5</v>
      </c>
    </row>
    <row r="150" spans="1:16" hidden="1" x14ac:dyDescent="0.35">
      <c r="F150" s="366">
        <v>4</v>
      </c>
      <c r="G150" s="245" t="s">
        <v>1059</v>
      </c>
      <c r="I150" s="173">
        <v>1.62</v>
      </c>
      <c r="J150">
        <v>4192</v>
      </c>
      <c r="K150" s="173">
        <v>3417</v>
      </c>
      <c r="L150" s="173">
        <f t="shared" si="6"/>
        <v>1.3205009541984734</v>
      </c>
      <c r="M150" s="402">
        <f t="shared" si="7"/>
        <v>2.9405009541984732</v>
      </c>
      <c r="N150" s="174">
        <v>1.4</v>
      </c>
      <c r="O150" s="173">
        <f t="shared" si="8"/>
        <v>4.1167013358778624</v>
      </c>
      <c r="P150" s="173">
        <v>5</v>
      </c>
    </row>
    <row r="151" spans="1:16" hidden="1" x14ac:dyDescent="0.35">
      <c r="A151"/>
      <c r="F151" s="366">
        <v>4</v>
      </c>
      <c r="G151" s="245" t="s">
        <v>1059</v>
      </c>
      <c r="I151" s="173">
        <v>1.62</v>
      </c>
      <c r="J151">
        <v>4192</v>
      </c>
      <c r="K151" s="173">
        <v>3417</v>
      </c>
      <c r="L151" s="173">
        <f t="shared" si="6"/>
        <v>1.3205009541984734</v>
      </c>
      <c r="M151" s="402">
        <f t="shared" si="7"/>
        <v>2.9405009541984732</v>
      </c>
      <c r="N151" s="174">
        <v>1.4</v>
      </c>
      <c r="O151" s="173">
        <f t="shared" si="8"/>
        <v>4.1167013358778624</v>
      </c>
      <c r="P151" s="173">
        <v>5</v>
      </c>
    </row>
    <row r="152" spans="1:16" hidden="1" x14ac:dyDescent="0.35">
      <c r="A152"/>
      <c r="F152" s="366">
        <v>4</v>
      </c>
      <c r="G152" s="245" t="s">
        <v>1059</v>
      </c>
      <c r="I152" s="173">
        <v>1.62</v>
      </c>
      <c r="J152">
        <v>4192</v>
      </c>
      <c r="K152" s="173">
        <v>3417</v>
      </c>
      <c r="L152" s="173">
        <f t="shared" si="6"/>
        <v>1.3205009541984734</v>
      </c>
      <c r="M152" s="402">
        <f t="shared" si="7"/>
        <v>2.9405009541984732</v>
      </c>
      <c r="N152" s="174">
        <v>1.4</v>
      </c>
      <c r="O152" s="173">
        <f t="shared" si="8"/>
        <v>4.1167013358778624</v>
      </c>
      <c r="P152" s="173">
        <v>5</v>
      </c>
    </row>
    <row r="153" spans="1:16" hidden="1" x14ac:dyDescent="0.35">
      <c r="A153"/>
      <c r="F153" s="366">
        <v>4</v>
      </c>
      <c r="G153" s="245" t="s">
        <v>1059</v>
      </c>
      <c r="I153" s="173">
        <v>1.62</v>
      </c>
      <c r="J153">
        <v>4192</v>
      </c>
      <c r="K153" s="173">
        <v>3417</v>
      </c>
      <c r="L153" s="173">
        <f t="shared" si="6"/>
        <v>1.3205009541984734</v>
      </c>
      <c r="M153" s="402">
        <f t="shared" si="7"/>
        <v>2.9405009541984732</v>
      </c>
      <c r="N153" s="174">
        <v>1.4</v>
      </c>
      <c r="O153" s="173">
        <f t="shared" si="8"/>
        <v>4.1167013358778624</v>
      </c>
      <c r="P153" s="173">
        <v>5</v>
      </c>
    </row>
    <row r="154" spans="1:16" hidden="1" x14ac:dyDescent="0.35">
      <c r="A154"/>
      <c r="F154" s="366">
        <v>4</v>
      </c>
      <c r="G154" s="245" t="s">
        <v>1059</v>
      </c>
      <c r="I154" s="173">
        <v>1.62</v>
      </c>
      <c r="J154">
        <v>4192</v>
      </c>
      <c r="K154" s="173">
        <v>3417</v>
      </c>
      <c r="L154" s="173">
        <f t="shared" si="6"/>
        <v>1.3205009541984734</v>
      </c>
      <c r="M154" s="402">
        <f t="shared" si="7"/>
        <v>2.9405009541984732</v>
      </c>
      <c r="N154" s="174">
        <v>1.4</v>
      </c>
      <c r="O154" s="173">
        <f t="shared" si="8"/>
        <v>4.1167013358778624</v>
      </c>
      <c r="P154" s="173">
        <v>5</v>
      </c>
    </row>
    <row r="155" spans="1:16" hidden="1" x14ac:dyDescent="0.35">
      <c r="A155"/>
      <c r="F155" s="366">
        <v>4</v>
      </c>
      <c r="G155" s="245" t="s">
        <v>1059</v>
      </c>
      <c r="I155" s="173">
        <v>1.62</v>
      </c>
      <c r="J155">
        <v>4192</v>
      </c>
      <c r="K155" s="173">
        <v>3417</v>
      </c>
      <c r="L155" s="173">
        <f t="shared" si="6"/>
        <v>1.3205009541984734</v>
      </c>
      <c r="M155" s="402">
        <f t="shared" si="7"/>
        <v>2.9405009541984732</v>
      </c>
      <c r="N155" s="174">
        <v>1.4</v>
      </c>
      <c r="O155" s="173">
        <f t="shared" si="8"/>
        <v>4.1167013358778624</v>
      </c>
      <c r="P155" s="173">
        <v>5</v>
      </c>
    </row>
    <row r="156" spans="1:16" hidden="1" x14ac:dyDescent="0.35">
      <c r="A156"/>
      <c r="F156" s="366">
        <v>4</v>
      </c>
      <c r="G156" s="245" t="s">
        <v>1059</v>
      </c>
      <c r="I156" s="173">
        <v>1.62</v>
      </c>
      <c r="J156">
        <v>4192</v>
      </c>
      <c r="K156" s="173">
        <v>3417</v>
      </c>
      <c r="L156" s="173">
        <f t="shared" si="6"/>
        <v>1.3205009541984734</v>
      </c>
      <c r="M156" s="402">
        <f t="shared" si="7"/>
        <v>2.9405009541984732</v>
      </c>
      <c r="N156" s="174">
        <v>1.4</v>
      </c>
      <c r="O156" s="173">
        <f t="shared" si="8"/>
        <v>4.1167013358778624</v>
      </c>
      <c r="P156" s="173">
        <v>5</v>
      </c>
    </row>
    <row r="157" spans="1:16" hidden="1" x14ac:dyDescent="0.35">
      <c r="A157"/>
      <c r="F157" s="366">
        <v>4</v>
      </c>
      <c r="G157" s="245" t="s">
        <v>1059</v>
      </c>
      <c r="I157" s="173">
        <v>1.62</v>
      </c>
      <c r="J157">
        <v>4192</v>
      </c>
      <c r="K157" s="173">
        <v>3417</v>
      </c>
      <c r="L157" s="173">
        <f t="shared" si="6"/>
        <v>1.3205009541984734</v>
      </c>
      <c r="M157" s="402">
        <f t="shared" si="7"/>
        <v>2.9405009541984732</v>
      </c>
      <c r="N157" s="174">
        <v>1.4</v>
      </c>
      <c r="O157" s="173">
        <f t="shared" si="8"/>
        <v>4.1167013358778624</v>
      </c>
      <c r="P157" s="173">
        <v>5</v>
      </c>
    </row>
    <row r="158" spans="1:16" hidden="1" x14ac:dyDescent="0.35">
      <c r="A158"/>
      <c r="F158" s="366">
        <v>4</v>
      </c>
      <c r="G158" s="245" t="s">
        <v>1059</v>
      </c>
      <c r="I158" s="173">
        <v>1.62</v>
      </c>
      <c r="J158">
        <v>4192</v>
      </c>
      <c r="K158" s="173">
        <v>3417</v>
      </c>
      <c r="L158" s="173">
        <f t="shared" si="6"/>
        <v>1.3205009541984734</v>
      </c>
      <c r="M158" s="402">
        <f t="shared" si="7"/>
        <v>2.9405009541984732</v>
      </c>
      <c r="N158" s="174">
        <v>1.4</v>
      </c>
      <c r="O158" s="173">
        <f t="shared" si="8"/>
        <v>4.1167013358778624</v>
      </c>
      <c r="P158" s="173">
        <v>5</v>
      </c>
    </row>
    <row r="159" spans="1:16" hidden="1" x14ac:dyDescent="0.35">
      <c r="A159"/>
      <c r="F159" s="366">
        <v>4</v>
      </c>
      <c r="G159" s="245" t="s">
        <v>1060</v>
      </c>
      <c r="I159" s="173">
        <v>1.62</v>
      </c>
      <c r="J159">
        <v>4192</v>
      </c>
      <c r="K159" s="173">
        <v>3417</v>
      </c>
      <c r="L159" s="173">
        <f t="shared" si="6"/>
        <v>1.3205009541984734</v>
      </c>
      <c r="M159" s="402">
        <f t="shared" si="7"/>
        <v>2.9405009541984732</v>
      </c>
      <c r="N159" s="174">
        <v>1.4</v>
      </c>
      <c r="O159" s="173">
        <f t="shared" si="8"/>
        <v>4.1167013358778624</v>
      </c>
      <c r="P159" s="173">
        <v>5</v>
      </c>
    </row>
    <row r="160" spans="1:16" hidden="1" x14ac:dyDescent="0.35">
      <c r="A160"/>
      <c r="F160" s="366">
        <v>4</v>
      </c>
      <c r="G160" s="245" t="s">
        <v>1060</v>
      </c>
      <c r="I160" s="173">
        <v>1.62</v>
      </c>
      <c r="J160">
        <v>4192</v>
      </c>
      <c r="K160" s="173">
        <v>3417</v>
      </c>
      <c r="L160" s="173">
        <f t="shared" si="6"/>
        <v>1.3205009541984734</v>
      </c>
      <c r="M160" s="402">
        <f t="shared" si="7"/>
        <v>2.9405009541984732</v>
      </c>
      <c r="N160" s="174">
        <v>1.4</v>
      </c>
      <c r="O160" s="173">
        <f t="shared" si="8"/>
        <v>4.1167013358778624</v>
      </c>
      <c r="P160" s="173">
        <v>5</v>
      </c>
    </row>
    <row r="161" spans="1:21" hidden="1" x14ac:dyDescent="0.35">
      <c r="A161"/>
      <c r="F161" s="366">
        <v>4</v>
      </c>
      <c r="G161" s="245" t="s">
        <v>1060</v>
      </c>
      <c r="I161" s="173">
        <v>1.62</v>
      </c>
      <c r="J161">
        <v>4192</v>
      </c>
      <c r="K161" s="173">
        <v>3417</v>
      </c>
      <c r="L161" s="173">
        <f t="shared" si="6"/>
        <v>1.3205009541984734</v>
      </c>
      <c r="M161" s="402">
        <f t="shared" si="7"/>
        <v>2.9405009541984732</v>
      </c>
      <c r="N161" s="174">
        <v>1.4</v>
      </c>
      <c r="O161" s="173">
        <f t="shared" si="8"/>
        <v>4.1167013358778624</v>
      </c>
      <c r="P161" s="173">
        <v>5</v>
      </c>
    </row>
    <row r="162" spans="1:21" hidden="1" x14ac:dyDescent="0.35">
      <c r="A162"/>
      <c r="F162" s="366">
        <v>4</v>
      </c>
      <c r="G162" s="245" t="s">
        <v>1060</v>
      </c>
      <c r="I162" s="173">
        <v>1.62</v>
      </c>
      <c r="J162">
        <v>4192</v>
      </c>
      <c r="K162" s="173">
        <v>3417</v>
      </c>
      <c r="L162" s="173">
        <f t="shared" si="6"/>
        <v>1.3205009541984734</v>
      </c>
      <c r="M162" s="402">
        <f t="shared" si="7"/>
        <v>2.9405009541984732</v>
      </c>
      <c r="N162" s="174">
        <v>1.4</v>
      </c>
      <c r="O162" s="173">
        <f t="shared" si="8"/>
        <v>4.1167013358778624</v>
      </c>
      <c r="P162" s="173">
        <v>5</v>
      </c>
    </row>
    <row r="163" spans="1:21" hidden="1" x14ac:dyDescent="0.35">
      <c r="A163"/>
      <c r="F163" s="366">
        <v>4</v>
      </c>
      <c r="G163" s="245" t="s">
        <v>1060</v>
      </c>
      <c r="I163" s="173">
        <v>1.62</v>
      </c>
      <c r="J163">
        <v>4192</v>
      </c>
      <c r="K163" s="173">
        <v>3417</v>
      </c>
      <c r="L163" s="173">
        <f t="shared" si="6"/>
        <v>1.3205009541984734</v>
      </c>
      <c r="M163" s="402">
        <f t="shared" si="7"/>
        <v>2.9405009541984732</v>
      </c>
      <c r="N163" s="174">
        <v>1.4</v>
      </c>
      <c r="O163" s="173">
        <f t="shared" si="8"/>
        <v>4.1167013358778624</v>
      </c>
      <c r="P163" s="173">
        <v>5</v>
      </c>
    </row>
    <row r="164" spans="1:21" hidden="1" x14ac:dyDescent="0.35">
      <c r="A164"/>
      <c r="F164" s="366">
        <v>4</v>
      </c>
      <c r="G164" s="245" t="s">
        <v>1060</v>
      </c>
      <c r="I164" s="173">
        <v>1.62</v>
      </c>
      <c r="J164">
        <v>4192</v>
      </c>
      <c r="K164" s="173">
        <v>3417</v>
      </c>
      <c r="L164" s="173">
        <f t="shared" si="6"/>
        <v>1.3205009541984734</v>
      </c>
      <c r="M164" s="402">
        <f t="shared" si="7"/>
        <v>2.9405009541984732</v>
      </c>
      <c r="N164" s="174">
        <v>1.4</v>
      </c>
      <c r="O164" s="173">
        <f t="shared" si="8"/>
        <v>4.1167013358778624</v>
      </c>
      <c r="P164" s="173">
        <v>5</v>
      </c>
    </row>
    <row r="165" spans="1:21" hidden="1" x14ac:dyDescent="0.35">
      <c r="A165"/>
      <c r="F165" s="366">
        <v>4</v>
      </c>
      <c r="G165" s="245" t="s">
        <v>1060</v>
      </c>
      <c r="I165" s="173">
        <v>1.62</v>
      </c>
      <c r="J165">
        <v>4192</v>
      </c>
      <c r="K165" s="173">
        <v>3417</v>
      </c>
      <c r="L165" s="173">
        <f t="shared" si="6"/>
        <v>1.3205009541984734</v>
      </c>
      <c r="M165" s="402">
        <f t="shared" si="7"/>
        <v>2.9405009541984732</v>
      </c>
      <c r="N165" s="174">
        <v>1.4</v>
      </c>
      <c r="O165" s="173">
        <f t="shared" si="8"/>
        <v>4.1167013358778624</v>
      </c>
      <c r="P165" s="173">
        <v>5</v>
      </c>
    </row>
    <row r="166" spans="1:21" hidden="1" x14ac:dyDescent="0.35">
      <c r="A166"/>
      <c r="F166" s="366">
        <v>4</v>
      </c>
      <c r="G166" s="245" t="s">
        <v>1060</v>
      </c>
      <c r="I166" s="173">
        <v>1.62</v>
      </c>
      <c r="J166">
        <v>4192</v>
      </c>
      <c r="K166" s="173">
        <v>3417</v>
      </c>
      <c r="L166" s="173">
        <f t="shared" si="6"/>
        <v>1.3205009541984734</v>
      </c>
      <c r="M166" s="402">
        <f t="shared" si="7"/>
        <v>2.9405009541984732</v>
      </c>
      <c r="N166" s="174">
        <v>1.4</v>
      </c>
      <c r="O166" s="173">
        <f t="shared" si="8"/>
        <v>4.1167013358778624</v>
      </c>
      <c r="P166" s="173">
        <v>5</v>
      </c>
    </row>
    <row r="167" spans="1:21" hidden="1" x14ac:dyDescent="0.35">
      <c r="A167"/>
      <c r="F167" s="366">
        <v>4</v>
      </c>
      <c r="G167" s="245" t="s">
        <v>1060</v>
      </c>
      <c r="I167" s="173">
        <v>1.62</v>
      </c>
      <c r="J167">
        <v>4192</v>
      </c>
      <c r="K167" s="173">
        <v>3417</v>
      </c>
      <c r="L167" s="173">
        <f t="shared" si="6"/>
        <v>1.3205009541984734</v>
      </c>
      <c r="M167" s="402">
        <f t="shared" si="7"/>
        <v>2.9405009541984732</v>
      </c>
      <c r="N167" s="174">
        <v>1.4</v>
      </c>
      <c r="O167" s="173">
        <f t="shared" si="8"/>
        <v>4.1167013358778624</v>
      </c>
      <c r="P167" s="173">
        <v>5</v>
      </c>
    </row>
    <row r="168" spans="1:21" hidden="1" x14ac:dyDescent="0.35">
      <c r="A168"/>
      <c r="F168" s="366">
        <v>4</v>
      </c>
      <c r="G168" s="245" t="s">
        <v>1060</v>
      </c>
      <c r="I168" s="173">
        <v>1.62</v>
      </c>
      <c r="J168">
        <v>4192</v>
      </c>
      <c r="K168" s="173">
        <v>3417</v>
      </c>
      <c r="L168" s="173">
        <f t="shared" si="6"/>
        <v>1.3205009541984734</v>
      </c>
      <c r="M168" s="402">
        <f t="shared" si="7"/>
        <v>2.9405009541984732</v>
      </c>
      <c r="N168" s="174">
        <v>1.4</v>
      </c>
      <c r="O168" s="173">
        <f t="shared" si="8"/>
        <v>4.1167013358778624</v>
      </c>
      <c r="P168" s="173">
        <v>5</v>
      </c>
    </row>
    <row r="169" spans="1:21" hidden="1" x14ac:dyDescent="0.35">
      <c r="A169"/>
      <c r="F169" s="366">
        <v>4</v>
      </c>
      <c r="G169" s="245" t="s">
        <v>1060</v>
      </c>
      <c r="I169" s="173">
        <v>1.62</v>
      </c>
      <c r="J169">
        <v>4192</v>
      </c>
      <c r="K169" s="173">
        <v>3417</v>
      </c>
      <c r="L169" s="173">
        <f t="shared" si="6"/>
        <v>1.3205009541984734</v>
      </c>
      <c r="M169" s="402">
        <f t="shared" si="7"/>
        <v>2.9405009541984732</v>
      </c>
      <c r="N169" s="174">
        <v>1.4</v>
      </c>
      <c r="O169" s="173">
        <f t="shared" si="8"/>
        <v>4.1167013358778624</v>
      </c>
      <c r="P169" s="173">
        <v>5</v>
      </c>
    </row>
    <row r="170" spans="1:21" hidden="1" x14ac:dyDescent="0.35">
      <c r="A170"/>
      <c r="F170" s="366">
        <v>4</v>
      </c>
      <c r="G170" s="245" t="s">
        <v>1060</v>
      </c>
      <c r="I170" s="173">
        <v>1.62</v>
      </c>
      <c r="J170">
        <v>4192</v>
      </c>
      <c r="K170" s="173">
        <v>3417</v>
      </c>
      <c r="L170" s="173">
        <f t="shared" si="6"/>
        <v>1.3205009541984734</v>
      </c>
      <c r="M170" s="402">
        <f t="shared" si="7"/>
        <v>2.9405009541984732</v>
      </c>
      <c r="N170" s="174">
        <v>1.4</v>
      </c>
      <c r="O170" s="173">
        <f t="shared" si="8"/>
        <v>4.1167013358778624</v>
      </c>
      <c r="P170" s="173">
        <v>5</v>
      </c>
    </row>
    <row r="171" spans="1:21" hidden="1" x14ac:dyDescent="0.35">
      <c r="A171"/>
      <c r="F171" s="366">
        <v>5</v>
      </c>
      <c r="G171" s="371" t="s">
        <v>1060</v>
      </c>
      <c r="H171" s="371"/>
      <c r="I171" s="176">
        <v>1.62</v>
      </c>
      <c r="J171" s="12">
        <v>4192</v>
      </c>
      <c r="K171" s="176">
        <v>3417</v>
      </c>
      <c r="L171" s="176">
        <f t="shared" si="6"/>
        <v>1.3205009541984734</v>
      </c>
      <c r="M171" s="410">
        <f t="shared" si="7"/>
        <v>2.9405009541984732</v>
      </c>
      <c r="N171" s="411">
        <v>1.4</v>
      </c>
      <c r="O171" s="176">
        <f t="shared" si="8"/>
        <v>4.1167013358778624</v>
      </c>
      <c r="P171" s="176">
        <v>5</v>
      </c>
      <c r="S171" t="s">
        <v>1077</v>
      </c>
      <c r="T171" s="6">
        <v>45377</v>
      </c>
      <c r="U171">
        <f>+P171*20000</f>
        <v>100000</v>
      </c>
    </row>
    <row r="172" spans="1:21" hidden="1" x14ac:dyDescent="0.35">
      <c r="A172"/>
      <c r="F172" s="366">
        <v>5</v>
      </c>
      <c r="G172" s="371" t="s">
        <v>1060</v>
      </c>
      <c r="H172" s="371"/>
      <c r="I172" s="176">
        <v>1.62</v>
      </c>
      <c r="J172" s="12">
        <v>4192</v>
      </c>
      <c r="K172" s="176">
        <v>3417</v>
      </c>
      <c r="L172" s="176">
        <f t="shared" si="6"/>
        <v>1.3205009541984734</v>
      </c>
      <c r="M172" s="410">
        <f t="shared" si="7"/>
        <v>2.9405009541984732</v>
      </c>
      <c r="N172" s="411">
        <v>1.4</v>
      </c>
      <c r="O172" s="176">
        <f t="shared" si="8"/>
        <v>4.1167013358778624</v>
      </c>
      <c r="P172" s="176">
        <v>5</v>
      </c>
      <c r="S172" t="s">
        <v>1077</v>
      </c>
      <c r="T172" s="6">
        <v>45377</v>
      </c>
      <c r="U172">
        <f>+P172*20000</f>
        <v>100000</v>
      </c>
    </row>
    <row r="173" spans="1:21" hidden="1" x14ac:dyDescent="0.35">
      <c r="A173"/>
      <c r="F173" s="366">
        <v>5</v>
      </c>
      <c r="G173" s="371" t="s">
        <v>1060</v>
      </c>
      <c r="H173" s="371"/>
      <c r="I173" s="176">
        <v>1.62</v>
      </c>
      <c r="J173" s="12">
        <v>4192</v>
      </c>
      <c r="K173" s="176">
        <v>3417</v>
      </c>
      <c r="L173" s="176">
        <f t="shared" si="6"/>
        <v>1.3205009541984734</v>
      </c>
      <c r="M173" s="410">
        <f t="shared" si="7"/>
        <v>2.9405009541984732</v>
      </c>
      <c r="N173" s="411">
        <v>1.4</v>
      </c>
      <c r="O173" s="176">
        <f t="shared" si="8"/>
        <v>4.1167013358778624</v>
      </c>
      <c r="P173" s="176">
        <v>5</v>
      </c>
      <c r="S173" t="s">
        <v>1077</v>
      </c>
      <c r="T173" s="6">
        <v>45377</v>
      </c>
      <c r="U173">
        <f>+P173*20000</f>
        <v>100000</v>
      </c>
    </row>
    <row r="174" spans="1:21" hidden="1" x14ac:dyDescent="0.35">
      <c r="A174"/>
      <c r="F174" s="366">
        <v>5</v>
      </c>
      <c r="G174" s="371" t="s">
        <v>1060</v>
      </c>
      <c r="H174" s="371"/>
      <c r="I174" s="176">
        <v>1.62</v>
      </c>
      <c r="J174" s="12">
        <v>4192</v>
      </c>
      <c r="K174" s="176">
        <v>3417</v>
      </c>
      <c r="L174" s="176">
        <f t="shared" si="6"/>
        <v>1.3205009541984734</v>
      </c>
      <c r="M174" s="410">
        <f t="shared" si="7"/>
        <v>2.9405009541984732</v>
      </c>
      <c r="N174" s="411">
        <v>1.4</v>
      </c>
      <c r="O174" s="176">
        <f t="shared" si="8"/>
        <v>4.1167013358778624</v>
      </c>
      <c r="P174" s="176">
        <v>5</v>
      </c>
      <c r="S174" t="s">
        <v>1077</v>
      </c>
      <c r="T174" s="6">
        <v>45377</v>
      </c>
      <c r="U174">
        <f>+P174*20000</f>
        <v>100000</v>
      </c>
    </row>
    <row r="175" spans="1:21" hidden="1" x14ac:dyDescent="0.35">
      <c r="A175"/>
      <c r="F175" s="366">
        <v>5</v>
      </c>
      <c r="G175" s="245" t="s">
        <v>1060</v>
      </c>
      <c r="I175" s="173">
        <v>1.62</v>
      </c>
      <c r="J175">
        <v>4192</v>
      </c>
      <c r="K175" s="173">
        <v>3417</v>
      </c>
      <c r="L175" s="173">
        <f t="shared" ref="L175:L238" si="9">+K175/J175*I175</f>
        <v>1.3205009541984734</v>
      </c>
      <c r="M175" s="402">
        <f t="shared" ref="M175:M238" si="10">+I175+L175</f>
        <v>2.9405009541984732</v>
      </c>
      <c r="N175" s="174">
        <v>1.4</v>
      </c>
      <c r="O175" s="173">
        <f t="shared" ref="O175:O238" si="11">+M175*N175</f>
        <v>4.1167013358778624</v>
      </c>
      <c r="P175" s="173">
        <v>5</v>
      </c>
    </row>
    <row r="176" spans="1:21" hidden="1" x14ac:dyDescent="0.35">
      <c r="A176"/>
      <c r="F176" s="366">
        <v>5</v>
      </c>
      <c r="G176" s="245" t="s">
        <v>1060</v>
      </c>
      <c r="I176" s="173">
        <v>1.62</v>
      </c>
      <c r="J176">
        <v>4192</v>
      </c>
      <c r="K176" s="173">
        <v>3417</v>
      </c>
      <c r="L176" s="173">
        <f t="shared" si="9"/>
        <v>1.3205009541984734</v>
      </c>
      <c r="M176" s="402">
        <f t="shared" si="10"/>
        <v>2.9405009541984732</v>
      </c>
      <c r="N176" s="174">
        <v>1.4</v>
      </c>
      <c r="O176" s="173">
        <f t="shared" si="11"/>
        <v>4.1167013358778624</v>
      </c>
      <c r="P176" s="173">
        <v>5</v>
      </c>
    </row>
    <row r="177" spans="1:16" hidden="1" x14ac:dyDescent="0.35">
      <c r="A177"/>
      <c r="F177" s="366">
        <v>5</v>
      </c>
      <c r="G177" s="245" t="s">
        <v>1060</v>
      </c>
      <c r="I177" s="173">
        <v>1.62</v>
      </c>
      <c r="J177">
        <v>4192</v>
      </c>
      <c r="K177" s="173">
        <v>3417</v>
      </c>
      <c r="L177" s="173">
        <f t="shared" si="9"/>
        <v>1.3205009541984734</v>
      </c>
      <c r="M177" s="402">
        <f t="shared" si="10"/>
        <v>2.9405009541984732</v>
      </c>
      <c r="N177" s="174">
        <v>1.4</v>
      </c>
      <c r="O177" s="173">
        <f t="shared" si="11"/>
        <v>4.1167013358778624</v>
      </c>
      <c r="P177" s="173">
        <v>5</v>
      </c>
    </row>
    <row r="178" spans="1:16" hidden="1" x14ac:dyDescent="0.35">
      <c r="A178"/>
      <c r="F178" s="366">
        <v>5</v>
      </c>
      <c r="G178" s="245" t="s">
        <v>1060</v>
      </c>
      <c r="I178" s="173">
        <v>1.62</v>
      </c>
      <c r="J178">
        <v>4192</v>
      </c>
      <c r="K178" s="173">
        <v>3417</v>
      </c>
      <c r="L178" s="173">
        <f t="shared" si="9"/>
        <v>1.3205009541984734</v>
      </c>
      <c r="M178" s="402">
        <f t="shared" si="10"/>
        <v>2.9405009541984732</v>
      </c>
      <c r="N178" s="174">
        <v>1.4</v>
      </c>
      <c r="O178" s="173">
        <f t="shared" si="11"/>
        <v>4.1167013358778624</v>
      </c>
      <c r="P178" s="173">
        <v>5</v>
      </c>
    </row>
    <row r="179" spans="1:16" hidden="1" x14ac:dyDescent="0.35">
      <c r="A179"/>
      <c r="F179" s="366">
        <v>5</v>
      </c>
      <c r="G179" s="245" t="s">
        <v>1060</v>
      </c>
      <c r="I179" s="173">
        <v>1.62</v>
      </c>
      <c r="J179">
        <v>4192</v>
      </c>
      <c r="K179" s="173">
        <v>3417</v>
      </c>
      <c r="L179" s="173">
        <f t="shared" si="9"/>
        <v>1.3205009541984734</v>
      </c>
      <c r="M179" s="402">
        <f t="shared" si="10"/>
        <v>2.9405009541984732</v>
      </c>
      <c r="N179" s="174">
        <v>1.4</v>
      </c>
      <c r="O179" s="173">
        <f t="shared" si="11"/>
        <v>4.1167013358778624</v>
      </c>
      <c r="P179" s="173">
        <v>5</v>
      </c>
    </row>
    <row r="180" spans="1:16" hidden="1" x14ac:dyDescent="0.35">
      <c r="A180"/>
      <c r="F180" s="366">
        <v>5</v>
      </c>
      <c r="G180" s="245" t="s">
        <v>1060</v>
      </c>
      <c r="I180" s="173">
        <v>1.62</v>
      </c>
      <c r="J180">
        <v>4192</v>
      </c>
      <c r="K180" s="173">
        <v>3417</v>
      </c>
      <c r="L180" s="173">
        <f t="shared" si="9"/>
        <v>1.3205009541984734</v>
      </c>
      <c r="M180" s="402">
        <f t="shared" si="10"/>
        <v>2.9405009541984732</v>
      </c>
      <c r="N180" s="174">
        <v>1.4</v>
      </c>
      <c r="O180" s="173">
        <f t="shared" si="11"/>
        <v>4.1167013358778624</v>
      </c>
      <c r="P180" s="173">
        <v>5</v>
      </c>
    </row>
    <row r="181" spans="1:16" hidden="1" x14ac:dyDescent="0.35">
      <c r="A181"/>
      <c r="F181" s="366">
        <v>5</v>
      </c>
      <c r="G181" s="245" t="s">
        <v>1060</v>
      </c>
      <c r="I181" s="173">
        <v>1.62</v>
      </c>
      <c r="J181">
        <v>4192</v>
      </c>
      <c r="K181" s="173">
        <v>3417</v>
      </c>
      <c r="L181" s="173">
        <f t="shared" si="9"/>
        <v>1.3205009541984734</v>
      </c>
      <c r="M181" s="402">
        <f t="shared" si="10"/>
        <v>2.9405009541984732</v>
      </c>
      <c r="N181" s="174">
        <v>1.4</v>
      </c>
      <c r="O181" s="173">
        <f t="shared" si="11"/>
        <v>4.1167013358778624</v>
      </c>
      <c r="P181" s="173">
        <v>5</v>
      </c>
    </row>
    <row r="182" spans="1:16" hidden="1" x14ac:dyDescent="0.35">
      <c r="A182"/>
      <c r="F182" s="366">
        <v>5</v>
      </c>
      <c r="G182" s="245" t="s">
        <v>1060</v>
      </c>
      <c r="I182" s="173">
        <v>1.62</v>
      </c>
      <c r="J182">
        <v>4192</v>
      </c>
      <c r="K182" s="173">
        <v>3417</v>
      </c>
      <c r="L182" s="173">
        <f t="shared" si="9"/>
        <v>1.3205009541984734</v>
      </c>
      <c r="M182" s="402">
        <f t="shared" si="10"/>
        <v>2.9405009541984732</v>
      </c>
      <c r="N182" s="174">
        <v>1.4</v>
      </c>
      <c r="O182" s="173">
        <f t="shared" si="11"/>
        <v>4.1167013358778624</v>
      </c>
      <c r="P182" s="173">
        <v>5</v>
      </c>
    </row>
    <row r="183" spans="1:16" hidden="1" x14ac:dyDescent="0.35">
      <c r="A183"/>
      <c r="F183" s="366">
        <v>6</v>
      </c>
      <c r="G183" s="245" t="s">
        <v>1059</v>
      </c>
      <c r="I183" s="173">
        <v>1.62</v>
      </c>
      <c r="J183">
        <v>4192</v>
      </c>
      <c r="K183" s="173">
        <v>3417</v>
      </c>
      <c r="L183" s="173">
        <f t="shared" si="9"/>
        <v>1.3205009541984734</v>
      </c>
      <c r="M183" s="402">
        <f t="shared" si="10"/>
        <v>2.9405009541984732</v>
      </c>
      <c r="N183" s="174">
        <v>1.4</v>
      </c>
      <c r="O183" s="173">
        <f t="shared" si="11"/>
        <v>4.1167013358778624</v>
      </c>
      <c r="P183" s="173">
        <v>5</v>
      </c>
    </row>
    <row r="184" spans="1:16" hidden="1" x14ac:dyDescent="0.35">
      <c r="A184"/>
      <c r="F184" s="366">
        <v>6</v>
      </c>
      <c r="G184" s="245" t="s">
        <v>1059</v>
      </c>
      <c r="I184" s="173">
        <v>1.62</v>
      </c>
      <c r="J184">
        <v>4192</v>
      </c>
      <c r="K184" s="173">
        <v>3417</v>
      </c>
      <c r="L184" s="173">
        <f t="shared" si="9"/>
        <v>1.3205009541984734</v>
      </c>
      <c r="M184" s="402">
        <f t="shared" si="10"/>
        <v>2.9405009541984732</v>
      </c>
      <c r="N184" s="174">
        <v>1.4</v>
      </c>
      <c r="O184" s="173">
        <f t="shared" si="11"/>
        <v>4.1167013358778624</v>
      </c>
      <c r="P184" s="173">
        <v>5</v>
      </c>
    </row>
    <row r="185" spans="1:16" hidden="1" x14ac:dyDescent="0.35">
      <c r="A185"/>
      <c r="F185" s="366">
        <v>6</v>
      </c>
      <c r="G185" s="245" t="s">
        <v>1059</v>
      </c>
      <c r="I185" s="173">
        <v>1.62</v>
      </c>
      <c r="J185">
        <v>4192</v>
      </c>
      <c r="K185" s="173">
        <v>3417</v>
      </c>
      <c r="L185" s="173">
        <f t="shared" si="9"/>
        <v>1.3205009541984734</v>
      </c>
      <c r="M185" s="402">
        <f t="shared" si="10"/>
        <v>2.9405009541984732</v>
      </c>
      <c r="N185" s="174">
        <v>1.4</v>
      </c>
      <c r="O185" s="173">
        <f t="shared" si="11"/>
        <v>4.1167013358778624</v>
      </c>
      <c r="P185" s="173">
        <v>5</v>
      </c>
    </row>
    <row r="186" spans="1:16" hidden="1" x14ac:dyDescent="0.35">
      <c r="A186"/>
      <c r="F186" s="366">
        <v>6</v>
      </c>
      <c r="G186" s="245" t="s">
        <v>1059</v>
      </c>
      <c r="I186" s="173">
        <v>1.62</v>
      </c>
      <c r="J186">
        <v>4192</v>
      </c>
      <c r="K186" s="173">
        <v>3417</v>
      </c>
      <c r="L186" s="173">
        <f t="shared" si="9"/>
        <v>1.3205009541984734</v>
      </c>
      <c r="M186" s="402">
        <f t="shared" si="10"/>
        <v>2.9405009541984732</v>
      </c>
      <c r="N186" s="174">
        <v>1.4</v>
      </c>
      <c r="O186" s="173">
        <f t="shared" si="11"/>
        <v>4.1167013358778624</v>
      </c>
      <c r="P186" s="173">
        <v>5</v>
      </c>
    </row>
    <row r="187" spans="1:16" hidden="1" x14ac:dyDescent="0.35">
      <c r="A187"/>
      <c r="F187" s="366">
        <v>6</v>
      </c>
      <c r="G187" s="245" t="s">
        <v>1059</v>
      </c>
      <c r="I187" s="173">
        <v>1.62</v>
      </c>
      <c r="J187">
        <v>4192</v>
      </c>
      <c r="K187" s="173">
        <v>3417</v>
      </c>
      <c r="L187" s="173">
        <f t="shared" si="9"/>
        <v>1.3205009541984734</v>
      </c>
      <c r="M187" s="402">
        <f t="shared" si="10"/>
        <v>2.9405009541984732</v>
      </c>
      <c r="N187" s="174">
        <v>1.4</v>
      </c>
      <c r="O187" s="173">
        <f t="shared" si="11"/>
        <v>4.1167013358778624</v>
      </c>
      <c r="P187" s="173">
        <v>5</v>
      </c>
    </row>
    <row r="188" spans="1:16" hidden="1" x14ac:dyDescent="0.35">
      <c r="A188"/>
      <c r="F188" s="366">
        <v>6</v>
      </c>
      <c r="G188" s="245" t="s">
        <v>1059</v>
      </c>
      <c r="I188" s="173">
        <v>1.62</v>
      </c>
      <c r="J188">
        <v>4192</v>
      </c>
      <c r="K188" s="173">
        <v>3417</v>
      </c>
      <c r="L188" s="173">
        <f t="shared" si="9"/>
        <v>1.3205009541984734</v>
      </c>
      <c r="M188" s="402">
        <f t="shared" si="10"/>
        <v>2.9405009541984732</v>
      </c>
      <c r="N188" s="174">
        <v>1.4</v>
      </c>
      <c r="O188" s="173">
        <f t="shared" si="11"/>
        <v>4.1167013358778624</v>
      </c>
      <c r="P188" s="173">
        <v>5</v>
      </c>
    </row>
    <row r="189" spans="1:16" hidden="1" x14ac:dyDescent="0.35">
      <c r="A189"/>
      <c r="F189" s="366">
        <v>6</v>
      </c>
      <c r="G189" s="245" t="s">
        <v>1059</v>
      </c>
      <c r="I189" s="173">
        <v>1.62</v>
      </c>
      <c r="J189">
        <v>4192</v>
      </c>
      <c r="K189" s="173">
        <v>3417</v>
      </c>
      <c r="L189" s="173">
        <f t="shared" si="9"/>
        <v>1.3205009541984734</v>
      </c>
      <c r="M189" s="402">
        <f t="shared" si="10"/>
        <v>2.9405009541984732</v>
      </c>
      <c r="N189" s="174">
        <v>1.4</v>
      </c>
      <c r="O189" s="173">
        <f t="shared" si="11"/>
        <v>4.1167013358778624</v>
      </c>
      <c r="P189" s="173">
        <v>5</v>
      </c>
    </row>
    <row r="190" spans="1:16" hidden="1" x14ac:dyDescent="0.35">
      <c r="A190"/>
      <c r="F190" s="366">
        <v>6</v>
      </c>
      <c r="G190" s="245" t="s">
        <v>1059</v>
      </c>
      <c r="I190" s="173">
        <v>1.62</v>
      </c>
      <c r="J190">
        <v>4192</v>
      </c>
      <c r="K190" s="173">
        <v>3417</v>
      </c>
      <c r="L190" s="173">
        <f t="shared" si="9"/>
        <v>1.3205009541984734</v>
      </c>
      <c r="M190" s="402">
        <f t="shared" si="10"/>
        <v>2.9405009541984732</v>
      </c>
      <c r="N190" s="174">
        <v>1.4</v>
      </c>
      <c r="O190" s="173">
        <f t="shared" si="11"/>
        <v>4.1167013358778624</v>
      </c>
      <c r="P190" s="173">
        <v>5</v>
      </c>
    </row>
    <row r="191" spans="1:16" hidden="1" x14ac:dyDescent="0.35">
      <c r="A191"/>
      <c r="F191" s="366">
        <v>6</v>
      </c>
      <c r="G191" s="245" t="s">
        <v>1059</v>
      </c>
      <c r="I191" s="173">
        <v>1.62</v>
      </c>
      <c r="J191">
        <v>4192</v>
      </c>
      <c r="K191" s="173">
        <v>3417</v>
      </c>
      <c r="L191" s="173">
        <f t="shared" si="9"/>
        <v>1.3205009541984734</v>
      </c>
      <c r="M191" s="402">
        <f t="shared" si="10"/>
        <v>2.9405009541984732</v>
      </c>
      <c r="N191" s="174">
        <v>1.4</v>
      </c>
      <c r="O191" s="173">
        <f t="shared" si="11"/>
        <v>4.1167013358778624</v>
      </c>
      <c r="P191" s="173">
        <v>5</v>
      </c>
    </row>
    <row r="192" spans="1:16" hidden="1" x14ac:dyDescent="0.35">
      <c r="A192"/>
      <c r="F192" s="366">
        <v>6</v>
      </c>
      <c r="G192" s="245" t="s">
        <v>1059</v>
      </c>
      <c r="I192" s="173">
        <v>1.62</v>
      </c>
      <c r="J192">
        <v>4192</v>
      </c>
      <c r="K192" s="173">
        <v>3417</v>
      </c>
      <c r="L192" s="173">
        <f t="shared" si="9"/>
        <v>1.3205009541984734</v>
      </c>
      <c r="M192" s="402">
        <f t="shared" si="10"/>
        <v>2.9405009541984732</v>
      </c>
      <c r="N192" s="174">
        <v>1.4</v>
      </c>
      <c r="O192" s="173">
        <f t="shared" si="11"/>
        <v>4.1167013358778624</v>
      </c>
      <c r="P192" s="173">
        <v>5</v>
      </c>
    </row>
    <row r="193" spans="1:21" hidden="1" x14ac:dyDescent="0.35">
      <c r="A193"/>
      <c r="F193" s="366">
        <v>6</v>
      </c>
      <c r="G193" s="245" t="s">
        <v>1059</v>
      </c>
      <c r="I193" s="173">
        <v>1.62</v>
      </c>
      <c r="J193">
        <v>4192</v>
      </c>
      <c r="K193" s="173">
        <v>3417</v>
      </c>
      <c r="L193" s="173">
        <f t="shared" si="9"/>
        <v>1.3205009541984734</v>
      </c>
      <c r="M193" s="402">
        <f t="shared" si="10"/>
        <v>2.9405009541984732</v>
      </c>
      <c r="N193" s="174">
        <v>1.4</v>
      </c>
      <c r="O193" s="173">
        <f t="shared" si="11"/>
        <v>4.1167013358778624</v>
      </c>
      <c r="P193" s="173">
        <v>5</v>
      </c>
    </row>
    <row r="194" spans="1:21" hidden="1" x14ac:dyDescent="0.35">
      <c r="A194"/>
      <c r="F194" s="366">
        <v>6</v>
      </c>
      <c r="G194" s="245" t="s">
        <v>1059</v>
      </c>
      <c r="I194" s="173">
        <v>1.62</v>
      </c>
      <c r="J194">
        <v>4192</v>
      </c>
      <c r="K194" s="173">
        <v>3417</v>
      </c>
      <c r="L194" s="173">
        <f t="shared" si="9"/>
        <v>1.3205009541984734</v>
      </c>
      <c r="M194" s="402">
        <f t="shared" si="10"/>
        <v>2.9405009541984732</v>
      </c>
      <c r="N194" s="174">
        <v>1.4</v>
      </c>
      <c r="O194" s="173">
        <f t="shared" si="11"/>
        <v>4.1167013358778624</v>
      </c>
      <c r="P194" s="173">
        <v>5</v>
      </c>
    </row>
    <row r="195" spans="1:21" hidden="1" x14ac:dyDescent="0.35">
      <c r="A195"/>
      <c r="F195" s="366">
        <v>6</v>
      </c>
      <c r="G195" s="371" t="s">
        <v>1060</v>
      </c>
      <c r="H195" s="371"/>
      <c r="I195" s="176">
        <v>1.62</v>
      </c>
      <c r="J195" s="12">
        <v>4192</v>
      </c>
      <c r="K195" s="176">
        <v>3417</v>
      </c>
      <c r="L195" s="176">
        <f t="shared" si="9"/>
        <v>1.3205009541984734</v>
      </c>
      <c r="M195" s="410">
        <f t="shared" si="10"/>
        <v>2.9405009541984732</v>
      </c>
      <c r="N195" s="411">
        <v>1.4</v>
      </c>
      <c r="O195" s="176">
        <f t="shared" si="11"/>
        <v>4.1167013358778624</v>
      </c>
      <c r="P195" s="176">
        <v>5</v>
      </c>
      <c r="S195" t="s">
        <v>12</v>
      </c>
      <c r="T195" s="6">
        <v>45437</v>
      </c>
      <c r="U195">
        <f>+P195*20000</f>
        <v>100000</v>
      </c>
    </row>
    <row r="196" spans="1:21" hidden="1" x14ac:dyDescent="0.35">
      <c r="A196"/>
      <c r="F196" s="366">
        <v>6</v>
      </c>
      <c r="G196" s="371" t="s">
        <v>1060</v>
      </c>
      <c r="H196" s="371"/>
      <c r="I196" s="176">
        <v>1.62</v>
      </c>
      <c r="J196" s="12">
        <v>4192</v>
      </c>
      <c r="K196" s="176">
        <v>3417</v>
      </c>
      <c r="L196" s="176">
        <f t="shared" si="9"/>
        <v>1.3205009541984734</v>
      </c>
      <c r="M196" s="410">
        <f t="shared" si="10"/>
        <v>2.9405009541984732</v>
      </c>
      <c r="N196" s="411">
        <v>1.4</v>
      </c>
      <c r="O196" s="176">
        <f t="shared" si="11"/>
        <v>4.1167013358778624</v>
      </c>
      <c r="P196" s="176">
        <v>5</v>
      </c>
      <c r="S196" t="s">
        <v>12</v>
      </c>
      <c r="T196" s="6">
        <v>45437</v>
      </c>
      <c r="U196">
        <f>+P196*20000</f>
        <v>100000</v>
      </c>
    </row>
    <row r="197" spans="1:21" hidden="1" x14ac:dyDescent="0.35">
      <c r="A197"/>
      <c r="F197" s="366">
        <v>6</v>
      </c>
      <c r="G197" s="245" t="s">
        <v>1060</v>
      </c>
      <c r="I197" s="173">
        <v>1.62</v>
      </c>
      <c r="J197">
        <v>4192</v>
      </c>
      <c r="K197" s="173">
        <v>3417</v>
      </c>
      <c r="L197" s="173">
        <f t="shared" si="9"/>
        <v>1.3205009541984734</v>
      </c>
      <c r="M197" s="402">
        <f t="shared" si="10"/>
        <v>2.9405009541984732</v>
      </c>
      <c r="N197" s="174">
        <v>1.4</v>
      </c>
      <c r="O197" s="173">
        <f t="shared" si="11"/>
        <v>4.1167013358778624</v>
      </c>
      <c r="P197" s="173">
        <v>5</v>
      </c>
    </row>
    <row r="198" spans="1:21" hidden="1" x14ac:dyDescent="0.35">
      <c r="A198"/>
      <c r="F198" s="366">
        <v>6</v>
      </c>
      <c r="G198" s="245" t="s">
        <v>1060</v>
      </c>
      <c r="I198" s="173">
        <v>1.62</v>
      </c>
      <c r="J198">
        <v>4192</v>
      </c>
      <c r="K198" s="173">
        <v>3417</v>
      </c>
      <c r="L198" s="173">
        <f t="shared" si="9"/>
        <v>1.3205009541984734</v>
      </c>
      <c r="M198" s="402">
        <f t="shared" si="10"/>
        <v>2.9405009541984732</v>
      </c>
      <c r="N198" s="174">
        <v>1.4</v>
      </c>
      <c r="O198" s="173">
        <f t="shared" si="11"/>
        <v>4.1167013358778624</v>
      </c>
      <c r="P198" s="173">
        <v>5</v>
      </c>
    </row>
    <row r="199" spans="1:21" hidden="1" x14ac:dyDescent="0.35">
      <c r="A199"/>
      <c r="F199" s="366">
        <v>6</v>
      </c>
      <c r="G199" s="245" t="s">
        <v>1060</v>
      </c>
      <c r="I199" s="173">
        <v>1.62</v>
      </c>
      <c r="J199">
        <v>4192</v>
      </c>
      <c r="K199" s="173">
        <v>3417</v>
      </c>
      <c r="L199" s="173">
        <f t="shared" si="9"/>
        <v>1.3205009541984734</v>
      </c>
      <c r="M199" s="402">
        <f t="shared" si="10"/>
        <v>2.9405009541984732</v>
      </c>
      <c r="N199" s="174">
        <v>1.4</v>
      </c>
      <c r="O199" s="173">
        <f t="shared" si="11"/>
        <v>4.1167013358778624</v>
      </c>
      <c r="P199" s="173">
        <v>5</v>
      </c>
    </row>
    <row r="200" spans="1:21" hidden="1" x14ac:dyDescent="0.35">
      <c r="A200"/>
      <c r="F200" s="366">
        <v>6</v>
      </c>
      <c r="G200" s="245" t="s">
        <v>1060</v>
      </c>
      <c r="I200" s="173">
        <v>1.62</v>
      </c>
      <c r="J200">
        <v>4192</v>
      </c>
      <c r="K200" s="173">
        <v>3417</v>
      </c>
      <c r="L200" s="173">
        <f t="shared" si="9"/>
        <v>1.3205009541984734</v>
      </c>
      <c r="M200" s="402">
        <f t="shared" si="10"/>
        <v>2.9405009541984732</v>
      </c>
      <c r="N200" s="174">
        <v>1.4</v>
      </c>
      <c r="O200" s="173">
        <f t="shared" si="11"/>
        <v>4.1167013358778624</v>
      </c>
      <c r="P200" s="173">
        <v>5</v>
      </c>
    </row>
    <row r="201" spans="1:21" hidden="1" x14ac:dyDescent="0.35">
      <c r="A201"/>
      <c r="F201" s="366">
        <v>6</v>
      </c>
      <c r="G201" s="245" t="s">
        <v>1060</v>
      </c>
      <c r="I201" s="173">
        <v>1.62</v>
      </c>
      <c r="J201">
        <v>4192</v>
      </c>
      <c r="K201" s="173">
        <v>3417</v>
      </c>
      <c r="L201" s="173">
        <f t="shared" si="9"/>
        <v>1.3205009541984734</v>
      </c>
      <c r="M201" s="402">
        <f t="shared" si="10"/>
        <v>2.9405009541984732</v>
      </c>
      <c r="N201" s="174">
        <v>1.4</v>
      </c>
      <c r="O201" s="173">
        <f t="shared" si="11"/>
        <v>4.1167013358778624</v>
      </c>
      <c r="P201" s="173">
        <v>5</v>
      </c>
    </row>
    <row r="202" spans="1:21" hidden="1" x14ac:dyDescent="0.35">
      <c r="A202"/>
      <c r="F202" s="366">
        <v>6</v>
      </c>
      <c r="G202" s="245" t="s">
        <v>1060</v>
      </c>
      <c r="I202" s="173">
        <v>1.62</v>
      </c>
      <c r="J202">
        <v>4192</v>
      </c>
      <c r="K202" s="173">
        <v>3417</v>
      </c>
      <c r="L202" s="173">
        <f t="shared" si="9"/>
        <v>1.3205009541984734</v>
      </c>
      <c r="M202" s="402">
        <f t="shared" si="10"/>
        <v>2.9405009541984732</v>
      </c>
      <c r="N202" s="174">
        <v>1.4</v>
      </c>
      <c r="O202" s="173">
        <f t="shared" si="11"/>
        <v>4.1167013358778624</v>
      </c>
      <c r="P202" s="173">
        <v>5</v>
      </c>
    </row>
    <row r="203" spans="1:21" hidden="1" x14ac:dyDescent="0.35">
      <c r="A203"/>
      <c r="F203" s="366">
        <v>6</v>
      </c>
      <c r="G203" s="245" t="s">
        <v>1060</v>
      </c>
      <c r="I203" s="173">
        <v>1.62</v>
      </c>
      <c r="J203">
        <v>4192</v>
      </c>
      <c r="K203" s="173">
        <v>3417</v>
      </c>
      <c r="L203" s="173">
        <f t="shared" si="9"/>
        <v>1.3205009541984734</v>
      </c>
      <c r="M203" s="402">
        <f t="shared" si="10"/>
        <v>2.9405009541984732</v>
      </c>
      <c r="N203" s="174">
        <v>1.4</v>
      </c>
      <c r="O203" s="173">
        <f t="shared" si="11"/>
        <v>4.1167013358778624</v>
      </c>
      <c r="P203" s="173">
        <v>5</v>
      </c>
    </row>
    <row r="204" spans="1:21" hidden="1" x14ac:dyDescent="0.35">
      <c r="A204"/>
      <c r="F204" s="366">
        <v>6</v>
      </c>
      <c r="G204" s="245" t="s">
        <v>1060</v>
      </c>
      <c r="I204" s="173">
        <v>1.62</v>
      </c>
      <c r="J204">
        <v>4192</v>
      </c>
      <c r="K204" s="173">
        <v>3417</v>
      </c>
      <c r="L204" s="173">
        <f t="shared" si="9"/>
        <v>1.3205009541984734</v>
      </c>
      <c r="M204" s="402">
        <f t="shared" si="10"/>
        <v>2.9405009541984732</v>
      </c>
      <c r="N204" s="174">
        <v>1.4</v>
      </c>
      <c r="O204" s="173">
        <f t="shared" si="11"/>
        <v>4.1167013358778624</v>
      </c>
      <c r="P204" s="173">
        <v>5</v>
      </c>
    </row>
    <row r="205" spans="1:21" hidden="1" x14ac:dyDescent="0.35">
      <c r="A205"/>
      <c r="F205" s="366">
        <v>6</v>
      </c>
      <c r="G205" s="245" t="s">
        <v>1060</v>
      </c>
      <c r="I205" s="173">
        <v>1.62</v>
      </c>
      <c r="J205">
        <v>4192</v>
      </c>
      <c r="K205" s="173">
        <v>3417</v>
      </c>
      <c r="L205" s="173">
        <f t="shared" si="9"/>
        <v>1.3205009541984734</v>
      </c>
      <c r="M205" s="402">
        <f t="shared" si="10"/>
        <v>2.9405009541984732</v>
      </c>
      <c r="N205" s="174">
        <v>1.4</v>
      </c>
      <c r="O205" s="173">
        <f t="shared" si="11"/>
        <v>4.1167013358778624</v>
      </c>
      <c r="P205" s="173">
        <v>5</v>
      </c>
    </row>
    <row r="206" spans="1:21" hidden="1" x14ac:dyDescent="0.35">
      <c r="A206"/>
      <c r="F206" s="366">
        <v>6</v>
      </c>
      <c r="G206" s="245" t="s">
        <v>1060</v>
      </c>
      <c r="I206" s="173">
        <v>1.62</v>
      </c>
      <c r="J206">
        <v>4192</v>
      </c>
      <c r="K206" s="173">
        <v>3417</v>
      </c>
      <c r="L206" s="173">
        <f t="shared" si="9"/>
        <v>1.3205009541984734</v>
      </c>
      <c r="M206" s="402">
        <f t="shared" si="10"/>
        <v>2.9405009541984732</v>
      </c>
      <c r="N206" s="174">
        <v>1.4</v>
      </c>
      <c r="O206" s="173">
        <f t="shared" si="11"/>
        <v>4.1167013358778624</v>
      </c>
      <c r="P206" s="173">
        <v>5</v>
      </c>
    </row>
    <row r="207" spans="1:21" hidden="1" x14ac:dyDescent="0.35">
      <c r="A207"/>
      <c r="F207" s="366">
        <v>8</v>
      </c>
      <c r="G207" s="371" t="s">
        <v>1059</v>
      </c>
      <c r="H207" s="371"/>
      <c r="I207" s="176">
        <v>2.16</v>
      </c>
      <c r="J207" s="12">
        <v>4192</v>
      </c>
      <c r="K207" s="176">
        <v>3417</v>
      </c>
      <c r="L207" s="176">
        <f t="shared" si="9"/>
        <v>1.7606679389312978</v>
      </c>
      <c r="M207" s="410">
        <f t="shared" si="10"/>
        <v>3.9206679389312979</v>
      </c>
      <c r="N207" s="411">
        <v>1.4</v>
      </c>
      <c r="O207" s="176">
        <f t="shared" si="11"/>
        <v>5.4889351145038168</v>
      </c>
      <c r="P207" s="176">
        <v>6</v>
      </c>
      <c r="S207" t="s">
        <v>12</v>
      </c>
      <c r="T207" s="6">
        <v>45410</v>
      </c>
      <c r="U207">
        <f>+P207*30000</f>
        <v>180000</v>
      </c>
    </row>
    <row r="208" spans="1:21" hidden="1" x14ac:dyDescent="0.35">
      <c r="A208"/>
      <c r="F208" s="366">
        <v>8</v>
      </c>
      <c r="G208" s="371" t="s">
        <v>1059</v>
      </c>
      <c r="H208" s="371"/>
      <c r="I208" s="176">
        <v>2.16</v>
      </c>
      <c r="J208" s="12">
        <v>4192</v>
      </c>
      <c r="K208" s="176">
        <v>3417</v>
      </c>
      <c r="L208" s="176">
        <f t="shared" si="9"/>
        <v>1.7606679389312978</v>
      </c>
      <c r="M208" s="410">
        <f t="shared" si="10"/>
        <v>3.9206679389312979</v>
      </c>
      <c r="N208" s="411">
        <v>1.4</v>
      </c>
      <c r="O208" s="176">
        <f t="shared" si="11"/>
        <v>5.4889351145038168</v>
      </c>
      <c r="P208" s="176">
        <v>6</v>
      </c>
      <c r="T208" s="6">
        <v>45410</v>
      </c>
      <c r="U208">
        <f>+P208*30000</f>
        <v>180000</v>
      </c>
    </row>
    <row r="209" spans="1:21" hidden="1" x14ac:dyDescent="0.35">
      <c r="A209"/>
      <c r="F209" s="366">
        <v>8</v>
      </c>
      <c r="G209" s="371" t="s">
        <v>1059</v>
      </c>
      <c r="H209" s="371"/>
      <c r="I209" s="176">
        <v>2.16</v>
      </c>
      <c r="J209" s="12">
        <v>4192</v>
      </c>
      <c r="K209" s="176">
        <v>3417</v>
      </c>
      <c r="L209" s="176">
        <f t="shared" si="9"/>
        <v>1.7606679389312978</v>
      </c>
      <c r="M209" s="410">
        <f t="shared" si="10"/>
        <v>3.9206679389312979</v>
      </c>
      <c r="N209" s="411">
        <v>1.4</v>
      </c>
      <c r="O209" s="176">
        <f t="shared" si="11"/>
        <v>5.4889351145038168</v>
      </c>
      <c r="P209" s="176">
        <v>6</v>
      </c>
      <c r="T209" s="6">
        <v>45410</v>
      </c>
      <c r="U209">
        <f>+P209*30000</f>
        <v>180000</v>
      </c>
    </row>
    <row r="210" spans="1:21" hidden="1" x14ac:dyDescent="0.35">
      <c r="A210"/>
      <c r="F210" s="366">
        <v>8</v>
      </c>
      <c r="G210" s="245" t="s">
        <v>1059</v>
      </c>
      <c r="I210" s="173">
        <v>2.16</v>
      </c>
      <c r="J210">
        <v>4192</v>
      </c>
      <c r="K210" s="173">
        <v>3417</v>
      </c>
      <c r="L210" s="173">
        <f t="shared" si="9"/>
        <v>1.7606679389312978</v>
      </c>
      <c r="M210" s="402">
        <f t="shared" si="10"/>
        <v>3.9206679389312979</v>
      </c>
      <c r="N210" s="174">
        <v>1.4</v>
      </c>
      <c r="O210" s="173">
        <f t="shared" si="11"/>
        <v>5.4889351145038168</v>
      </c>
      <c r="P210" s="173">
        <v>6</v>
      </c>
    </row>
    <row r="211" spans="1:21" hidden="1" x14ac:dyDescent="0.35">
      <c r="A211"/>
      <c r="F211" s="366">
        <v>8</v>
      </c>
      <c r="G211" s="245" t="s">
        <v>1059</v>
      </c>
      <c r="I211" s="173">
        <v>2.16</v>
      </c>
      <c r="J211">
        <v>4192</v>
      </c>
      <c r="K211" s="173">
        <v>3417</v>
      </c>
      <c r="L211" s="173">
        <f t="shared" si="9"/>
        <v>1.7606679389312978</v>
      </c>
      <c r="M211" s="402">
        <f t="shared" si="10"/>
        <v>3.9206679389312979</v>
      </c>
      <c r="N211" s="174">
        <v>1.4</v>
      </c>
      <c r="O211" s="173">
        <f t="shared" si="11"/>
        <v>5.4889351145038168</v>
      </c>
      <c r="P211" s="173">
        <v>6</v>
      </c>
    </row>
    <row r="212" spans="1:21" hidden="1" x14ac:dyDescent="0.35">
      <c r="A212"/>
      <c r="F212" s="366">
        <v>8</v>
      </c>
      <c r="G212" s="245" t="s">
        <v>1059</v>
      </c>
      <c r="I212" s="173">
        <v>2.16</v>
      </c>
      <c r="J212">
        <v>4192</v>
      </c>
      <c r="K212" s="173">
        <v>3417</v>
      </c>
      <c r="L212" s="173">
        <f t="shared" si="9"/>
        <v>1.7606679389312978</v>
      </c>
      <c r="M212" s="402">
        <f t="shared" si="10"/>
        <v>3.9206679389312979</v>
      </c>
      <c r="N212" s="174">
        <v>1.4</v>
      </c>
      <c r="O212" s="173">
        <f t="shared" si="11"/>
        <v>5.4889351145038168</v>
      </c>
      <c r="P212" s="173">
        <v>6</v>
      </c>
    </row>
    <row r="213" spans="1:21" hidden="1" x14ac:dyDescent="0.35">
      <c r="A213"/>
      <c r="F213" s="366">
        <v>8</v>
      </c>
      <c r="G213" s="245" t="s">
        <v>1059</v>
      </c>
      <c r="I213" s="173">
        <v>2.16</v>
      </c>
      <c r="J213">
        <v>4192</v>
      </c>
      <c r="K213" s="173">
        <v>3417</v>
      </c>
      <c r="L213" s="173">
        <f t="shared" si="9"/>
        <v>1.7606679389312978</v>
      </c>
      <c r="M213" s="402">
        <f t="shared" si="10"/>
        <v>3.9206679389312979</v>
      </c>
      <c r="N213" s="174">
        <v>1.4</v>
      </c>
      <c r="O213" s="173">
        <f t="shared" si="11"/>
        <v>5.4889351145038168</v>
      </c>
      <c r="P213" s="173">
        <v>6</v>
      </c>
    </row>
    <row r="214" spans="1:21" hidden="1" x14ac:dyDescent="0.35">
      <c r="A214"/>
      <c r="C214" s="232"/>
      <c r="D214" s="232"/>
      <c r="F214" s="366">
        <v>8</v>
      </c>
      <c r="G214" s="245" t="s">
        <v>1059</v>
      </c>
      <c r="I214" s="173">
        <v>2.16</v>
      </c>
      <c r="J214">
        <v>4192</v>
      </c>
      <c r="K214" s="173">
        <v>3417</v>
      </c>
      <c r="L214" s="173">
        <f t="shared" si="9"/>
        <v>1.7606679389312978</v>
      </c>
      <c r="M214" s="402">
        <f t="shared" si="10"/>
        <v>3.9206679389312979</v>
      </c>
      <c r="N214" s="174">
        <v>1.4</v>
      </c>
      <c r="O214" s="173">
        <f t="shared" si="11"/>
        <v>5.4889351145038168</v>
      </c>
      <c r="P214" s="173">
        <v>6</v>
      </c>
    </row>
    <row r="215" spans="1:21" hidden="1" x14ac:dyDescent="0.35">
      <c r="A215"/>
      <c r="F215" s="366">
        <v>8</v>
      </c>
      <c r="G215" s="245" t="s">
        <v>1059</v>
      </c>
      <c r="I215" s="173">
        <v>2.16</v>
      </c>
      <c r="J215">
        <v>4192</v>
      </c>
      <c r="K215" s="173">
        <v>3417</v>
      </c>
      <c r="L215" s="173">
        <f t="shared" si="9"/>
        <v>1.7606679389312978</v>
      </c>
      <c r="M215" s="402">
        <f t="shared" si="10"/>
        <v>3.9206679389312979</v>
      </c>
      <c r="N215" s="174">
        <v>1.4</v>
      </c>
      <c r="O215" s="173">
        <f t="shared" si="11"/>
        <v>5.4889351145038168</v>
      </c>
      <c r="P215" s="173">
        <v>6</v>
      </c>
    </row>
    <row r="216" spans="1:21" hidden="1" x14ac:dyDescent="0.35">
      <c r="A216"/>
      <c r="F216" s="366">
        <v>8</v>
      </c>
      <c r="G216" s="245" t="s">
        <v>1059</v>
      </c>
      <c r="I216" s="173">
        <v>2.16</v>
      </c>
      <c r="J216">
        <v>4192</v>
      </c>
      <c r="K216" s="173">
        <v>3417</v>
      </c>
      <c r="L216" s="173">
        <f t="shared" si="9"/>
        <v>1.7606679389312978</v>
      </c>
      <c r="M216" s="402">
        <f t="shared" si="10"/>
        <v>3.9206679389312979</v>
      </c>
      <c r="N216" s="174">
        <v>1.4</v>
      </c>
      <c r="O216" s="173">
        <f t="shared" si="11"/>
        <v>5.4889351145038168</v>
      </c>
      <c r="P216" s="173">
        <v>6</v>
      </c>
    </row>
    <row r="217" spans="1:21" hidden="1" x14ac:dyDescent="0.35">
      <c r="A217"/>
      <c r="F217" s="366">
        <v>8</v>
      </c>
      <c r="G217" s="245" t="s">
        <v>1059</v>
      </c>
      <c r="I217" s="173">
        <v>2.16</v>
      </c>
      <c r="J217">
        <v>4192</v>
      </c>
      <c r="K217" s="173">
        <v>3417</v>
      </c>
      <c r="L217" s="173">
        <f t="shared" si="9"/>
        <v>1.7606679389312978</v>
      </c>
      <c r="M217" s="402">
        <f t="shared" si="10"/>
        <v>3.9206679389312979</v>
      </c>
      <c r="N217" s="174">
        <v>1.4</v>
      </c>
      <c r="O217" s="173">
        <f t="shared" si="11"/>
        <v>5.4889351145038168</v>
      </c>
      <c r="P217" s="173">
        <v>6</v>
      </c>
    </row>
    <row r="218" spans="1:21" hidden="1" x14ac:dyDescent="0.35">
      <c r="A218"/>
      <c r="F218" s="366">
        <v>8</v>
      </c>
      <c r="G218" s="245" t="s">
        <v>1059</v>
      </c>
      <c r="I218" s="173">
        <v>2.16</v>
      </c>
      <c r="J218">
        <v>4192</v>
      </c>
      <c r="K218" s="173">
        <v>3417</v>
      </c>
      <c r="L218" s="173">
        <f t="shared" si="9"/>
        <v>1.7606679389312978</v>
      </c>
      <c r="M218" s="402">
        <f t="shared" si="10"/>
        <v>3.9206679389312979</v>
      </c>
      <c r="N218" s="174">
        <v>1.4</v>
      </c>
      <c r="O218" s="173">
        <f t="shared" si="11"/>
        <v>5.4889351145038168</v>
      </c>
      <c r="P218" s="173">
        <v>6</v>
      </c>
    </row>
    <row r="219" spans="1:21" hidden="1" x14ac:dyDescent="0.35">
      <c r="A219"/>
      <c r="F219" s="366">
        <v>8</v>
      </c>
      <c r="G219" s="245" t="s">
        <v>90</v>
      </c>
      <c r="I219" s="173">
        <v>2.16</v>
      </c>
      <c r="J219">
        <v>4192</v>
      </c>
      <c r="K219" s="173">
        <v>3417</v>
      </c>
      <c r="L219" s="173">
        <f t="shared" si="9"/>
        <v>1.7606679389312978</v>
      </c>
      <c r="M219" s="402">
        <f t="shared" si="10"/>
        <v>3.9206679389312979</v>
      </c>
      <c r="N219" s="174">
        <v>1.4</v>
      </c>
      <c r="O219" s="173">
        <f t="shared" si="11"/>
        <v>5.4889351145038168</v>
      </c>
      <c r="P219" s="173">
        <v>6</v>
      </c>
    </row>
    <row r="220" spans="1:21" hidden="1" x14ac:dyDescent="0.35">
      <c r="A220"/>
      <c r="F220" s="366">
        <v>8</v>
      </c>
      <c r="G220" s="245" t="s">
        <v>90</v>
      </c>
      <c r="I220" s="173">
        <v>2.16</v>
      </c>
      <c r="J220">
        <v>4192</v>
      </c>
      <c r="K220" s="173">
        <v>3417</v>
      </c>
      <c r="L220" s="173">
        <f t="shared" si="9"/>
        <v>1.7606679389312978</v>
      </c>
      <c r="M220" s="402">
        <f t="shared" si="10"/>
        <v>3.9206679389312979</v>
      </c>
      <c r="N220" s="174">
        <v>1.4</v>
      </c>
      <c r="O220" s="173">
        <f t="shared" si="11"/>
        <v>5.4889351145038168</v>
      </c>
      <c r="P220" s="173">
        <v>6</v>
      </c>
    </row>
    <row r="221" spans="1:21" hidden="1" x14ac:dyDescent="0.35">
      <c r="A221"/>
      <c r="F221" s="366">
        <v>8</v>
      </c>
      <c r="G221" s="245" t="s">
        <v>90</v>
      </c>
      <c r="I221" s="173">
        <v>2.16</v>
      </c>
      <c r="J221">
        <v>4192</v>
      </c>
      <c r="K221" s="173">
        <v>3417</v>
      </c>
      <c r="L221" s="173">
        <f t="shared" si="9"/>
        <v>1.7606679389312978</v>
      </c>
      <c r="M221" s="402">
        <f t="shared" si="10"/>
        <v>3.9206679389312979</v>
      </c>
      <c r="N221" s="174">
        <v>1.4</v>
      </c>
      <c r="O221" s="173">
        <f t="shared" si="11"/>
        <v>5.4889351145038168</v>
      </c>
      <c r="P221" s="173">
        <v>6</v>
      </c>
    </row>
    <row r="222" spans="1:21" hidden="1" x14ac:dyDescent="0.35">
      <c r="A222"/>
      <c r="F222" s="366">
        <v>8</v>
      </c>
      <c r="G222" s="245" t="s">
        <v>90</v>
      </c>
      <c r="I222" s="173">
        <v>2.16</v>
      </c>
      <c r="J222">
        <v>4192</v>
      </c>
      <c r="K222" s="173">
        <v>3417</v>
      </c>
      <c r="L222" s="173">
        <f t="shared" si="9"/>
        <v>1.7606679389312978</v>
      </c>
      <c r="M222" s="402">
        <f t="shared" si="10"/>
        <v>3.9206679389312979</v>
      </c>
      <c r="N222" s="174">
        <v>1.4</v>
      </c>
      <c r="O222" s="173">
        <f t="shared" si="11"/>
        <v>5.4889351145038168</v>
      </c>
      <c r="P222" s="173">
        <v>6</v>
      </c>
    </row>
    <row r="223" spans="1:21" hidden="1" x14ac:dyDescent="0.35">
      <c r="A223"/>
      <c r="F223" s="366">
        <v>8</v>
      </c>
      <c r="G223" s="245" t="s">
        <v>90</v>
      </c>
      <c r="I223" s="173">
        <v>2.16</v>
      </c>
      <c r="J223">
        <v>4192</v>
      </c>
      <c r="K223" s="173">
        <v>3417</v>
      </c>
      <c r="L223" s="173">
        <f t="shared" si="9"/>
        <v>1.7606679389312978</v>
      </c>
      <c r="M223" s="402">
        <f t="shared" si="10"/>
        <v>3.9206679389312979</v>
      </c>
      <c r="N223" s="174">
        <v>1.4</v>
      </c>
      <c r="O223" s="173">
        <f t="shared" si="11"/>
        <v>5.4889351145038168</v>
      </c>
      <c r="P223" s="173">
        <v>6</v>
      </c>
    </row>
    <row r="224" spans="1:21" hidden="1" x14ac:dyDescent="0.35">
      <c r="A224"/>
      <c r="F224" s="366">
        <v>8</v>
      </c>
      <c r="G224" s="245" t="s">
        <v>90</v>
      </c>
      <c r="I224" s="173">
        <v>2.16</v>
      </c>
      <c r="J224">
        <v>4192</v>
      </c>
      <c r="K224" s="173">
        <v>3417</v>
      </c>
      <c r="L224" s="173">
        <f t="shared" si="9"/>
        <v>1.7606679389312978</v>
      </c>
      <c r="M224" s="402">
        <f t="shared" si="10"/>
        <v>3.9206679389312979</v>
      </c>
      <c r="N224" s="174">
        <v>1.4</v>
      </c>
      <c r="O224" s="173">
        <f t="shared" si="11"/>
        <v>5.4889351145038168</v>
      </c>
      <c r="P224" s="173">
        <v>6</v>
      </c>
    </row>
    <row r="225" spans="1:21" hidden="1" x14ac:dyDescent="0.35">
      <c r="A225"/>
      <c r="F225" s="366">
        <v>8</v>
      </c>
      <c r="G225" s="245" t="s">
        <v>90</v>
      </c>
      <c r="I225" s="173">
        <v>2.16</v>
      </c>
      <c r="J225">
        <v>4192</v>
      </c>
      <c r="K225" s="173">
        <v>3417</v>
      </c>
      <c r="L225" s="173">
        <f t="shared" si="9"/>
        <v>1.7606679389312978</v>
      </c>
      <c r="M225" s="402">
        <f t="shared" si="10"/>
        <v>3.9206679389312979</v>
      </c>
      <c r="N225" s="174">
        <v>1.4</v>
      </c>
      <c r="O225" s="173">
        <f t="shared" si="11"/>
        <v>5.4889351145038168</v>
      </c>
      <c r="P225" s="173">
        <v>6</v>
      </c>
    </row>
    <row r="226" spans="1:21" hidden="1" x14ac:dyDescent="0.35">
      <c r="A226"/>
      <c r="F226" s="366">
        <v>8</v>
      </c>
      <c r="G226" s="245" t="s">
        <v>90</v>
      </c>
      <c r="I226" s="173">
        <v>2.16</v>
      </c>
      <c r="J226">
        <v>4192</v>
      </c>
      <c r="K226" s="173">
        <v>3417</v>
      </c>
      <c r="L226" s="173">
        <f t="shared" si="9"/>
        <v>1.7606679389312978</v>
      </c>
      <c r="M226" s="402">
        <f t="shared" si="10"/>
        <v>3.9206679389312979</v>
      </c>
      <c r="N226" s="174">
        <v>1.4</v>
      </c>
      <c r="O226" s="173">
        <f t="shared" si="11"/>
        <v>5.4889351145038168</v>
      </c>
      <c r="P226" s="173">
        <v>6</v>
      </c>
    </row>
    <row r="227" spans="1:21" hidden="1" x14ac:dyDescent="0.35">
      <c r="A227"/>
      <c r="F227" s="366">
        <v>8</v>
      </c>
      <c r="G227" s="245" t="s">
        <v>90</v>
      </c>
      <c r="I227" s="173">
        <v>2.16</v>
      </c>
      <c r="J227">
        <v>4192</v>
      </c>
      <c r="K227" s="173">
        <v>3417</v>
      </c>
      <c r="L227" s="173">
        <f t="shared" si="9"/>
        <v>1.7606679389312978</v>
      </c>
      <c r="M227" s="402">
        <f t="shared" si="10"/>
        <v>3.9206679389312979</v>
      </c>
      <c r="N227" s="174">
        <v>1.4</v>
      </c>
      <c r="O227" s="173">
        <f t="shared" si="11"/>
        <v>5.4889351145038168</v>
      </c>
      <c r="P227" s="173">
        <v>6</v>
      </c>
    </row>
    <row r="228" spans="1:21" hidden="1" x14ac:dyDescent="0.35">
      <c r="A228"/>
      <c r="F228" s="366">
        <v>8</v>
      </c>
      <c r="G228" s="245" t="s">
        <v>90</v>
      </c>
      <c r="I228" s="173">
        <v>2.16</v>
      </c>
      <c r="J228">
        <v>4192</v>
      </c>
      <c r="K228" s="173">
        <v>3417</v>
      </c>
      <c r="L228" s="173">
        <f t="shared" si="9"/>
        <v>1.7606679389312978</v>
      </c>
      <c r="M228" s="402">
        <f t="shared" si="10"/>
        <v>3.9206679389312979</v>
      </c>
      <c r="N228" s="174">
        <v>1.4</v>
      </c>
      <c r="O228" s="173">
        <f t="shared" si="11"/>
        <v>5.4889351145038168</v>
      </c>
      <c r="P228" s="173">
        <v>6</v>
      </c>
    </row>
    <row r="229" spans="1:21" hidden="1" x14ac:dyDescent="0.35">
      <c r="A229"/>
      <c r="F229" s="366">
        <v>8</v>
      </c>
      <c r="G229" s="245" t="s">
        <v>90</v>
      </c>
      <c r="I229" s="173">
        <v>2.16</v>
      </c>
      <c r="J229">
        <v>4192</v>
      </c>
      <c r="K229" s="173">
        <v>3417</v>
      </c>
      <c r="L229" s="173">
        <f t="shared" si="9"/>
        <v>1.7606679389312978</v>
      </c>
      <c r="M229" s="402">
        <f t="shared" si="10"/>
        <v>3.9206679389312979</v>
      </c>
      <c r="N229" s="174">
        <v>1.4</v>
      </c>
      <c r="O229" s="173">
        <f t="shared" si="11"/>
        <v>5.4889351145038168</v>
      </c>
      <c r="P229" s="173">
        <v>6</v>
      </c>
    </row>
    <row r="230" spans="1:21" hidden="1" x14ac:dyDescent="0.35">
      <c r="A230"/>
      <c r="F230" s="366">
        <v>8</v>
      </c>
      <c r="G230" s="245" t="s">
        <v>90</v>
      </c>
      <c r="I230" s="173">
        <v>2.16</v>
      </c>
      <c r="J230">
        <v>4192</v>
      </c>
      <c r="K230" s="173">
        <v>3417</v>
      </c>
      <c r="L230" s="173">
        <f t="shared" si="9"/>
        <v>1.7606679389312978</v>
      </c>
      <c r="M230" s="402">
        <f t="shared" si="10"/>
        <v>3.9206679389312979</v>
      </c>
      <c r="N230" s="174">
        <v>1.4</v>
      </c>
      <c r="O230" s="173">
        <f t="shared" si="11"/>
        <v>5.4889351145038168</v>
      </c>
      <c r="P230" s="173">
        <v>6</v>
      </c>
    </row>
    <row r="231" spans="1:21" hidden="1" x14ac:dyDescent="0.35">
      <c r="F231" s="366">
        <v>10</v>
      </c>
      <c r="G231" s="371" t="s">
        <v>1059</v>
      </c>
      <c r="H231" s="371"/>
      <c r="I231" s="176">
        <v>2.16</v>
      </c>
      <c r="J231" s="12">
        <v>4192</v>
      </c>
      <c r="K231" s="176">
        <v>3417</v>
      </c>
      <c r="L231" s="176">
        <f t="shared" si="9"/>
        <v>1.7606679389312978</v>
      </c>
      <c r="M231" s="410">
        <f t="shared" si="10"/>
        <v>3.9206679389312979</v>
      </c>
      <c r="N231" s="411">
        <v>1.4</v>
      </c>
      <c r="O231" s="176">
        <f t="shared" si="11"/>
        <v>5.4889351145038168</v>
      </c>
      <c r="P231" s="176">
        <v>6</v>
      </c>
      <c r="S231" t="s">
        <v>12</v>
      </c>
      <c r="T231" s="6">
        <v>45377</v>
      </c>
      <c r="U231">
        <f>+P231*20000</f>
        <v>120000</v>
      </c>
    </row>
    <row r="232" spans="1:21" hidden="1" x14ac:dyDescent="0.35">
      <c r="F232" s="366">
        <v>10</v>
      </c>
      <c r="G232" s="371" t="s">
        <v>1059</v>
      </c>
      <c r="H232" s="371"/>
      <c r="I232" s="176">
        <v>2.16</v>
      </c>
      <c r="J232" s="12">
        <v>4192</v>
      </c>
      <c r="K232" s="176">
        <v>3417</v>
      </c>
      <c r="L232" s="176">
        <f t="shared" si="9"/>
        <v>1.7606679389312978</v>
      </c>
      <c r="M232" s="410">
        <f t="shared" si="10"/>
        <v>3.9206679389312979</v>
      </c>
      <c r="N232" s="411">
        <v>1.4</v>
      </c>
      <c r="O232" s="176">
        <f t="shared" si="11"/>
        <v>5.4889351145038168</v>
      </c>
      <c r="P232" s="176">
        <v>6</v>
      </c>
      <c r="S232" t="s">
        <v>12</v>
      </c>
      <c r="T232" s="6">
        <v>45377</v>
      </c>
      <c r="U232">
        <f>+P232*20000</f>
        <v>120000</v>
      </c>
    </row>
    <row r="233" spans="1:21" hidden="1" x14ac:dyDescent="0.35">
      <c r="F233" s="366">
        <v>10</v>
      </c>
      <c r="G233" s="371" t="s">
        <v>1059</v>
      </c>
      <c r="H233" s="371"/>
      <c r="I233" s="176">
        <v>2.16</v>
      </c>
      <c r="J233" s="12">
        <v>4192</v>
      </c>
      <c r="K233" s="176">
        <v>3417</v>
      </c>
      <c r="L233" s="176">
        <f t="shared" si="9"/>
        <v>1.7606679389312978</v>
      </c>
      <c r="M233" s="410">
        <f t="shared" si="10"/>
        <v>3.9206679389312979</v>
      </c>
      <c r="N233" s="411">
        <v>1.4</v>
      </c>
      <c r="O233" s="176">
        <f t="shared" si="11"/>
        <v>5.4889351145038168</v>
      </c>
      <c r="P233" s="176">
        <v>6</v>
      </c>
      <c r="S233" t="s">
        <v>12</v>
      </c>
      <c r="T233" s="6">
        <v>45377</v>
      </c>
      <c r="U233">
        <f>+P233*20000</f>
        <v>120000</v>
      </c>
    </row>
    <row r="234" spans="1:21" hidden="1" x14ac:dyDescent="0.35">
      <c r="F234" s="366">
        <v>10</v>
      </c>
      <c r="G234" s="245" t="s">
        <v>1059</v>
      </c>
      <c r="I234" s="173">
        <v>2.16</v>
      </c>
      <c r="J234">
        <v>4192</v>
      </c>
      <c r="K234" s="173">
        <v>3417</v>
      </c>
      <c r="L234" s="173">
        <f t="shared" si="9"/>
        <v>1.7606679389312978</v>
      </c>
      <c r="M234" s="402">
        <f t="shared" si="10"/>
        <v>3.9206679389312979</v>
      </c>
      <c r="N234" s="174">
        <v>1.4</v>
      </c>
      <c r="O234" s="173">
        <f t="shared" si="11"/>
        <v>5.4889351145038168</v>
      </c>
      <c r="P234" s="173">
        <v>6</v>
      </c>
    </row>
    <row r="235" spans="1:21" hidden="1" x14ac:dyDescent="0.35">
      <c r="A235"/>
      <c r="F235" s="366">
        <v>10</v>
      </c>
      <c r="G235" s="245" t="s">
        <v>1059</v>
      </c>
      <c r="I235" s="173">
        <v>2.16</v>
      </c>
      <c r="J235">
        <v>4192</v>
      </c>
      <c r="K235" s="173">
        <v>3417</v>
      </c>
      <c r="L235" s="173">
        <f t="shared" si="9"/>
        <v>1.7606679389312978</v>
      </c>
      <c r="M235" s="402">
        <f t="shared" si="10"/>
        <v>3.9206679389312979</v>
      </c>
      <c r="N235" s="174">
        <v>1.4</v>
      </c>
      <c r="O235" s="173">
        <f t="shared" si="11"/>
        <v>5.4889351145038168</v>
      </c>
      <c r="P235" s="173">
        <v>6</v>
      </c>
    </row>
    <row r="236" spans="1:21" hidden="1" x14ac:dyDescent="0.35">
      <c r="A236"/>
      <c r="C236" s="232"/>
      <c r="D236" s="232"/>
      <c r="F236" s="366">
        <v>10</v>
      </c>
      <c r="G236" s="245" t="s">
        <v>1059</v>
      </c>
      <c r="I236" s="173">
        <v>2.16</v>
      </c>
      <c r="J236">
        <v>4192</v>
      </c>
      <c r="K236" s="173">
        <v>3417</v>
      </c>
      <c r="L236" s="173">
        <f t="shared" si="9"/>
        <v>1.7606679389312978</v>
      </c>
      <c r="M236" s="402">
        <f t="shared" si="10"/>
        <v>3.9206679389312979</v>
      </c>
      <c r="N236" s="174">
        <v>1.4</v>
      </c>
      <c r="O236" s="173">
        <f t="shared" si="11"/>
        <v>5.4889351145038168</v>
      </c>
      <c r="P236" s="173">
        <v>6</v>
      </c>
    </row>
    <row r="237" spans="1:21" hidden="1" x14ac:dyDescent="0.35">
      <c r="A237"/>
      <c r="F237" s="366">
        <v>10</v>
      </c>
      <c r="G237" s="245" t="s">
        <v>1059</v>
      </c>
      <c r="I237" s="173">
        <v>2.16</v>
      </c>
      <c r="J237">
        <v>4192</v>
      </c>
      <c r="K237" s="173">
        <v>3417</v>
      </c>
      <c r="L237" s="173">
        <f t="shared" si="9"/>
        <v>1.7606679389312978</v>
      </c>
      <c r="M237" s="402">
        <f t="shared" si="10"/>
        <v>3.9206679389312979</v>
      </c>
      <c r="N237" s="174">
        <v>1.4</v>
      </c>
      <c r="O237" s="173">
        <f t="shared" si="11"/>
        <v>5.4889351145038168</v>
      </c>
      <c r="P237" s="173">
        <v>6</v>
      </c>
    </row>
    <row r="238" spans="1:21" hidden="1" x14ac:dyDescent="0.35">
      <c r="A238"/>
      <c r="F238" s="366">
        <v>10</v>
      </c>
      <c r="G238" s="245" t="s">
        <v>1059</v>
      </c>
      <c r="I238" s="173">
        <v>2.16</v>
      </c>
      <c r="J238">
        <v>4192</v>
      </c>
      <c r="K238" s="173">
        <v>3417</v>
      </c>
      <c r="L238" s="173">
        <f t="shared" si="9"/>
        <v>1.7606679389312978</v>
      </c>
      <c r="M238" s="402">
        <f t="shared" si="10"/>
        <v>3.9206679389312979</v>
      </c>
      <c r="N238" s="174">
        <v>1.4</v>
      </c>
      <c r="O238" s="173">
        <f t="shared" si="11"/>
        <v>5.4889351145038168</v>
      </c>
      <c r="P238" s="173">
        <v>6</v>
      </c>
    </row>
    <row r="239" spans="1:21" hidden="1" x14ac:dyDescent="0.35">
      <c r="A239"/>
      <c r="F239" s="366">
        <v>10</v>
      </c>
      <c r="G239" s="245" t="s">
        <v>1059</v>
      </c>
      <c r="I239" s="173">
        <v>2.16</v>
      </c>
      <c r="J239">
        <v>4192</v>
      </c>
      <c r="K239" s="173">
        <v>3417</v>
      </c>
      <c r="L239" s="173">
        <f t="shared" ref="L239:L254" si="12">+K239/J239*I239</f>
        <v>1.7606679389312978</v>
      </c>
      <c r="M239" s="402">
        <f t="shared" ref="M239:M254" si="13">+I239+L239</f>
        <v>3.9206679389312979</v>
      </c>
      <c r="N239" s="174">
        <v>1.4</v>
      </c>
      <c r="O239" s="173">
        <f t="shared" ref="O239:O254" si="14">+M239*N239</f>
        <v>5.4889351145038168</v>
      </c>
      <c r="P239" s="173">
        <v>6</v>
      </c>
    </row>
    <row r="240" spans="1:21" hidden="1" x14ac:dyDescent="0.35">
      <c r="A240"/>
      <c r="F240" s="366">
        <v>10</v>
      </c>
      <c r="G240" s="245" t="s">
        <v>1059</v>
      </c>
      <c r="I240" s="173">
        <v>2.16</v>
      </c>
      <c r="J240">
        <v>4192</v>
      </c>
      <c r="K240" s="173">
        <v>3417</v>
      </c>
      <c r="L240" s="173">
        <f t="shared" si="12"/>
        <v>1.7606679389312978</v>
      </c>
      <c r="M240" s="402">
        <f t="shared" si="13"/>
        <v>3.9206679389312979</v>
      </c>
      <c r="N240" s="174">
        <v>1.4</v>
      </c>
      <c r="O240" s="173">
        <f t="shared" si="14"/>
        <v>5.4889351145038168</v>
      </c>
      <c r="P240" s="173">
        <v>6</v>
      </c>
    </row>
    <row r="241" spans="1:21" hidden="1" x14ac:dyDescent="0.35">
      <c r="A241"/>
      <c r="F241" s="366">
        <v>10</v>
      </c>
      <c r="G241" s="245" t="s">
        <v>1059</v>
      </c>
      <c r="I241" s="173">
        <v>2.16</v>
      </c>
      <c r="J241">
        <v>4192</v>
      </c>
      <c r="K241" s="173">
        <v>3417</v>
      </c>
      <c r="L241" s="173">
        <f t="shared" si="12"/>
        <v>1.7606679389312978</v>
      </c>
      <c r="M241" s="402">
        <f t="shared" si="13"/>
        <v>3.9206679389312979</v>
      </c>
      <c r="N241" s="174">
        <v>1.4</v>
      </c>
      <c r="O241" s="173">
        <f t="shared" si="14"/>
        <v>5.4889351145038168</v>
      </c>
      <c r="P241" s="173">
        <v>6</v>
      </c>
    </row>
    <row r="242" spans="1:21" hidden="1" x14ac:dyDescent="0.35">
      <c r="A242"/>
      <c r="F242" s="366">
        <v>10</v>
      </c>
      <c r="G242" s="245" t="s">
        <v>1059</v>
      </c>
      <c r="I242" s="173">
        <v>2.16</v>
      </c>
      <c r="J242">
        <v>4192</v>
      </c>
      <c r="K242" s="173">
        <v>3417</v>
      </c>
      <c r="L242" s="173">
        <f t="shared" si="12"/>
        <v>1.7606679389312978</v>
      </c>
      <c r="M242" s="402">
        <f t="shared" si="13"/>
        <v>3.9206679389312979</v>
      </c>
      <c r="N242" s="174">
        <v>1.4</v>
      </c>
      <c r="O242" s="173">
        <f t="shared" si="14"/>
        <v>5.4889351145038168</v>
      </c>
      <c r="P242" s="173">
        <v>6</v>
      </c>
    </row>
    <row r="243" spans="1:21" hidden="1" x14ac:dyDescent="0.35">
      <c r="A243"/>
      <c r="F243" s="366">
        <v>10</v>
      </c>
      <c r="G243" s="371" t="s">
        <v>90</v>
      </c>
      <c r="H243" s="371"/>
      <c r="I243" s="176">
        <v>2.16</v>
      </c>
      <c r="J243" s="12">
        <v>4192</v>
      </c>
      <c r="K243" s="176">
        <v>3417</v>
      </c>
      <c r="L243" s="176">
        <f t="shared" si="12"/>
        <v>1.7606679389312978</v>
      </c>
      <c r="M243" s="410">
        <f t="shared" si="13"/>
        <v>3.9206679389312979</v>
      </c>
      <c r="N243" s="411">
        <v>1.4</v>
      </c>
      <c r="O243" s="176">
        <f t="shared" si="14"/>
        <v>5.4889351145038168</v>
      </c>
      <c r="P243" s="176">
        <v>6</v>
      </c>
      <c r="S243" t="s">
        <v>12</v>
      </c>
      <c r="T243" s="6">
        <v>45377</v>
      </c>
      <c r="U243">
        <f>+P243*20000</f>
        <v>120000</v>
      </c>
    </row>
    <row r="244" spans="1:21" hidden="1" x14ac:dyDescent="0.35">
      <c r="A244"/>
      <c r="F244" s="366">
        <v>10</v>
      </c>
      <c r="G244" s="371" t="s">
        <v>90</v>
      </c>
      <c r="H244" s="371"/>
      <c r="I244" s="176">
        <v>2.16</v>
      </c>
      <c r="J244" s="12">
        <v>4192</v>
      </c>
      <c r="K244" s="176">
        <v>3417</v>
      </c>
      <c r="L244" s="176">
        <f t="shared" si="12"/>
        <v>1.7606679389312978</v>
      </c>
      <c r="M244" s="410">
        <f t="shared" si="13"/>
        <v>3.9206679389312979</v>
      </c>
      <c r="N244" s="411">
        <v>1.4</v>
      </c>
      <c r="O244" s="176">
        <f t="shared" si="14"/>
        <v>5.4889351145038168</v>
      </c>
      <c r="P244" s="176">
        <v>6</v>
      </c>
      <c r="S244" t="s">
        <v>12</v>
      </c>
      <c r="T244" s="6">
        <v>45377</v>
      </c>
      <c r="U244">
        <f>+P244*20000</f>
        <v>120000</v>
      </c>
    </row>
    <row r="245" spans="1:21" hidden="1" x14ac:dyDescent="0.35">
      <c r="A245"/>
      <c r="F245" s="366">
        <v>10</v>
      </c>
      <c r="G245" s="245" t="s">
        <v>90</v>
      </c>
      <c r="I245" s="173">
        <v>2.16</v>
      </c>
      <c r="J245">
        <v>4192</v>
      </c>
      <c r="K245" s="173">
        <v>3417</v>
      </c>
      <c r="L245" s="173">
        <f t="shared" si="12"/>
        <v>1.7606679389312978</v>
      </c>
      <c r="M245" s="402">
        <f t="shared" si="13"/>
        <v>3.9206679389312979</v>
      </c>
      <c r="N245" s="174">
        <v>1.4</v>
      </c>
      <c r="O245" s="173">
        <f t="shared" si="14"/>
        <v>5.4889351145038168</v>
      </c>
      <c r="P245" s="173">
        <v>6</v>
      </c>
    </row>
    <row r="246" spans="1:21" hidden="1" x14ac:dyDescent="0.35">
      <c r="A246"/>
      <c r="F246" s="366">
        <v>10</v>
      </c>
      <c r="G246" s="245" t="s">
        <v>90</v>
      </c>
      <c r="I246" s="173">
        <v>2.16</v>
      </c>
      <c r="J246">
        <v>4192</v>
      </c>
      <c r="K246" s="173">
        <v>3417</v>
      </c>
      <c r="L246" s="173">
        <f t="shared" si="12"/>
        <v>1.7606679389312978</v>
      </c>
      <c r="M246" s="402">
        <f t="shared" si="13"/>
        <v>3.9206679389312979</v>
      </c>
      <c r="N246" s="174">
        <v>1.4</v>
      </c>
      <c r="O246" s="173">
        <f t="shared" si="14"/>
        <v>5.4889351145038168</v>
      </c>
      <c r="P246" s="173">
        <v>6</v>
      </c>
    </row>
    <row r="247" spans="1:21" hidden="1" x14ac:dyDescent="0.35">
      <c r="A247"/>
      <c r="F247" s="366">
        <v>10</v>
      </c>
      <c r="G247" s="245" t="s">
        <v>90</v>
      </c>
      <c r="I247" s="173">
        <v>2.16</v>
      </c>
      <c r="J247">
        <v>4192</v>
      </c>
      <c r="K247" s="173">
        <v>3417</v>
      </c>
      <c r="L247" s="173">
        <f t="shared" si="12"/>
        <v>1.7606679389312978</v>
      </c>
      <c r="M247" s="402">
        <f t="shared" si="13"/>
        <v>3.9206679389312979</v>
      </c>
      <c r="N247" s="174">
        <v>1.4</v>
      </c>
      <c r="O247" s="173">
        <f t="shared" si="14"/>
        <v>5.4889351145038168</v>
      </c>
      <c r="P247" s="173">
        <v>6</v>
      </c>
    </row>
    <row r="248" spans="1:21" hidden="1" x14ac:dyDescent="0.35">
      <c r="A248"/>
      <c r="F248" s="366">
        <v>10</v>
      </c>
      <c r="G248" s="245" t="s">
        <v>90</v>
      </c>
      <c r="I248" s="173">
        <v>2.16</v>
      </c>
      <c r="J248">
        <v>4192</v>
      </c>
      <c r="K248" s="173">
        <v>3417</v>
      </c>
      <c r="L248" s="173">
        <f t="shared" si="12"/>
        <v>1.7606679389312978</v>
      </c>
      <c r="M248" s="402">
        <f t="shared" si="13"/>
        <v>3.9206679389312979</v>
      </c>
      <c r="N248" s="174">
        <v>1.4</v>
      </c>
      <c r="O248" s="173">
        <f t="shared" si="14"/>
        <v>5.4889351145038168</v>
      </c>
      <c r="P248" s="173">
        <v>6</v>
      </c>
    </row>
    <row r="249" spans="1:21" hidden="1" x14ac:dyDescent="0.35">
      <c r="A249"/>
      <c r="F249" s="366">
        <v>10</v>
      </c>
      <c r="G249" s="245" t="s">
        <v>90</v>
      </c>
      <c r="I249" s="173">
        <v>2.16</v>
      </c>
      <c r="J249">
        <v>4192</v>
      </c>
      <c r="K249" s="173">
        <v>3417</v>
      </c>
      <c r="L249" s="173">
        <f t="shared" si="12"/>
        <v>1.7606679389312978</v>
      </c>
      <c r="M249" s="402">
        <f t="shared" si="13"/>
        <v>3.9206679389312979</v>
      </c>
      <c r="N249" s="174">
        <v>1.4</v>
      </c>
      <c r="O249" s="173">
        <f t="shared" si="14"/>
        <v>5.4889351145038168</v>
      </c>
      <c r="P249" s="173">
        <v>6</v>
      </c>
    </row>
    <row r="250" spans="1:21" hidden="1" x14ac:dyDescent="0.35">
      <c r="A250"/>
      <c r="F250" s="366">
        <v>10</v>
      </c>
      <c r="G250" s="245" t="s">
        <v>90</v>
      </c>
      <c r="I250" s="173">
        <v>2.16</v>
      </c>
      <c r="J250">
        <v>4192</v>
      </c>
      <c r="K250" s="173">
        <v>3417</v>
      </c>
      <c r="L250" s="173">
        <f t="shared" si="12"/>
        <v>1.7606679389312978</v>
      </c>
      <c r="M250" s="402">
        <f t="shared" si="13"/>
        <v>3.9206679389312979</v>
      </c>
      <c r="N250" s="174">
        <v>1.4</v>
      </c>
      <c r="O250" s="173">
        <f t="shared" si="14"/>
        <v>5.4889351145038168</v>
      </c>
      <c r="P250" s="173">
        <v>6</v>
      </c>
    </row>
    <row r="251" spans="1:21" hidden="1" x14ac:dyDescent="0.35">
      <c r="A251"/>
      <c r="F251" s="366">
        <v>10</v>
      </c>
      <c r="G251" s="245" t="s">
        <v>90</v>
      </c>
      <c r="I251" s="173">
        <v>2.16</v>
      </c>
      <c r="J251">
        <v>4192</v>
      </c>
      <c r="K251" s="173">
        <v>3417</v>
      </c>
      <c r="L251" s="173">
        <f t="shared" si="12"/>
        <v>1.7606679389312978</v>
      </c>
      <c r="M251" s="402">
        <f t="shared" si="13"/>
        <v>3.9206679389312979</v>
      </c>
      <c r="N251" s="174">
        <v>1.4</v>
      </c>
      <c r="O251" s="173">
        <f t="shared" si="14"/>
        <v>5.4889351145038168</v>
      </c>
      <c r="P251" s="173">
        <v>6</v>
      </c>
    </row>
    <row r="252" spans="1:21" hidden="1" x14ac:dyDescent="0.35">
      <c r="A252"/>
      <c r="F252" s="366">
        <v>10</v>
      </c>
      <c r="G252" s="245" t="s">
        <v>90</v>
      </c>
      <c r="I252" s="173">
        <v>2.16</v>
      </c>
      <c r="J252">
        <v>4192</v>
      </c>
      <c r="K252" s="173">
        <v>3417</v>
      </c>
      <c r="L252" s="173">
        <f t="shared" si="12"/>
        <v>1.7606679389312978</v>
      </c>
      <c r="M252" s="402">
        <f t="shared" si="13"/>
        <v>3.9206679389312979</v>
      </c>
      <c r="N252" s="174">
        <v>1.4</v>
      </c>
      <c r="O252" s="173">
        <f t="shared" si="14"/>
        <v>5.4889351145038168</v>
      </c>
      <c r="P252" s="173">
        <v>6</v>
      </c>
    </row>
    <row r="253" spans="1:21" hidden="1" x14ac:dyDescent="0.35">
      <c r="A253"/>
      <c r="F253" s="366">
        <v>10</v>
      </c>
      <c r="G253" s="245" t="s">
        <v>90</v>
      </c>
      <c r="I253" s="173">
        <v>2.16</v>
      </c>
      <c r="J253">
        <v>4192</v>
      </c>
      <c r="K253" s="173">
        <v>3417</v>
      </c>
      <c r="L253" s="173">
        <f t="shared" si="12"/>
        <v>1.7606679389312978</v>
      </c>
      <c r="M253" s="402">
        <f t="shared" si="13"/>
        <v>3.9206679389312979</v>
      </c>
      <c r="N253" s="174">
        <v>1.4</v>
      </c>
      <c r="O253" s="173">
        <f t="shared" si="14"/>
        <v>5.4889351145038168</v>
      </c>
      <c r="P253" s="173">
        <v>6</v>
      </c>
    </row>
    <row r="254" spans="1:21" hidden="1" x14ac:dyDescent="0.35">
      <c r="A254"/>
      <c r="F254" s="366">
        <v>10</v>
      </c>
      <c r="G254" s="245" t="s">
        <v>90</v>
      </c>
      <c r="I254" s="173">
        <v>2.16</v>
      </c>
      <c r="J254">
        <v>4192</v>
      </c>
      <c r="K254" s="173">
        <v>3417</v>
      </c>
      <c r="L254" s="173">
        <f t="shared" si="12"/>
        <v>1.7606679389312978</v>
      </c>
      <c r="M254" s="402">
        <f t="shared" si="13"/>
        <v>3.9206679389312979</v>
      </c>
      <c r="N254" s="174">
        <v>1.4</v>
      </c>
      <c r="O254" s="173">
        <f t="shared" si="14"/>
        <v>5.4889351145038168</v>
      </c>
      <c r="P254" s="173">
        <v>6</v>
      </c>
    </row>
    <row r="255" spans="1:21" hidden="1" x14ac:dyDescent="0.35">
      <c r="A255"/>
      <c r="G255" s="256" t="s">
        <v>1294</v>
      </c>
      <c r="H255" s="256"/>
      <c r="I255" s="145">
        <f>SUM(I22:I254)</f>
        <v>4191.8799999999865</v>
      </c>
      <c r="J255" s="401"/>
      <c r="K255" s="401"/>
      <c r="L255" s="401"/>
      <c r="M255" s="401"/>
      <c r="N255" s="401"/>
      <c r="O255" s="401"/>
      <c r="P255" s="401"/>
    </row>
    <row r="256" spans="1:21" hidden="1" x14ac:dyDescent="0.35">
      <c r="A256"/>
      <c r="I256" s="145"/>
      <c r="N256" s="174"/>
    </row>
    <row r="257" spans="1:16" hidden="1" x14ac:dyDescent="0.35">
      <c r="A257"/>
      <c r="G257" s="256" t="s">
        <v>1062</v>
      </c>
      <c r="H257" s="256"/>
      <c r="N257" s="174"/>
    </row>
    <row r="258" spans="1:16" hidden="1" x14ac:dyDescent="0.35">
      <c r="A258"/>
      <c r="C258" s="365">
        <v>45383</v>
      </c>
      <c r="D258" s="365"/>
      <c r="N258" s="174"/>
    </row>
    <row r="259" spans="1:16" hidden="1" x14ac:dyDescent="0.35">
      <c r="A259"/>
      <c r="B259" s="3" t="s">
        <v>231</v>
      </c>
      <c r="C259" s="233" t="s">
        <v>864</v>
      </c>
      <c r="G259" s="245" t="s">
        <v>1100</v>
      </c>
      <c r="I259" s="173">
        <v>27</v>
      </c>
      <c r="J259">
        <v>872</v>
      </c>
      <c r="K259" s="173">
        <f>872+38+272</f>
        <v>1182</v>
      </c>
      <c r="L259" s="402">
        <f t="shared" ref="L259:L297" si="15">+I259/J259*K259</f>
        <v>36.598623853211009</v>
      </c>
      <c r="M259" s="402">
        <f t="shared" ref="M259:M297" si="16">+L259+I259</f>
        <v>63.598623853211009</v>
      </c>
      <c r="N259" s="174">
        <v>0.4</v>
      </c>
      <c r="O259" s="173">
        <f t="shared" ref="O259:O298" si="17">+M259*1.4</f>
        <v>89.038073394495413</v>
      </c>
      <c r="P259" s="173">
        <v>110</v>
      </c>
    </row>
    <row r="260" spans="1:16" hidden="1" x14ac:dyDescent="0.35">
      <c r="A260"/>
      <c r="B260" s="3" t="s">
        <v>231</v>
      </c>
      <c r="C260" s="233" t="s">
        <v>864</v>
      </c>
      <c r="G260" s="245" t="s">
        <v>1100</v>
      </c>
      <c r="I260" s="173">
        <v>27</v>
      </c>
      <c r="J260">
        <v>872</v>
      </c>
      <c r="K260" s="173">
        <f t="shared" ref="K260:K282" si="18">872+38+272</f>
        <v>1182</v>
      </c>
      <c r="L260" s="402">
        <f t="shared" si="15"/>
        <v>36.598623853211009</v>
      </c>
      <c r="M260" s="402">
        <f t="shared" si="16"/>
        <v>63.598623853211009</v>
      </c>
      <c r="N260" s="174">
        <v>0.4</v>
      </c>
      <c r="O260" s="173">
        <f t="shared" si="17"/>
        <v>89.038073394495413</v>
      </c>
      <c r="P260" s="173">
        <v>110</v>
      </c>
    </row>
    <row r="261" spans="1:16" hidden="1" x14ac:dyDescent="0.35">
      <c r="A261"/>
      <c r="B261" s="3" t="s">
        <v>231</v>
      </c>
      <c r="C261" s="233" t="s">
        <v>864</v>
      </c>
      <c r="G261" s="245" t="s">
        <v>1100</v>
      </c>
      <c r="I261" s="173">
        <v>27</v>
      </c>
      <c r="J261">
        <v>872</v>
      </c>
      <c r="K261" s="173">
        <f t="shared" si="18"/>
        <v>1182</v>
      </c>
      <c r="L261" s="402">
        <f t="shared" si="15"/>
        <v>36.598623853211009</v>
      </c>
      <c r="M261" s="402">
        <f t="shared" si="16"/>
        <v>63.598623853211009</v>
      </c>
      <c r="N261" s="174">
        <v>0.4</v>
      </c>
      <c r="O261" s="173">
        <f t="shared" si="17"/>
        <v>89.038073394495413</v>
      </c>
      <c r="P261" s="173">
        <v>110</v>
      </c>
    </row>
    <row r="262" spans="1:16" hidden="1" x14ac:dyDescent="0.35">
      <c r="A262"/>
      <c r="B262" s="3" t="s">
        <v>231</v>
      </c>
      <c r="C262" s="233" t="s">
        <v>864</v>
      </c>
      <c r="G262" s="245" t="s">
        <v>1100</v>
      </c>
      <c r="I262" s="173">
        <v>27</v>
      </c>
      <c r="J262">
        <v>872</v>
      </c>
      <c r="K262" s="173">
        <f t="shared" si="18"/>
        <v>1182</v>
      </c>
      <c r="L262" s="402">
        <f t="shared" si="15"/>
        <v>36.598623853211009</v>
      </c>
      <c r="M262" s="402">
        <f t="shared" si="16"/>
        <v>63.598623853211009</v>
      </c>
      <c r="N262" s="174">
        <v>0.4</v>
      </c>
      <c r="O262" s="173">
        <f t="shared" si="17"/>
        <v>89.038073394495413</v>
      </c>
      <c r="P262" s="173">
        <v>110</v>
      </c>
    </row>
    <row r="263" spans="1:16" hidden="1" x14ac:dyDescent="0.35">
      <c r="A263"/>
      <c r="B263" s="3" t="s">
        <v>231</v>
      </c>
      <c r="C263" s="233" t="s">
        <v>829</v>
      </c>
      <c r="F263" s="366">
        <v>38</v>
      </c>
      <c r="G263" s="245" t="s">
        <v>1108</v>
      </c>
      <c r="I263" s="173">
        <v>36</v>
      </c>
      <c r="J263">
        <v>872</v>
      </c>
      <c r="K263" s="173">
        <f t="shared" si="18"/>
        <v>1182</v>
      </c>
      <c r="L263" s="402">
        <f t="shared" si="15"/>
        <v>48.798165137614681</v>
      </c>
      <c r="M263" s="402">
        <f t="shared" si="16"/>
        <v>84.798165137614689</v>
      </c>
      <c r="N263" s="174">
        <v>0.4</v>
      </c>
      <c r="O263" s="173">
        <f t="shared" si="17"/>
        <v>118.71743119266056</v>
      </c>
      <c r="P263" s="173">
        <v>125</v>
      </c>
    </row>
    <row r="264" spans="1:16" hidden="1" x14ac:dyDescent="0.35">
      <c r="A264"/>
      <c r="B264" s="3" t="s">
        <v>231</v>
      </c>
      <c r="C264" s="233" t="s">
        <v>829</v>
      </c>
      <c r="F264" s="366">
        <v>40</v>
      </c>
      <c r="G264" s="245" t="s">
        <v>1108</v>
      </c>
      <c r="I264" s="173">
        <v>36</v>
      </c>
      <c r="J264">
        <v>872</v>
      </c>
      <c r="K264" s="173">
        <f t="shared" si="18"/>
        <v>1182</v>
      </c>
      <c r="L264" s="402">
        <f t="shared" si="15"/>
        <v>48.798165137614681</v>
      </c>
      <c r="M264" s="402">
        <f t="shared" si="16"/>
        <v>84.798165137614689</v>
      </c>
      <c r="N264" s="174">
        <v>0.4</v>
      </c>
      <c r="O264" s="173">
        <f t="shared" si="17"/>
        <v>118.71743119266056</v>
      </c>
      <c r="P264" s="173">
        <v>125</v>
      </c>
    </row>
    <row r="265" spans="1:16" hidden="1" x14ac:dyDescent="0.35">
      <c r="A265"/>
      <c r="B265" s="3" t="s">
        <v>231</v>
      </c>
      <c r="C265" s="233" t="s">
        <v>829</v>
      </c>
      <c r="F265" s="366">
        <v>42</v>
      </c>
      <c r="G265" s="245" t="s">
        <v>1108</v>
      </c>
      <c r="I265" s="173">
        <v>36</v>
      </c>
      <c r="J265">
        <v>872</v>
      </c>
      <c r="K265" s="173">
        <f t="shared" si="18"/>
        <v>1182</v>
      </c>
      <c r="L265" s="402">
        <f t="shared" si="15"/>
        <v>48.798165137614681</v>
      </c>
      <c r="M265" s="402">
        <f t="shared" si="16"/>
        <v>84.798165137614689</v>
      </c>
      <c r="N265" s="174">
        <v>0.4</v>
      </c>
      <c r="O265" s="173">
        <f t="shared" si="17"/>
        <v>118.71743119266056</v>
      </c>
      <c r="P265" s="173">
        <v>125</v>
      </c>
    </row>
    <row r="266" spans="1:16" hidden="1" x14ac:dyDescent="0.35">
      <c r="A266"/>
      <c r="B266" s="3" t="s">
        <v>231</v>
      </c>
      <c r="C266" s="233" t="s">
        <v>829</v>
      </c>
      <c r="F266" s="366">
        <v>44</v>
      </c>
      <c r="G266" s="245" t="s">
        <v>1108</v>
      </c>
      <c r="I266" s="173">
        <v>36</v>
      </c>
      <c r="J266">
        <v>872</v>
      </c>
      <c r="K266" s="173">
        <f t="shared" si="18"/>
        <v>1182</v>
      </c>
      <c r="L266" s="402">
        <f t="shared" si="15"/>
        <v>48.798165137614681</v>
      </c>
      <c r="M266" s="402">
        <f t="shared" si="16"/>
        <v>84.798165137614689</v>
      </c>
      <c r="N266" s="174">
        <v>0.4</v>
      </c>
      <c r="O266" s="173">
        <f t="shared" si="17"/>
        <v>118.71743119266056</v>
      </c>
      <c r="P266" s="173">
        <v>110</v>
      </c>
    </row>
    <row r="267" spans="1:16" hidden="1" x14ac:dyDescent="0.35">
      <c r="A267"/>
      <c r="B267" s="3" t="s">
        <v>231</v>
      </c>
      <c r="C267" s="233" t="s">
        <v>1101</v>
      </c>
      <c r="F267" s="366">
        <v>42</v>
      </c>
      <c r="G267" s="245" t="s">
        <v>1102</v>
      </c>
      <c r="I267" s="173">
        <v>31</v>
      </c>
      <c r="J267">
        <v>872</v>
      </c>
      <c r="K267" s="173">
        <f t="shared" si="18"/>
        <v>1182</v>
      </c>
      <c r="L267" s="402">
        <f t="shared" si="15"/>
        <v>42.020642201834868</v>
      </c>
      <c r="M267" s="402">
        <f t="shared" si="16"/>
        <v>73.020642201834875</v>
      </c>
      <c r="N267" s="174">
        <v>0.4</v>
      </c>
      <c r="O267" s="173">
        <f t="shared" si="17"/>
        <v>102.22889908256882</v>
      </c>
      <c r="P267" s="173">
        <v>110</v>
      </c>
    </row>
    <row r="268" spans="1:16" hidden="1" x14ac:dyDescent="0.35">
      <c r="A268"/>
      <c r="B268" s="3" t="s">
        <v>231</v>
      </c>
      <c r="C268" s="233" t="s">
        <v>1101</v>
      </c>
      <c r="F268" s="366">
        <v>44</v>
      </c>
      <c r="G268" s="245" t="s">
        <v>1102</v>
      </c>
      <c r="I268" s="173">
        <v>31</v>
      </c>
      <c r="J268">
        <v>872</v>
      </c>
      <c r="K268" s="173">
        <f t="shared" si="18"/>
        <v>1182</v>
      </c>
      <c r="L268" s="402">
        <f t="shared" si="15"/>
        <v>42.020642201834868</v>
      </c>
      <c r="M268" s="402">
        <f t="shared" si="16"/>
        <v>73.020642201834875</v>
      </c>
      <c r="N268" s="174">
        <v>0.4</v>
      </c>
      <c r="O268" s="173">
        <f t="shared" si="17"/>
        <v>102.22889908256882</v>
      </c>
      <c r="P268" s="173">
        <v>110</v>
      </c>
    </row>
    <row r="269" spans="1:16" hidden="1" x14ac:dyDescent="0.35">
      <c r="A269"/>
      <c r="B269" s="3" t="s">
        <v>231</v>
      </c>
      <c r="C269" s="233" t="s">
        <v>1101</v>
      </c>
      <c r="F269" s="366">
        <v>46</v>
      </c>
      <c r="G269" s="245" t="s">
        <v>1102</v>
      </c>
      <c r="I269" s="173">
        <v>31</v>
      </c>
      <c r="J269">
        <v>872</v>
      </c>
      <c r="K269" s="173">
        <f t="shared" si="18"/>
        <v>1182</v>
      </c>
      <c r="L269" s="402">
        <f t="shared" si="15"/>
        <v>42.020642201834868</v>
      </c>
      <c r="M269" s="402">
        <f t="shared" si="16"/>
        <v>73.020642201834875</v>
      </c>
      <c r="N269" s="174">
        <v>0.4</v>
      </c>
      <c r="O269" s="173">
        <f t="shared" si="17"/>
        <v>102.22889908256882</v>
      </c>
      <c r="P269" s="173">
        <v>110</v>
      </c>
    </row>
    <row r="270" spans="1:16" hidden="1" x14ac:dyDescent="0.35">
      <c r="A270"/>
      <c r="B270" s="3" t="s">
        <v>231</v>
      </c>
      <c r="C270" s="233" t="s">
        <v>1101</v>
      </c>
      <c r="F270" s="366">
        <v>48</v>
      </c>
      <c r="G270" s="245" t="s">
        <v>1102</v>
      </c>
      <c r="I270" s="173">
        <v>31</v>
      </c>
      <c r="J270">
        <v>872</v>
      </c>
      <c r="K270" s="173">
        <f t="shared" si="18"/>
        <v>1182</v>
      </c>
      <c r="L270" s="402">
        <f t="shared" si="15"/>
        <v>42.020642201834868</v>
      </c>
      <c r="M270" s="402">
        <f t="shared" si="16"/>
        <v>73.020642201834875</v>
      </c>
      <c r="N270" s="174">
        <v>0.4</v>
      </c>
      <c r="O270" s="173">
        <f t="shared" si="17"/>
        <v>102.22889908256882</v>
      </c>
      <c r="P270" s="173">
        <v>110</v>
      </c>
    </row>
    <row r="271" spans="1:16" hidden="1" x14ac:dyDescent="0.35">
      <c r="A271"/>
      <c r="B271" s="3" t="s">
        <v>231</v>
      </c>
      <c r="C271" s="233" t="s">
        <v>1104</v>
      </c>
      <c r="F271" s="366">
        <v>36</v>
      </c>
      <c r="G271" s="245" t="s">
        <v>1103</v>
      </c>
      <c r="I271" s="173">
        <v>45</v>
      </c>
      <c r="J271">
        <v>872</v>
      </c>
      <c r="K271" s="173">
        <f t="shared" si="18"/>
        <v>1182</v>
      </c>
      <c r="L271" s="402">
        <f t="shared" si="15"/>
        <v>60.997706422018354</v>
      </c>
      <c r="M271" s="402">
        <f t="shared" si="16"/>
        <v>105.99770642201835</v>
      </c>
      <c r="N271" s="174">
        <v>0.4</v>
      </c>
      <c r="O271" s="173">
        <f t="shared" si="17"/>
        <v>148.39678899082568</v>
      </c>
      <c r="P271" s="173">
        <v>150</v>
      </c>
    </row>
    <row r="272" spans="1:16" hidden="1" x14ac:dyDescent="0.35">
      <c r="A272"/>
      <c r="B272" s="3" t="s">
        <v>231</v>
      </c>
      <c r="C272" s="233" t="s">
        <v>1104</v>
      </c>
      <c r="F272" s="366">
        <v>38</v>
      </c>
      <c r="G272" s="245" t="s">
        <v>1103</v>
      </c>
      <c r="I272" s="173">
        <v>45</v>
      </c>
      <c r="J272">
        <v>872</v>
      </c>
      <c r="K272" s="173">
        <f t="shared" si="18"/>
        <v>1182</v>
      </c>
      <c r="L272" s="402">
        <f t="shared" si="15"/>
        <v>60.997706422018354</v>
      </c>
      <c r="M272" s="402">
        <f t="shared" si="16"/>
        <v>105.99770642201835</v>
      </c>
      <c r="N272" s="174">
        <v>0.4</v>
      </c>
      <c r="O272" s="173">
        <f t="shared" si="17"/>
        <v>148.39678899082568</v>
      </c>
      <c r="P272" s="173">
        <v>150</v>
      </c>
    </row>
    <row r="273" spans="1:16" hidden="1" x14ac:dyDescent="0.35">
      <c r="A273"/>
      <c r="B273" s="3" t="s">
        <v>231</v>
      </c>
      <c r="C273" s="233" t="s">
        <v>1104</v>
      </c>
      <c r="F273" s="366">
        <v>40</v>
      </c>
      <c r="G273" s="245" t="s">
        <v>1103</v>
      </c>
      <c r="I273" s="173">
        <v>45</v>
      </c>
      <c r="J273">
        <v>872</v>
      </c>
      <c r="K273" s="173">
        <f t="shared" si="18"/>
        <v>1182</v>
      </c>
      <c r="L273" s="402">
        <f t="shared" si="15"/>
        <v>60.997706422018354</v>
      </c>
      <c r="M273" s="402">
        <f t="shared" si="16"/>
        <v>105.99770642201835</v>
      </c>
      <c r="N273" s="174">
        <v>0.4</v>
      </c>
      <c r="O273" s="173">
        <f t="shared" si="17"/>
        <v>148.39678899082568</v>
      </c>
      <c r="P273" s="173">
        <v>150</v>
      </c>
    </row>
    <row r="274" spans="1:16" hidden="1" x14ac:dyDescent="0.35">
      <c r="A274"/>
      <c r="B274" s="3" t="s">
        <v>231</v>
      </c>
      <c r="C274" s="233" t="s">
        <v>1104</v>
      </c>
      <c r="F274" s="366">
        <v>42</v>
      </c>
      <c r="G274" s="245" t="s">
        <v>1103</v>
      </c>
      <c r="I274" s="173">
        <v>45</v>
      </c>
      <c r="J274">
        <v>872</v>
      </c>
      <c r="K274" s="173">
        <f t="shared" si="18"/>
        <v>1182</v>
      </c>
      <c r="L274" s="402">
        <f t="shared" si="15"/>
        <v>60.997706422018354</v>
      </c>
      <c r="M274" s="402">
        <f t="shared" si="16"/>
        <v>105.99770642201835</v>
      </c>
      <c r="N274" s="174">
        <v>0.4</v>
      </c>
      <c r="O274" s="173">
        <f t="shared" si="17"/>
        <v>148.39678899082568</v>
      </c>
      <c r="P274" s="173">
        <v>150</v>
      </c>
    </row>
    <row r="275" spans="1:16" hidden="1" x14ac:dyDescent="0.35">
      <c r="A275"/>
      <c r="B275" s="3" t="s">
        <v>231</v>
      </c>
      <c r="C275" s="233" t="s">
        <v>1105</v>
      </c>
      <c r="F275" s="366">
        <v>42</v>
      </c>
      <c r="G275" s="245" t="s">
        <v>1106</v>
      </c>
      <c r="I275" s="173">
        <v>32</v>
      </c>
      <c r="J275">
        <v>872</v>
      </c>
      <c r="K275" s="173">
        <f t="shared" si="18"/>
        <v>1182</v>
      </c>
      <c r="L275" s="402">
        <f t="shared" si="15"/>
        <v>43.37614678899083</v>
      </c>
      <c r="M275" s="402">
        <f t="shared" si="16"/>
        <v>75.376146788990837</v>
      </c>
      <c r="N275" s="174">
        <v>0.4</v>
      </c>
      <c r="O275" s="173">
        <f t="shared" si="17"/>
        <v>105.52660550458717</v>
      </c>
      <c r="P275" s="173">
        <v>110</v>
      </c>
    </row>
    <row r="276" spans="1:16" hidden="1" x14ac:dyDescent="0.35">
      <c r="A276"/>
      <c r="B276" s="3" t="s">
        <v>231</v>
      </c>
      <c r="C276" s="233" t="s">
        <v>1105</v>
      </c>
      <c r="F276" s="366">
        <v>44</v>
      </c>
      <c r="G276" s="245" t="s">
        <v>1106</v>
      </c>
      <c r="I276" s="173">
        <v>32</v>
      </c>
      <c r="J276">
        <v>872</v>
      </c>
      <c r="K276" s="173">
        <f t="shared" si="18"/>
        <v>1182</v>
      </c>
      <c r="L276" s="402">
        <f t="shared" si="15"/>
        <v>43.37614678899083</v>
      </c>
      <c r="M276" s="402">
        <f t="shared" si="16"/>
        <v>75.376146788990837</v>
      </c>
      <c r="N276" s="174">
        <v>0.4</v>
      </c>
      <c r="O276" s="173">
        <f t="shared" si="17"/>
        <v>105.52660550458717</v>
      </c>
      <c r="P276" s="173">
        <v>110</v>
      </c>
    </row>
    <row r="277" spans="1:16" hidden="1" x14ac:dyDescent="0.35">
      <c r="A277"/>
      <c r="B277" s="3" t="s">
        <v>231</v>
      </c>
      <c r="C277" s="233" t="s">
        <v>1105</v>
      </c>
      <c r="F277" s="366">
        <v>46</v>
      </c>
      <c r="G277" s="245" t="s">
        <v>1106</v>
      </c>
      <c r="I277" s="173">
        <v>32</v>
      </c>
      <c r="J277">
        <v>872</v>
      </c>
      <c r="K277" s="173">
        <f t="shared" si="18"/>
        <v>1182</v>
      </c>
      <c r="L277" s="402">
        <f t="shared" si="15"/>
        <v>43.37614678899083</v>
      </c>
      <c r="M277" s="402">
        <f t="shared" si="16"/>
        <v>75.376146788990837</v>
      </c>
      <c r="N277" s="174">
        <v>0.4</v>
      </c>
      <c r="O277" s="173">
        <f t="shared" si="17"/>
        <v>105.52660550458717</v>
      </c>
      <c r="P277" s="173">
        <v>110</v>
      </c>
    </row>
    <row r="278" spans="1:16" hidden="1" x14ac:dyDescent="0.35">
      <c r="A278"/>
      <c r="B278" s="3" t="s">
        <v>231</v>
      </c>
      <c r="C278" s="233" t="s">
        <v>1105</v>
      </c>
      <c r="F278" s="366">
        <v>48</v>
      </c>
      <c r="G278" s="245" t="s">
        <v>1106</v>
      </c>
      <c r="I278" s="173">
        <v>32</v>
      </c>
      <c r="J278">
        <v>872</v>
      </c>
      <c r="K278" s="173">
        <f t="shared" si="18"/>
        <v>1182</v>
      </c>
      <c r="L278" s="402">
        <f t="shared" si="15"/>
        <v>43.37614678899083</v>
      </c>
      <c r="M278" s="402">
        <f t="shared" si="16"/>
        <v>75.376146788990837</v>
      </c>
      <c r="N278" s="174">
        <v>0.4</v>
      </c>
      <c r="O278" s="173">
        <f t="shared" si="17"/>
        <v>105.52660550458717</v>
      </c>
      <c r="P278" s="173">
        <v>110</v>
      </c>
    </row>
    <row r="279" spans="1:16" hidden="1" x14ac:dyDescent="0.35">
      <c r="A279"/>
      <c r="B279" s="3" t="s">
        <v>231</v>
      </c>
      <c r="C279" s="233" t="s">
        <v>194</v>
      </c>
      <c r="F279" s="366">
        <v>50</v>
      </c>
      <c r="G279" s="245" t="s">
        <v>1107</v>
      </c>
      <c r="I279" s="173">
        <v>47</v>
      </c>
      <c r="J279">
        <v>872</v>
      </c>
      <c r="K279" s="173">
        <f t="shared" si="18"/>
        <v>1182</v>
      </c>
      <c r="L279" s="402">
        <f t="shared" si="15"/>
        <v>63.708715596330279</v>
      </c>
      <c r="M279" s="402">
        <f t="shared" si="16"/>
        <v>110.70871559633028</v>
      </c>
      <c r="N279" s="174">
        <v>0.4</v>
      </c>
      <c r="O279" s="173">
        <f t="shared" si="17"/>
        <v>154.99220183486239</v>
      </c>
      <c r="P279" s="173">
        <v>150</v>
      </c>
    </row>
    <row r="280" spans="1:16" hidden="1" x14ac:dyDescent="0.35">
      <c r="A280"/>
      <c r="B280" s="3" t="s">
        <v>231</v>
      </c>
      <c r="C280" s="233" t="s">
        <v>194</v>
      </c>
      <c r="F280" s="366">
        <v>52</v>
      </c>
      <c r="G280" s="245" t="s">
        <v>1107</v>
      </c>
      <c r="I280" s="173">
        <v>47</v>
      </c>
      <c r="J280">
        <v>872</v>
      </c>
      <c r="K280" s="173">
        <f t="shared" si="18"/>
        <v>1182</v>
      </c>
      <c r="L280" s="402">
        <f t="shared" si="15"/>
        <v>63.708715596330279</v>
      </c>
      <c r="M280" s="402">
        <f t="shared" si="16"/>
        <v>110.70871559633028</v>
      </c>
      <c r="N280" s="174">
        <v>0.4</v>
      </c>
      <c r="O280" s="173">
        <f t="shared" si="17"/>
        <v>154.99220183486239</v>
      </c>
      <c r="P280" s="173">
        <v>150</v>
      </c>
    </row>
    <row r="281" spans="1:16" hidden="1" x14ac:dyDescent="0.35">
      <c r="A281"/>
      <c r="B281" s="3" t="s">
        <v>231</v>
      </c>
      <c r="C281" s="233" t="s">
        <v>194</v>
      </c>
      <c r="F281" s="366">
        <v>54</v>
      </c>
      <c r="G281" s="245" t="s">
        <v>1107</v>
      </c>
      <c r="I281" s="173">
        <v>47</v>
      </c>
      <c r="J281">
        <v>872</v>
      </c>
      <c r="K281" s="173">
        <f t="shared" si="18"/>
        <v>1182</v>
      </c>
      <c r="L281" s="402">
        <f t="shared" si="15"/>
        <v>63.708715596330279</v>
      </c>
      <c r="M281" s="402">
        <f t="shared" si="16"/>
        <v>110.70871559633028</v>
      </c>
      <c r="N281" s="174">
        <v>0.4</v>
      </c>
      <c r="O281" s="173">
        <f t="shared" si="17"/>
        <v>154.99220183486239</v>
      </c>
      <c r="P281" s="173">
        <v>150</v>
      </c>
    </row>
    <row r="282" spans="1:16" hidden="1" x14ac:dyDescent="0.35">
      <c r="A282"/>
      <c r="B282" s="3" t="s">
        <v>231</v>
      </c>
      <c r="C282" s="233" t="s">
        <v>194</v>
      </c>
      <c r="F282" s="366">
        <v>56</v>
      </c>
      <c r="G282" s="245" t="s">
        <v>1107</v>
      </c>
      <c r="I282" s="173">
        <v>47</v>
      </c>
      <c r="J282">
        <v>872</v>
      </c>
      <c r="K282" s="173">
        <f t="shared" si="18"/>
        <v>1182</v>
      </c>
      <c r="L282" s="402">
        <f t="shared" si="15"/>
        <v>63.708715596330279</v>
      </c>
      <c r="M282" s="402">
        <f t="shared" si="16"/>
        <v>110.70871559633028</v>
      </c>
      <c r="N282" s="174">
        <v>0.4</v>
      </c>
      <c r="O282" s="173">
        <f t="shared" si="17"/>
        <v>154.99220183486239</v>
      </c>
      <c r="P282" s="173">
        <v>150</v>
      </c>
    </row>
    <row r="283" spans="1:16" hidden="1" x14ac:dyDescent="0.35">
      <c r="A283"/>
      <c r="B283" s="245" t="s">
        <v>791</v>
      </c>
      <c r="C283" s="245" t="s">
        <v>791</v>
      </c>
      <c r="D283" s="245"/>
      <c r="F283" s="366">
        <v>42</v>
      </c>
      <c r="G283" s="245" t="s">
        <v>1063</v>
      </c>
      <c r="I283" s="173">
        <v>55</v>
      </c>
      <c r="J283" s="173">
        <f>825+725*0.045</f>
        <v>857.625</v>
      </c>
      <c r="K283" s="173">
        <v>370</v>
      </c>
      <c r="L283" s="173">
        <f t="shared" si="15"/>
        <v>23.728319486955254</v>
      </c>
      <c r="M283" s="173">
        <f t="shared" si="16"/>
        <v>78.728319486955257</v>
      </c>
      <c r="N283" s="174">
        <v>0.4</v>
      </c>
      <c r="O283" s="173">
        <f t="shared" si="17"/>
        <v>110.21964728173735</v>
      </c>
      <c r="P283" s="173">
        <v>150</v>
      </c>
    </row>
    <row r="284" spans="1:16" hidden="1" x14ac:dyDescent="0.35">
      <c r="A284"/>
      <c r="B284" s="245" t="s">
        <v>791</v>
      </c>
      <c r="C284" s="245" t="s">
        <v>791</v>
      </c>
      <c r="D284" s="245"/>
      <c r="F284" s="366">
        <v>44</v>
      </c>
      <c r="G284" s="245" t="s">
        <v>1063</v>
      </c>
      <c r="I284" s="173">
        <v>55</v>
      </c>
      <c r="J284" s="173">
        <f t="shared" ref="J284:J297" si="19">825+725*0.045</f>
        <v>857.625</v>
      </c>
      <c r="K284" s="173">
        <v>370</v>
      </c>
      <c r="L284" s="173">
        <f t="shared" si="15"/>
        <v>23.728319486955254</v>
      </c>
      <c r="M284" s="173">
        <f t="shared" si="16"/>
        <v>78.728319486955257</v>
      </c>
      <c r="N284" s="174">
        <v>0.4</v>
      </c>
      <c r="O284" s="173">
        <f t="shared" si="17"/>
        <v>110.21964728173735</v>
      </c>
      <c r="P284" s="173">
        <v>150</v>
      </c>
    </row>
    <row r="285" spans="1:16" hidden="1" x14ac:dyDescent="0.35">
      <c r="A285"/>
      <c r="B285" s="245" t="s">
        <v>791</v>
      </c>
      <c r="C285" s="245" t="s">
        <v>791</v>
      </c>
      <c r="D285" s="245"/>
      <c r="F285" s="366">
        <v>46</v>
      </c>
      <c r="G285" s="245" t="s">
        <v>1063</v>
      </c>
      <c r="I285" s="173">
        <v>55</v>
      </c>
      <c r="J285" s="173">
        <f t="shared" si="19"/>
        <v>857.625</v>
      </c>
      <c r="K285" s="173">
        <v>370</v>
      </c>
      <c r="L285" s="173">
        <f t="shared" si="15"/>
        <v>23.728319486955254</v>
      </c>
      <c r="M285" s="173">
        <f t="shared" si="16"/>
        <v>78.728319486955257</v>
      </c>
      <c r="N285" s="174">
        <v>0.4</v>
      </c>
      <c r="O285" s="173">
        <f t="shared" si="17"/>
        <v>110.21964728173735</v>
      </c>
      <c r="P285" s="173">
        <v>150</v>
      </c>
    </row>
    <row r="286" spans="1:16" hidden="1" x14ac:dyDescent="0.35">
      <c r="A286"/>
      <c r="B286" s="245" t="s">
        <v>791</v>
      </c>
      <c r="C286" s="245" t="s">
        <v>791</v>
      </c>
      <c r="D286" s="245"/>
      <c r="F286" s="366">
        <v>48</v>
      </c>
      <c r="G286" s="245" t="s">
        <v>1063</v>
      </c>
      <c r="I286" s="173">
        <v>55</v>
      </c>
      <c r="J286" s="173">
        <f t="shared" si="19"/>
        <v>857.625</v>
      </c>
      <c r="K286" s="173">
        <v>370</v>
      </c>
      <c r="L286" s="173">
        <f t="shared" si="15"/>
        <v>23.728319486955254</v>
      </c>
      <c r="M286" s="173">
        <f t="shared" si="16"/>
        <v>78.728319486955257</v>
      </c>
      <c r="N286" s="174">
        <v>0.4</v>
      </c>
      <c r="O286" s="173">
        <f t="shared" si="17"/>
        <v>110.21964728173735</v>
      </c>
      <c r="P286" s="173">
        <v>150</v>
      </c>
    </row>
    <row r="287" spans="1:16" hidden="1" x14ac:dyDescent="0.35">
      <c r="A287"/>
      <c r="B287" s="245" t="s">
        <v>791</v>
      </c>
      <c r="C287" s="245" t="s">
        <v>791</v>
      </c>
      <c r="D287" s="245"/>
      <c r="F287" s="366">
        <v>50</v>
      </c>
      <c r="G287" s="245" t="s">
        <v>1063</v>
      </c>
      <c r="I287" s="173">
        <v>55</v>
      </c>
      <c r="J287" s="173">
        <f t="shared" si="19"/>
        <v>857.625</v>
      </c>
      <c r="K287" s="173">
        <v>370</v>
      </c>
      <c r="L287" s="173">
        <f t="shared" si="15"/>
        <v>23.728319486955254</v>
      </c>
      <c r="M287" s="173">
        <f t="shared" si="16"/>
        <v>78.728319486955257</v>
      </c>
      <c r="N287" s="174">
        <v>0.4</v>
      </c>
      <c r="O287" s="173">
        <f t="shared" si="17"/>
        <v>110.21964728173735</v>
      </c>
      <c r="P287" s="173">
        <v>150</v>
      </c>
    </row>
    <row r="288" spans="1:16" hidden="1" x14ac:dyDescent="0.35">
      <c r="A288"/>
      <c r="B288" s="245" t="s">
        <v>791</v>
      </c>
      <c r="C288" s="245" t="s">
        <v>791</v>
      </c>
      <c r="D288" s="245"/>
      <c r="F288" s="366">
        <v>38</v>
      </c>
      <c r="G288" s="245" t="s">
        <v>1113</v>
      </c>
      <c r="I288" s="173">
        <v>55</v>
      </c>
      <c r="J288" s="173">
        <f t="shared" si="19"/>
        <v>857.625</v>
      </c>
      <c r="K288" s="173">
        <v>370</v>
      </c>
      <c r="L288" s="173">
        <f t="shared" si="15"/>
        <v>23.728319486955254</v>
      </c>
      <c r="M288" s="173">
        <f t="shared" si="16"/>
        <v>78.728319486955257</v>
      </c>
      <c r="N288" s="174">
        <v>0.4</v>
      </c>
      <c r="O288" s="173">
        <f t="shared" si="17"/>
        <v>110.21964728173735</v>
      </c>
      <c r="P288" s="173">
        <v>150</v>
      </c>
    </row>
    <row r="289" spans="1:16" hidden="1" x14ac:dyDescent="0.35">
      <c r="A289"/>
      <c r="B289" s="245" t="s">
        <v>791</v>
      </c>
      <c r="C289" s="245" t="s">
        <v>791</v>
      </c>
      <c r="D289" s="245"/>
      <c r="F289" s="366">
        <v>40</v>
      </c>
      <c r="G289" s="245" t="s">
        <v>1113</v>
      </c>
      <c r="I289" s="173">
        <v>55</v>
      </c>
      <c r="J289" s="173">
        <f t="shared" si="19"/>
        <v>857.625</v>
      </c>
      <c r="K289" s="173">
        <v>370</v>
      </c>
      <c r="L289" s="173">
        <f t="shared" si="15"/>
        <v>23.728319486955254</v>
      </c>
      <c r="M289" s="173">
        <f t="shared" si="16"/>
        <v>78.728319486955257</v>
      </c>
      <c r="N289" s="174">
        <v>0.4</v>
      </c>
      <c r="O289" s="173">
        <f t="shared" si="17"/>
        <v>110.21964728173735</v>
      </c>
      <c r="P289" s="173">
        <v>150</v>
      </c>
    </row>
    <row r="290" spans="1:16" hidden="1" x14ac:dyDescent="0.35">
      <c r="A290"/>
      <c r="B290" s="245" t="s">
        <v>791</v>
      </c>
      <c r="C290" s="245" t="s">
        <v>791</v>
      </c>
      <c r="D290" s="245"/>
      <c r="F290" s="366">
        <v>42</v>
      </c>
      <c r="G290" s="245" t="s">
        <v>1113</v>
      </c>
      <c r="I290" s="173">
        <v>55</v>
      </c>
      <c r="J290" s="173">
        <f t="shared" si="19"/>
        <v>857.625</v>
      </c>
      <c r="K290" s="173">
        <v>370</v>
      </c>
      <c r="L290" s="173">
        <f t="shared" si="15"/>
        <v>23.728319486955254</v>
      </c>
      <c r="M290" s="173">
        <f t="shared" si="16"/>
        <v>78.728319486955257</v>
      </c>
      <c r="N290" s="174">
        <v>0.4</v>
      </c>
      <c r="O290" s="173">
        <f t="shared" si="17"/>
        <v>110.21964728173735</v>
      </c>
      <c r="P290" s="173">
        <v>150</v>
      </c>
    </row>
    <row r="291" spans="1:16" hidden="1" x14ac:dyDescent="0.35">
      <c r="A291"/>
      <c r="B291" s="245" t="s">
        <v>791</v>
      </c>
      <c r="C291" s="245" t="s">
        <v>791</v>
      </c>
      <c r="D291" s="245"/>
      <c r="F291" s="366">
        <v>44</v>
      </c>
      <c r="G291" s="245" t="s">
        <v>1113</v>
      </c>
      <c r="I291" s="173">
        <v>55</v>
      </c>
      <c r="J291" s="173">
        <f t="shared" si="19"/>
        <v>857.625</v>
      </c>
      <c r="K291" s="173">
        <v>370</v>
      </c>
      <c r="L291" s="173">
        <f t="shared" si="15"/>
        <v>23.728319486955254</v>
      </c>
      <c r="M291" s="173">
        <f t="shared" si="16"/>
        <v>78.728319486955257</v>
      </c>
      <c r="N291" s="174">
        <v>0.4</v>
      </c>
      <c r="O291" s="173">
        <f t="shared" si="17"/>
        <v>110.21964728173735</v>
      </c>
      <c r="P291" s="173">
        <v>150</v>
      </c>
    </row>
    <row r="292" spans="1:16" hidden="1" x14ac:dyDescent="0.35">
      <c r="A292"/>
      <c r="B292" s="245" t="s">
        <v>791</v>
      </c>
      <c r="C292" s="245" t="s">
        <v>791</v>
      </c>
      <c r="D292" s="245"/>
      <c r="F292" s="366">
        <v>46</v>
      </c>
      <c r="G292" s="245" t="s">
        <v>1113</v>
      </c>
      <c r="I292" s="173">
        <v>55</v>
      </c>
      <c r="J292" s="173">
        <f t="shared" si="19"/>
        <v>857.625</v>
      </c>
      <c r="K292" s="173">
        <v>370</v>
      </c>
      <c r="L292" s="173">
        <f t="shared" si="15"/>
        <v>23.728319486955254</v>
      </c>
      <c r="M292" s="173">
        <f t="shared" si="16"/>
        <v>78.728319486955257</v>
      </c>
      <c r="N292" s="174">
        <v>0.4</v>
      </c>
      <c r="O292" s="173">
        <f t="shared" si="17"/>
        <v>110.21964728173735</v>
      </c>
      <c r="P292" s="173">
        <v>150</v>
      </c>
    </row>
    <row r="293" spans="1:16" hidden="1" x14ac:dyDescent="0.35">
      <c r="A293"/>
      <c r="B293" s="245" t="s">
        <v>791</v>
      </c>
      <c r="C293" s="245" t="s">
        <v>791</v>
      </c>
      <c r="D293" s="245"/>
      <c r="F293" s="366">
        <v>38</v>
      </c>
      <c r="G293" s="245" t="s">
        <v>1114</v>
      </c>
      <c r="I293" s="173">
        <v>55</v>
      </c>
      <c r="J293" s="173">
        <f t="shared" si="19"/>
        <v>857.625</v>
      </c>
      <c r="K293" s="173">
        <v>370</v>
      </c>
      <c r="L293" s="173">
        <f t="shared" si="15"/>
        <v>23.728319486955254</v>
      </c>
      <c r="M293" s="173">
        <f t="shared" si="16"/>
        <v>78.728319486955257</v>
      </c>
      <c r="N293" s="174">
        <v>0.4</v>
      </c>
      <c r="O293" s="173">
        <f t="shared" si="17"/>
        <v>110.21964728173735</v>
      </c>
      <c r="P293" s="173">
        <v>150</v>
      </c>
    </row>
    <row r="294" spans="1:16" hidden="1" x14ac:dyDescent="0.35">
      <c r="A294"/>
      <c r="B294" s="245" t="s">
        <v>791</v>
      </c>
      <c r="C294" s="245" t="s">
        <v>791</v>
      </c>
      <c r="D294" s="245"/>
      <c r="F294" s="366">
        <v>40</v>
      </c>
      <c r="G294" s="245" t="s">
        <v>1114</v>
      </c>
      <c r="I294" s="173">
        <v>55</v>
      </c>
      <c r="J294" s="173">
        <f t="shared" si="19"/>
        <v>857.625</v>
      </c>
      <c r="K294" s="173">
        <v>370</v>
      </c>
      <c r="L294" s="173">
        <f t="shared" si="15"/>
        <v>23.728319486955254</v>
      </c>
      <c r="M294" s="173">
        <f t="shared" si="16"/>
        <v>78.728319486955257</v>
      </c>
      <c r="N294" s="174">
        <v>0.4</v>
      </c>
      <c r="O294" s="173">
        <f t="shared" si="17"/>
        <v>110.21964728173735</v>
      </c>
      <c r="P294" s="173">
        <v>150</v>
      </c>
    </row>
    <row r="295" spans="1:16" hidden="1" x14ac:dyDescent="0.35">
      <c r="A295"/>
      <c r="B295" s="245" t="s">
        <v>791</v>
      </c>
      <c r="C295" s="245" t="s">
        <v>791</v>
      </c>
      <c r="D295" s="245"/>
      <c r="F295" s="366">
        <v>42</v>
      </c>
      <c r="G295" s="245" t="s">
        <v>1114</v>
      </c>
      <c r="I295" s="173">
        <v>55</v>
      </c>
      <c r="J295" s="173">
        <f t="shared" si="19"/>
        <v>857.625</v>
      </c>
      <c r="K295" s="173">
        <v>370</v>
      </c>
      <c r="L295" s="173">
        <f t="shared" si="15"/>
        <v>23.728319486955254</v>
      </c>
      <c r="M295" s="173">
        <f t="shared" si="16"/>
        <v>78.728319486955257</v>
      </c>
      <c r="N295" s="174">
        <v>0.4</v>
      </c>
      <c r="O295" s="173">
        <f t="shared" si="17"/>
        <v>110.21964728173735</v>
      </c>
      <c r="P295" s="173">
        <v>150</v>
      </c>
    </row>
    <row r="296" spans="1:16" hidden="1" x14ac:dyDescent="0.35">
      <c r="A296"/>
      <c r="B296" s="245" t="s">
        <v>791</v>
      </c>
      <c r="C296" s="245" t="s">
        <v>791</v>
      </c>
      <c r="D296" s="245"/>
      <c r="F296" s="366">
        <v>44</v>
      </c>
      <c r="G296" s="245" t="s">
        <v>1114</v>
      </c>
      <c r="I296" s="173">
        <v>55</v>
      </c>
      <c r="J296" s="173">
        <f t="shared" si="19"/>
        <v>857.625</v>
      </c>
      <c r="K296" s="173">
        <v>370</v>
      </c>
      <c r="L296" s="173">
        <f t="shared" si="15"/>
        <v>23.728319486955254</v>
      </c>
      <c r="M296" s="173">
        <f t="shared" si="16"/>
        <v>78.728319486955257</v>
      </c>
      <c r="N296" s="174">
        <v>0.4</v>
      </c>
      <c r="O296" s="173">
        <f t="shared" si="17"/>
        <v>110.21964728173735</v>
      </c>
      <c r="P296" s="173">
        <v>150</v>
      </c>
    </row>
    <row r="297" spans="1:16" hidden="1" x14ac:dyDescent="0.35">
      <c r="A297"/>
      <c r="B297" s="245" t="s">
        <v>791</v>
      </c>
      <c r="C297" s="245" t="s">
        <v>791</v>
      </c>
      <c r="D297" s="245"/>
      <c r="F297" s="366">
        <v>46</v>
      </c>
      <c r="G297" s="245" t="s">
        <v>1114</v>
      </c>
      <c r="I297" s="173">
        <v>55</v>
      </c>
      <c r="J297" s="173">
        <f t="shared" si="19"/>
        <v>857.625</v>
      </c>
      <c r="K297" s="173">
        <v>370</v>
      </c>
      <c r="L297" s="173">
        <f t="shared" si="15"/>
        <v>23.728319486955254</v>
      </c>
      <c r="M297" s="173">
        <f t="shared" si="16"/>
        <v>78.728319486955257</v>
      </c>
      <c r="N297" s="174">
        <v>0.4</v>
      </c>
      <c r="O297" s="173">
        <f t="shared" si="17"/>
        <v>110.21964728173735</v>
      </c>
      <c r="P297" s="173">
        <v>150</v>
      </c>
    </row>
    <row r="298" spans="1:16" hidden="1" x14ac:dyDescent="0.35">
      <c r="A298"/>
      <c r="B298" s="3" t="s">
        <v>17</v>
      </c>
      <c r="C298" s="3" t="s">
        <v>17</v>
      </c>
      <c r="D298" s="3"/>
      <c r="F298" s="366">
        <v>52</v>
      </c>
      <c r="G298" s="245" t="s">
        <v>1064</v>
      </c>
      <c r="I298" s="173">
        <v>40</v>
      </c>
      <c r="N298" s="174"/>
      <c r="O298" s="173">
        <f t="shared" si="17"/>
        <v>0</v>
      </c>
      <c r="P298" s="173">
        <v>125</v>
      </c>
    </row>
    <row r="299" spans="1:16" hidden="1" x14ac:dyDescent="0.35">
      <c r="A299"/>
      <c r="B299" s="3" t="s">
        <v>17</v>
      </c>
      <c r="C299" s="3" t="s">
        <v>17</v>
      </c>
      <c r="D299" s="3"/>
      <c r="F299" s="366">
        <v>54</v>
      </c>
      <c r="G299" s="245" t="s">
        <v>1064</v>
      </c>
      <c r="I299" s="173">
        <v>40</v>
      </c>
      <c r="N299" s="174"/>
      <c r="P299" s="173">
        <v>125</v>
      </c>
    </row>
    <row r="300" spans="1:16" hidden="1" x14ac:dyDescent="0.35">
      <c r="A300"/>
      <c r="B300" s="3" t="s">
        <v>17</v>
      </c>
      <c r="C300" s="3" t="s">
        <v>17</v>
      </c>
      <c r="D300" s="3"/>
      <c r="F300" s="366">
        <v>56</v>
      </c>
      <c r="G300" s="245" t="s">
        <v>1064</v>
      </c>
      <c r="I300" s="173">
        <v>40</v>
      </c>
      <c r="N300" s="174"/>
      <c r="P300" s="173">
        <v>125</v>
      </c>
    </row>
    <row r="301" spans="1:16" hidden="1" x14ac:dyDescent="0.35">
      <c r="A301"/>
      <c r="B301" s="3" t="s">
        <v>17</v>
      </c>
      <c r="C301" s="3" t="s">
        <v>17</v>
      </c>
      <c r="D301" s="3"/>
      <c r="F301" s="366">
        <v>58</v>
      </c>
      <c r="G301" s="245" t="s">
        <v>1064</v>
      </c>
      <c r="I301" s="173">
        <v>40</v>
      </c>
      <c r="N301" s="174"/>
      <c r="P301" s="173">
        <v>125</v>
      </c>
    </row>
    <row r="302" spans="1:16" hidden="1" x14ac:dyDescent="0.35">
      <c r="A302"/>
      <c r="B302" s="3" t="s">
        <v>17</v>
      </c>
      <c r="C302" s="3" t="s">
        <v>17</v>
      </c>
      <c r="D302" s="3"/>
      <c r="F302" s="366">
        <v>52</v>
      </c>
      <c r="G302" s="245" t="s">
        <v>856</v>
      </c>
      <c r="I302" s="173">
        <v>40</v>
      </c>
      <c r="N302" s="174"/>
      <c r="P302" s="173">
        <v>125</v>
      </c>
    </row>
    <row r="303" spans="1:16" hidden="1" x14ac:dyDescent="0.35">
      <c r="A303"/>
      <c r="B303" s="3" t="s">
        <v>17</v>
      </c>
      <c r="C303" s="3" t="s">
        <v>17</v>
      </c>
      <c r="D303" s="3"/>
      <c r="F303" s="366">
        <v>54</v>
      </c>
      <c r="G303" s="245" t="s">
        <v>856</v>
      </c>
      <c r="I303" s="173">
        <v>40</v>
      </c>
      <c r="N303" s="174"/>
      <c r="P303" s="173">
        <v>125</v>
      </c>
    </row>
    <row r="304" spans="1:16" hidden="1" x14ac:dyDescent="0.35">
      <c r="A304"/>
      <c r="B304" s="3" t="s">
        <v>17</v>
      </c>
      <c r="C304" s="3" t="s">
        <v>17</v>
      </c>
      <c r="D304" s="3"/>
      <c r="F304" s="366">
        <v>56</v>
      </c>
      <c r="G304" s="245" t="s">
        <v>856</v>
      </c>
      <c r="I304" s="173">
        <v>40</v>
      </c>
      <c r="N304" s="174"/>
      <c r="P304" s="173">
        <v>125</v>
      </c>
    </row>
    <row r="305" spans="1:22" hidden="1" x14ac:dyDescent="0.35">
      <c r="A305"/>
      <c r="B305" s="3" t="s">
        <v>17</v>
      </c>
      <c r="C305" s="3" t="s">
        <v>17</v>
      </c>
      <c r="D305" s="3"/>
      <c r="F305" s="366">
        <v>58</v>
      </c>
      <c r="G305" s="245" t="s">
        <v>856</v>
      </c>
      <c r="I305" s="173">
        <v>40</v>
      </c>
      <c r="N305" s="174"/>
      <c r="P305" s="173">
        <v>125</v>
      </c>
    </row>
    <row r="306" spans="1:22" hidden="1" x14ac:dyDescent="0.35">
      <c r="A306"/>
      <c r="B306" s="3" t="s">
        <v>17</v>
      </c>
      <c r="C306" s="3" t="s">
        <v>17</v>
      </c>
      <c r="D306" s="3"/>
      <c r="F306" s="366">
        <v>44</v>
      </c>
      <c r="G306" s="245" t="s">
        <v>1159</v>
      </c>
      <c r="I306" s="173">
        <v>45</v>
      </c>
      <c r="N306" s="174"/>
      <c r="P306" s="173">
        <v>125</v>
      </c>
    </row>
    <row r="307" spans="1:22" hidden="1" x14ac:dyDescent="0.35">
      <c r="A307"/>
      <c r="B307" s="3" t="s">
        <v>17</v>
      </c>
      <c r="C307" s="3" t="s">
        <v>17</v>
      </c>
      <c r="D307" s="3"/>
      <c r="F307" s="366">
        <v>46</v>
      </c>
      <c r="G307" s="245" t="s">
        <v>1159</v>
      </c>
      <c r="I307" s="173">
        <v>45</v>
      </c>
      <c r="N307" s="174"/>
      <c r="P307" s="173">
        <v>125</v>
      </c>
    </row>
    <row r="308" spans="1:22" hidden="1" x14ac:dyDescent="0.35">
      <c r="A308"/>
      <c r="B308" s="3" t="s">
        <v>17</v>
      </c>
      <c r="C308" s="3" t="s">
        <v>17</v>
      </c>
      <c r="D308" s="3"/>
      <c r="F308" s="366">
        <v>48</v>
      </c>
      <c r="G308" s="245" t="s">
        <v>1159</v>
      </c>
      <c r="I308" s="173">
        <v>45</v>
      </c>
      <c r="N308" s="174"/>
      <c r="P308" s="173">
        <v>125</v>
      </c>
    </row>
    <row r="309" spans="1:22" hidden="1" x14ac:dyDescent="0.35">
      <c r="A309"/>
      <c r="B309" s="3" t="s">
        <v>17</v>
      </c>
      <c r="C309" s="3" t="s">
        <v>17</v>
      </c>
      <c r="D309" s="3"/>
      <c r="F309" s="366">
        <v>50</v>
      </c>
      <c r="G309" s="245" t="s">
        <v>1159</v>
      </c>
      <c r="I309" s="173">
        <v>45</v>
      </c>
      <c r="N309" s="174"/>
      <c r="P309" s="173">
        <v>125</v>
      </c>
    </row>
    <row r="310" spans="1:22" s="12" customFormat="1" hidden="1" x14ac:dyDescent="0.35">
      <c r="B310" s="409" t="s">
        <v>1065</v>
      </c>
      <c r="C310" s="233"/>
      <c r="D310" s="233"/>
      <c r="E310"/>
      <c r="F310" s="366" t="s">
        <v>760</v>
      </c>
      <c r="G310" s="245" t="s">
        <v>1066</v>
      </c>
      <c r="H310" s="245"/>
      <c r="I310" s="173">
        <v>37</v>
      </c>
      <c r="J310" s="173">
        <f>432*1.045</f>
        <v>451.43999999999994</v>
      </c>
      <c r="K310" s="173">
        <v>535</v>
      </c>
      <c r="L310" s="173">
        <f t="shared" ref="L310:L343" si="20">+I310/J310*K310</f>
        <v>43.848573453836615</v>
      </c>
      <c r="M310" s="173">
        <f t="shared" ref="M310:M343" si="21">+I310+L310</f>
        <v>80.848573453836622</v>
      </c>
      <c r="N310" s="174">
        <v>0.4</v>
      </c>
      <c r="O310" s="173">
        <f t="shared" ref="O310:O343" si="22">+M310*1.4</f>
        <v>113.18800283537126</v>
      </c>
      <c r="P310" s="173">
        <v>125</v>
      </c>
      <c r="Q310"/>
      <c r="R310"/>
      <c r="S310"/>
      <c r="T310"/>
      <c r="U310"/>
      <c r="V310"/>
    </row>
    <row r="311" spans="1:22" s="12" customFormat="1" hidden="1" x14ac:dyDescent="0.35">
      <c r="B311" s="409" t="s">
        <v>1065</v>
      </c>
      <c r="C311" s="233"/>
      <c r="D311" s="233"/>
      <c r="E311"/>
      <c r="F311" s="366" t="s">
        <v>597</v>
      </c>
      <c r="G311" s="245" t="s">
        <v>1066</v>
      </c>
      <c r="H311" s="245"/>
      <c r="I311" s="173">
        <v>37</v>
      </c>
      <c r="J311" s="173">
        <f t="shared" ref="J311:J323" si="23">432*1.045</f>
        <v>451.43999999999994</v>
      </c>
      <c r="K311" s="173">
        <v>535</v>
      </c>
      <c r="L311" s="173">
        <f t="shared" si="20"/>
        <v>43.848573453836615</v>
      </c>
      <c r="M311" s="173">
        <f t="shared" si="21"/>
        <v>80.848573453836622</v>
      </c>
      <c r="N311" s="174">
        <v>0.4</v>
      </c>
      <c r="O311" s="173">
        <f t="shared" si="22"/>
        <v>113.18800283537126</v>
      </c>
      <c r="P311" s="173">
        <v>125</v>
      </c>
      <c r="Q311"/>
      <c r="R311"/>
      <c r="S311"/>
      <c r="T311"/>
      <c r="U311"/>
      <c r="V311"/>
    </row>
    <row r="312" spans="1:22" s="12" customFormat="1" hidden="1" x14ac:dyDescent="0.35">
      <c r="B312" s="409" t="s">
        <v>1065</v>
      </c>
      <c r="C312" s="233"/>
      <c r="D312" s="233"/>
      <c r="E312"/>
      <c r="F312" s="366" t="s">
        <v>598</v>
      </c>
      <c r="G312" s="245" t="s">
        <v>1066</v>
      </c>
      <c r="H312" s="245"/>
      <c r="I312" s="173">
        <v>37</v>
      </c>
      <c r="J312" s="173">
        <f t="shared" si="23"/>
        <v>451.43999999999994</v>
      </c>
      <c r="K312" s="173">
        <v>535</v>
      </c>
      <c r="L312" s="173">
        <f t="shared" si="20"/>
        <v>43.848573453836615</v>
      </c>
      <c r="M312" s="173">
        <f t="shared" si="21"/>
        <v>80.848573453836622</v>
      </c>
      <c r="N312" s="174">
        <v>0.4</v>
      </c>
      <c r="O312" s="173">
        <f t="shared" si="22"/>
        <v>113.18800283537126</v>
      </c>
      <c r="P312" s="173">
        <v>125</v>
      </c>
      <c r="Q312"/>
      <c r="R312"/>
      <c r="S312"/>
      <c r="T312"/>
      <c r="U312"/>
      <c r="V312"/>
    </row>
    <row r="313" spans="1:22" s="12" customFormat="1" hidden="1" x14ac:dyDescent="0.35">
      <c r="B313" s="409" t="s">
        <v>1065</v>
      </c>
      <c r="C313" s="233"/>
      <c r="D313" s="233"/>
      <c r="E313"/>
      <c r="F313" s="366" t="s">
        <v>598</v>
      </c>
      <c r="G313" s="245" t="s">
        <v>1066</v>
      </c>
      <c r="H313" s="245"/>
      <c r="I313" s="173">
        <v>37</v>
      </c>
      <c r="J313" s="173">
        <f t="shared" si="23"/>
        <v>451.43999999999994</v>
      </c>
      <c r="K313" s="173">
        <v>535</v>
      </c>
      <c r="L313" s="173">
        <f t="shared" si="20"/>
        <v>43.848573453836615</v>
      </c>
      <c r="M313" s="173">
        <f t="shared" si="21"/>
        <v>80.848573453836622</v>
      </c>
      <c r="N313" s="174">
        <v>0.4</v>
      </c>
      <c r="O313" s="173">
        <f t="shared" si="22"/>
        <v>113.18800283537126</v>
      </c>
      <c r="P313" s="173">
        <v>125</v>
      </c>
      <c r="Q313"/>
      <c r="R313"/>
      <c r="S313"/>
      <c r="T313"/>
      <c r="U313"/>
      <c r="V313"/>
    </row>
    <row r="314" spans="1:22" s="12" customFormat="1" hidden="1" x14ac:dyDescent="0.35">
      <c r="B314" s="409" t="s">
        <v>1065</v>
      </c>
      <c r="C314" s="233"/>
      <c r="D314" s="233"/>
      <c r="E314"/>
      <c r="F314" s="366" t="s">
        <v>407</v>
      </c>
      <c r="G314" s="245" t="s">
        <v>1129</v>
      </c>
      <c r="H314" s="245"/>
      <c r="I314" s="173">
        <v>26</v>
      </c>
      <c r="J314" s="173">
        <f t="shared" si="23"/>
        <v>451.43999999999994</v>
      </c>
      <c r="K314" s="173">
        <v>535</v>
      </c>
      <c r="L314" s="173">
        <f t="shared" si="20"/>
        <v>30.812511075668972</v>
      </c>
      <c r="M314" s="173">
        <f t="shared" si="21"/>
        <v>56.812511075668972</v>
      </c>
      <c r="N314" s="174">
        <v>0.4</v>
      </c>
      <c r="O314" s="173">
        <f t="shared" si="22"/>
        <v>79.537515505936554</v>
      </c>
      <c r="P314" s="173">
        <v>125</v>
      </c>
      <c r="Q314"/>
      <c r="R314"/>
      <c r="S314"/>
      <c r="T314"/>
      <c r="U314"/>
      <c r="V314"/>
    </row>
    <row r="315" spans="1:22" s="12" customFormat="1" hidden="1" x14ac:dyDescent="0.35">
      <c r="B315" s="409" t="s">
        <v>1065</v>
      </c>
      <c r="C315" s="233"/>
      <c r="D315" s="233"/>
      <c r="E315"/>
      <c r="F315" s="366" t="s">
        <v>409</v>
      </c>
      <c r="G315" s="245" t="s">
        <v>1129</v>
      </c>
      <c r="H315" s="245"/>
      <c r="I315" s="173">
        <v>26</v>
      </c>
      <c r="J315" s="173">
        <f t="shared" si="23"/>
        <v>451.43999999999994</v>
      </c>
      <c r="K315" s="173">
        <v>535</v>
      </c>
      <c r="L315" s="173">
        <f t="shared" si="20"/>
        <v>30.812511075668972</v>
      </c>
      <c r="M315" s="173">
        <f t="shared" si="21"/>
        <v>56.812511075668972</v>
      </c>
      <c r="N315" s="174">
        <v>0.4</v>
      </c>
      <c r="O315" s="173">
        <f t="shared" si="22"/>
        <v>79.537515505936554</v>
      </c>
      <c r="P315" s="173">
        <v>125</v>
      </c>
      <c r="Q315"/>
      <c r="R315"/>
      <c r="S315"/>
      <c r="T315"/>
      <c r="U315"/>
      <c r="V315"/>
    </row>
    <row r="316" spans="1:22" s="12" customFormat="1" hidden="1" x14ac:dyDescent="0.35">
      <c r="B316" s="409" t="s">
        <v>1065</v>
      </c>
      <c r="C316" s="233"/>
      <c r="D316" s="233"/>
      <c r="E316"/>
      <c r="F316" s="366" t="s">
        <v>410</v>
      </c>
      <c r="G316" s="245" t="s">
        <v>1129</v>
      </c>
      <c r="H316" s="245"/>
      <c r="I316" s="173">
        <v>26</v>
      </c>
      <c r="J316" s="173">
        <f t="shared" si="23"/>
        <v>451.43999999999994</v>
      </c>
      <c r="K316" s="173">
        <v>535</v>
      </c>
      <c r="L316" s="173">
        <f t="shared" si="20"/>
        <v>30.812511075668972</v>
      </c>
      <c r="M316" s="173">
        <f t="shared" si="21"/>
        <v>56.812511075668972</v>
      </c>
      <c r="N316" s="174">
        <v>0.4</v>
      </c>
      <c r="O316" s="173">
        <f t="shared" si="22"/>
        <v>79.537515505936554</v>
      </c>
      <c r="P316" s="173">
        <v>125</v>
      </c>
      <c r="Q316"/>
      <c r="R316"/>
      <c r="S316"/>
      <c r="T316"/>
      <c r="U316"/>
      <c r="V316"/>
    </row>
    <row r="317" spans="1:22" s="12" customFormat="1" hidden="1" x14ac:dyDescent="0.35">
      <c r="B317" s="409" t="s">
        <v>1065</v>
      </c>
      <c r="C317" s="233"/>
      <c r="D317" s="233"/>
      <c r="E317"/>
      <c r="F317" s="366" t="s">
        <v>760</v>
      </c>
      <c r="G317" s="245" t="s">
        <v>1129</v>
      </c>
      <c r="H317" s="245"/>
      <c r="I317" s="173">
        <v>26</v>
      </c>
      <c r="J317" s="173">
        <f t="shared" si="23"/>
        <v>451.43999999999994</v>
      </c>
      <c r="K317" s="173">
        <v>535</v>
      </c>
      <c r="L317" s="173">
        <f t="shared" si="20"/>
        <v>30.812511075668972</v>
      </c>
      <c r="M317" s="173">
        <f t="shared" si="21"/>
        <v>56.812511075668972</v>
      </c>
      <c r="N317" s="174">
        <v>0.4</v>
      </c>
      <c r="O317" s="173">
        <f t="shared" si="22"/>
        <v>79.537515505936554</v>
      </c>
      <c r="P317" s="173">
        <v>125</v>
      </c>
      <c r="Q317"/>
      <c r="R317"/>
      <c r="S317"/>
      <c r="T317"/>
      <c r="U317"/>
      <c r="V317"/>
    </row>
    <row r="318" spans="1:22" s="12" customFormat="1" hidden="1" x14ac:dyDescent="0.35">
      <c r="B318" s="409" t="s">
        <v>1065</v>
      </c>
      <c r="C318" s="233"/>
      <c r="D318" s="233"/>
      <c r="E318"/>
      <c r="F318" s="366" t="s">
        <v>597</v>
      </c>
      <c r="G318" s="245" t="s">
        <v>1129</v>
      </c>
      <c r="H318" s="245"/>
      <c r="I318" s="173">
        <v>26</v>
      </c>
      <c r="J318" s="173">
        <f t="shared" si="23"/>
        <v>451.43999999999994</v>
      </c>
      <c r="K318" s="173">
        <v>535</v>
      </c>
      <c r="L318" s="173">
        <f t="shared" si="20"/>
        <v>30.812511075668972</v>
      </c>
      <c r="M318" s="173">
        <f t="shared" si="21"/>
        <v>56.812511075668972</v>
      </c>
      <c r="N318" s="174">
        <v>0.4</v>
      </c>
      <c r="O318" s="173">
        <f t="shared" si="22"/>
        <v>79.537515505936554</v>
      </c>
      <c r="P318" s="173">
        <v>125</v>
      </c>
      <c r="Q318"/>
      <c r="R318"/>
      <c r="S318"/>
      <c r="T318"/>
      <c r="U318"/>
      <c r="V318"/>
    </row>
    <row r="319" spans="1:22" s="12" customFormat="1" hidden="1" x14ac:dyDescent="0.35">
      <c r="B319" s="409" t="s">
        <v>1065</v>
      </c>
      <c r="C319" s="233"/>
      <c r="D319" s="233"/>
      <c r="E319"/>
      <c r="F319" s="366" t="s">
        <v>598</v>
      </c>
      <c r="G319" s="245" t="s">
        <v>1129</v>
      </c>
      <c r="H319" s="245"/>
      <c r="I319" s="173">
        <v>26</v>
      </c>
      <c r="J319" s="173">
        <f t="shared" si="23"/>
        <v>451.43999999999994</v>
      </c>
      <c r="K319" s="173">
        <v>535</v>
      </c>
      <c r="L319" s="173">
        <f t="shared" si="20"/>
        <v>30.812511075668972</v>
      </c>
      <c r="M319" s="173">
        <f t="shared" si="21"/>
        <v>56.812511075668972</v>
      </c>
      <c r="N319" s="174">
        <v>0.4</v>
      </c>
      <c r="O319" s="173">
        <f t="shared" si="22"/>
        <v>79.537515505936554</v>
      </c>
      <c r="P319" s="173">
        <v>125</v>
      </c>
      <c r="Q319"/>
      <c r="R319"/>
      <c r="S319"/>
      <c r="T319"/>
      <c r="U319"/>
      <c r="V319"/>
    </row>
    <row r="320" spans="1:22" s="12" customFormat="1" hidden="1" x14ac:dyDescent="0.35">
      <c r="B320" s="409" t="s">
        <v>1065</v>
      </c>
      <c r="C320" s="233"/>
      <c r="D320" s="233"/>
      <c r="E320"/>
      <c r="F320" s="366">
        <v>44</v>
      </c>
      <c r="G320" s="245" t="s">
        <v>1120</v>
      </c>
      <c r="H320" s="245"/>
      <c r="I320" s="173">
        <v>32</v>
      </c>
      <c r="J320" s="173">
        <f t="shared" si="23"/>
        <v>451.43999999999994</v>
      </c>
      <c r="K320" s="173">
        <v>535</v>
      </c>
      <c r="L320" s="173">
        <f t="shared" si="20"/>
        <v>37.9230905546695</v>
      </c>
      <c r="M320" s="173">
        <f t="shared" si="21"/>
        <v>69.9230905546695</v>
      </c>
      <c r="N320" s="174">
        <v>0.4</v>
      </c>
      <c r="O320" s="173">
        <f t="shared" si="22"/>
        <v>97.892326776537288</v>
      </c>
      <c r="P320" s="173">
        <v>125</v>
      </c>
      <c r="Q320"/>
      <c r="R320"/>
      <c r="S320"/>
      <c r="T320"/>
      <c r="U320"/>
      <c r="V320"/>
    </row>
    <row r="321" spans="2:22" s="12" customFormat="1" hidden="1" x14ac:dyDescent="0.35">
      <c r="B321" s="409" t="s">
        <v>1065</v>
      </c>
      <c r="C321" s="233"/>
      <c r="D321" s="233"/>
      <c r="E321"/>
      <c r="F321" s="366">
        <v>46</v>
      </c>
      <c r="G321" s="245" t="s">
        <v>1120</v>
      </c>
      <c r="H321" s="245"/>
      <c r="I321" s="173">
        <v>32</v>
      </c>
      <c r="J321" s="173">
        <f t="shared" si="23"/>
        <v>451.43999999999994</v>
      </c>
      <c r="K321" s="173">
        <v>535</v>
      </c>
      <c r="L321" s="173">
        <f t="shared" si="20"/>
        <v>37.9230905546695</v>
      </c>
      <c r="M321" s="173">
        <f t="shared" si="21"/>
        <v>69.9230905546695</v>
      </c>
      <c r="N321" s="174">
        <v>0.4</v>
      </c>
      <c r="O321" s="173">
        <f t="shared" si="22"/>
        <v>97.892326776537288</v>
      </c>
      <c r="P321" s="173">
        <v>125</v>
      </c>
      <c r="Q321"/>
      <c r="R321"/>
      <c r="S321"/>
      <c r="T321"/>
      <c r="U321"/>
      <c r="V321"/>
    </row>
    <row r="322" spans="2:22" s="12" customFormat="1" hidden="1" x14ac:dyDescent="0.35">
      <c r="B322" s="409" t="s">
        <v>1065</v>
      </c>
      <c r="C322" s="233"/>
      <c r="D322" s="233"/>
      <c r="E322"/>
      <c r="F322" s="366">
        <v>48</v>
      </c>
      <c r="G322" s="245" t="s">
        <v>1120</v>
      </c>
      <c r="H322" s="245"/>
      <c r="I322" s="173">
        <v>32</v>
      </c>
      <c r="J322" s="173">
        <f t="shared" si="23"/>
        <v>451.43999999999994</v>
      </c>
      <c r="K322" s="173">
        <v>535</v>
      </c>
      <c r="L322" s="173">
        <f t="shared" si="20"/>
        <v>37.9230905546695</v>
      </c>
      <c r="M322" s="173">
        <f t="shared" si="21"/>
        <v>69.9230905546695</v>
      </c>
      <c r="N322" s="174">
        <v>0.4</v>
      </c>
      <c r="O322" s="173">
        <f t="shared" si="22"/>
        <v>97.892326776537288</v>
      </c>
      <c r="P322" s="173">
        <v>125</v>
      </c>
      <c r="Q322"/>
      <c r="R322"/>
      <c r="S322"/>
      <c r="T322"/>
      <c r="U322"/>
      <c r="V322"/>
    </row>
    <row r="323" spans="2:22" s="12" customFormat="1" hidden="1" x14ac:dyDescent="0.35">
      <c r="B323" s="409" t="s">
        <v>1065</v>
      </c>
      <c r="C323" s="233"/>
      <c r="D323" s="233"/>
      <c r="E323"/>
      <c r="F323" s="366">
        <v>50</v>
      </c>
      <c r="G323" s="245" t="s">
        <v>1120</v>
      </c>
      <c r="H323" s="245"/>
      <c r="I323" s="173">
        <v>32</v>
      </c>
      <c r="J323" s="173">
        <f t="shared" si="23"/>
        <v>451.43999999999994</v>
      </c>
      <c r="K323" s="173">
        <v>535</v>
      </c>
      <c r="L323" s="173">
        <f t="shared" si="20"/>
        <v>37.9230905546695</v>
      </c>
      <c r="M323" s="173">
        <f t="shared" si="21"/>
        <v>69.9230905546695</v>
      </c>
      <c r="N323" s="174">
        <v>0.4</v>
      </c>
      <c r="O323" s="173">
        <f t="shared" si="22"/>
        <v>97.892326776537288</v>
      </c>
      <c r="P323" s="173">
        <v>125</v>
      </c>
      <c r="Q323"/>
      <c r="R323"/>
      <c r="S323"/>
      <c r="T323"/>
      <c r="U323"/>
      <c r="V323"/>
    </row>
    <row r="324" spans="2:22" s="12" customFormat="1" hidden="1" x14ac:dyDescent="0.35">
      <c r="B324" s="409" t="s">
        <v>469</v>
      </c>
      <c r="C324" s="233" t="s">
        <v>1130</v>
      </c>
      <c r="D324" s="233"/>
      <c r="E324"/>
      <c r="F324" s="366">
        <v>44</v>
      </c>
      <c r="G324" s="245" t="s">
        <v>1115</v>
      </c>
      <c r="H324" s="245"/>
      <c r="I324" s="173">
        <v>27</v>
      </c>
      <c r="J324">
        <v>540</v>
      </c>
      <c r="K324" s="173">
        <v>535</v>
      </c>
      <c r="L324" s="173">
        <f t="shared" si="20"/>
        <v>26.75</v>
      </c>
      <c r="M324" s="173">
        <f t="shared" si="21"/>
        <v>53.75</v>
      </c>
      <c r="N324" s="174">
        <v>0.4</v>
      </c>
      <c r="O324" s="173">
        <f t="shared" si="22"/>
        <v>75.25</v>
      </c>
      <c r="P324" s="173">
        <v>90</v>
      </c>
      <c r="Q324"/>
      <c r="R324"/>
      <c r="S324"/>
      <c r="T324"/>
      <c r="U324"/>
      <c r="V324"/>
    </row>
    <row r="325" spans="2:22" s="12" customFormat="1" hidden="1" x14ac:dyDescent="0.35">
      <c r="B325" s="409" t="s">
        <v>469</v>
      </c>
      <c r="C325" s="233" t="s">
        <v>1130</v>
      </c>
      <c r="D325" s="233"/>
      <c r="E325"/>
      <c r="F325" s="366">
        <v>46</v>
      </c>
      <c r="G325" s="245" t="s">
        <v>1115</v>
      </c>
      <c r="H325" s="245"/>
      <c r="I325" s="173">
        <v>27</v>
      </c>
      <c r="J325">
        <v>540</v>
      </c>
      <c r="K325" s="173">
        <v>535</v>
      </c>
      <c r="L325" s="173">
        <f t="shared" si="20"/>
        <v>26.75</v>
      </c>
      <c r="M325" s="173">
        <f t="shared" si="21"/>
        <v>53.75</v>
      </c>
      <c r="N325" s="174">
        <v>0.4</v>
      </c>
      <c r="O325" s="173">
        <f t="shared" si="22"/>
        <v>75.25</v>
      </c>
      <c r="P325" s="173">
        <v>90</v>
      </c>
      <c r="Q325"/>
      <c r="R325"/>
      <c r="S325"/>
      <c r="T325"/>
      <c r="U325"/>
      <c r="V325"/>
    </row>
    <row r="326" spans="2:22" s="12" customFormat="1" hidden="1" x14ac:dyDescent="0.35">
      <c r="B326" s="409" t="s">
        <v>469</v>
      </c>
      <c r="C326" s="233" t="s">
        <v>1130</v>
      </c>
      <c r="D326" s="233"/>
      <c r="E326"/>
      <c r="F326" s="366">
        <v>48</v>
      </c>
      <c r="G326" s="245" t="s">
        <v>1115</v>
      </c>
      <c r="H326" s="245"/>
      <c r="I326" s="173">
        <v>27</v>
      </c>
      <c r="J326">
        <v>540</v>
      </c>
      <c r="K326" s="173">
        <v>535</v>
      </c>
      <c r="L326" s="173">
        <f t="shared" si="20"/>
        <v>26.75</v>
      </c>
      <c r="M326" s="173">
        <f t="shared" si="21"/>
        <v>53.75</v>
      </c>
      <c r="N326" s="174">
        <v>0.4</v>
      </c>
      <c r="O326" s="173">
        <f t="shared" si="22"/>
        <v>75.25</v>
      </c>
      <c r="P326" s="173">
        <v>90</v>
      </c>
      <c r="Q326"/>
      <c r="R326"/>
      <c r="S326"/>
      <c r="T326"/>
      <c r="U326"/>
      <c r="V326"/>
    </row>
    <row r="327" spans="2:22" s="12" customFormat="1" hidden="1" x14ac:dyDescent="0.35">
      <c r="B327" s="409" t="s">
        <v>469</v>
      </c>
      <c r="C327" s="233" t="s">
        <v>1130</v>
      </c>
      <c r="D327" s="233"/>
      <c r="E327"/>
      <c r="F327" s="366">
        <v>50</v>
      </c>
      <c r="G327" s="245" t="s">
        <v>1115</v>
      </c>
      <c r="H327" s="245"/>
      <c r="I327" s="173">
        <v>27</v>
      </c>
      <c r="J327">
        <v>540</v>
      </c>
      <c r="K327" s="173">
        <v>535</v>
      </c>
      <c r="L327" s="173">
        <f t="shared" si="20"/>
        <v>26.75</v>
      </c>
      <c r="M327" s="173">
        <f t="shared" si="21"/>
        <v>53.75</v>
      </c>
      <c r="N327" s="174">
        <v>0.4</v>
      </c>
      <c r="O327" s="173">
        <f t="shared" si="22"/>
        <v>75.25</v>
      </c>
      <c r="P327" s="173">
        <v>90</v>
      </c>
      <c r="Q327"/>
      <c r="R327"/>
      <c r="S327"/>
      <c r="T327"/>
      <c r="U327"/>
      <c r="V327"/>
    </row>
    <row r="328" spans="2:22" s="12" customFormat="1" hidden="1" x14ac:dyDescent="0.35">
      <c r="B328" s="409" t="s">
        <v>469</v>
      </c>
      <c r="C328" s="233" t="s">
        <v>1130</v>
      </c>
      <c r="D328" s="233"/>
      <c r="E328"/>
      <c r="F328" s="366">
        <v>44</v>
      </c>
      <c r="G328" s="245" t="s">
        <v>1131</v>
      </c>
      <c r="H328" s="245"/>
      <c r="I328" s="173">
        <v>27</v>
      </c>
      <c r="J328">
        <v>540</v>
      </c>
      <c r="K328" s="173">
        <v>535</v>
      </c>
      <c r="L328" s="173">
        <f t="shared" si="20"/>
        <v>26.75</v>
      </c>
      <c r="M328" s="173">
        <f t="shared" si="21"/>
        <v>53.75</v>
      </c>
      <c r="N328" s="174">
        <v>0.4</v>
      </c>
      <c r="O328" s="173">
        <f t="shared" si="22"/>
        <v>75.25</v>
      </c>
      <c r="P328" s="173">
        <v>90</v>
      </c>
      <c r="Q328"/>
      <c r="R328"/>
      <c r="S328"/>
      <c r="T328"/>
      <c r="U328"/>
      <c r="V328"/>
    </row>
    <row r="329" spans="2:22" s="12" customFormat="1" hidden="1" x14ac:dyDescent="0.35">
      <c r="B329" s="409" t="s">
        <v>469</v>
      </c>
      <c r="C329" s="233" t="s">
        <v>1130</v>
      </c>
      <c r="D329" s="233"/>
      <c r="E329"/>
      <c r="F329" s="366">
        <v>46</v>
      </c>
      <c r="G329" s="245" t="s">
        <v>1131</v>
      </c>
      <c r="H329" s="245"/>
      <c r="I329" s="173">
        <v>27</v>
      </c>
      <c r="J329">
        <v>540</v>
      </c>
      <c r="K329" s="173">
        <v>535</v>
      </c>
      <c r="L329" s="173">
        <f t="shared" si="20"/>
        <v>26.75</v>
      </c>
      <c r="M329" s="173">
        <f t="shared" si="21"/>
        <v>53.75</v>
      </c>
      <c r="N329" s="174">
        <v>0.4</v>
      </c>
      <c r="O329" s="173">
        <f t="shared" si="22"/>
        <v>75.25</v>
      </c>
      <c r="P329" s="173">
        <v>90</v>
      </c>
      <c r="Q329"/>
      <c r="R329"/>
      <c r="S329"/>
      <c r="T329"/>
      <c r="U329"/>
      <c r="V329"/>
    </row>
    <row r="330" spans="2:22" s="12" customFormat="1" hidden="1" x14ac:dyDescent="0.35">
      <c r="B330" s="409" t="s">
        <v>469</v>
      </c>
      <c r="C330" s="233" t="s">
        <v>1130</v>
      </c>
      <c r="D330" s="233"/>
      <c r="E330"/>
      <c r="F330" s="366">
        <v>48</v>
      </c>
      <c r="G330" s="245" t="s">
        <v>1131</v>
      </c>
      <c r="H330" s="245"/>
      <c r="I330" s="173">
        <v>27</v>
      </c>
      <c r="J330">
        <v>540</v>
      </c>
      <c r="K330" s="173">
        <v>535</v>
      </c>
      <c r="L330" s="173">
        <f t="shared" si="20"/>
        <v>26.75</v>
      </c>
      <c r="M330" s="173">
        <f t="shared" si="21"/>
        <v>53.75</v>
      </c>
      <c r="N330" s="174">
        <v>0.4</v>
      </c>
      <c r="O330" s="173">
        <f t="shared" si="22"/>
        <v>75.25</v>
      </c>
      <c r="P330" s="173">
        <v>90</v>
      </c>
      <c r="Q330"/>
      <c r="R330"/>
      <c r="S330"/>
      <c r="T330"/>
      <c r="U330"/>
      <c r="V330"/>
    </row>
    <row r="331" spans="2:22" s="12" customFormat="1" hidden="1" x14ac:dyDescent="0.35">
      <c r="B331" s="409" t="s">
        <v>469</v>
      </c>
      <c r="C331" s="233" t="s">
        <v>1130</v>
      </c>
      <c r="D331" s="233"/>
      <c r="E331"/>
      <c r="F331" s="366">
        <v>50</v>
      </c>
      <c r="G331" s="245" t="s">
        <v>1131</v>
      </c>
      <c r="H331" s="245"/>
      <c r="I331" s="173">
        <v>27</v>
      </c>
      <c r="J331">
        <v>540</v>
      </c>
      <c r="K331" s="173">
        <v>535</v>
      </c>
      <c r="L331" s="173">
        <f t="shared" si="20"/>
        <v>26.75</v>
      </c>
      <c r="M331" s="173">
        <f t="shared" si="21"/>
        <v>53.75</v>
      </c>
      <c r="N331" s="174">
        <v>0.4</v>
      </c>
      <c r="O331" s="173">
        <f t="shared" si="22"/>
        <v>75.25</v>
      </c>
      <c r="P331" s="173">
        <v>90</v>
      </c>
      <c r="Q331"/>
      <c r="R331"/>
      <c r="S331"/>
      <c r="T331"/>
      <c r="U331"/>
      <c r="V331"/>
    </row>
    <row r="332" spans="2:22" s="12" customFormat="1" hidden="1" x14ac:dyDescent="0.35">
      <c r="B332" s="409" t="s">
        <v>469</v>
      </c>
      <c r="C332" s="233" t="s">
        <v>1132</v>
      </c>
      <c r="D332" s="233"/>
      <c r="E332"/>
      <c r="F332" s="366">
        <v>50</v>
      </c>
      <c r="G332" s="245" t="s">
        <v>1116</v>
      </c>
      <c r="H332" s="245"/>
      <c r="I332" s="173">
        <v>27</v>
      </c>
      <c r="J332">
        <v>540</v>
      </c>
      <c r="K332" s="173">
        <v>535</v>
      </c>
      <c r="L332" s="173">
        <f t="shared" si="20"/>
        <v>26.75</v>
      </c>
      <c r="M332" s="173">
        <f t="shared" si="21"/>
        <v>53.75</v>
      </c>
      <c r="N332" s="174">
        <v>0.4</v>
      </c>
      <c r="O332" s="173">
        <f t="shared" si="22"/>
        <v>75.25</v>
      </c>
      <c r="P332" s="173">
        <v>90</v>
      </c>
      <c r="Q332"/>
      <c r="R332"/>
      <c r="S332"/>
      <c r="T332"/>
      <c r="U332"/>
      <c r="V332"/>
    </row>
    <row r="333" spans="2:22" s="12" customFormat="1" hidden="1" x14ac:dyDescent="0.35">
      <c r="B333" s="409" t="s">
        <v>469</v>
      </c>
      <c r="C333" s="233" t="s">
        <v>1132</v>
      </c>
      <c r="D333" s="233"/>
      <c r="E333"/>
      <c r="F333" s="366">
        <v>52</v>
      </c>
      <c r="G333" s="245" t="s">
        <v>1116</v>
      </c>
      <c r="H333" s="245"/>
      <c r="I333" s="173">
        <v>27</v>
      </c>
      <c r="J333">
        <v>540</v>
      </c>
      <c r="K333" s="173">
        <v>535</v>
      </c>
      <c r="L333" s="173">
        <f t="shared" si="20"/>
        <v>26.75</v>
      </c>
      <c r="M333" s="173">
        <f t="shared" si="21"/>
        <v>53.75</v>
      </c>
      <c r="N333" s="174">
        <v>0.4</v>
      </c>
      <c r="O333" s="173">
        <f t="shared" si="22"/>
        <v>75.25</v>
      </c>
      <c r="P333" s="173">
        <v>90</v>
      </c>
      <c r="Q333"/>
      <c r="R333"/>
      <c r="S333"/>
      <c r="T333"/>
      <c r="U333"/>
      <c r="V333"/>
    </row>
    <row r="334" spans="2:22" s="12" customFormat="1" hidden="1" x14ac:dyDescent="0.35">
      <c r="B334" s="409" t="s">
        <v>469</v>
      </c>
      <c r="C334" s="233" t="s">
        <v>1132</v>
      </c>
      <c r="D334" s="233"/>
      <c r="E334"/>
      <c r="F334" s="366">
        <v>54</v>
      </c>
      <c r="G334" s="245" t="s">
        <v>1116</v>
      </c>
      <c r="H334" s="245"/>
      <c r="I334" s="173">
        <v>27</v>
      </c>
      <c r="J334">
        <v>540</v>
      </c>
      <c r="K334" s="173">
        <v>535</v>
      </c>
      <c r="L334" s="173">
        <f t="shared" si="20"/>
        <v>26.75</v>
      </c>
      <c r="M334" s="173">
        <f t="shared" si="21"/>
        <v>53.75</v>
      </c>
      <c r="N334" s="174">
        <v>0.4</v>
      </c>
      <c r="O334" s="173">
        <f t="shared" si="22"/>
        <v>75.25</v>
      </c>
      <c r="P334" s="173">
        <v>90</v>
      </c>
      <c r="Q334"/>
      <c r="R334"/>
      <c r="S334"/>
      <c r="T334"/>
      <c r="U334"/>
      <c r="V334"/>
    </row>
    <row r="335" spans="2:22" s="12" customFormat="1" hidden="1" x14ac:dyDescent="0.35">
      <c r="B335" s="409" t="s">
        <v>469</v>
      </c>
      <c r="C335" s="233" t="s">
        <v>1132</v>
      </c>
      <c r="D335" s="233"/>
      <c r="E335"/>
      <c r="F335" s="366">
        <v>56</v>
      </c>
      <c r="G335" s="245" t="s">
        <v>1116</v>
      </c>
      <c r="H335" s="245"/>
      <c r="I335" s="173">
        <v>27</v>
      </c>
      <c r="J335">
        <v>540</v>
      </c>
      <c r="K335" s="173">
        <v>535</v>
      </c>
      <c r="L335" s="173">
        <f t="shared" si="20"/>
        <v>26.75</v>
      </c>
      <c r="M335" s="173">
        <f t="shared" si="21"/>
        <v>53.75</v>
      </c>
      <c r="N335" s="174">
        <v>0.4</v>
      </c>
      <c r="O335" s="173">
        <f t="shared" si="22"/>
        <v>75.25</v>
      </c>
      <c r="P335" s="173">
        <v>90</v>
      </c>
      <c r="Q335"/>
      <c r="R335"/>
      <c r="S335"/>
      <c r="T335"/>
      <c r="U335"/>
      <c r="V335"/>
    </row>
    <row r="336" spans="2:22" s="12" customFormat="1" hidden="1" x14ac:dyDescent="0.35">
      <c r="B336" s="409" t="s">
        <v>469</v>
      </c>
      <c r="C336" s="233"/>
      <c r="D336" s="233"/>
      <c r="E336"/>
      <c r="F336" s="366">
        <v>50</v>
      </c>
      <c r="G336" s="245" t="s">
        <v>1118</v>
      </c>
      <c r="H336" s="245"/>
      <c r="I336" s="173">
        <v>27</v>
      </c>
      <c r="J336">
        <v>540</v>
      </c>
      <c r="K336" s="173">
        <v>535</v>
      </c>
      <c r="L336" s="173">
        <f t="shared" si="20"/>
        <v>26.75</v>
      </c>
      <c r="M336" s="173">
        <f t="shared" si="21"/>
        <v>53.75</v>
      </c>
      <c r="N336" s="174">
        <v>0.4</v>
      </c>
      <c r="O336" s="173">
        <f t="shared" si="22"/>
        <v>75.25</v>
      </c>
      <c r="P336" s="173">
        <v>90</v>
      </c>
      <c r="Q336"/>
      <c r="R336"/>
      <c r="S336"/>
      <c r="T336"/>
      <c r="U336"/>
      <c r="V336"/>
    </row>
    <row r="337" spans="1:22" s="12" customFormat="1" hidden="1" x14ac:dyDescent="0.35">
      <c r="B337" s="409" t="s">
        <v>469</v>
      </c>
      <c r="C337" s="233"/>
      <c r="D337" s="233"/>
      <c r="E337"/>
      <c r="F337" s="366">
        <v>52</v>
      </c>
      <c r="G337" s="245" t="s">
        <v>1118</v>
      </c>
      <c r="H337" s="245"/>
      <c r="I337" s="173">
        <v>27</v>
      </c>
      <c r="J337">
        <v>540</v>
      </c>
      <c r="K337" s="173">
        <v>535</v>
      </c>
      <c r="L337" s="173">
        <f t="shared" si="20"/>
        <v>26.75</v>
      </c>
      <c r="M337" s="173">
        <f t="shared" si="21"/>
        <v>53.75</v>
      </c>
      <c r="N337" s="174">
        <v>0.4</v>
      </c>
      <c r="O337" s="173">
        <f t="shared" si="22"/>
        <v>75.25</v>
      </c>
      <c r="P337" s="173">
        <v>90</v>
      </c>
      <c r="Q337"/>
      <c r="R337"/>
      <c r="S337"/>
      <c r="T337"/>
      <c r="U337"/>
      <c r="V337"/>
    </row>
    <row r="338" spans="1:22" s="12" customFormat="1" hidden="1" x14ac:dyDescent="0.35">
      <c r="B338" s="409" t="s">
        <v>469</v>
      </c>
      <c r="C338" s="233"/>
      <c r="D338" s="233"/>
      <c r="E338"/>
      <c r="F338" s="366">
        <v>54</v>
      </c>
      <c r="G338" s="245" t="s">
        <v>1118</v>
      </c>
      <c r="H338" s="245"/>
      <c r="I338" s="173">
        <v>27</v>
      </c>
      <c r="J338">
        <v>540</v>
      </c>
      <c r="K338" s="173">
        <v>535</v>
      </c>
      <c r="L338" s="173">
        <f t="shared" si="20"/>
        <v>26.75</v>
      </c>
      <c r="M338" s="173">
        <f t="shared" si="21"/>
        <v>53.75</v>
      </c>
      <c r="N338" s="174">
        <v>0.4</v>
      </c>
      <c r="O338" s="173">
        <f t="shared" si="22"/>
        <v>75.25</v>
      </c>
      <c r="P338" s="173">
        <v>90</v>
      </c>
      <c r="Q338"/>
      <c r="R338"/>
      <c r="S338"/>
      <c r="T338"/>
      <c r="U338"/>
      <c r="V338"/>
    </row>
    <row r="339" spans="1:22" s="12" customFormat="1" hidden="1" x14ac:dyDescent="0.35">
      <c r="B339" s="409" t="s">
        <v>469</v>
      </c>
      <c r="C339" s="233"/>
      <c r="D339" s="233"/>
      <c r="E339"/>
      <c r="F339" s="366">
        <v>56</v>
      </c>
      <c r="G339" s="245" t="s">
        <v>1118</v>
      </c>
      <c r="H339" s="245"/>
      <c r="I339" s="173">
        <v>27</v>
      </c>
      <c r="J339">
        <v>540</v>
      </c>
      <c r="K339" s="173">
        <v>535</v>
      </c>
      <c r="L339" s="173">
        <f t="shared" si="20"/>
        <v>26.75</v>
      </c>
      <c r="M339" s="173">
        <f t="shared" si="21"/>
        <v>53.75</v>
      </c>
      <c r="N339" s="174">
        <v>0.4</v>
      </c>
      <c r="O339" s="173">
        <f t="shared" si="22"/>
        <v>75.25</v>
      </c>
      <c r="P339" s="173">
        <v>90</v>
      </c>
      <c r="Q339"/>
      <c r="R339"/>
      <c r="S339"/>
      <c r="T339"/>
      <c r="U339"/>
      <c r="V339"/>
    </row>
    <row r="340" spans="1:22" s="12" customFormat="1" hidden="1" x14ac:dyDescent="0.35">
      <c r="B340" s="409" t="s">
        <v>469</v>
      </c>
      <c r="C340" s="233"/>
      <c r="D340" s="233"/>
      <c r="E340"/>
      <c r="F340" s="366">
        <v>50</v>
      </c>
      <c r="G340" s="245" t="s">
        <v>1117</v>
      </c>
      <c r="H340" s="245"/>
      <c r="I340" s="173">
        <v>27</v>
      </c>
      <c r="J340">
        <v>540</v>
      </c>
      <c r="K340" s="173">
        <v>535</v>
      </c>
      <c r="L340" s="173">
        <f t="shared" si="20"/>
        <v>26.75</v>
      </c>
      <c r="M340" s="173">
        <f t="shared" si="21"/>
        <v>53.75</v>
      </c>
      <c r="N340" s="174">
        <v>0.4</v>
      </c>
      <c r="O340" s="173">
        <f t="shared" si="22"/>
        <v>75.25</v>
      </c>
      <c r="P340" s="173">
        <v>90</v>
      </c>
      <c r="Q340"/>
      <c r="R340"/>
      <c r="S340"/>
      <c r="T340"/>
      <c r="U340"/>
      <c r="V340"/>
    </row>
    <row r="341" spans="1:22" s="12" customFormat="1" hidden="1" x14ac:dyDescent="0.35">
      <c r="B341" s="409" t="s">
        <v>469</v>
      </c>
      <c r="C341" s="233"/>
      <c r="D341" s="233"/>
      <c r="E341"/>
      <c r="F341" s="366">
        <v>52</v>
      </c>
      <c r="G341" s="245" t="s">
        <v>1117</v>
      </c>
      <c r="H341" s="245"/>
      <c r="I341" s="173">
        <v>27</v>
      </c>
      <c r="J341">
        <v>540</v>
      </c>
      <c r="K341" s="173">
        <v>535</v>
      </c>
      <c r="L341" s="173">
        <f t="shared" si="20"/>
        <v>26.75</v>
      </c>
      <c r="M341" s="173">
        <f t="shared" si="21"/>
        <v>53.75</v>
      </c>
      <c r="N341" s="174">
        <v>0.4</v>
      </c>
      <c r="O341" s="173">
        <f t="shared" si="22"/>
        <v>75.25</v>
      </c>
      <c r="P341" s="173">
        <v>90</v>
      </c>
      <c r="Q341"/>
      <c r="R341"/>
      <c r="S341"/>
      <c r="T341"/>
      <c r="U341"/>
      <c r="V341"/>
    </row>
    <row r="342" spans="1:22" s="12" customFormat="1" hidden="1" x14ac:dyDescent="0.35">
      <c r="B342" s="409" t="s">
        <v>469</v>
      </c>
      <c r="C342" s="233"/>
      <c r="D342" s="233"/>
      <c r="E342"/>
      <c r="F342" s="366">
        <v>54</v>
      </c>
      <c r="G342" s="245" t="s">
        <v>1117</v>
      </c>
      <c r="H342" s="245"/>
      <c r="I342" s="173">
        <v>27</v>
      </c>
      <c r="J342">
        <v>540</v>
      </c>
      <c r="K342" s="173">
        <v>535</v>
      </c>
      <c r="L342" s="173">
        <f t="shared" si="20"/>
        <v>26.75</v>
      </c>
      <c r="M342" s="173">
        <f t="shared" si="21"/>
        <v>53.75</v>
      </c>
      <c r="N342" s="174">
        <v>0.4</v>
      </c>
      <c r="O342" s="173">
        <f t="shared" si="22"/>
        <v>75.25</v>
      </c>
      <c r="P342" s="173">
        <v>90</v>
      </c>
      <c r="Q342"/>
      <c r="R342"/>
      <c r="S342"/>
      <c r="T342"/>
      <c r="U342"/>
      <c r="V342"/>
    </row>
    <row r="343" spans="1:22" s="12" customFormat="1" hidden="1" x14ac:dyDescent="0.35">
      <c r="B343" s="409" t="s">
        <v>469</v>
      </c>
      <c r="C343" s="233"/>
      <c r="D343" s="233"/>
      <c r="E343"/>
      <c r="F343" s="366">
        <v>56</v>
      </c>
      <c r="G343" s="245" t="s">
        <v>1117</v>
      </c>
      <c r="H343" s="245"/>
      <c r="I343" s="173">
        <v>27</v>
      </c>
      <c r="J343">
        <v>540</v>
      </c>
      <c r="K343" s="173">
        <v>535</v>
      </c>
      <c r="L343" s="173">
        <f t="shared" si="20"/>
        <v>26.75</v>
      </c>
      <c r="M343" s="173">
        <f t="shared" si="21"/>
        <v>53.75</v>
      </c>
      <c r="N343" s="174">
        <v>0.4</v>
      </c>
      <c r="O343" s="173">
        <f t="shared" si="22"/>
        <v>75.25</v>
      </c>
      <c r="P343" s="173">
        <v>90</v>
      </c>
      <c r="Q343"/>
      <c r="R343"/>
      <c r="S343"/>
      <c r="T343"/>
      <c r="U343"/>
      <c r="V343"/>
    </row>
    <row r="344" spans="1:22" hidden="1" x14ac:dyDescent="0.35">
      <c r="A344"/>
      <c r="N344" s="174"/>
    </row>
    <row r="345" spans="1:22" s="10" customFormat="1" ht="15" customHeight="1" outlineLevel="1" x14ac:dyDescent="0.35">
      <c r="A345" s="3"/>
      <c r="B345" s="232" t="s">
        <v>1123</v>
      </c>
      <c r="C345" s="245"/>
      <c r="D345" s="245"/>
      <c r="E345" s="366"/>
      <c r="F345" s="245"/>
      <c r="G345" s="173"/>
      <c r="H345" s="173"/>
      <c r="I345" s="2"/>
      <c r="J345" s="173"/>
      <c r="K345" s="402"/>
      <c r="L345" s="402"/>
      <c r="M345" s="174"/>
      <c r="N345" s="173"/>
      <c r="O345" s="173"/>
      <c r="P345" s="141"/>
      <c r="S345" s="404"/>
    </row>
    <row r="346" spans="1:22" s="10" customFormat="1" ht="15" customHeight="1" outlineLevel="1" x14ac:dyDescent="0.35">
      <c r="A346" s="3" t="s">
        <v>1124</v>
      </c>
      <c r="C346" s="233" t="s">
        <v>699</v>
      </c>
      <c r="D346" s="233"/>
      <c r="E346" s="245"/>
      <c r="F346" s="366">
        <v>1</v>
      </c>
      <c r="G346" s="245" t="s">
        <v>1125</v>
      </c>
      <c r="H346" s="245"/>
      <c r="I346" s="173">
        <v>20</v>
      </c>
      <c r="J346"/>
      <c r="K346" s="173"/>
      <c r="L346" s="402"/>
      <c r="M346" s="402"/>
      <c r="N346" s="174"/>
      <c r="O346" s="173"/>
      <c r="P346" s="173">
        <v>65</v>
      </c>
      <c r="Q346" s="141"/>
      <c r="S346" s="10" t="s">
        <v>1122</v>
      </c>
      <c r="T346" s="404">
        <v>45418</v>
      </c>
    </row>
    <row r="347" spans="1:22" s="10" customFormat="1" ht="15" customHeight="1" outlineLevel="1" x14ac:dyDescent="0.35">
      <c r="A347" s="3"/>
      <c r="C347" s="233" t="s">
        <v>699</v>
      </c>
      <c r="D347" s="233"/>
      <c r="E347" s="245"/>
      <c r="F347" s="366">
        <v>2</v>
      </c>
      <c r="G347" s="245" t="s">
        <v>1125</v>
      </c>
      <c r="H347" s="245"/>
      <c r="I347" s="173">
        <v>20</v>
      </c>
      <c r="J347"/>
      <c r="K347" s="173"/>
      <c r="L347" s="402"/>
      <c r="M347" s="402"/>
      <c r="N347" s="174"/>
      <c r="O347" s="173"/>
      <c r="P347" s="173">
        <v>65</v>
      </c>
      <c r="Q347" s="141"/>
      <c r="T347" s="404"/>
    </row>
    <row r="348" spans="1:22" s="10" customFormat="1" ht="15" customHeight="1" outlineLevel="1" x14ac:dyDescent="0.35">
      <c r="A348" s="3"/>
      <c r="C348" s="233" t="s">
        <v>699</v>
      </c>
      <c r="D348" s="233"/>
      <c r="E348" s="245"/>
      <c r="F348" s="366">
        <v>4</v>
      </c>
      <c r="G348" s="245" t="s">
        <v>1125</v>
      </c>
      <c r="H348" s="245"/>
      <c r="I348" s="173">
        <v>20</v>
      </c>
      <c r="J348"/>
      <c r="K348" s="173"/>
      <c r="L348" s="402"/>
      <c r="M348" s="402"/>
      <c r="N348" s="174"/>
      <c r="O348" s="173"/>
      <c r="P348" s="173">
        <v>65</v>
      </c>
      <c r="Q348" s="141"/>
      <c r="T348" s="404"/>
    </row>
    <row r="349" spans="1:22" s="10" customFormat="1" ht="15" customHeight="1" outlineLevel="1" x14ac:dyDescent="0.35">
      <c r="A349" s="3"/>
      <c r="C349" s="233" t="s">
        <v>699</v>
      </c>
      <c r="D349" s="233"/>
      <c r="E349" s="245"/>
      <c r="F349" s="366">
        <v>2</v>
      </c>
      <c r="G349" s="245" t="s">
        <v>1126</v>
      </c>
      <c r="H349" s="245"/>
      <c r="I349" s="173">
        <v>20</v>
      </c>
      <c r="J349"/>
      <c r="K349" s="173"/>
      <c r="L349" s="402"/>
      <c r="M349" s="402"/>
      <c r="N349" s="174"/>
      <c r="O349" s="173"/>
      <c r="P349" s="173">
        <v>65</v>
      </c>
      <c r="Q349" s="141"/>
      <c r="T349" s="404"/>
    </row>
    <row r="350" spans="1:22" s="10" customFormat="1" ht="15" customHeight="1" outlineLevel="1" x14ac:dyDescent="0.35">
      <c r="A350" s="3"/>
      <c r="C350" s="233" t="s">
        <v>699</v>
      </c>
      <c r="D350" s="233"/>
      <c r="E350" s="245"/>
      <c r="F350" s="366">
        <v>3</v>
      </c>
      <c r="G350" s="245" t="s">
        <v>1126</v>
      </c>
      <c r="H350" s="245"/>
      <c r="I350" s="173">
        <v>20</v>
      </c>
      <c r="J350"/>
      <c r="K350" s="173"/>
      <c r="L350" s="402"/>
      <c r="M350" s="402"/>
      <c r="N350" s="174"/>
      <c r="O350" s="173"/>
      <c r="P350" s="173">
        <v>65</v>
      </c>
      <c r="Q350" s="141"/>
      <c r="T350" s="404"/>
    </row>
    <row r="351" spans="1:22" s="10" customFormat="1" ht="15" customHeight="1" outlineLevel="1" x14ac:dyDescent="0.35">
      <c r="A351" s="3"/>
      <c r="C351" s="233" t="s">
        <v>699</v>
      </c>
      <c r="D351" s="233"/>
      <c r="E351" s="245"/>
      <c r="F351" s="366">
        <v>4</v>
      </c>
      <c r="G351" s="245" t="s">
        <v>1126</v>
      </c>
      <c r="H351" s="245"/>
      <c r="I351" s="173">
        <v>20</v>
      </c>
      <c r="J351"/>
      <c r="K351" s="173"/>
      <c r="L351" s="402"/>
      <c r="M351" s="402"/>
      <c r="N351" s="174"/>
      <c r="O351" s="173"/>
      <c r="P351" s="173">
        <v>65</v>
      </c>
      <c r="Q351" s="141"/>
      <c r="S351" s="10" t="s">
        <v>401</v>
      </c>
      <c r="T351" s="404">
        <v>45418</v>
      </c>
    </row>
    <row r="352" spans="1:22" s="10" customFormat="1" ht="15" customHeight="1" outlineLevel="1" x14ac:dyDescent="0.35">
      <c r="A352" s="3"/>
      <c r="C352" s="233" t="s">
        <v>699</v>
      </c>
      <c r="D352" s="233"/>
      <c r="E352" s="245"/>
      <c r="F352" s="366">
        <v>48</v>
      </c>
      <c r="G352" s="245" t="s">
        <v>1127</v>
      </c>
      <c r="H352" s="245"/>
      <c r="I352" s="173">
        <v>30</v>
      </c>
      <c r="J352"/>
      <c r="K352" s="173"/>
      <c r="L352" s="402"/>
      <c r="M352" s="402"/>
      <c r="N352" s="174"/>
      <c r="O352" s="173"/>
      <c r="P352" s="173">
        <v>75</v>
      </c>
      <c r="Q352" s="141"/>
      <c r="T352" s="404"/>
    </row>
    <row r="353" spans="1:20" s="10" customFormat="1" ht="15" customHeight="1" outlineLevel="1" x14ac:dyDescent="0.35">
      <c r="A353" s="3"/>
      <c r="B353" s="11" t="s">
        <v>1134</v>
      </c>
      <c r="C353" s="233"/>
      <c r="D353" s="233"/>
      <c r="E353" s="245"/>
      <c r="F353" s="366"/>
      <c r="G353" s="245"/>
      <c r="H353" s="245"/>
      <c r="I353" s="173"/>
      <c r="J353"/>
      <c r="K353" s="173"/>
      <c r="L353" s="402"/>
      <c r="M353" s="402"/>
      <c r="N353" s="174"/>
      <c r="O353" s="173"/>
      <c r="P353" s="173"/>
      <c r="Q353" s="141"/>
      <c r="T353" s="404"/>
    </row>
    <row r="354" spans="1:20" s="10" customFormat="1" ht="15" customHeight="1" outlineLevel="1" x14ac:dyDescent="0.35">
      <c r="A354" s="3"/>
      <c r="B354" s="11" t="s">
        <v>838</v>
      </c>
      <c r="C354" s="233" t="s">
        <v>489</v>
      </c>
      <c r="D354" s="233"/>
      <c r="E354" s="245"/>
      <c r="F354" s="366"/>
      <c r="G354" s="245" t="s">
        <v>1135</v>
      </c>
      <c r="H354" s="245"/>
      <c r="I354" s="173">
        <v>22</v>
      </c>
      <c r="J354">
        <v>768</v>
      </c>
      <c r="K354" s="173">
        <v>515</v>
      </c>
      <c r="L354" s="402">
        <f t="shared" ref="L354:L378" si="24">+I354/J354*K354</f>
        <v>14.752604166666666</v>
      </c>
      <c r="M354" s="402">
        <f t="shared" ref="M354:M378" si="25">+I354+L354</f>
        <v>36.752604166666664</v>
      </c>
      <c r="N354" s="174"/>
      <c r="O354" s="173">
        <f t="shared" ref="O354:O378" si="26">+M354*1.4</f>
        <v>51.453645833333326</v>
      </c>
      <c r="P354" s="173">
        <v>90</v>
      </c>
      <c r="Q354" s="141"/>
      <c r="T354" s="404"/>
    </row>
    <row r="355" spans="1:20" s="10" customFormat="1" ht="15" customHeight="1" outlineLevel="1" x14ac:dyDescent="0.35">
      <c r="A355" s="3"/>
      <c r="C355" s="233" t="s">
        <v>489</v>
      </c>
      <c r="D355" s="233"/>
      <c r="E355" s="245"/>
      <c r="F355" s="366"/>
      <c r="G355" s="245" t="s">
        <v>1135</v>
      </c>
      <c r="H355" s="245"/>
      <c r="I355" s="173">
        <v>22</v>
      </c>
      <c r="J355">
        <v>768</v>
      </c>
      <c r="K355" s="173">
        <v>515</v>
      </c>
      <c r="L355" s="402">
        <f t="shared" si="24"/>
        <v>14.752604166666666</v>
      </c>
      <c r="M355" s="402">
        <f t="shared" si="25"/>
        <v>36.752604166666664</v>
      </c>
      <c r="N355" s="174"/>
      <c r="O355" s="173">
        <f t="shared" si="26"/>
        <v>51.453645833333326</v>
      </c>
      <c r="P355" s="173">
        <v>90</v>
      </c>
      <c r="Q355" s="141"/>
      <c r="T355" s="404"/>
    </row>
    <row r="356" spans="1:20" s="10" customFormat="1" ht="15" customHeight="1" outlineLevel="1" x14ac:dyDescent="0.35">
      <c r="A356" s="3"/>
      <c r="C356" s="233" t="s">
        <v>489</v>
      </c>
      <c r="D356" s="233"/>
      <c r="E356" s="245"/>
      <c r="F356" s="366"/>
      <c r="G356" s="245" t="s">
        <v>1135</v>
      </c>
      <c r="H356" s="245"/>
      <c r="I356" s="173">
        <v>22</v>
      </c>
      <c r="J356">
        <v>768</v>
      </c>
      <c r="K356" s="173">
        <v>515</v>
      </c>
      <c r="L356" s="402">
        <f t="shared" si="24"/>
        <v>14.752604166666666</v>
      </c>
      <c r="M356" s="402">
        <f t="shared" si="25"/>
        <v>36.752604166666664</v>
      </c>
      <c r="N356" s="174"/>
      <c r="O356" s="173">
        <f t="shared" si="26"/>
        <v>51.453645833333326</v>
      </c>
      <c r="P356" s="173">
        <v>90</v>
      </c>
      <c r="Q356" s="141"/>
      <c r="T356" s="404"/>
    </row>
    <row r="357" spans="1:20" s="10" customFormat="1" ht="15" customHeight="1" outlineLevel="1" x14ac:dyDescent="0.35">
      <c r="A357" s="3"/>
      <c r="C357" s="233" t="s">
        <v>489</v>
      </c>
      <c r="D357" s="233"/>
      <c r="E357" s="245"/>
      <c r="F357" s="366"/>
      <c r="G357" s="245" t="s">
        <v>1135</v>
      </c>
      <c r="H357" s="245"/>
      <c r="I357" s="173">
        <v>22</v>
      </c>
      <c r="J357">
        <v>768</v>
      </c>
      <c r="K357" s="173">
        <v>515</v>
      </c>
      <c r="L357" s="402">
        <f t="shared" si="24"/>
        <v>14.752604166666666</v>
      </c>
      <c r="M357" s="402">
        <f t="shared" si="25"/>
        <v>36.752604166666664</v>
      </c>
      <c r="N357" s="174"/>
      <c r="O357" s="173">
        <f t="shared" si="26"/>
        <v>51.453645833333326</v>
      </c>
      <c r="P357" s="173">
        <v>90</v>
      </c>
      <c r="Q357" s="141"/>
      <c r="T357" s="404"/>
    </row>
    <row r="358" spans="1:20" s="10" customFormat="1" ht="15" customHeight="1" outlineLevel="1" x14ac:dyDescent="0.35">
      <c r="A358" s="3"/>
      <c r="C358" s="233" t="s">
        <v>1137</v>
      </c>
      <c r="D358" s="233"/>
      <c r="E358" s="245"/>
      <c r="F358" s="366"/>
      <c r="G358" s="245" t="s">
        <v>1136</v>
      </c>
      <c r="H358" s="245"/>
      <c r="I358" s="173">
        <v>22</v>
      </c>
      <c r="J358">
        <v>768</v>
      </c>
      <c r="K358" s="173">
        <v>515</v>
      </c>
      <c r="L358" s="402">
        <f t="shared" si="24"/>
        <v>14.752604166666666</v>
      </c>
      <c r="M358" s="402">
        <f t="shared" si="25"/>
        <v>36.752604166666664</v>
      </c>
      <c r="N358" s="174"/>
      <c r="O358" s="173">
        <f t="shared" si="26"/>
        <v>51.453645833333326</v>
      </c>
      <c r="P358" s="173">
        <v>90</v>
      </c>
      <c r="Q358" s="141"/>
      <c r="T358" s="404"/>
    </row>
    <row r="359" spans="1:20" s="10" customFormat="1" ht="15" customHeight="1" outlineLevel="1" x14ac:dyDescent="0.35">
      <c r="A359" s="3"/>
      <c r="C359" s="233" t="s">
        <v>1137</v>
      </c>
      <c r="D359" s="233"/>
      <c r="E359" s="245"/>
      <c r="F359" s="366"/>
      <c r="G359" s="245" t="s">
        <v>1136</v>
      </c>
      <c r="H359" s="245"/>
      <c r="I359" s="173">
        <v>22</v>
      </c>
      <c r="J359">
        <v>768</v>
      </c>
      <c r="K359" s="173">
        <v>515</v>
      </c>
      <c r="L359" s="402">
        <f t="shared" si="24"/>
        <v>14.752604166666666</v>
      </c>
      <c r="M359" s="402">
        <f t="shared" si="25"/>
        <v>36.752604166666664</v>
      </c>
      <c r="N359" s="174"/>
      <c r="O359" s="173">
        <f t="shared" si="26"/>
        <v>51.453645833333326</v>
      </c>
      <c r="P359" s="173">
        <v>90</v>
      </c>
      <c r="Q359" s="141"/>
      <c r="T359" s="404"/>
    </row>
    <row r="360" spans="1:20" s="10" customFormat="1" ht="15" customHeight="1" outlineLevel="1" x14ac:dyDescent="0.35">
      <c r="A360" s="3"/>
      <c r="C360" s="233" t="s">
        <v>1137</v>
      </c>
      <c r="D360" s="233"/>
      <c r="E360" s="245"/>
      <c r="F360" s="366"/>
      <c r="G360" s="245" t="s">
        <v>1136</v>
      </c>
      <c r="H360" s="245"/>
      <c r="I360" s="173">
        <v>22</v>
      </c>
      <c r="J360">
        <v>768</v>
      </c>
      <c r="K360" s="173">
        <v>515</v>
      </c>
      <c r="L360" s="402">
        <f t="shared" si="24"/>
        <v>14.752604166666666</v>
      </c>
      <c r="M360" s="402">
        <f t="shared" si="25"/>
        <v>36.752604166666664</v>
      </c>
      <c r="N360" s="174"/>
      <c r="O360" s="173">
        <f t="shared" si="26"/>
        <v>51.453645833333326</v>
      </c>
      <c r="P360" s="173">
        <v>90</v>
      </c>
      <c r="Q360" s="141"/>
      <c r="T360" s="404"/>
    </row>
    <row r="361" spans="1:20" s="10" customFormat="1" ht="15" customHeight="1" outlineLevel="1" x14ac:dyDescent="0.35">
      <c r="A361" s="3"/>
      <c r="C361" s="233" t="s">
        <v>1137</v>
      </c>
      <c r="D361" s="233"/>
      <c r="E361" s="245"/>
      <c r="F361" s="366"/>
      <c r="G361" s="245" t="s">
        <v>1136</v>
      </c>
      <c r="H361" s="245"/>
      <c r="I361" s="173">
        <v>22</v>
      </c>
      <c r="J361">
        <v>768</v>
      </c>
      <c r="K361" s="173">
        <v>515</v>
      </c>
      <c r="L361" s="402">
        <f t="shared" si="24"/>
        <v>14.752604166666666</v>
      </c>
      <c r="M361" s="402">
        <f t="shared" si="25"/>
        <v>36.752604166666664</v>
      </c>
      <c r="N361" s="174"/>
      <c r="O361" s="173">
        <f t="shared" si="26"/>
        <v>51.453645833333326</v>
      </c>
      <c r="P361" s="173">
        <v>90</v>
      </c>
      <c r="Q361" s="141"/>
      <c r="T361" s="404"/>
    </row>
    <row r="362" spans="1:20" s="10" customFormat="1" ht="15" customHeight="1" outlineLevel="1" x14ac:dyDescent="0.35">
      <c r="A362" s="3"/>
      <c r="C362" s="233" t="s">
        <v>1137</v>
      </c>
      <c r="D362" s="233"/>
      <c r="E362" s="245"/>
      <c r="F362" s="366"/>
      <c r="G362" s="245" t="s">
        <v>1138</v>
      </c>
      <c r="H362" s="245"/>
      <c r="I362" s="173">
        <v>22</v>
      </c>
      <c r="J362">
        <v>768</v>
      </c>
      <c r="K362" s="173">
        <v>515</v>
      </c>
      <c r="L362" s="402">
        <f t="shared" si="24"/>
        <v>14.752604166666666</v>
      </c>
      <c r="M362" s="402">
        <f t="shared" si="25"/>
        <v>36.752604166666664</v>
      </c>
      <c r="N362" s="174"/>
      <c r="O362" s="173">
        <f t="shared" si="26"/>
        <v>51.453645833333326</v>
      </c>
      <c r="P362" s="173">
        <v>90</v>
      </c>
      <c r="Q362" s="141"/>
      <c r="T362" s="404"/>
    </row>
    <row r="363" spans="1:20" s="10" customFormat="1" ht="15" customHeight="1" outlineLevel="1" x14ac:dyDescent="0.35">
      <c r="A363" s="3"/>
      <c r="C363" s="233" t="s">
        <v>1137</v>
      </c>
      <c r="D363" s="233"/>
      <c r="E363" s="245"/>
      <c r="F363" s="366"/>
      <c r="G363" s="245" t="s">
        <v>1138</v>
      </c>
      <c r="H363" s="245"/>
      <c r="I363" s="173">
        <v>22</v>
      </c>
      <c r="J363">
        <v>768</v>
      </c>
      <c r="K363" s="173">
        <v>515</v>
      </c>
      <c r="L363" s="402">
        <f t="shared" si="24"/>
        <v>14.752604166666666</v>
      </c>
      <c r="M363" s="402">
        <f t="shared" si="25"/>
        <v>36.752604166666664</v>
      </c>
      <c r="N363" s="174"/>
      <c r="O363" s="173">
        <f t="shared" si="26"/>
        <v>51.453645833333326</v>
      </c>
      <c r="P363" s="173">
        <v>90</v>
      </c>
      <c r="Q363" s="141"/>
      <c r="T363" s="404"/>
    </row>
    <row r="364" spans="1:20" s="10" customFormat="1" ht="15" customHeight="1" outlineLevel="1" x14ac:dyDescent="0.35">
      <c r="A364" s="3"/>
      <c r="C364" s="233" t="s">
        <v>1137</v>
      </c>
      <c r="D364" s="233"/>
      <c r="E364" s="245"/>
      <c r="F364" s="366"/>
      <c r="G364" s="245" t="s">
        <v>1138</v>
      </c>
      <c r="H364" s="245"/>
      <c r="I364" s="173">
        <v>22</v>
      </c>
      <c r="J364">
        <v>768</v>
      </c>
      <c r="K364" s="173">
        <v>515</v>
      </c>
      <c r="L364" s="402">
        <f t="shared" si="24"/>
        <v>14.752604166666666</v>
      </c>
      <c r="M364" s="402">
        <f t="shared" si="25"/>
        <v>36.752604166666664</v>
      </c>
      <c r="N364" s="174"/>
      <c r="O364" s="173">
        <f t="shared" si="26"/>
        <v>51.453645833333326</v>
      </c>
      <c r="P364" s="173">
        <v>90</v>
      </c>
      <c r="Q364" s="141"/>
      <c r="T364" s="404"/>
    </row>
    <row r="365" spans="1:20" s="10" customFormat="1" ht="15" customHeight="1" outlineLevel="1" x14ac:dyDescent="0.35">
      <c r="A365" s="3"/>
      <c r="C365" s="233" t="s">
        <v>1137</v>
      </c>
      <c r="D365" s="233"/>
      <c r="E365" s="245"/>
      <c r="F365" s="366"/>
      <c r="G365" s="245" t="s">
        <v>1138</v>
      </c>
      <c r="H365" s="245"/>
      <c r="I365" s="173">
        <v>22</v>
      </c>
      <c r="J365">
        <v>768</v>
      </c>
      <c r="K365" s="173">
        <v>515</v>
      </c>
      <c r="L365" s="402">
        <f t="shared" si="24"/>
        <v>14.752604166666666</v>
      </c>
      <c r="M365" s="402">
        <f t="shared" si="25"/>
        <v>36.752604166666664</v>
      </c>
      <c r="N365" s="174"/>
      <c r="O365" s="173">
        <f t="shared" si="26"/>
        <v>51.453645833333326</v>
      </c>
      <c r="P365" s="173">
        <v>90</v>
      </c>
      <c r="Q365" s="141"/>
      <c r="T365" s="404"/>
    </row>
    <row r="366" spans="1:20" s="10" customFormat="1" ht="15" customHeight="1" outlineLevel="1" x14ac:dyDescent="0.35">
      <c r="A366" s="3"/>
      <c r="C366" s="233" t="s">
        <v>17</v>
      </c>
      <c r="D366" s="233"/>
      <c r="E366" s="245"/>
      <c r="F366" s="366">
        <v>42</v>
      </c>
      <c r="G366" s="245" t="s">
        <v>1139</v>
      </c>
      <c r="H366" s="245"/>
      <c r="I366" s="173">
        <v>42</v>
      </c>
      <c r="J366">
        <v>768</v>
      </c>
      <c r="K366" s="173">
        <v>515</v>
      </c>
      <c r="L366" s="402">
        <f t="shared" si="24"/>
        <v>28.1640625</v>
      </c>
      <c r="M366" s="402">
        <f t="shared" si="25"/>
        <v>70.1640625</v>
      </c>
      <c r="N366" s="174"/>
      <c r="O366" s="173">
        <f t="shared" si="26"/>
        <v>98.229687499999997</v>
      </c>
      <c r="P366" s="173">
        <v>125</v>
      </c>
      <c r="Q366" s="141"/>
      <c r="T366" s="404"/>
    </row>
    <row r="367" spans="1:20" s="10" customFormat="1" ht="15" customHeight="1" outlineLevel="1" x14ac:dyDescent="0.35">
      <c r="A367" s="3"/>
      <c r="C367" s="233" t="s">
        <v>17</v>
      </c>
      <c r="D367" s="233"/>
      <c r="E367" s="245"/>
      <c r="F367" s="366">
        <v>44</v>
      </c>
      <c r="G367" s="245" t="s">
        <v>1139</v>
      </c>
      <c r="H367" s="245"/>
      <c r="I367" s="173">
        <v>42</v>
      </c>
      <c r="J367">
        <v>768</v>
      </c>
      <c r="K367" s="173">
        <v>515</v>
      </c>
      <c r="L367" s="402">
        <f t="shared" si="24"/>
        <v>28.1640625</v>
      </c>
      <c r="M367" s="402">
        <f t="shared" si="25"/>
        <v>70.1640625</v>
      </c>
      <c r="N367" s="174"/>
      <c r="O367" s="173">
        <f t="shared" si="26"/>
        <v>98.229687499999997</v>
      </c>
      <c r="P367" s="173">
        <v>125</v>
      </c>
      <c r="Q367" s="141"/>
      <c r="T367" s="404"/>
    </row>
    <row r="368" spans="1:20" s="10" customFormat="1" ht="15" customHeight="1" outlineLevel="1" x14ac:dyDescent="0.35">
      <c r="A368" s="3"/>
      <c r="C368" s="233" t="s">
        <v>17</v>
      </c>
      <c r="D368" s="233"/>
      <c r="E368" s="245"/>
      <c r="F368" s="366">
        <v>46</v>
      </c>
      <c r="G368" s="245" t="s">
        <v>1139</v>
      </c>
      <c r="H368" s="245"/>
      <c r="I368" s="173">
        <v>42</v>
      </c>
      <c r="J368">
        <v>768</v>
      </c>
      <c r="K368" s="173">
        <v>515</v>
      </c>
      <c r="L368" s="402">
        <f t="shared" si="24"/>
        <v>28.1640625</v>
      </c>
      <c r="M368" s="402">
        <f t="shared" si="25"/>
        <v>70.1640625</v>
      </c>
      <c r="N368" s="174"/>
      <c r="O368" s="173">
        <f t="shared" si="26"/>
        <v>98.229687499999997</v>
      </c>
      <c r="P368" s="173">
        <v>125</v>
      </c>
      <c r="Q368" s="141"/>
      <c r="T368" s="404"/>
    </row>
    <row r="369" spans="1:20" s="10" customFormat="1" ht="15" customHeight="1" outlineLevel="1" x14ac:dyDescent="0.35">
      <c r="A369" s="3"/>
      <c r="C369" s="233" t="s">
        <v>17</v>
      </c>
      <c r="D369" s="233"/>
      <c r="E369" s="245"/>
      <c r="F369" s="366">
        <v>48</v>
      </c>
      <c r="G369" s="245" t="s">
        <v>1139</v>
      </c>
      <c r="H369" s="245"/>
      <c r="I369" s="173">
        <v>42</v>
      </c>
      <c r="J369">
        <v>768</v>
      </c>
      <c r="K369" s="173">
        <v>515</v>
      </c>
      <c r="L369" s="402">
        <f t="shared" si="24"/>
        <v>28.1640625</v>
      </c>
      <c r="M369" s="402">
        <f t="shared" si="25"/>
        <v>70.1640625</v>
      </c>
      <c r="N369" s="174"/>
      <c r="O369" s="173">
        <f t="shared" si="26"/>
        <v>98.229687499999997</v>
      </c>
      <c r="P369" s="173">
        <v>125</v>
      </c>
      <c r="Q369" s="141"/>
      <c r="T369" s="404"/>
    </row>
    <row r="370" spans="1:20" s="10" customFormat="1" ht="15" customHeight="1" outlineLevel="1" x14ac:dyDescent="0.35">
      <c r="A370" s="3"/>
      <c r="C370" s="233" t="s">
        <v>17</v>
      </c>
      <c r="D370" s="233"/>
      <c r="E370" s="245"/>
      <c r="F370" s="366">
        <v>42</v>
      </c>
      <c r="G370" s="245" t="s">
        <v>1140</v>
      </c>
      <c r="H370" s="245"/>
      <c r="I370" s="173">
        <v>42</v>
      </c>
      <c r="J370">
        <v>768</v>
      </c>
      <c r="K370" s="173">
        <v>515</v>
      </c>
      <c r="L370" s="402">
        <f t="shared" si="24"/>
        <v>28.1640625</v>
      </c>
      <c r="M370" s="402">
        <f t="shared" si="25"/>
        <v>70.1640625</v>
      </c>
      <c r="N370" s="174"/>
      <c r="O370" s="173">
        <f t="shared" si="26"/>
        <v>98.229687499999997</v>
      </c>
      <c r="P370" s="173">
        <v>125</v>
      </c>
      <c r="Q370" s="141"/>
      <c r="T370" s="404"/>
    </row>
    <row r="371" spans="1:20" s="10" customFormat="1" ht="15" customHeight="1" outlineLevel="1" x14ac:dyDescent="0.35">
      <c r="A371" s="3"/>
      <c r="C371" s="233" t="s">
        <v>17</v>
      </c>
      <c r="D371" s="233"/>
      <c r="E371" s="245"/>
      <c r="F371" s="366">
        <v>44</v>
      </c>
      <c r="G371" s="245" t="s">
        <v>1140</v>
      </c>
      <c r="H371" s="245"/>
      <c r="I371" s="173">
        <v>42</v>
      </c>
      <c r="J371">
        <v>768</v>
      </c>
      <c r="K371" s="173">
        <v>515</v>
      </c>
      <c r="L371" s="402">
        <f t="shared" si="24"/>
        <v>28.1640625</v>
      </c>
      <c r="M371" s="402">
        <f t="shared" si="25"/>
        <v>70.1640625</v>
      </c>
      <c r="N371" s="174"/>
      <c r="O371" s="173">
        <f t="shared" si="26"/>
        <v>98.229687499999997</v>
      </c>
      <c r="P371" s="173">
        <v>125</v>
      </c>
      <c r="Q371" s="141"/>
      <c r="T371" s="404"/>
    </row>
    <row r="372" spans="1:20" s="10" customFormat="1" ht="15" customHeight="1" outlineLevel="1" x14ac:dyDescent="0.35">
      <c r="A372" s="3"/>
      <c r="C372" s="233" t="s">
        <v>17</v>
      </c>
      <c r="D372" s="233"/>
      <c r="E372" s="245"/>
      <c r="F372" s="366">
        <v>46</v>
      </c>
      <c r="G372" s="245" t="s">
        <v>1140</v>
      </c>
      <c r="H372" s="245"/>
      <c r="I372" s="173">
        <v>42</v>
      </c>
      <c r="J372">
        <v>768</v>
      </c>
      <c r="K372" s="173">
        <v>515</v>
      </c>
      <c r="L372" s="402">
        <f t="shared" si="24"/>
        <v>28.1640625</v>
      </c>
      <c r="M372" s="402">
        <f t="shared" si="25"/>
        <v>70.1640625</v>
      </c>
      <c r="N372" s="174"/>
      <c r="O372" s="173">
        <f t="shared" si="26"/>
        <v>98.229687499999997</v>
      </c>
      <c r="P372" s="173">
        <v>125</v>
      </c>
      <c r="Q372" s="141"/>
      <c r="T372" s="404"/>
    </row>
    <row r="373" spans="1:20" s="10" customFormat="1" ht="15" customHeight="1" outlineLevel="1" x14ac:dyDescent="0.35">
      <c r="A373" s="3"/>
      <c r="C373" s="233" t="s">
        <v>17</v>
      </c>
      <c r="D373" s="233"/>
      <c r="E373" s="245"/>
      <c r="F373" s="366">
        <v>48</v>
      </c>
      <c r="G373" s="245" t="s">
        <v>1140</v>
      </c>
      <c r="H373" s="245"/>
      <c r="I373" s="173">
        <v>42</v>
      </c>
      <c r="J373">
        <v>768</v>
      </c>
      <c r="K373" s="173">
        <v>515</v>
      </c>
      <c r="L373" s="402">
        <f t="shared" si="24"/>
        <v>28.1640625</v>
      </c>
      <c r="M373" s="402">
        <f t="shared" si="25"/>
        <v>70.1640625</v>
      </c>
      <c r="N373" s="174"/>
      <c r="O373" s="173">
        <f t="shared" si="26"/>
        <v>98.229687499999997</v>
      </c>
      <c r="P373" s="173">
        <v>125</v>
      </c>
      <c r="Q373" s="141"/>
      <c r="T373" s="404"/>
    </row>
    <row r="374" spans="1:20" s="10" customFormat="1" ht="15" customHeight="1" outlineLevel="1" x14ac:dyDescent="0.35">
      <c r="A374" s="3"/>
      <c r="C374" s="233" t="s">
        <v>17</v>
      </c>
      <c r="D374" s="233"/>
      <c r="E374" s="245"/>
      <c r="F374" s="366">
        <v>50</v>
      </c>
      <c r="G374" s="245" t="s">
        <v>1141</v>
      </c>
      <c r="H374" s="245"/>
      <c r="I374" s="173">
        <v>42</v>
      </c>
      <c r="J374">
        <v>768</v>
      </c>
      <c r="K374" s="173">
        <v>515</v>
      </c>
      <c r="L374" s="402">
        <f t="shared" si="24"/>
        <v>28.1640625</v>
      </c>
      <c r="M374" s="402">
        <f t="shared" si="25"/>
        <v>70.1640625</v>
      </c>
      <c r="N374" s="174"/>
      <c r="O374" s="173">
        <f t="shared" si="26"/>
        <v>98.229687499999997</v>
      </c>
      <c r="P374" s="173">
        <v>125</v>
      </c>
      <c r="Q374" s="141"/>
      <c r="T374" s="404"/>
    </row>
    <row r="375" spans="1:20" s="10" customFormat="1" ht="15" customHeight="1" outlineLevel="1" x14ac:dyDescent="0.35">
      <c r="A375" s="3"/>
      <c r="C375" s="233" t="s">
        <v>17</v>
      </c>
      <c r="D375" s="233"/>
      <c r="E375" s="245"/>
      <c r="F375" s="366">
        <v>52</v>
      </c>
      <c r="G375" s="245" t="s">
        <v>1141</v>
      </c>
      <c r="H375" s="245"/>
      <c r="I375" s="173">
        <v>42</v>
      </c>
      <c r="J375">
        <v>768</v>
      </c>
      <c r="K375" s="173">
        <v>515</v>
      </c>
      <c r="L375" s="402">
        <f t="shared" si="24"/>
        <v>28.1640625</v>
      </c>
      <c r="M375" s="402">
        <f t="shared" si="25"/>
        <v>70.1640625</v>
      </c>
      <c r="N375" s="174"/>
      <c r="O375" s="173">
        <f t="shared" si="26"/>
        <v>98.229687499999997</v>
      </c>
      <c r="P375" s="173">
        <v>125</v>
      </c>
      <c r="Q375" s="141"/>
      <c r="T375" s="404"/>
    </row>
    <row r="376" spans="1:20" s="10" customFormat="1" ht="15" customHeight="1" outlineLevel="1" x14ac:dyDescent="0.35">
      <c r="A376" s="3"/>
      <c r="C376" s="233" t="s">
        <v>17</v>
      </c>
      <c r="D376" s="233"/>
      <c r="E376" s="245"/>
      <c r="F376" s="366">
        <v>54</v>
      </c>
      <c r="G376" s="245" t="s">
        <v>1141</v>
      </c>
      <c r="H376" s="245"/>
      <c r="I376" s="173">
        <v>42</v>
      </c>
      <c r="J376">
        <v>768</v>
      </c>
      <c r="K376" s="173">
        <v>515</v>
      </c>
      <c r="L376" s="402">
        <f t="shared" si="24"/>
        <v>28.1640625</v>
      </c>
      <c r="M376" s="402">
        <f t="shared" si="25"/>
        <v>70.1640625</v>
      </c>
      <c r="N376" s="174"/>
      <c r="O376" s="173">
        <f t="shared" si="26"/>
        <v>98.229687499999997</v>
      </c>
      <c r="P376" s="173">
        <v>125</v>
      </c>
      <c r="Q376" s="141"/>
      <c r="T376" s="404"/>
    </row>
    <row r="377" spans="1:20" s="10" customFormat="1" ht="15" customHeight="1" outlineLevel="1" x14ac:dyDescent="0.35">
      <c r="A377" s="3"/>
      <c r="C377" s="233" t="s">
        <v>17</v>
      </c>
      <c r="D377" s="233"/>
      <c r="E377" s="245"/>
      <c r="F377" s="366">
        <v>56</v>
      </c>
      <c r="G377" s="245" t="s">
        <v>1141</v>
      </c>
      <c r="H377" s="245"/>
      <c r="I377" s="173">
        <v>42</v>
      </c>
      <c r="J377">
        <v>768</v>
      </c>
      <c r="K377" s="173">
        <v>515</v>
      </c>
      <c r="L377" s="402">
        <f t="shared" si="24"/>
        <v>28.1640625</v>
      </c>
      <c r="M377" s="402">
        <f t="shared" si="25"/>
        <v>70.1640625</v>
      </c>
      <c r="N377" s="174"/>
      <c r="O377" s="173">
        <f t="shared" si="26"/>
        <v>98.229687499999997</v>
      </c>
      <c r="P377" s="173">
        <v>125</v>
      </c>
      <c r="Q377" s="141"/>
      <c r="T377" s="404"/>
    </row>
    <row r="378" spans="1:20" s="10" customFormat="1" ht="15" customHeight="1" outlineLevel="1" x14ac:dyDescent="0.35">
      <c r="A378" s="3"/>
      <c r="C378" s="233"/>
      <c r="D378" s="233"/>
      <c r="E378" s="245"/>
      <c r="F378" s="366"/>
      <c r="G378" s="245"/>
      <c r="H378" s="245"/>
      <c r="I378" s="173"/>
      <c r="J378">
        <v>768</v>
      </c>
      <c r="K378" s="173">
        <v>515</v>
      </c>
      <c r="L378" s="402">
        <f t="shared" si="24"/>
        <v>0</v>
      </c>
      <c r="M378" s="402">
        <f t="shared" si="25"/>
        <v>0</v>
      </c>
      <c r="N378" s="174"/>
      <c r="O378" s="173">
        <f t="shared" si="26"/>
        <v>0</v>
      </c>
      <c r="P378" s="173"/>
      <c r="Q378" s="141"/>
      <c r="T378" s="404"/>
    </row>
    <row r="379" spans="1:20" s="11" customFormat="1" ht="15" customHeight="1" outlineLevel="1" x14ac:dyDescent="0.35">
      <c r="A379" s="3"/>
      <c r="C379" s="232"/>
      <c r="D379" s="232"/>
      <c r="E379" s="256"/>
      <c r="F379" s="340"/>
      <c r="G379" s="256" t="s">
        <v>1291</v>
      </c>
      <c r="H379" s="256"/>
      <c r="I379" s="146">
        <f>SUM(I259:I378)</f>
        <v>4087</v>
      </c>
      <c r="J379" s="3"/>
      <c r="K379" s="146"/>
      <c r="L379" s="400"/>
      <c r="M379" s="400"/>
      <c r="N379" s="481"/>
      <c r="O379" s="146"/>
      <c r="P379" s="146"/>
      <c r="Q379" s="141"/>
      <c r="T379" s="475"/>
    </row>
    <row r="380" spans="1:20" hidden="1" x14ac:dyDescent="0.35">
      <c r="A380"/>
      <c r="L380" s="402"/>
      <c r="M380" s="402"/>
      <c r="N380" s="174"/>
    </row>
    <row r="381" spans="1:20" hidden="1" x14ac:dyDescent="0.35">
      <c r="A381"/>
      <c r="G381" s="256" t="s">
        <v>1142</v>
      </c>
      <c r="H381" s="256"/>
      <c r="L381" s="402"/>
      <c r="M381" s="402"/>
      <c r="N381" s="174"/>
    </row>
    <row r="382" spans="1:20" hidden="1" x14ac:dyDescent="0.35">
      <c r="A382"/>
      <c r="B382" s="233" t="s">
        <v>186</v>
      </c>
      <c r="C382" s="233" t="s">
        <v>186</v>
      </c>
      <c r="F382" s="366" t="s">
        <v>408</v>
      </c>
      <c r="G382" s="245" t="s">
        <v>1143</v>
      </c>
      <c r="I382" s="173">
        <v>28</v>
      </c>
      <c r="J382">
        <v>1120</v>
      </c>
      <c r="K382" s="173">
        <f>16*40+1400*0.045</f>
        <v>703</v>
      </c>
      <c r="L382" s="402">
        <f t="shared" ref="L382:L405" si="27">+I382/J382*K382</f>
        <v>17.574999999999999</v>
      </c>
      <c r="M382" s="402">
        <f t="shared" ref="M382:M405" si="28">+I382+L382</f>
        <v>45.575000000000003</v>
      </c>
      <c r="N382" s="174"/>
      <c r="O382" s="173">
        <f t="shared" ref="O382:O405" si="29">+M382*1.4</f>
        <v>63.805</v>
      </c>
      <c r="P382" s="173">
        <v>75</v>
      </c>
    </row>
    <row r="383" spans="1:20" hidden="1" x14ac:dyDescent="0.35">
      <c r="A383"/>
      <c r="B383" s="233" t="s">
        <v>186</v>
      </c>
      <c r="C383" s="233" t="s">
        <v>186</v>
      </c>
      <c r="F383" s="366" t="s">
        <v>407</v>
      </c>
      <c r="G383" s="245" t="s">
        <v>1143</v>
      </c>
      <c r="I383" s="173">
        <v>28</v>
      </c>
      <c r="J383">
        <v>1120</v>
      </c>
      <c r="K383" s="173">
        <f t="shared" ref="K383:K427" si="30">16*40+1400*0.045</f>
        <v>703</v>
      </c>
      <c r="L383" s="402">
        <f t="shared" si="27"/>
        <v>17.574999999999999</v>
      </c>
      <c r="M383" s="402">
        <f t="shared" si="28"/>
        <v>45.575000000000003</v>
      </c>
      <c r="N383" s="174"/>
      <c r="O383" s="173">
        <f t="shared" si="29"/>
        <v>63.805</v>
      </c>
      <c r="P383" s="173">
        <v>75</v>
      </c>
    </row>
    <row r="384" spans="1:20" hidden="1" x14ac:dyDescent="0.35">
      <c r="A384"/>
      <c r="B384" s="233" t="s">
        <v>186</v>
      </c>
      <c r="C384" s="233" t="s">
        <v>186</v>
      </c>
      <c r="F384" s="366" t="s">
        <v>409</v>
      </c>
      <c r="G384" s="245" t="s">
        <v>1143</v>
      </c>
      <c r="I384" s="173">
        <v>28</v>
      </c>
      <c r="J384">
        <v>1120</v>
      </c>
      <c r="K384" s="173">
        <f t="shared" si="30"/>
        <v>703</v>
      </c>
      <c r="L384" s="402">
        <f t="shared" si="27"/>
        <v>17.574999999999999</v>
      </c>
      <c r="M384" s="402">
        <f t="shared" si="28"/>
        <v>45.575000000000003</v>
      </c>
      <c r="N384" s="174"/>
      <c r="O384" s="173">
        <f t="shared" si="29"/>
        <v>63.805</v>
      </c>
      <c r="P384" s="173">
        <v>75</v>
      </c>
    </row>
    <row r="385" spans="1:16" hidden="1" x14ac:dyDescent="0.35">
      <c r="A385"/>
      <c r="B385" s="233" t="s">
        <v>186</v>
      </c>
      <c r="C385" s="233" t="s">
        <v>186</v>
      </c>
      <c r="F385" s="366" t="s">
        <v>408</v>
      </c>
      <c r="G385" s="245" t="s">
        <v>1144</v>
      </c>
      <c r="I385" s="173">
        <v>28</v>
      </c>
      <c r="J385">
        <v>1120</v>
      </c>
      <c r="K385" s="173">
        <f t="shared" si="30"/>
        <v>703</v>
      </c>
      <c r="L385" s="402">
        <f t="shared" si="27"/>
        <v>17.574999999999999</v>
      </c>
      <c r="M385" s="402">
        <f t="shared" si="28"/>
        <v>45.575000000000003</v>
      </c>
      <c r="N385" s="174"/>
      <c r="O385" s="173">
        <f t="shared" si="29"/>
        <v>63.805</v>
      </c>
      <c r="P385" s="173">
        <v>75</v>
      </c>
    </row>
    <row r="386" spans="1:16" hidden="1" x14ac:dyDescent="0.35">
      <c r="A386"/>
      <c r="B386" s="233" t="s">
        <v>186</v>
      </c>
      <c r="C386" s="233" t="s">
        <v>186</v>
      </c>
      <c r="F386" s="366" t="s">
        <v>407</v>
      </c>
      <c r="G386" s="245" t="s">
        <v>1145</v>
      </c>
      <c r="I386" s="173">
        <v>28</v>
      </c>
      <c r="J386">
        <v>1120</v>
      </c>
      <c r="K386" s="173">
        <f t="shared" si="30"/>
        <v>703</v>
      </c>
      <c r="L386" s="402">
        <f t="shared" si="27"/>
        <v>17.574999999999999</v>
      </c>
      <c r="M386" s="402">
        <f t="shared" si="28"/>
        <v>45.575000000000003</v>
      </c>
      <c r="N386" s="174"/>
      <c r="O386" s="173">
        <f t="shared" si="29"/>
        <v>63.805</v>
      </c>
      <c r="P386" s="173">
        <v>75</v>
      </c>
    </row>
    <row r="387" spans="1:16" hidden="1" x14ac:dyDescent="0.35">
      <c r="A387"/>
      <c r="B387" s="233" t="s">
        <v>186</v>
      </c>
      <c r="C387" s="233" t="s">
        <v>186</v>
      </c>
      <c r="F387" s="366" t="s">
        <v>409</v>
      </c>
      <c r="G387" s="245" t="s">
        <v>1145</v>
      </c>
      <c r="I387" s="173">
        <v>28</v>
      </c>
      <c r="J387">
        <v>1120</v>
      </c>
      <c r="K387" s="173">
        <f t="shared" si="30"/>
        <v>703</v>
      </c>
      <c r="L387" s="402">
        <f t="shared" si="27"/>
        <v>17.574999999999999</v>
      </c>
      <c r="M387" s="402">
        <f t="shared" si="28"/>
        <v>45.575000000000003</v>
      </c>
      <c r="N387" s="174"/>
      <c r="O387" s="173">
        <f t="shared" si="29"/>
        <v>63.805</v>
      </c>
      <c r="P387" s="173">
        <v>75</v>
      </c>
    </row>
    <row r="388" spans="1:16" hidden="1" x14ac:dyDescent="0.35">
      <c r="A388"/>
      <c r="B388" s="233" t="s">
        <v>186</v>
      </c>
      <c r="C388" s="233" t="s">
        <v>186</v>
      </c>
      <c r="F388" s="366" t="s">
        <v>412</v>
      </c>
      <c r="G388" s="245" t="s">
        <v>1145</v>
      </c>
      <c r="I388" s="173">
        <v>28</v>
      </c>
      <c r="J388">
        <v>1120</v>
      </c>
      <c r="K388" s="173">
        <f t="shared" si="30"/>
        <v>703</v>
      </c>
      <c r="L388" s="402">
        <f t="shared" si="27"/>
        <v>17.574999999999999</v>
      </c>
      <c r="M388" s="402">
        <f t="shared" si="28"/>
        <v>45.575000000000003</v>
      </c>
      <c r="N388" s="174"/>
      <c r="O388" s="173">
        <f t="shared" si="29"/>
        <v>63.805</v>
      </c>
      <c r="P388" s="173">
        <v>75</v>
      </c>
    </row>
    <row r="389" spans="1:16" hidden="1" x14ac:dyDescent="0.35">
      <c r="A389"/>
      <c r="B389" s="233" t="s">
        <v>186</v>
      </c>
      <c r="C389" s="233" t="s">
        <v>186</v>
      </c>
      <c r="F389" s="366" t="s">
        <v>408</v>
      </c>
      <c r="G389" s="245" t="s">
        <v>1146</v>
      </c>
      <c r="I389" s="173">
        <v>28</v>
      </c>
      <c r="J389">
        <v>1120</v>
      </c>
      <c r="K389" s="173">
        <f t="shared" si="30"/>
        <v>703</v>
      </c>
      <c r="L389" s="402">
        <f t="shared" si="27"/>
        <v>17.574999999999999</v>
      </c>
      <c r="M389" s="402">
        <f t="shared" si="28"/>
        <v>45.575000000000003</v>
      </c>
      <c r="N389" s="174"/>
      <c r="O389" s="173">
        <f t="shared" si="29"/>
        <v>63.805</v>
      </c>
      <c r="P389" s="173">
        <v>80</v>
      </c>
    </row>
    <row r="390" spans="1:16" hidden="1" x14ac:dyDescent="0.35">
      <c r="A390"/>
      <c r="B390" s="233" t="s">
        <v>186</v>
      </c>
      <c r="C390" s="233" t="s">
        <v>186</v>
      </c>
      <c r="F390" s="366" t="s">
        <v>407</v>
      </c>
      <c r="G390" s="245" t="s">
        <v>1146</v>
      </c>
      <c r="I390" s="173">
        <v>28</v>
      </c>
      <c r="J390">
        <v>1120</v>
      </c>
      <c r="K390" s="173">
        <f t="shared" si="30"/>
        <v>703</v>
      </c>
      <c r="L390" s="402">
        <f t="shared" si="27"/>
        <v>17.574999999999999</v>
      </c>
      <c r="M390" s="402">
        <f t="shared" si="28"/>
        <v>45.575000000000003</v>
      </c>
      <c r="N390" s="174"/>
      <c r="O390" s="173">
        <f t="shared" si="29"/>
        <v>63.805</v>
      </c>
      <c r="P390" s="173">
        <v>80</v>
      </c>
    </row>
    <row r="391" spans="1:16" hidden="1" x14ac:dyDescent="0.35">
      <c r="A391"/>
      <c r="B391" s="233" t="s">
        <v>186</v>
      </c>
      <c r="C391" s="233" t="s">
        <v>186</v>
      </c>
      <c r="F391" s="366" t="s">
        <v>409</v>
      </c>
      <c r="G391" s="245" t="s">
        <v>1146</v>
      </c>
      <c r="I391" s="173">
        <v>28</v>
      </c>
      <c r="J391">
        <v>1120</v>
      </c>
      <c r="K391" s="173">
        <f t="shared" si="30"/>
        <v>703</v>
      </c>
      <c r="L391" s="402">
        <f t="shared" si="27"/>
        <v>17.574999999999999</v>
      </c>
      <c r="M391" s="402">
        <f t="shared" si="28"/>
        <v>45.575000000000003</v>
      </c>
      <c r="N391" s="174"/>
      <c r="O391" s="173">
        <f t="shared" si="29"/>
        <v>63.805</v>
      </c>
      <c r="P391" s="173">
        <v>80</v>
      </c>
    </row>
    <row r="392" spans="1:16" hidden="1" x14ac:dyDescent="0.35">
      <c r="A392"/>
      <c r="B392" s="233" t="s">
        <v>186</v>
      </c>
      <c r="C392" s="233" t="s">
        <v>186</v>
      </c>
      <c r="F392" s="366" t="s">
        <v>412</v>
      </c>
      <c r="G392" s="245" t="s">
        <v>1146</v>
      </c>
      <c r="I392" s="173">
        <v>28</v>
      </c>
      <c r="J392">
        <v>1120</v>
      </c>
      <c r="K392" s="173">
        <f t="shared" si="30"/>
        <v>703</v>
      </c>
      <c r="L392" s="402">
        <f t="shared" si="27"/>
        <v>17.574999999999999</v>
      </c>
      <c r="M392" s="402">
        <f t="shared" si="28"/>
        <v>45.575000000000003</v>
      </c>
      <c r="N392" s="174"/>
      <c r="O392" s="173">
        <f t="shared" si="29"/>
        <v>63.805</v>
      </c>
      <c r="P392" s="173">
        <v>80</v>
      </c>
    </row>
    <row r="393" spans="1:16" hidden="1" x14ac:dyDescent="0.35">
      <c r="A393"/>
      <c r="B393" s="233" t="s">
        <v>186</v>
      </c>
      <c r="C393" s="233" t="s">
        <v>186</v>
      </c>
      <c r="F393" s="366" t="s">
        <v>408</v>
      </c>
      <c r="G393" s="245" t="s">
        <v>1147</v>
      </c>
      <c r="I393" s="173">
        <v>28</v>
      </c>
      <c r="J393">
        <v>1120</v>
      </c>
      <c r="K393" s="173">
        <f t="shared" si="30"/>
        <v>703</v>
      </c>
      <c r="L393" s="402">
        <f t="shared" si="27"/>
        <v>17.574999999999999</v>
      </c>
      <c r="M393" s="402">
        <f t="shared" si="28"/>
        <v>45.575000000000003</v>
      </c>
      <c r="N393" s="174"/>
      <c r="O393" s="173">
        <f t="shared" si="29"/>
        <v>63.805</v>
      </c>
      <c r="P393" s="173">
        <v>80</v>
      </c>
    </row>
    <row r="394" spans="1:16" hidden="1" x14ac:dyDescent="0.35">
      <c r="A394"/>
      <c r="B394" s="233" t="s">
        <v>186</v>
      </c>
      <c r="C394" s="233" t="s">
        <v>186</v>
      </c>
      <c r="F394" s="366" t="s">
        <v>407</v>
      </c>
      <c r="G394" s="245" t="s">
        <v>1147</v>
      </c>
      <c r="I394" s="173">
        <v>28</v>
      </c>
      <c r="J394">
        <v>1120</v>
      </c>
      <c r="K394" s="173">
        <f t="shared" si="30"/>
        <v>703</v>
      </c>
      <c r="L394" s="402">
        <f t="shared" si="27"/>
        <v>17.574999999999999</v>
      </c>
      <c r="M394" s="402">
        <f t="shared" si="28"/>
        <v>45.575000000000003</v>
      </c>
      <c r="N394" s="174"/>
      <c r="O394" s="173">
        <f t="shared" si="29"/>
        <v>63.805</v>
      </c>
      <c r="P394" s="173">
        <v>80</v>
      </c>
    </row>
    <row r="395" spans="1:16" hidden="1" x14ac:dyDescent="0.35">
      <c r="A395"/>
      <c r="B395" s="233" t="s">
        <v>186</v>
      </c>
      <c r="C395" s="233" t="s">
        <v>186</v>
      </c>
      <c r="F395" s="366" t="s">
        <v>409</v>
      </c>
      <c r="G395" s="245" t="s">
        <v>1147</v>
      </c>
      <c r="I395" s="173">
        <v>28</v>
      </c>
      <c r="J395">
        <v>1120</v>
      </c>
      <c r="K395" s="173">
        <f t="shared" si="30"/>
        <v>703</v>
      </c>
      <c r="L395" s="402">
        <f t="shared" si="27"/>
        <v>17.574999999999999</v>
      </c>
      <c r="M395" s="402">
        <f t="shared" si="28"/>
        <v>45.575000000000003</v>
      </c>
      <c r="N395" s="174"/>
      <c r="O395" s="173">
        <f t="shared" si="29"/>
        <v>63.805</v>
      </c>
      <c r="P395" s="173">
        <v>80</v>
      </c>
    </row>
    <row r="396" spans="1:16" hidden="1" x14ac:dyDescent="0.35">
      <c r="A396"/>
      <c r="B396" s="233" t="s">
        <v>186</v>
      </c>
      <c r="C396" s="233" t="s">
        <v>186</v>
      </c>
      <c r="F396" s="366" t="s">
        <v>412</v>
      </c>
      <c r="G396" s="245" t="s">
        <v>1147</v>
      </c>
      <c r="I396" s="173">
        <v>28</v>
      </c>
      <c r="J396">
        <v>1120</v>
      </c>
      <c r="K396" s="173">
        <f t="shared" si="30"/>
        <v>703</v>
      </c>
      <c r="L396" s="402">
        <f t="shared" si="27"/>
        <v>17.574999999999999</v>
      </c>
      <c r="M396" s="402">
        <f t="shared" si="28"/>
        <v>45.575000000000003</v>
      </c>
      <c r="N396" s="174"/>
      <c r="O396" s="173">
        <f t="shared" si="29"/>
        <v>63.805</v>
      </c>
      <c r="P396" s="173">
        <v>80</v>
      </c>
    </row>
    <row r="397" spans="1:16" hidden="1" x14ac:dyDescent="0.35">
      <c r="A397"/>
      <c r="B397" s="233" t="s">
        <v>186</v>
      </c>
      <c r="C397" s="233" t="s">
        <v>186</v>
      </c>
      <c r="F397" s="366" t="s">
        <v>407</v>
      </c>
      <c r="G397" s="245" t="s">
        <v>1148</v>
      </c>
      <c r="I397" s="173">
        <v>28</v>
      </c>
      <c r="J397">
        <v>1120</v>
      </c>
      <c r="K397" s="173">
        <f t="shared" si="30"/>
        <v>703</v>
      </c>
      <c r="L397" s="402">
        <f t="shared" si="27"/>
        <v>17.574999999999999</v>
      </c>
      <c r="M397" s="402">
        <f t="shared" si="28"/>
        <v>45.575000000000003</v>
      </c>
      <c r="N397" s="174"/>
      <c r="O397" s="173">
        <f t="shared" si="29"/>
        <v>63.805</v>
      </c>
      <c r="P397" s="173">
        <v>80</v>
      </c>
    </row>
    <row r="398" spans="1:16" hidden="1" x14ac:dyDescent="0.35">
      <c r="A398"/>
      <c r="B398" s="233" t="s">
        <v>186</v>
      </c>
      <c r="C398" s="233" t="s">
        <v>186</v>
      </c>
      <c r="F398" s="366" t="s">
        <v>409</v>
      </c>
      <c r="G398" s="245" t="s">
        <v>1148</v>
      </c>
      <c r="I398" s="173">
        <v>28</v>
      </c>
      <c r="J398">
        <v>1120</v>
      </c>
      <c r="K398" s="173">
        <f t="shared" si="30"/>
        <v>703</v>
      </c>
      <c r="L398" s="402">
        <f t="shared" si="27"/>
        <v>17.574999999999999</v>
      </c>
      <c r="M398" s="402">
        <f t="shared" si="28"/>
        <v>45.575000000000003</v>
      </c>
      <c r="N398" s="174"/>
      <c r="O398" s="173">
        <f t="shared" si="29"/>
        <v>63.805</v>
      </c>
      <c r="P398" s="173">
        <v>80</v>
      </c>
    </row>
    <row r="399" spans="1:16" hidden="1" x14ac:dyDescent="0.35">
      <c r="A399"/>
      <c r="B399" s="233" t="s">
        <v>186</v>
      </c>
      <c r="C399" s="233" t="s">
        <v>186</v>
      </c>
      <c r="F399" s="366" t="s">
        <v>412</v>
      </c>
      <c r="G399" s="245" t="s">
        <v>1148</v>
      </c>
      <c r="I399" s="173">
        <v>28</v>
      </c>
      <c r="J399">
        <v>1120</v>
      </c>
      <c r="K399" s="173">
        <f t="shared" si="30"/>
        <v>703</v>
      </c>
      <c r="L399" s="402">
        <f t="shared" si="27"/>
        <v>17.574999999999999</v>
      </c>
      <c r="M399" s="402">
        <f t="shared" si="28"/>
        <v>45.575000000000003</v>
      </c>
      <c r="N399" s="174"/>
      <c r="O399" s="173">
        <f t="shared" si="29"/>
        <v>63.805</v>
      </c>
      <c r="P399" s="173">
        <v>80</v>
      </c>
    </row>
    <row r="400" spans="1:16" hidden="1" x14ac:dyDescent="0.35">
      <c r="A400"/>
      <c r="B400" s="233" t="s">
        <v>186</v>
      </c>
      <c r="C400" s="233" t="s">
        <v>186</v>
      </c>
      <c r="F400" s="366" t="s">
        <v>407</v>
      </c>
      <c r="G400" s="245" t="s">
        <v>1149</v>
      </c>
      <c r="I400" s="173">
        <v>28</v>
      </c>
      <c r="J400">
        <v>1120</v>
      </c>
      <c r="K400" s="173">
        <f t="shared" si="30"/>
        <v>703</v>
      </c>
      <c r="L400" s="402">
        <f t="shared" si="27"/>
        <v>17.574999999999999</v>
      </c>
      <c r="M400" s="402">
        <f t="shared" si="28"/>
        <v>45.575000000000003</v>
      </c>
      <c r="N400" s="174"/>
      <c r="O400" s="173">
        <f t="shared" si="29"/>
        <v>63.805</v>
      </c>
      <c r="P400" s="173">
        <v>80</v>
      </c>
    </row>
    <row r="401" spans="1:16" hidden="1" x14ac:dyDescent="0.35">
      <c r="A401"/>
      <c r="B401" s="233" t="s">
        <v>186</v>
      </c>
      <c r="C401" s="233" t="s">
        <v>186</v>
      </c>
      <c r="F401" s="366" t="s">
        <v>409</v>
      </c>
      <c r="G401" s="245" t="s">
        <v>1149</v>
      </c>
      <c r="I401" s="173">
        <v>28</v>
      </c>
      <c r="J401">
        <v>1120</v>
      </c>
      <c r="K401" s="173">
        <f t="shared" si="30"/>
        <v>703</v>
      </c>
      <c r="L401" s="402">
        <f t="shared" si="27"/>
        <v>17.574999999999999</v>
      </c>
      <c r="M401" s="402">
        <f t="shared" si="28"/>
        <v>45.575000000000003</v>
      </c>
      <c r="N401" s="174"/>
      <c r="O401" s="173">
        <f t="shared" si="29"/>
        <v>63.805</v>
      </c>
      <c r="P401" s="173">
        <v>80</v>
      </c>
    </row>
    <row r="402" spans="1:16" hidden="1" x14ac:dyDescent="0.35">
      <c r="A402"/>
      <c r="B402" s="233" t="s">
        <v>186</v>
      </c>
      <c r="C402" s="233" t="s">
        <v>186</v>
      </c>
      <c r="F402" s="366" t="s">
        <v>412</v>
      </c>
      <c r="G402" s="245" t="s">
        <v>1149</v>
      </c>
      <c r="I402" s="173">
        <v>28</v>
      </c>
      <c r="J402">
        <v>1120</v>
      </c>
      <c r="K402" s="173">
        <f t="shared" si="30"/>
        <v>703</v>
      </c>
      <c r="L402" s="402">
        <f t="shared" si="27"/>
        <v>17.574999999999999</v>
      </c>
      <c r="M402" s="402">
        <f t="shared" si="28"/>
        <v>45.575000000000003</v>
      </c>
      <c r="N402" s="174"/>
      <c r="O402" s="173">
        <f t="shared" si="29"/>
        <v>63.805</v>
      </c>
      <c r="P402" s="173">
        <v>80</v>
      </c>
    </row>
    <row r="403" spans="1:16" hidden="1" x14ac:dyDescent="0.35">
      <c r="A403"/>
      <c r="B403" s="233" t="s">
        <v>186</v>
      </c>
      <c r="C403" s="233" t="s">
        <v>186</v>
      </c>
      <c r="F403" s="366" t="s">
        <v>407</v>
      </c>
      <c r="G403" s="245" t="s">
        <v>1150</v>
      </c>
      <c r="I403" s="173">
        <v>28</v>
      </c>
      <c r="J403">
        <v>1120</v>
      </c>
      <c r="K403" s="173">
        <f t="shared" si="30"/>
        <v>703</v>
      </c>
      <c r="L403" s="402">
        <f t="shared" si="27"/>
        <v>17.574999999999999</v>
      </c>
      <c r="M403" s="402">
        <f t="shared" si="28"/>
        <v>45.575000000000003</v>
      </c>
      <c r="N403" s="174"/>
      <c r="O403" s="173">
        <f t="shared" si="29"/>
        <v>63.805</v>
      </c>
      <c r="P403" s="173">
        <v>80</v>
      </c>
    </row>
    <row r="404" spans="1:16" hidden="1" x14ac:dyDescent="0.35">
      <c r="A404"/>
      <c r="B404" s="233" t="s">
        <v>186</v>
      </c>
      <c r="C404" s="233" t="s">
        <v>186</v>
      </c>
      <c r="F404" s="366" t="s">
        <v>409</v>
      </c>
      <c r="G404" s="245" t="s">
        <v>1150</v>
      </c>
      <c r="I404" s="173">
        <v>28</v>
      </c>
      <c r="J404">
        <v>1120</v>
      </c>
      <c r="K404" s="173">
        <f t="shared" si="30"/>
        <v>703</v>
      </c>
      <c r="L404" s="402">
        <f t="shared" si="27"/>
        <v>17.574999999999999</v>
      </c>
      <c r="M404" s="402">
        <f t="shared" si="28"/>
        <v>45.575000000000003</v>
      </c>
      <c r="N404" s="174"/>
      <c r="O404" s="173">
        <f t="shared" si="29"/>
        <v>63.805</v>
      </c>
      <c r="P404" s="173">
        <v>80</v>
      </c>
    </row>
    <row r="405" spans="1:16" hidden="1" x14ac:dyDescent="0.35">
      <c r="A405"/>
      <c r="B405" s="233" t="s">
        <v>186</v>
      </c>
      <c r="C405" s="233" t="s">
        <v>186</v>
      </c>
      <c r="F405" s="366" t="s">
        <v>412</v>
      </c>
      <c r="G405" s="245" t="s">
        <v>1150</v>
      </c>
      <c r="I405" s="173">
        <v>28</v>
      </c>
      <c r="J405">
        <v>1120</v>
      </c>
      <c r="K405" s="173">
        <f t="shared" si="30"/>
        <v>703</v>
      </c>
      <c r="L405" s="402">
        <f t="shared" si="27"/>
        <v>17.574999999999999</v>
      </c>
      <c r="M405" s="402">
        <f t="shared" si="28"/>
        <v>45.575000000000003</v>
      </c>
      <c r="N405" s="174"/>
      <c r="O405" s="173">
        <f t="shared" si="29"/>
        <v>63.805</v>
      </c>
      <c r="P405" s="173">
        <v>80</v>
      </c>
    </row>
    <row r="406" spans="1:16" hidden="1" x14ac:dyDescent="0.35">
      <c r="A406"/>
      <c r="B406" s="233"/>
      <c r="K406" s="173">
        <f t="shared" si="30"/>
        <v>703</v>
      </c>
      <c r="L406" s="402"/>
      <c r="M406" s="402"/>
      <c r="N406" s="174"/>
    </row>
    <row r="407" spans="1:16" hidden="1" x14ac:dyDescent="0.35">
      <c r="A407"/>
      <c r="B407" s="233" t="s">
        <v>186</v>
      </c>
      <c r="C407" s="233" t="s">
        <v>186</v>
      </c>
      <c r="F407" s="366" t="s">
        <v>408</v>
      </c>
      <c r="G407" s="245" t="s">
        <v>1151</v>
      </c>
      <c r="I407" s="173">
        <v>12</v>
      </c>
      <c r="J407">
        <v>1120</v>
      </c>
      <c r="K407" s="173">
        <f t="shared" si="30"/>
        <v>703</v>
      </c>
      <c r="L407" s="402">
        <f t="shared" ref="L407:L418" si="31">+I407/J407*K407</f>
        <v>7.5321428571428575</v>
      </c>
      <c r="M407" s="402">
        <f t="shared" ref="M407:M418" si="32">+I407+L407</f>
        <v>19.532142857142858</v>
      </c>
      <c r="N407" s="174"/>
      <c r="O407" s="173">
        <f t="shared" ref="O407:O418" si="33">+M407*1.4</f>
        <v>27.344999999999999</v>
      </c>
      <c r="P407" s="173">
        <v>45</v>
      </c>
    </row>
    <row r="408" spans="1:16" hidden="1" x14ac:dyDescent="0.35">
      <c r="A408"/>
      <c r="B408" s="233" t="s">
        <v>186</v>
      </c>
      <c r="C408" s="233" t="s">
        <v>186</v>
      </c>
      <c r="F408" s="366" t="s">
        <v>407</v>
      </c>
      <c r="G408" s="245" t="s">
        <v>1151</v>
      </c>
      <c r="I408" s="173">
        <v>12</v>
      </c>
      <c r="J408">
        <v>1120</v>
      </c>
      <c r="K408" s="173">
        <f t="shared" si="30"/>
        <v>703</v>
      </c>
      <c r="L408" s="402">
        <f t="shared" si="31"/>
        <v>7.5321428571428575</v>
      </c>
      <c r="M408" s="402">
        <f t="shared" si="32"/>
        <v>19.532142857142858</v>
      </c>
      <c r="N408" s="174"/>
      <c r="O408" s="173">
        <f t="shared" si="33"/>
        <v>27.344999999999999</v>
      </c>
      <c r="P408" s="173">
        <v>45</v>
      </c>
    </row>
    <row r="409" spans="1:16" hidden="1" x14ac:dyDescent="0.35">
      <c r="A409"/>
      <c r="B409" s="233" t="s">
        <v>186</v>
      </c>
      <c r="C409" s="233" t="s">
        <v>186</v>
      </c>
      <c r="F409" s="366" t="s">
        <v>409</v>
      </c>
      <c r="G409" s="245" t="s">
        <v>1151</v>
      </c>
      <c r="I409" s="173">
        <v>12</v>
      </c>
      <c r="J409">
        <v>1120</v>
      </c>
      <c r="K409" s="173">
        <f t="shared" si="30"/>
        <v>703</v>
      </c>
      <c r="L409" s="402">
        <f t="shared" si="31"/>
        <v>7.5321428571428575</v>
      </c>
      <c r="M409" s="402">
        <f t="shared" si="32"/>
        <v>19.532142857142858</v>
      </c>
      <c r="N409" s="174"/>
      <c r="O409" s="173">
        <f t="shared" si="33"/>
        <v>27.344999999999999</v>
      </c>
      <c r="P409" s="173">
        <v>45</v>
      </c>
    </row>
    <row r="410" spans="1:16" hidden="1" x14ac:dyDescent="0.35">
      <c r="A410"/>
      <c r="B410" s="233" t="s">
        <v>186</v>
      </c>
      <c r="C410" s="233" t="s">
        <v>186</v>
      </c>
      <c r="F410" s="366" t="s">
        <v>408</v>
      </c>
      <c r="G410" s="245" t="s">
        <v>1151</v>
      </c>
      <c r="I410" s="173">
        <v>12</v>
      </c>
      <c r="J410">
        <v>1120</v>
      </c>
      <c r="K410" s="173">
        <f t="shared" si="30"/>
        <v>703</v>
      </c>
      <c r="L410" s="402">
        <f t="shared" si="31"/>
        <v>7.5321428571428575</v>
      </c>
      <c r="M410" s="402">
        <f t="shared" si="32"/>
        <v>19.532142857142858</v>
      </c>
      <c r="N410" s="174"/>
      <c r="O410" s="173">
        <f t="shared" si="33"/>
        <v>27.344999999999999</v>
      </c>
      <c r="P410" s="173">
        <v>45</v>
      </c>
    </row>
    <row r="411" spans="1:16" hidden="1" x14ac:dyDescent="0.35">
      <c r="A411"/>
      <c r="B411" s="233" t="s">
        <v>186</v>
      </c>
      <c r="C411" s="233" t="s">
        <v>186</v>
      </c>
      <c r="F411" s="366" t="s">
        <v>407</v>
      </c>
      <c r="G411" s="245" t="s">
        <v>1151</v>
      </c>
      <c r="I411" s="173">
        <v>12</v>
      </c>
      <c r="J411">
        <v>1120</v>
      </c>
      <c r="K411" s="173">
        <f t="shared" si="30"/>
        <v>703</v>
      </c>
      <c r="L411" s="402">
        <f t="shared" si="31"/>
        <v>7.5321428571428575</v>
      </c>
      <c r="M411" s="402">
        <f t="shared" si="32"/>
        <v>19.532142857142858</v>
      </c>
      <c r="N411" s="174"/>
      <c r="O411" s="173">
        <f t="shared" si="33"/>
        <v>27.344999999999999</v>
      </c>
      <c r="P411" s="173">
        <v>45</v>
      </c>
    </row>
    <row r="412" spans="1:16" hidden="1" x14ac:dyDescent="0.35">
      <c r="A412"/>
      <c r="B412" s="233" t="s">
        <v>186</v>
      </c>
      <c r="C412" s="233" t="s">
        <v>186</v>
      </c>
      <c r="F412" s="366" t="s">
        <v>409</v>
      </c>
      <c r="G412" s="245" t="s">
        <v>1151</v>
      </c>
      <c r="I412" s="173">
        <v>12</v>
      </c>
      <c r="J412">
        <v>1120</v>
      </c>
      <c r="K412" s="173">
        <f t="shared" si="30"/>
        <v>703</v>
      </c>
      <c r="L412" s="402">
        <f t="shared" si="31"/>
        <v>7.5321428571428575</v>
      </c>
      <c r="M412" s="402">
        <f t="shared" si="32"/>
        <v>19.532142857142858</v>
      </c>
      <c r="N412" s="174"/>
      <c r="O412" s="173">
        <f t="shared" si="33"/>
        <v>27.344999999999999</v>
      </c>
      <c r="P412" s="173">
        <v>45</v>
      </c>
    </row>
    <row r="413" spans="1:16" hidden="1" x14ac:dyDescent="0.35">
      <c r="A413"/>
      <c r="B413" s="233" t="s">
        <v>186</v>
      </c>
      <c r="C413" s="233" t="s">
        <v>186</v>
      </c>
      <c r="F413" s="366" t="s">
        <v>408</v>
      </c>
      <c r="G413" s="245" t="s">
        <v>625</v>
      </c>
      <c r="I413" s="173">
        <v>12</v>
      </c>
      <c r="J413">
        <v>1120</v>
      </c>
      <c r="K413" s="173">
        <f t="shared" si="30"/>
        <v>703</v>
      </c>
      <c r="L413" s="402">
        <f t="shared" si="31"/>
        <v>7.5321428571428575</v>
      </c>
      <c r="M413" s="402">
        <f t="shared" si="32"/>
        <v>19.532142857142858</v>
      </c>
      <c r="N413" s="174"/>
      <c r="O413" s="173">
        <f t="shared" si="33"/>
        <v>27.344999999999999</v>
      </c>
      <c r="P413" s="173">
        <v>45</v>
      </c>
    </row>
    <row r="414" spans="1:16" hidden="1" x14ac:dyDescent="0.35">
      <c r="A414"/>
      <c r="B414" s="233" t="s">
        <v>186</v>
      </c>
      <c r="C414" s="233" t="s">
        <v>186</v>
      </c>
      <c r="F414" s="366" t="s">
        <v>407</v>
      </c>
      <c r="G414" s="245" t="s">
        <v>625</v>
      </c>
      <c r="I414" s="173">
        <v>12</v>
      </c>
      <c r="J414">
        <v>1120</v>
      </c>
      <c r="K414" s="173">
        <f t="shared" si="30"/>
        <v>703</v>
      </c>
      <c r="L414" s="402">
        <f t="shared" si="31"/>
        <v>7.5321428571428575</v>
      </c>
      <c r="M414" s="402">
        <f t="shared" si="32"/>
        <v>19.532142857142858</v>
      </c>
      <c r="N414" s="174"/>
      <c r="O414" s="173">
        <f t="shared" si="33"/>
        <v>27.344999999999999</v>
      </c>
      <c r="P414" s="173">
        <v>45</v>
      </c>
    </row>
    <row r="415" spans="1:16" hidden="1" x14ac:dyDescent="0.35">
      <c r="A415"/>
      <c r="B415" s="233" t="s">
        <v>186</v>
      </c>
      <c r="C415" s="233" t="s">
        <v>186</v>
      </c>
      <c r="F415" s="366" t="s">
        <v>409</v>
      </c>
      <c r="G415" s="245" t="s">
        <v>625</v>
      </c>
      <c r="I415" s="173">
        <v>12</v>
      </c>
      <c r="J415">
        <v>1120</v>
      </c>
      <c r="K415" s="173">
        <f t="shared" si="30"/>
        <v>703</v>
      </c>
      <c r="L415" s="402">
        <f t="shared" si="31"/>
        <v>7.5321428571428575</v>
      </c>
      <c r="M415" s="402">
        <f t="shared" si="32"/>
        <v>19.532142857142858</v>
      </c>
      <c r="N415" s="174"/>
      <c r="O415" s="173">
        <f t="shared" si="33"/>
        <v>27.344999999999999</v>
      </c>
      <c r="P415" s="173">
        <v>45</v>
      </c>
    </row>
    <row r="416" spans="1:16" hidden="1" x14ac:dyDescent="0.35">
      <c r="A416"/>
      <c r="B416" s="233" t="s">
        <v>186</v>
      </c>
      <c r="C416" s="233" t="s">
        <v>186</v>
      </c>
      <c r="F416" s="366" t="s">
        <v>408</v>
      </c>
      <c r="G416" s="245" t="s">
        <v>625</v>
      </c>
      <c r="I416" s="173">
        <v>12</v>
      </c>
      <c r="J416">
        <v>1120</v>
      </c>
      <c r="K416" s="173">
        <f t="shared" si="30"/>
        <v>703</v>
      </c>
      <c r="L416" s="402">
        <f t="shared" si="31"/>
        <v>7.5321428571428575</v>
      </c>
      <c r="M416" s="402">
        <f t="shared" si="32"/>
        <v>19.532142857142858</v>
      </c>
      <c r="N416" s="174"/>
      <c r="O416" s="173">
        <f t="shared" si="33"/>
        <v>27.344999999999999</v>
      </c>
      <c r="P416" s="173">
        <v>45</v>
      </c>
    </row>
    <row r="417" spans="1:16" hidden="1" x14ac:dyDescent="0.35">
      <c r="A417"/>
      <c r="B417" s="233" t="s">
        <v>186</v>
      </c>
      <c r="C417" s="233" t="s">
        <v>186</v>
      </c>
      <c r="F417" s="366" t="s">
        <v>407</v>
      </c>
      <c r="G417" s="245" t="s">
        <v>625</v>
      </c>
      <c r="I417" s="173">
        <v>12</v>
      </c>
      <c r="J417">
        <v>1120</v>
      </c>
      <c r="K417" s="173">
        <f t="shared" si="30"/>
        <v>703</v>
      </c>
      <c r="L417" s="402">
        <f t="shared" si="31"/>
        <v>7.5321428571428575</v>
      </c>
      <c r="M417" s="402">
        <f t="shared" si="32"/>
        <v>19.532142857142858</v>
      </c>
      <c r="N417" s="174"/>
      <c r="O417" s="173">
        <f t="shared" si="33"/>
        <v>27.344999999999999</v>
      </c>
      <c r="P417" s="173">
        <v>45</v>
      </c>
    </row>
    <row r="418" spans="1:16" hidden="1" x14ac:dyDescent="0.35">
      <c r="A418"/>
      <c r="B418" s="233" t="s">
        <v>186</v>
      </c>
      <c r="C418" s="233" t="s">
        <v>186</v>
      </c>
      <c r="F418" s="366" t="s">
        <v>409</v>
      </c>
      <c r="G418" s="245" t="s">
        <v>625</v>
      </c>
      <c r="I418" s="173">
        <v>12</v>
      </c>
      <c r="J418">
        <v>1120</v>
      </c>
      <c r="K418" s="173">
        <f t="shared" si="30"/>
        <v>703</v>
      </c>
      <c r="L418" s="402">
        <f t="shared" si="31"/>
        <v>7.5321428571428575</v>
      </c>
      <c r="M418" s="402">
        <f t="shared" si="32"/>
        <v>19.532142857142858</v>
      </c>
      <c r="N418" s="174"/>
      <c r="O418" s="173">
        <f t="shared" si="33"/>
        <v>27.344999999999999</v>
      </c>
      <c r="P418" s="173">
        <v>45</v>
      </c>
    </row>
    <row r="419" spans="1:16" hidden="1" x14ac:dyDescent="0.35">
      <c r="A419"/>
      <c r="G419" s="387" t="s">
        <v>247</v>
      </c>
      <c r="H419" s="387"/>
      <c r="K419" s="173">
        <f t="shared" si="30"/>
        <v>703</v>
      </c>
      <c r="L419" s="402"/>
      <c r="M419" s="402"/>
      <c r="N419" s="174"/>
    </row>
    <row r="420" spans="1:16" hidden="1" x14ac:dyDescent="0.35">
      <c r="A420"/>
      <c r="B420" s="233" t="s">
        <v>1065</v>
      </c>
      <c r="C420" s="233" t="s">
        <v>1065</v>
      </c>
      <c r="F420" s="366">
        <v>46</v>
      </c>
      <c r="G420" s="245" t="s">
        <v>1152</v>
      </c>
      <c r="I420" s="173">
        <v>38</v>
      </c>
      <c r="J420">
        <v>1120</v>
      </c>
      <c r="K420" s="173">
        <f t="shared" si="30"/>
        <v>703</v>
      </c>
      <c r="L420" s="402">
        <f t="shared" ref="L420:L427" si="34">+I420/J420*K420</f>
        <v>23.851785714285711</v>
      </c>
      <c r="M420" s="402">
        <f t="shared" ref="M420:M427" si="35">+I420+L420</f>
        <v>61.851785714285711</v>
      </c>
      <c r="N420" s="174"/>
      <c r="O420" s="173">
        <f t="shared" ref="O420:O427" si="36">+M420*1.4</f>
        <v>86.592499999999987</v>
      </c>
      <c r="P420" s="173">
        <v>125</v>
      </c>
    </row>
    <row r="421" spans="1:16" hidden="1" x14ac:dyDescent="0.35">
      <c r="A421"/>
      <c r="B421" s="233" t="s">
        <v>1065</v>
      </c>
      <c r="C421" s="233" t="s">
        <v>1065</v>
      </c>
      <c r="F421" s="366">
        <v>48</v>
      </c>
      <c r="G421" s="245" t="s">
        <v>1152</v>
      </c>
      <c r="I421" s="173">
        <v>38</v>
      </c>
      <c r="J421">
        <v>1120</v>
      </c>
      <c r="K421" s="173">
        <f t="shared" si="30"/>
        <v>703</v>
      </c>
      <c r="L421" s="402">
        <f t="shared" si="34"/>
        <v>23.851785714285711</v>
      </c>
      <c r="M421" s="402">
        <f t="shared" si="35"/>
        <v>61.851785714285711</v>
      </c>
      <c r="N421" s="174"/>
      <c r="O421" s="173">
        <f t="shared" si="36"/>
        <v>86.592499999999987</v>
      </c>
      <c r="P421" s="173">
        <v>125</v>
      </c>
    </row>
    <row r="422" spans="1:16" hidden="1" x14ac:dyDescent="0.35">
      <c r="A422"/>
      <c r="B422" s="233" t="s">
        <v>1065</v>
      </c>
      <c r="C422" s="233" t="s">
        <v>1065</v>
      </c>
      <c r="F422" s="366">
        <v>48</v>
      </c>
      <c r="G422" s="245" t="s">
        <v>1152</v>
      </c>
      <c r="I422" s="173">
        <v>38</v>
      </c>
      <c r="J422">
        <v>1120</v>
      </c>
      <c r="K422" s="173">
        <f t="shared" si="30"/>
        <v>703</v>
      </c>
      <c r="L422" s="402">
        <f t="shared" si="34"/>
        <v>23.851785714285711</v>
      </c>
      <c r="M422" s="402">
        <f t="shared" si="35"/>
        <v>61.851785714285711</v>
      </c>
      <c r="N422" s="174"/>
      <c r="O422" s="173">
        <f t="shared" si="36"/>
        <v>86.592499999999987</v>
      </c>
      <c r="P422" s="173">
        <v>125</v>
      </c>
    </row>
    <row r="423" spans="1:16" hidden="1" x14ac:dyDescent="0.35">
      <c r="A423"/>
      <c r="B423" s="233" t="s">
        <v>1065</v>
      </c>
      <c r="C423" s="233" t="s">
        <v>1065</v>
      </c>
      <c r="F423" s="366">
        <v>50</v>
      </c>
      <c r="G423" s="245" t="s">
        <v>1152</v>
      </c>
      <c r="I423" s="173">
        <v>38</v>
      </c>
      <c r="J423">
        <v>1120</v>
      </c>
      <c r="K423" s="173">
        <f t="shared" si="30"/>
        <v>703</v>
      </c>
      <c r="L423" s="402">
        <f t="shared" si="34"/>
        <v>23.851785714285711</v>
      </c>
      <c r="M423" s="402">
        <f t="shared" si="35"/>
        <v>61.851785714285711</v>
      </c>
      <c r="N423" s="174"/>
      <c r="O423" s="173">
        <f t="shared" si="36"/>
        <v>86.592499999999987</v>
      </c>
      <c r="P423" s="173">
        <v>125</v>
      </c>
    </row>
    <row r="424" spans="1:16" hidden="1" x14ac:dyDescent="0.35">
      <c r="A424"/>
      <c r="B424" s="233" t="s">
        <v>1065</v>
      </c>
      <c r="C424" s="233" t="s">
        <v>1065</v>
      </c>
      <c r="F424" s="366">
        <v>46</v>
      </c>
      <c r="G424" s="245" t="s">
        <v>1153</v>
      </c>
      <c r="I424" s="173">
        <v>38</v>
      </c>
      <c r="J424">
        <v>1120</v>
      </c>
      <c r="K424" s="173">
        <f t="shared" si="30"/>
        <v>703</v>
      </c>
      <c r="L424" s="402">
        <f t="shared" si="34"/>
        <v>23.851785714285711</v>
      </c>
      <c r="M424" s="402">
        <f t="shared" si="35"/>
        <v>61.851785714285711</v>
      </c>
      <c r="N424" s="174"/>
      <c r="O424" s="173">
        <f t="shared" si="36"/>
        <v>86.592499999999987</v>
      </c>
      <c r="P424" s="173">
        <v>125</v>
      </c>
    </row>
    <row r="425" spans="1:16" hidden="1" x14ac:dyDescent="0.35">
      <c r="A425"/>
      <c r="B425" s="233" t="s">
        <v>1065</v>
      </c>
      <c r="C425" s="233" t="s">
        <v>1065</v>
      </c>
      <c r="F425" s="366">
        <v>48</v>
      </c>
      <c r="G425" s="245" t="s">
        <v>1153</v>
      </c>
      <c r="I425" s="173">
        <v>38</v>
      </c>
      <c r="J425">
        <v>1120</v>
      </c>
      <c r="K425" s="173">
        <f t="shared" si="30"/>
        <v>703</v>
      </c>
      <c r="L425" s="402">
        <f t="shared" si="34"/>
        <v>23.851785714285711</v>
      </c>
      <c r="M425" s="402">
        <f t="shared" si="35"/>
        <v>61.851785714285711</v>
      </c>
      <c r="N425" s="174"/>
      <c r="O425" s="173">
        <f t="shared" si="36"/>
        <v>86.592499999999987</v>
      </c>
      <c r="P425" s="173">
        <v>125</v>
      </c>
    </row>
    <row r="426" spans="1:16" hidden="1" x14ac:dyDescent="0.35">
      <c r="A426"/>
      <c r="B426" s="233" t="s">
        <v>1065</v>
      </c>
      <c r="C426" s="233" t="s">
        <v>1065</v>
      </c>
      <c r="F426" s="366">
        <v>48</v>
      </c>
      <c r="G426" s="245" t="s">
        <v>1153</v>
      </c>
      <c r="I426" s="173">
        <v>38</v>
      </c>
      <c r="J426">
        <v>1120</v>
      </c>
      <c r="K426" s="173">
        <f t="shared" si="30"/>
        <v>703</v>
      </c>
      <c r="L426" s="402">
        <f t="shared" si="34"/>
        <v>23.851785714285711</v>
      </c>
      <c r="M426" s="402">
        <f t="shared" si="35"/>
        <v>61.851785714285711</v>
      </c>
      <c r="N426" s="174"/>
      <c r="O426" s="173">
        <f t="shared" si="36"/>
        <v>86.592499999999987</v>
      </c>
      <c r="P426" s="173">
        <v>125</v>
      </c>
    </row>
    <row r="427" spans="1:16" hidden="1" x14ac:dyDescent="0.35">
      <c r="A427"/>
      <c r="B427" s="233" t="s">
        <v>1065</v>
      </c>
      <c r="C427" s="233" t="s">
        <v>1065</v>
      </c>
      <c r="F427" s="366">
        <v>50</v>
      </c>
      <c r="G427" s="245" t="s">
        <v>1153</v>
      </c>
      <c r="I427" s="173">
        <v>38</v>
      </c>
      <c r="J427">
        <v>1120</v>
      </c>
      <c r="K427" s="173">
        <f t="shared" si="30"/>
        <v>703</v>
      </c>
      <c r="L427" s="402">
        <f t="shared" si="34"/>
        <v>23.851785714285711</v>
      </c>
      <c r="M427" s="402">
        <f t="shared" si="35"/>
        <v>61.851785714285711</v>
      </c>
      <c r="N427" s="174"/>
      <c r="O427" s="173">
        <f t="shared" si="36"/>
        <v>86.592499999999987</v>
      </c>
      <c r="P427" s="173">
        <v>125</v>
      </c>
    </row>
    <row r="428" spans="1:16" hidden="1" x14ac:dyDescent="0.35">
      <c r="A428"/>
      <c r="L428" s="402"/>
      <c r="M428" s="402"/>
      <c r="N428" s="174"/>
    </row>
    <row r="429" spans="1:16" hidden="1" x14ac:dyDescent="0.35">
      <c r="A429"/>
      <c r="B429" s="3" t="s">
        <v>1154</v>
      </c>
      <c r="C429" s="233" t="s">
        <v>1155</v>
      </c>
      <c r="F429" s="366">
        <v>42</v>
      </c>
      <c r="G429" s="245" t="s">
        <v>1156</v>
      </c>
      <c r="I429" s="173">
        <v>35</v>
      </c>
      <c r="J429">
        <v>735</v>
      </c>
      <c r="K429" s="173">
        <f>20*16</f>
        <v>320</v>
      </c>
      <c r="L429" s="402">
        <f t="shared" ref="L429:L449" si="37">+I429/J429*K429</f>
        <v>15.238095238095237</v>
      </c>
      <c r="M429" s="402">
        <f t="shared" ref="M429:M449" si="38">+I429+L429</f>
        <v>50.238095238095241</v>
      </c>
      <c r="N429" s="174"/>
      <c r="O429" s="173">
        <f t="shared" ref="O429:O449" si="39">+M429*1.4</f>
        <v>70.333333333333329</v>
      </c>
      <c r="P429" s="173">
        <v>110</v>
      </c>
    </row>
    <row r="430" spans="1:16" hidden="1" x14ac:dyDescent="0.35">
      <c r="A430"/>
      <c r="B430" s="3" t="s">
        <v>1154</v>
      </c>
      <c r="C430" s="233" t="s">
        <v>1155</v>
      </c>
      <c r="F430" s="366">
        <v>44</v>
      </c>
      <c r="G430" s="245" t="s">
        <v>1156</v>
      </c>
      <c r="I430" s="173">
        <v>35</v>
      </c>
      <c r="J430">
        <v>735</v>
      </c>
      <c r="K430" s="173">
        <f t="shared" ref="K430:K449" si="40">20*16</f>
        <v>320</v>
      </c>
      <c r="L430" s="402">
        <f t="shared" si="37"/>
        <v>15.238095238095237</v>
      </c>
      <c r="M430" s="402">
        <f t="shared" si="38"/>
        <v>50.238095238095241</v>
      </c>
      <c r="N430" s="174"/>
      <c r="O430" s="173">
        <f t="shared" si="39"/>
        <v>70.333333333333329</v>
      </c>
      <c r="P430" s="173">
        <v>110</v>
      </c>
    </row>
    <row r="431" spans="1:16" hidden="1" x14ac:dyDescent="0.35">
      <c r="A431"/>
      <c r="B431" s="3" t="s">
        <v>1154</v>
      </c>
      <c r="C431" s="233" t="s">
        <v>1155</v>
      </c>
      <c r="F431" s="366">
        <v>46</v>
      </c>
      <c r="G431" s="245" t="s">
        <v>1156</v>
      </c>
      <c r="I431" s="173">
        <v>35</v>
      </c>
      <c r="J431">
        <v>735</v>
      </c>
      <c r="K431" s="173">
        <f t="shared" si="40"/>
        <v>320</v>
      </c>
      <c r="L431" s="402">
        <f t="shared" si="37"/>
        <v>15.238095238095237</v>
      </c>
      <c r="M431" s="402">
        <f t="shared" si="38"/>
        <v>50.238095238095241</v>
      </c>
      <c r="N431" s="174"/>
      <c r="O431" s="173">
        <f t="shared" si="39"/>
        <v>70.333333333333329</v>
      </c>
      <c r="P431" s="173">
        <v>110</v>
      </c>
    </row>
    <row r="432" spans="1:16" hidden="1" x14ac:dyDescent="0.35">
      <c r="A432"/>
      <c r="B432" s="3" t="s">
        <v>1154</v>
      </c>
      <c r="C432" s="233" t="s">
        <v>1155</v>
      </c>
      <c r="F432" s="366">
        <v>48</v>
      </c>
      <c r="G432" s="245" t="s">
        <v>1156</v>
      </c>
      <c r="I432" s="173">
        <v>35</v>
      </c>
      <c r="J432">
        <v>735</v>
      </c>
      <c r="K432" s="173">
        <f t="shared" si="40"/>
        <v>320</v>
      </c>
      <c r="L432" s="402">
        <f t="shared" si="37"/>
        <v>15.238095238095237</v>
      </c>
      <c r="M432" s="402">
        <f t="shared" si="38"/>
        <v>50.238095238095241</v>
      </c>
      <c r="N432" s="174"/>
      <c r="O432" s="173">
        <f t="shared" si="39"/>
        <v>70.333333333333329</v>
      </c>
      <c r="P432" s="173">
        <v>110</v>
      </c>
    </row>
    <row r="433" spans="1:16" hidden="1" x14ac:dyDescent="0.35">
      <c r="A433"/>
      <c r="B433" s="3" t="s">
        <v>1154</v>
      </c>
      <c r="C433" s="233" t="s">
        <v>1155</v>
      </c>
      <c r="F433" s="366">
        <v>50</v>
      </c>
      <c r="G433" s="245" t="s">
        <v>1156</v>
      </c>
      <c r="I433" s="173">
        <v>35</v>
      </c>
      <c r="J433">
        <v>735</v>
      </c>
      <c r="K433" s="173">
        <f t="shared" si="40"/>
        <v>320</v>
      </c>
      <c r="L433" s="402">
        <f t="shared" si="37"/>
        <v>15.238095238095237</v>
      </c>
      <c r="M433" s="402">
        <f t="shared" si="38"/>
        <v>50.238095238095241</v>
      </c>
      <c r="N433" s="174"/>
      <c r="O433" s="173">
        <f t="shared" si="39"/>
        <v>70.333333333333329</v>
      </c>
      <c r="P433" s="173">
        <v>110</v>
      </c>
    </row>
    <row r="434" spans="1:16" hidden="1" x14ac:dyDescent="0.35">
      <c r="A434"/>
      <c r="B434" s="3" t="s">
        <v>1154</v>
      </c>
      <c r="C434" s="233" t="s">
        <v>1155</v>
      </c>
      <c r="F434" s="366">
        <v>52</v>
      </c>
      <c r="G434" s="245" t="s">
        <v>1156</v>
      </c>
      <c r="I434" s="173">
        <v>35</v>
      </c>
      <c r="J434">
        <v>735</v>
      </c>
      <c r="K434" s="173">
        <f t="shared" si="40"/>
        <v>320</v>
      </c>
      <c r="L434" s="402">
        <f t="shared" si="37"/>
        <v>15.238095238095237</v>
      </c>
      <c r="M434" s="402">
        <f t="shared" si="38"/>
        <v>50.238095238095241</v>
      </c>
      <c r="N434" s="174"/>
      <c r="O434" s="173">
        <f t="shared" si="39"/>
        <v>70.333333333333329</v>
      </c>
      <c r="P434" s="173">
        <v>110</v>
      </c>
    </row>
    <row r="435" spans="1:16" hidden="1" x14ac:dyDescent="0.35">
      <c r="A435"/>
      <c r="B435" s="3" t="s">
        <v>1154</v>
      </c>
      <c r="C435" s="233" t="s">
        <v>1155</v>
      </c>
      <c r="F435" s="366">
        <v>54</v>
      </c>
      <c r="G435" s="245" t="s">
        <v>1156</v>
      </c>
      <c r="I435" s="173">
        <v>35</v>
      </c>
      <c r="J435">
        <v>735</v>
      </c>
      <c r="K435" s="173">
        <f t="shared" si="40"/>
        <v>320</v>
      </c>
      <c r="L435" s="402">
        <f t="shared" si="37"/>
        <v>15.238095238095237</v>
      </c>
      <c r="M435" s="402">
        <f t="shared" si="38"/>
        <v>50.238095238095241</v>
      </c>
      <c r="N435" s="174"/>
      <c r="O435" s="173">
        <f t="shared" si="39"/>
        <v>70.333333333333329</v>
      </c>
      <c r="P435" s="173">
        <v>110</v>
      </c>
    </row>
    <row r="436" spans="1:16" hidden="1" x14ac:dyDescent="0.35">
      <c r="A436"/>
      <c r="B436" s="3" t="s">
        <v>1154</v>
      </c>
      <c r="C436" s="233" t="s">
        <v>1155</v>
      </c>
      <c r="F436" s="366">
        <v>42</v>
      </c>
      <c r="G436" s="245" t="s">
        <v>1157</v>
      </c>
      <c r="I436" s="173">
        <v>35</v>
      </c>
      <c r="J436">
        <v>735</v>
      </c>
      <c r="K436" s="173">
        <f t="shared" si="40"/>
        <v>320</v>
      </c>
      <c r="L436" s="402">
        <f t="shared" si="37"/>
        <v>15.238095238095237</v>
      </c>
      <c r="M436" s="402">
        <f t="shared" si="38"/>
        <v>50.238095238095241</v>
      </c>
      <c r="N436" s="174"/>
      <c r="O436" s="173">
        <f t="shared" si="39"/>
        <v>70.333333333333329</v>
      </c>
      <c r="P436" s="173">
        <v>110</v>
      </c>
    </row>
    <row r="437" spans="1:16" hidden="1" x14ac:dyDescent="0.35">
      <c r="A437"/>
      <c r="B437" s="3" t="s">
        <v>1154</v>
      </c>
      <c r="C437" s="233" t="s">
        <v>1155</v>
      </c>
      <c r="F437" s="366">
        <v>44</v>
      </c>
      <c r="G437" s="245" t="s">
        <v>1157</v>
      </c>
      <c r="I437" s="173">
        <v>35</v>
      </c>
      <c r="J437">
        <v>735</v>
      </c>
      <c r="K437" s="173">
        <f t="shared" si="40"/>
        <v>320</v>
      </c>
      <c r="L437" s="402">
        <f t="shared" si="37"/>
        <v>15.238095238095237</v>
      </c>
      <c r="M437" s="402">
        <f t="shared" si="38"/>
        <v>50.238095238095241</v>
      </c>
      <c r="N437" s="174"/>
      <c r="O437" s="173">
        <f t="shared" si="39"/>
        <v>70.333333333333329</v>
      </c>
      <c r="P437" s="173">
        <v>110</v>
      </c>
    </row>
    <row r="438" spans="1:16" hidden="1" x14ac:dyDescent="0.35">
      <c r="A438"/>
      <c r="B438" s="3" t="s">
        <v>1154</v>
      </c>
      <c r="C438" s="233" t="s">
        <v>1155</v>
      </c>
      <c r="F438" s="366">
        <v>46</v>
      </c>
      <c r="G438" s="245" t="s">
        <v>1157</v>
      </c>
      <c r="I438" s="173">
        <v>35</v>
      </c>
      <c r="J438">
        <v>735</v>
      </c>
      <c r="K438" s="173">
        <f t="shared" si="40"/>
        <v>320</v>
      </c>
      <c r="L438" s="402">
        <f t="shared" si="37"/>
        <v>15.238095238095237</v>
      </c>
      <c r="M438" s="402">
        <f t="shared" si="38"/>
        <v>50.238095238095241</v>
      </c>
      <c r="N438" s="174"/>
      <c r="O438" s="173">
        <f t="shared" si="39"/>
        <v>70.333333333333329</v>
      </c>
      <c r="P438" s="173">
        <v>110</v>
      </c>
    </row>
    <row r="439" spans="1:16" hidden="1" x14ac:dyDescent="0.35">
      <c r="A439"/>
      <c r="B439" s="3" t="s">
        <v>1154</v>
      </c>
      <c r="C439" s="233" t="s">
        <v>1155</v>
      </c>
      <c r="F439" s="366">
        <v>48</v>
      </c>
      <c r="G439" s="245" t="s">
        <v>1157</v>
      </c>
      <c r="I439" s="173">
        <v>35</v>
      </c>
      <c r="J439">
        <v>735</v>
      </c>
      <c r="K439" s="173">
        <f t="shared" si="40"/>
        <v>320</v>
      </c>
      <c r="L439" s="402">
        <f t="shared" si="37"/>
        <v>15.238095238095237</v>
      </c>
      <c r="M439" s="402">
        <f t="shared" si="38"/>
        <v>50.238095238095241</v>
      </c>
      <c r="N439" s="174"/>
      <c r="O439" s="173">
        <f t="shared" si="39"/>
        <v>70.333333333333329</v>
      </c>
      <c r="P439" s="173">
        <v>110</v>
      </c>
    </row>
    <row r="440" spans="1:16" hidden="1" x14ac:dyDescent="0.35">
      <c r="A440"/>
      <c r="B440" s="3" t="s">
        <v>1154</v>
      </c>
      <c r="C440" s="233" t="s">
        <v>1155</v>
      </c>
      <c r="F440" s="366">
        <v>50</v>
      </c>
      <c r="G440" s="245" t="s">
        <v>1157</v>
      </c>
      <c r="I440" s="173">
        <v>35</v>
      </c>
      <c r="J440">
        <v>735</v>
      </c>
      <c r="K440" s="173">
        <f t="shared" si="40"/>
        <v>320</v>
      </c>
      <c r="L440" s="402">
        <f t="shared" si="37"/>
        <v>15.238095238095237</v>
      </c>
      <c r="M440" s="402">
        <f t="shared" si="38"/>
        <v>50.238095238095241</v>
      </c>
      <c r="N440" s="174"/>
      <c r="O440" s="173">
        <f t="shared" si="39"/>
        <v>70.333333333333329</v>
      </c>
      <c r="P440" s="173">
        <v>110</v>
      </c>
    </row>
    <row r="441" spans="1:16" hidden="1" x14ac:dyDescent="0.35">
      <c r="A441"/>
      <c r="B441" s="3" t="s">
        <v>1154</v>
      </c>
      <c r="C441" s="233" t="s">
        <v>1155</v>
      </c>
      <c r="F441" s="366">
        <v>52</v>
      </c>
      <c r="G441" s="245" t="s">
        <v>1157</v>
      </c>
      <c r="I441" s="173">
        <v>35</v>
      </c>
      <c r="J441">
        <v>735</v>
      </c>
      <c r="K441" s="173">
        <f t="shared" si="40"/>
        <v>320</v>
      </c>
      <c r="L441" s="402">
        <f t="shared" si="37"/>
        <v>15.238095238095237</v>
      </c>
      <c r="M441" s="402">
        <f t="shared" si="38"/>
        <v>50.238095238095241</v>
      </c>
      <c r="N441" s="174"/>
      <c r="O441" s="173">
        <f t="shared" si="39"/>
        <v>70.333333333333329</v>
      </c>
      <c r="P441" s="173">
        <v>110</v>
      </c>
    </row>
    <row r="442" spans="1:16" hidden="1" x14ac:dyDescent="0.35">
      <c r="A442"/>
      <c r="B442" s="3" t="s">
        <v>1154</v>
      </c>
      <c r="C442" s="233" t="s">
        <v>1155</v>
      </c>
      <c r="F442" s="366">
        <v>54</v>
      </c>
      <c r="G442" s="245" t="s">
        <v>1157</v>
      </c>
      <c r="I442" s="173">
        <v>35</v>
      </c>
      <c r="J442">
        <v>735</v>
      </c>
      <c r="K442" s="173">
        <f t="shared" si="40"/>
        <v>320</v>
      </c>
      <c r="L442" s="402">
        <f t="shared" si="37"/>
        <v>15.238095238095237</v>
      </c>
      <c r="M442" s="402">
        <f t="shared" si="38"/>
        <v>50.238095238095241</v>
      </c>
      <c r="N442" s="174"/>
      <c r="O442" s="173">
        <f t="shared" si="39"/>
        <v>70.333333333333329</v>
      </c>
      <c r="P442" s="173">
        <v>110</v>
      </c>
    </row>
    <row r="443" spans="1:16" hidden="1" x14ac:dyDescent="0.35">
      <c r="A443"/>
      <c r="B443" s="3" t="s">
        <v>1154</v>
      </c>
      <c r="C443" s="233" t="s">
        <v>1155</v>
      </c>
      <c r="F443" s="366">
        <v>42</v>
      </c>
      <c r="G443" s="245" t="s">
        <v>1158</v>
      </c>
      <c r="I443" s="173">
        <v>35</v>
      </c>
      <c r="J443">
        <v>735</v>
      </c>
      <c r="K443" s="173">
        <f t="shared" si="40"/>
        <v>320</v>
      </c>
      <c r="L443" s="402">
        <f t="shared" si="37"/>
        <v>15.238095238095237</v>
      </c>
      <c r="M443" s="402">
        <f t="shared" si="38"/>
        <v>50.238095238095241</v>
      </c>
      <c r="N443" s="174"/>
      <c r="O443" s="173">
        <f t="shared" si="39"/>
        <v>70.333333333333329</v>
      </c>
      <c r="P443" s="173">
        <v>110</v>
      </c>
    </row>
    <row r="444" spans="1:16" hidden="1" x14ac:dyDescent="0.35">
      <c r="A444"/>
      <c r="B444" s="3" t="s">
        <v>1154</v>
      </c>
      <c r="C444" s="233" t="s">
        <v>1155</v>
      </c>
      <c r="F444" s="366">
        <v>44</v>
      </c>
      <c r="G444" s="245" t="s">
        <v>1158</v>
      </c>
      <c r="I444" s="173">
        <v>35</v>
      </c>
      <c r="J444">
        <v>735</v>
      </c>
      <c r="K444" s="173">
        <f t="shared" si="40"/>
        <v>320</v>
      </c>
      <c r="L444" s="402">
        <f t="shared" si="37"/>
        <v>15.238095238095237</v>
      </c>
      <c r="M444" s="402">
        <f t="shared" si="38"/>
        <v>50.238095238095241</v>
      </c>
      <c r="N444" s="174"/>
      <c r="O444" s="173">
        <f t="shared" si="39"/>
        <v>70.333333333333329</v>
      </c>
      <c r="P444" s="173">
        <v>110</v>
      </c>
    </row>
    <row r="445" spans="1:16" hidden="1" x14ac:dyDescent="0.35">
      <c r="A445"/>
      <c r="B445" s="3" t="s">
        <v>1154</v>
      </c>
      <c r="C445" s="233" t="s">
        <v>1155</v>
      </c>
      <c r="F445" s="366">
        <v>46</v>
      </c>
      <c r="G445" s="245" t="s">
        <v>1158</v>
      </c>
      <c r="I445" s="173">
        <v>35</v>
      </c>
      <c r="J445">
        <v>735</v>
      </c>
      <c r="K445" s="173">
        <f t="shared" si="40"/>
        <v>320</v>
      </c>
      <c r="L445" s="402">
        <f t="shared" si="37"/>
        <v>15.238095238095237</v>
      </c>
      <c r="M445" s="402">
        <f t="shared" si="38"/>
        <v>50.238095238095241</v>
      </c>
      <c r="N445" s="174"/>
      <c r="O445" s="173">
        <f t="shared" si="39"/>
        <v>70.333333333333329</v>
      </c>
      <c r="P445" s="173">
        <v>110</v>
      </c>
    </row>
    <row r="446" spans="1:16" hidden="1" x14ac:dyDescent="0.35">
      <c r="A446"/>
      <c r="B446" s="3" t="s">
        <v>1154</v>
      </c>
      <c r="C446" s="233" t="s">
        <v>1155</v>
      </c>
      <c r="F446" s="366">
        <v>48</v>
      </c>
      <c r="G446" s="245" t="s">
        <v>1158</v>
      </c>
      <c r="I446" s="173">
        <v>35</v>
      </c>
      <c r="J446">
        <v>735</v>
      </c>
      <c r="K446" s="173">
        <f t="shared" si="40"/>
        <v>320</v>
      </c>
      <c r="L446" s="402">
        <f t="shared" si="37"/>
        <v>15.238095238095237</v>
      </c>
      <c r="M446" s="402">
        <f t="shared" si="38"/>
        <v>50.238095238095241</v>
      </c>
      <c r="N446" s="174"/>
      <c r="O446" s="173">
        <f t="shared" si="39"/>
        <v>70.333333333333329</v>
      </c>
      <c r="P446" s="173">
        <v>110</v>
      </c>
    </row>
    <row r="447" spans="1:16" hidden="1" x14ac:dyDescent="0.35">
      <c r="A447"/>
      <c r="B447" s="3" t="s">
        <v>1154</v>
      </c>
      <c r="C447" s="233" t="s">
        <v>1155</v>
      </c>
      <c r="F447" s="366">
        <v>50</v>
      </c>
      <c r="G447" s="245" t="s">
        <v>1158</v>
      </c>
      <c r="I447" s="173">
        <v>35</v>
      </c>
      <c r="J447">
        <v>735</v>
      </c>
      <c r="K447" s="173">
        <f t="shared" si="40"/>
        <v>320</v>
      </c>
      <c r="L447" s="402">
        <f t="shared" si="37"/>
        <v>15.238095238095237</v>
      </c>
      <c r="M447" s="402">
        <f t="shared" si="38"/>
        <v>50.238095238095241</v>
      </c>
      <c r="N447" s="174"/>
      <c r="O447" s="173">
        <f t="shared" si="39"/>
        <v>70.333333333333329</v>
      </c>
      <c r="P447" s="173">
        <v>110</v>
      </c>
    </row>
    <row r="448" spans="1:16" hidden="1" x14ac:dyDescent="0.35">
      <c r="A448"/>
      <c r="B448" s="3" t="s">
        <v>1154</v>
      </c>
      <c r="C448" s="233" t="s">
        <v>1155</v>
      </c>
      <c r="F448" s="366">
        <v>52</v>
      </c>
      <c r="G448" s="245" t="s">
        <v>1158</v>
      </c>
      <c r="I448" s="173">
        <v>35</v>
      </c>
      <c r="J448">
        <v>735</v>
      </c>
      <c r="K448" s="173">
        <f t="shared" si="40"/>
        <v>320</v>
      </c>
      <c r="L448" s="402">
        <f t="shared" si="37"/>
        <v>15.238095238095237</v>
      </c>
      <c r="M448" s="402">
        <f t="shared" si="38"/>
        <v>50.238095238095241</v>
      </c>
      <c r="N448" s="174"/>
      <c r="O448" s="173">
        <f t="shared" si="39"/>
        <v>70.333333333333329</v>
      </c>
      <c r="P448" s="173">
        <v>110</v>
      </c>
    </row>
    <row r="449" spans="1:16" hidden="1" x14ac:dyDescent="0.35">
      <c r="A449"/>
      <c r="B449" s="3" t="s">
        <v>1154</v>
      </c>
      <c r="C449" s="233" t="s">
        <v>1155</v>
      </c>
      <c r="F449" s="366">
        <v>54</v>
      </c>
      <c r="G449" s="245" t="s">
        <v>1158</v>
      </c>
      <c r="I449" s="173">
        <v>35</v>
      </c>
      <c r="J449">
        <v>735</v>
      </c>
      <c r="K449" s="173">
        <f t="shared" si="40"/>
        <v>320</v>
      </c>
      <c r="L449" s="402">
        <f t="shared" si="37"/>
        <v>15.238095238095237</v>
      </c>
      <c r="M449" s="402">
        <f t="shared" si="38"/>
        <v>50.238095238095241</v>
      </c>
      <c r="N449" s="174"/>
      <c r="O449" s="173">
        <f t="shared" si="39"/>
        <v>70.333333333333329</v>
      </c>
      <c r="P449" s="173">
        <v>110</v>
      </c>
    </row>
    <row r="450" spans="1:16" hidden="1" x14ac:dyDescent="0.35">
      <c r="A450"/>
      <c r="L450" s="402"/>
      <c r="M450" s="402"/>
      <c r="N450" s="174"/>
    </row>
    <row r="451" spans="1:16" hidden="1" x14ac:dyDescent="0.35">
      <c r="A451"/>
      <c r="B451" s="3" t="s">
        <v>1119</v>
      </c>
      <c r="C451" s="233" t="s">
        <v>865</v>
      </c>
      <c r="G451" s="245" t="s">
        <v>1067</v>
      </c>
      <c r="I451" s="173">
        <v>15</v>
      </c>
      <c r="N451" s="174"/>
      <c r="O451" s="173">
        <v>45</v>
      </c>
      <c r="P451" s="173">
        <v>55</v>
      </c>
    </row>
    <row r="452" spans="1:16" hidden="1" x14ac:dyDescent="0.35">
      <c r="A452"/>
      <c r="B452" s="3" t="s">
        <v>1119</v>
      </c>
      <c r="C452" s="233" t="s">
        <v>865</v>
      </c>
      <c r="G452" s="245" t="s">
        <v>1067</v>
      </c>
      <c r="I452" s="173">
        <v>15</v>
      </c>
      <c r="N452" s="174"/>
      <c r="O452" s="173">
        <v>45</v>
      </c>
      <c r="P452" s="173">
        <v>55</v>
      </c>
    </row>
    <row r="453" spans="1:16" hidden="1" x14ac:dyDescent="0.35">
      <c r="A453"/>
      <c r="B453" s="3" t="s">
        <v>1119</v>
      </c>
      <c r="C453" s="233" t="s">
        <v>865</v>
      </c>
      <c r="G453" s="245" t="s">
        <v>1068</v>
      </c>
      <c r="I453" s="173">
        <v>15</v>
      </c>
      <c r="N453" s="174"/>
      <c r="O453" s="173">
        <v>45</v>
      </c>
      <c r="P453" s="173">
        <v>55</v>
      </c>
    </row>
    <row r="454" spans="1:16" hidden="1" x14ac:dyDescent="0.35">
      <c r="A454"/>
      <c r="B454" s="3" t="s">
        <v>1119</v>
      </c>
      <c r="C454" s="233" t="s">
        <v>865</v>
      </c>
      <c r="G454" s="245" t="s">
        <v>1068</v>
      </c>
      <c r="I454" s="173">
        <v>15</v>
      </c>
      <c r="N454" s="174"/>
      <c r="O454" s="173">
        <v>45</v>
      </c>
      <c r="P454" s="173">
        <v>55</v>
      </c>
    </row>
    <row r="455" spans="1:16" hidden="1" x14ac:dyDescent="0.35">
      <c r="A455"/>
      <c r="B455" s="3" t="s">
        <v>1119</v>
      </c>
      <c r="C455" s="233" t="s">
        <v>865</v>
      </c>
      <c r="G455" s="245" t="s">
        <v>1068</v>
      </c>
      <c r="I455" s="173">
        <v>15</v>
      </c>
      <c r="N455" s="174"/>
      <c r="O455" s="173">
        <v>45</v>
      </c>
      <c r="P455" s="173">
        <v>55</v>
      </c>
    </row>
    <row r="456" spans="1:16" hidden="1" x14ac:dyDescent="0.35">
      <c r="A456"/>
      <c r="B456" s="3" t="s">
        <v>1119</v>
      </c>
      <c r="C456" s="233" t="s">
        <v>865</v>
      </c>
      <c r="G456" s="245" t="s">
        <v>1068</v>
      </c>
      <c r="I456" s="173">
        <v>15</v>
      </c>
      <c r="N456" s="174"/>
      <c r="O456" s="173">
        <v>45</v>
      </c>
      <c r="P456" s="173">
        <v>55</v>
      </c>
    </row>
    <row r="457" spans="1:16" hidden="1" x14ac:dyDescent="0.35">
      <c r="A457"/>
      <c r="B457" s="3" t="s">
        <v>1119</v>
      </c>
      <c r="C457" s="233" t="s">
        <v>865</v>
      </c>
      <c r="G457" s="245" t="s">
        <v>1068</v>
      </c>
      <c r="I457" s="173">
        <v>15</v>
      </c>
      <c r="N457" s="174"/>
      <c r="O457" s="173">
        <v>45</v>
      </c>
      <c r="P457" s="173">
        <v>55</v>
      </c>
    </row>
    <row r="458" spans="1:16" s="3" customFormat="1" hidden="1" x14ac:dyDescent="0.35">
      <c r="C458" s="232"/>
      <c r="D458" s="232"/>
      <c r="F458" s="340"/>
      <c r="G458" s="256" t="s">
        <v>1295</v>
      </c>
      <c r="H458" s="256"/>
      <c r="I458" s="146">
        <f>SUM(I382:I457)</f>
        <v>1960</v>
      </c>
      <c r="K458" s="146"/>
      <c r="L458" s="146"/>
      <c r="M458" s="146"/>
      <c r="N458" s="481"/>
      <c r="O458" s="146"/>
      <c r="P458" s="146"/>
    </row>
    <row r="459" spans="1:16" s="3" customFormat="1" hidden="1" x14ac:dyDescent="0.35">
      <c r="C459" s="232"/>
      <c r="D459" s="232"/>
      <c r="F459" s="340"/>
      <c r="G459" s="256"/>
      <c r="H459" s="256"/>
      <c r="I459" s="146"/>
      <c r="K459" s="146"/>
      <c r="L459" s="146"/>
      <c r="M459" s="146"/>
      <c r="N459" s="481"/>
      <c r="O459" s="146"/>
      <c r="P459" s="146"/>
    </row>
    <row r="460" spans="1:16" hidden="1" x14ac:dyDescent="0.35">
      <c r="A460"/>
      <c r="G460" s="256" t="s">
        <v>1163</v>
      </c>
      <c r="H460" s="256"/>
      <c r="N460" s="174"/>
    </row>
    <row r="461" spans="1:16" hidden="1" x14ac:dyDescent="0.35">
      <c r="A461"/>
      <c r="C461" s="233" t="s">
        <v>944</v>
      </c>
      <c r="F461" s="366">
        <v>44</v>
      </c>
      <c r="G461" s="245" t="s">
        <v>1223</v>
      </c>
      <c r="I461" s="173">
        <v>31.5</v>
      </c>
      <c r="J461">
        <v>431</v>
      </c>
      <c r="K461" s="173">
        <v>120</v>
      </c>
      <c r="L461" s="402">
        <f t="shared" ref="L461:L475" si="41">+I461/J461*K461</f>
        <v>8.7703016241299316</v>
      </c>
      <c r="M461" s="173">
        <f t="shared" ref="M461:M475" si="42">+I461+L461</f>
        <v>40.270301624129928</v>
      </c>
      <c r="N461" s="174"/>
      <c r="O461" s="173">
        <f t="shared" ref="O461:O475" si="43">+M461*1.4</f>
        <v>56.378422273781894</v>
      </c>
      <c r="P461" s="173">
        <v>150</v>
      </c>
    </row>
    <row r="462" spans="1:16" hidden="1" x14ac:dyDescent="0.35">
      <c r="A462"/>
      <c r="C462" s="233" t="s">
        <v>944</v>
      </c>
      <c r="F462" s="366">
        <v>46</v>
      </c>
      <c r="G462" s="245" t="s">
        <v>1223</v>
      </c>
      <c r="I462" s="173">
        <v>32</v>
      </c>
      <c r="J462">
        <v>431</v>
      </c>
      <c r="K462" s="173">
        <v>120</v>
      </c>
      <c r="L462" s="402">
        <f t="shared" si="41"/>
        <v>8.9095127610208813</v>
      </c>
      <c r="M462" s="173">
        <f t="shared" si="42"/>
        <v>40.909512761020878</v>
      </c>
      <c r="N462" s="174"/>
      <c r="O462" s="173">
        <f t="shared" si="43"/>
        <v>57.273317865429227</v>
      </c>
      <c r="P462" s="173">
        <v>150</v>
      </c>
    </row>
    <row r="463" spans="1:16" hidden="1" x14ac:dyDescent="0.35">
      <c r="A463"/>
      <c r="C463" s="233" t="s">
        <v>944</v>
      </c>
      <c r="F463" s="366">
        <v>48</v>
      </c>
      <c r="G463" s="245" t="s">
        <v>1223</v>
      </c>
      <c r="I463" s="173">
        <v>32</v>
      </c>
      <c r="J463">
        <v>431</v>
      </c>
      <c r="K463" s="173">
        <v>120</v>
      </c>
      <c r="L463" s="402">
        <f t="shared" si="41"/>
        <v>8.9095127610208813</v>
      </c>
      <c r="M463" s="173">
        <f t="shared" si="42"/>
        <v>40.909512761020878</v>
      </c>
      <c r="N463" s="174"/>
      <c r="O463" s="173">
        <f t="shared" si="43"/>
        <v>57.273317865429227</v>
      </c>
      <c r="P463" s="173">
        <v>150</v>
      </c>
    </row>
    <row r="464" spans="1:16" hidden="1" x14ac:dyDescent="0.35">
      <c r="A464"/>
      <c r="C464" s="233" t="s">
        <v>944</v>
      </c>
      <c r="F464" s="366">
        <v>44</v>
      </c>
      <c r="G464" s="245" t="s">
        <v>1224</v>
      </c>
      <c r="I464" s="173">
        <v>37</v>
      </c>
      <c r="J464">
        <v>431</v>
      </c>
      <c r="K464" s="173">
        <v>120</v>
      </c>
      <c r="L464" s="402">
        <f t="shared" si="41"/>
        <v>10.301624129930394</v>
      </c>
      <c r="M464" s="173">
        <f t="shared" si="42"/>
        <v>47.301624129930396</v>
      </c>
      <c r="N464" s="174"/>
      <c r="O464" s="173">
        <f t="shared" si="43"/>
        <v>66.222273781902544</v>
      </c>
      <c r="P464" s="173">
        <v>150</v>
      </c>
    </row>
    <row r="465" spans="1:16" hidden="1" x14ac:dyDescent="0.35">
      <c r="A465"/>
      <c r="C465" s="233" t="s">
        <v>944</v>
      </c>
      <c r="F465" s="366">
        <v>46</v>
      </c>
      <c r="G465" s="245" t="s">
        <v>1224</v>
      </c>
      <c r="I465" s="173">
        <v>37</v>
      </c>
      <c r="J465">
        <v>431</v>
      </c>
      <c r="K465" s="173">
        <v>120</v>
      </c>
      <c r="L465" s="402">
        <f t="shared" si="41"/>
        <v>10.301624129930394</v>
      </c>
      <c r="M465" s="173">
        <f t="shared" si="42"/>
        <v>47.301624129930396</v>
      </c>
      <c r="N465" s="174"/>
      <c r="O465" s="173">
        <f t="shared" si="43"/>
        <v>66.222273781902544</v>
      </c>
      <c r="P465" s="173">
        <v>150</v>
      </c>
    </row>
    <row r="466" spans="1:16" hidden="1" x14ac:dyDescent="0.35">
      <c r="A466"/>
      <c r="C466" s="233" t="s">
        <v>944</v>
      </c>
      <c r="F466" s="366">
        <v>48</v>
      </c>
      <c r="G466" s="245" t="s">
        <v>1224</v>
      </c>
      <c r="I466" s="173">
        <v>37</v>
      </c>
      <c r="J466">
        <v>431</v>
      </c>
      <c r="K466" s="173">
        <v>120</v>
      </c>
      <c r="L466" s="402">
        <f t="shared" si="41"/>
        <v>10.301624129930394</v>
      </c>
      <c r="M466" s="173">
        <f t="shared" si="42"/>
        <v>47.301624129930396</v>
      </c>
      <c r="N466" s="174"/>
      <c r="O466" s="173">
        <f t="shared" si="43"/>
        <v>66.222273781902544</v>
      </c>
      <c r="P466" s="173">
        <v>150</v>
      </c>
    </row>
    <row r="467" spans="1:16" hidden="1" x14ac:dyDescent="0.35">
      <c r="A467"/>
      <c r="C467" s="233" t="s">
        <v>944</v>
      </c>
      <c r="F467" s="366">
        <v>44</v>
      </c>
      <c r="G467" s="245" t="s">
        <v>1225</v>
      </c>
      <c r="I467" s="173">
        <v>39</v>
      </c>
      <c r="J467">
        <v>431</v>
      </c>
      <c r="K467" s="173">
        <v>120</v>
      </c>
      <c r="L467" s="402">
        <f t="shared" si="41"/>
        <v>10.8584686774942</v>
      </c>
      <c r="M467" s="173">
        <f t="shared" si="42"/>
        <v>49.858468677494201</v>
      </c>
      <c r="N467" s="174"/>
      <c r="O467" s="173">
        <f t="shared" si="43"/>
        <v>69.801856148491879</v>
      </c>
      <c r="P467" s="173">
        <v>150</v>
      </c>
    </row>
    <row r="468" spans="1:16" hidden="1" x14ac:dyDescent="0.35">
      <c r="A468"/>
      <c r="C468" s="233" t="s">
        <v>944</v>
      </c>
      <c r="F468" s="366">
        <v>46</v>
      </c>
      <c r="G468" s="245" t="s">
        <v>1225</v>
      </c>
      <c r="I468" s="173">
        <v>39</v>
      </c>
      <c r="J468">
        <v>431</v>
      </c>
      <c r="K468" s="173">
        <v>120</v>
      </c>
      <c r="L468" s="402">
        <f t="shared" si="41"/>
        <v>10.8584686774942</v>
      </c>
      <c r="M468" s="173">
        <f t="shared" si="42"/>
        <v>49.858468677494201</v>
      </c>
      <c r="N468" s="174"/>
      <c r="O468" s="173">
        <f t="shared" si="43"/>
        <v>69.801856148491879</v>
      </c>
      <c r="P468" s="173">
        <v>150</v>
      </c>
    </row>
    <row r="469" spans="1:16" hidden="1" x14ac:dyDescent="0.35">
      <c r="A469"/>
      <c r="C469" s="233" t="s">
        <v>944</v>
      </c>
      <c r="F469" s="366">
        <v>48</v>
      </c>
      <c r="G469" s="245" t="s">
        <v>1225</v>
      </c>
      <c r="I469" s="173">
        <v>39</v>
      </c>
      <c r="J469">
        <v>431</v>
      </c>
      <c r="K469" s="173">
        <v>120</v>
      </c>
      <c r="L469" s="402">
        <f t="shared" si="41"/>
        <v>10.8584686774942</v>
      </c>
      <c r="M469" s="173">
        <f t="shared" si="42"/>
        <v>49.858468677494201</v>
      </c>
      <c r="N469" s="174"/>
      <c r="O469" s="173">
        <f t="shared" si="43"/>
        <v>69.801856148491879</v>
      </c>
      <c r="P469" s="173">
        <v>150</v>
      </c>
    </row>
    <row r="470" spans="1:16" hidden="1" x14ac:dyDescent="0.35">
      <c r="A470"/>
      <c r="B470" s="233" t="s">
        <v>583</v>
      </c>
      <c r="C470" s="233" t="s">
        <v>583</v>
      </c>
      <c r="F470" s="366">
        <v>46</v>
      </c>
      <c r="G470" s="245" t="s">
        <v>935</v>
      </c>
      <c r="I470" s="173">
        <v>60</v>
      </c>
      <c r="J470">
        <v>360</v>
      </c>
      <c r="K470" s="173">
        <v>200</v>
      </c>
      <c r="L470" s="402">
        <f t="shared" si="41"/>
        <v>33.333333333333329</v>
      </c>
      <c r="M470" s="173">
        <f t="shared" si="42"/>
        <v>93.333333333333329</v>
      </c>
      <c r="N470" s="174"/>
      <c r="O470" s="173">
        <f t="shared" si="43"/>
        <v>130.66666666666666</v>
      </c>
      <c r="P470" s="173">
        <v>150</v>
      </c>
    </row>
    <row r="471" spans="1:16" hidden="1" x14ac:dyDescent="0.35">
      <c r="A471"/>
      <c r="B471" s="233" t="s">
        <v>583</v>
      </c>
      <c r="C471" s="233" t="s">
        <v>583</v>
      </c>
      <c r="F471" s="366">
        <v>48</v>
      </c>
      <c r="G471" s="245" t="s">
        <v>935</v>
      </c>
      <c r="I471" s="173">
        <v>60</v>
      </c>
      <c r="J471">
        <v>360</v>
      </c>
      <c r="K471" s="173">
        <v>200</v>
      </c>
      <c r="L471" s="402">
        <f t="shared" si="41"/>
        <v>33.333333333333329</v>
      </c>
      <c r="M471" s="173">
        <f t="shared" si="42"/>
        <v>93.333333333333329</v>
      </c>
      <c r="N471" s="174"/>
      <c r="O471" s="173">
        <f t="shared" si="43"/>
        <v>130.66666666666666</v>
      </c>
      <c r="P471" s="173">
        <v>150</v>
      </c>
    </row>
    <row r="472" spans="1:16" hidden="1" x14ac:dyDescent="0.35">
      <c r="A472"/>
      <c r="B472" s="233" t="s">
        <v>583</v>
      </c>
      <c r="C472" s="233" t="s">
        <v>583</v>
      </c>
      <c r="F472" s="366">
        <v>50</v>
      </c>
      <c r="G472" s="245" t="s">
        <v>935</v>
      </c>
      <c r="I472" s="173">
        <v>60</v>
      </c>
      <c r="J472">
        <v>360</v>
      </c>
      <c r="K472" s="173">
        <v>200</v>
      </c>
      <c r="L472" s="402">
        <f t="shared" si="41"/>
        <v>33.333333333333329</v>
      </c>
      <c r="M472" s="173">
        <f t="shared" si="42"/>
        <v>93.333333333333329</v>
      </c>
      <c r="N472" s="174"/>
      <c r="O472" s="173">
        <f t="shared" si="43"/>
        <v>130.66666666666666</v>
      </c>
      <c r="P472" s="173">
        <v>150</v>
      </c>
    </row>
    <row r="473" spans="1:16" hidden="1" x14ac:dyDescent="0.35">
      <c r="A473"/>
      <c r="B473" s="233" t="s">
        <v>583</v>
      </c>
      <c r="C473" s="233" t="s">
        <v>583</v>
      </c>
      <c r="F473" s="366">
        <v>46</v>
      </c>
      <c r="G473" s="245" t="s">
        <v>1230</v>
      </c>
      <c r="I473" s="173">
        <v>60</v>
      </c>
      <c r="J473">
        <v>360</v>
      </c>
      <c r="K473" s="173">
        <v>200</v>
      </c>
      <c r="L473" s="402">
        <f t="shared" si="41"/>
        <v>33.333333333333329</v>
      </c>
      <c r="M473" s="173">
        <f t="shared" si="42"/>
        <v>93.333333333333329</v>
      </c>
      <c r="N473" s="174"/>
      <c r="O473" s="173">
        <f t="shared" si="43"/>
        <v>130.66666666666666</v>
      </c>
      <c r="P473" s="173">
        <v>150</v>
      </c>
    </row>
    <row r="474" spans="1:16" hidden="1" x14ac:dyDescent="0.35">
      <c r="A474"/>
      <c r="B474" s="233" t="s">
        <v>583</v>
      </c>
      <c r="C474" s="233" t="s">
        <v>583</v>
      </c>
      <c r="F474" s="366">
        <v>48</v>
      </c>
      <c r="G474" s="245" t="s">
        <v>1230</v>
      </c>
      <c r="I474" s="173">
        <v>60</v>
      </c>
      <c r="J474">
        <v>360</v>
      </c>
      <c r="K474" s="173">
        <v>200</v>
      </c>
      <c r="L474" s="402">
        <f t="shared" si="41"/>
        <v>33.333333333333329</v>
      </c>
      <c r="M474" s="173">
        <f t="shared" si="42"/>
        <v>93.333333333333329</v>
      </c>
      <c r="N474" s="174"/>
      <c r="O474" s="173">
        <f t="shared" si="43"/>
        <v>130.66666666666666</v>
      </c>
      <c r="P474" s="173">
        <v>150</v>
      </c>
    </row>
    <row r="475" spans="1:16" hidden="1" x14ac:dyDescent="0.35">
      <c r="A475"/>
      <c r="B475" s="233" t="s">
        <v>583</v>
      </c>
      <c r="C475" s="233" t="s">
        <v>583</v>
      </c>
      <c r="F475" s="366">
        <v>50</v>
      </c>
      <c r="G475" s="245" t="s">
        <v>1230</v>
      </c>
      <c r="I475" s="173">
        <v>60</v>
      </c>
      <c r="J475">
        <v>360</v>
      </c>
      <c r="K475" s="173">
        <v>200</v>
      </c>
      <c r="L475" s="402">
        <f t="shared" si="41"/>
        <v>33.333333333333329</v>
      </c>
      <c r="M475" s="173">
        <f t="shared" si="42"/>
        <v>93.333333333333329</v>
      </c>
      <c r="N475" s="174"/>
      <c r="O475" s="173">
        <f t="shared" si="43"/>
        <v>130.66666666666666</v>
      </c>
      <c r="P475" s="173">
        <v>150</v>
      </c>
    </row>
    <row r="476" spans="1:16" hidden="1" x14ac:dyDescent="0.35">
      <c r="A476"/>
      <c r="B476" s="233"/>
      <c r="L476" s="402"/>
      <c r="N476" s="174"/>
    </row>
    <row r="477" spans="1:16" s="3" customFormat="1" hidden="1" x14ac:dyDescent="0.35">
      <c r="B477" s="232"/>
      <c r="C477" s="232"/>
      <c r="D477" s="232"/>
      <c r="F477" s="340"/>
      <c r="G477" s="256" t="s">
        <v>1290</v>
      </c>
      <c r="H477" s="256"/>
      <c r="I477" s="146">
        <f>SUM(I461:I476)</f>
        <v>683.5</v>
      </c>
      <c r="K477" s="146"/>
      <c r="L477" s="400"/>
      <c r="M477" s="146"/>
      <c r="N477" s="481"/>
      <c r="O477" s="146"/>
      <c r="P477" s="146"/>
    </row>
    <row r="478" spans="1:16" hidden="1" x14ac:dyDescent="0.35">
      <c r="A478"/>
      <c r="G478" s="256" t="s">
        <v>1166</v>
      </c>
      <c r="H478" s="256"/>
      <c r="N478" s="174"/>
    </row>
    <row r="479" spans="1:16" hidden="1" x14ac:dyDescent="0.35">
      <c r="A479"/>
      <c r="C479" s="233" t="s">
        <v>1167</v>
      </c>
      <c r="F479" s="366">
        <v>44</v>
      </c>
      <c r="G479" s="245" t="s">
        <v>1168</v>
      </c>
      <c r="I479" s="173">
        <v>58</v>
      </c>
      <c r="J479">
        <v>232</v>
      </c>
      <c r="K479" s="173">
        <v>90</v>
      </c>
      <c r="L479" s="402">
        <f>+I479/J479*K479</f>
        <v>22.5</v>
      </c>
      <c r="M479" s="173">
        <f>+I479+L479</f>
        <v>80.5</v>
      </c>
      <c r="N479" s="174"/>
      <c r="O479" s="173">
        <f>+M479*1.4</f>
        <v>112.69999999999999</v>
      </c>
      <c r="P479" s="173">
        <v>125</v>
      </c>
    </row>
    <row r="480" spans="1:16" hidden="1" x14ac:dyDescent="0.35">
      <c r="A480"/>
      <c r="F480" s="366">
        <v>46</v>
      </c>
      <c r="G480" s="245" t="s">
        <v>1168</v>
      </c>
      <c r="I480" s="173">
        <v>58</v>
      </c>
      <c r="J480">
        <v>232</v>
      </c>
      <c r="K480" s="173">
        <v>90</v>
      </c>
      <c r="L480" s="402">
        <f>+I480/J480*K480</f>
        <v>22.5</v>
      </c>
      <c r="M480" s="173">
        <f>+I480+L480</f>
        <v>80.5</v>
      </c>
      <c r="N480" s="174"/>
      <c r="O480" s="173">
        <f>+M480*1.4</f>
        <v>112.69999999999999</v>
      </c>
      <c r="P480" s="173">
        <v>125</v>
      </c>
    </row>
    <row r="481" spans="1:16" hidden="1" x14ac:dyDescent="0.35">
      <c r="A481"/>
      <c r="F481" s="366">
        <v>48</v>
      </c>
      <c r="G481" s="245" t="s">
        <v>1168</v>
      </c>
      <c r="I481" s="173">
        <v>58</v>
      </c>
      <c r="J481">
        <v>232</v>
      </c>
      <c r="K481" s="173">
        <v>90</v>
      </c>
      <c r="L481" s="402">
        <f>+I481/J481*K481</f>
        <v>22.5</v>
      </c>
      <c r="M481" s="173">
        <f>+I481+L481</f>
        <v>80.5</v>
      </c>
      <c r="N481" s="174"/>
      <c r="O481" s="173">
        <f>+M481*1.4</f>
        <v>112.69999999999999</v>
      </c>
      <c r="P481" s="173">
        <v>125</v>
      </c>
    </row>
    <row r="482" spans="1:16" hidden="1" x14ac:dyDescent="0.35">
      <c r="A482"/>
      <c r="F482" s="366">
        <v>50</v>
      </c>
      <c r="G482" s="245" t="s">
        <v>1168</v>
      </c>
      <c r="I482" s="173">
        <v>58</v>
      </c>
      <c r="J482">
        <v>232</v>
      </c>
      <c r="K482" s="173">
        <v>90</v>
      </c>
      <c r="L482" s="402">
        <f>+I482/J482*K482</f>
        <v>22.5</v>
      </c>
      <c r="M482" s="173">
        <f>+I482+L482</f>
        <v>80.5</v>
      </c>
      <c r="N482" s="174"/>
      <c r="O482" s="173">
        <f>+M482*1.4</f>
        <v>112.69999999999999</v>
      </c>
      <c r="P482" s="173">
        <v>125</v>
      </c>
    </row>
    <row r="483" spans="1:16" hidden="1" x14ac:dyDescent="0.35">
      <c r="A483"/>
      <c r="N483" s="174"/>
    </row>
    <row r="484" spans="1:16" hidden="1" x14ac:dyDescent="0.35">
      <c r="A484"/>
      <c r="G484" s="256" t="s">
        <v>1169</v>
      </c>
      <c r="H484" s="256"/>
      <c r="N484" s="174"/>
    </row>
    <row r="485" spans="1:16" hidden="1" x14ac:dyDescent="0.35">
      <c r="A485"/>
      <c r="C485" s="233" t="s">
        <v>782</v>
      </c>
      <c r="F485" s="366">
        <v>36</v>
      </c>
      <c r="G485" s="245" t="s">
        <v>1170</v>
      </c>
      <c r="I485" s="173">
        <v>28</v>
      </c>
      <c r="J485">
        <v>5000</v>
      </c>
      <c r="K485" s="173">
        <v>4254</v>
      </c>
      <c r="L485" s="402">
        <f t="shared" ref="L485:L516" si="44">+I485/J485*K485</f>
        <v>23.822399999999998</v>
      </c>
      <c r="M485" s="402">
        <f t="shared" ref="M485:M516" si="45">+I485+L485</f>
        <v>51.822400000000002</v>
      </c>
      <c r="N485" s="174"/>
      <c r="O485" s="173">
        <f t="shared" ref="O485:O516" si="46">+M485*1.4</f>
        <v>72.551360000000003</v>
      </c>
      <c r="P485" s="173">
        <v>90</v>
      </c>
    </row>
    <row r="486" spans="1:16" hidden="1" x14ac:dyDescent="0.35">
      <c r="A486"/>
      <c r="C486" s="233" t="s">
        <v>782</v>
      </c>
      <c r="F486" s="366">
        <v>38</v>
      </c>
      <c r="G486" s="245" t="s">
        <v>1170</v>
      </c>
      <c r="I486" s="173">
        <v>28</v>
      </c>
      <c r="J486">
        <v>5000</v>
      </c>
      <c r="K486" s="173">
        <v>4254</v>
      </c>
      <c r="L486" s="402">
        <f t="shared" si="44"/>
        <v>23.822399999999998</v>
      </c>
      <c r="M486" s="402">
        <f t="shared" si="45"/>
        <v>51.822400000000002</v>
      </c>
      <c r="N486" s="174"/>
      <c r="O486" s="173">
        <f t="shared" si="46"/>
        <v>72.551360000000003</v>
      </c>
      <c r="P486" s="173">
        <v>90</v>
      </c>
    </row>
    <row r="487" spans="1:16" hidden="1" x14ac:dyDescent="0.35">
      <c r="A487"/>
      <c r="C487" s="233" t="s">
        <v>782</v>
      </c>
      <c r="F487" s="366">
        <v>40</v>
      </c>
      <c r="G487" s="245" t="s">
        <v>1170</v>
      </c>
      <c r="I487" s="173">
        <v>28</v>
      </c>
      <c r="J487">
        <v>5000</v>
      </c>
      <c r="K487" s="173">
        <v>4254</v>
      </c>
      <c r="L487" s="402">
        <f t="shared" si="44"/>
        <v>23.822399999999998</v>
      </c>
      <c r="M487" s="402">
        <f t="shared" si="45"/>
        <v>51.822400000000002</v>
      </c>
      <c r="N487" s="174"/>
      <c r="O487" s="173">
        <f t="shared" si="46"/>
        <v>72.551360000000003</v>
      </c>
      <c r="P487" s="173">
        <v>90</v>
      </c>
    </row>
    <row r="488" spans="1:16" hidden="1" x14ac:dyDescent="0.35">
      <c r="A488"/>
      <c r="C488" s="233" t="s">
        <v>782</v>
      </c>
      <c r="F488" s="366">
        <v>42</v>
      </c>
      <c r="G488" s="245" t="s">
        <v>1170</v>
      </c>
      <c r="I488" s="173">
        <v>28</v>
      </c>
      <c r="J488">
        <v>5000</v>
      </c>
      <c r="K488" s="173">
        <v>4254</v>
      </c>
      <c r="L488" s="402">
        <f t="shared" si="44"/>
        <v>23.822399999999998</v>
      </c>
      <c r="M488" s="402">
        <f t="shared" si="45"/>
        <v>51.822400000000002</v>
      </c>
      <c r="N488" s="174"/>
      <c r="O488" s="173">
        <f t="shared" si="46"/>
        <v>72.551360000000003</v>
      </c>
      <c r="P488" s="173">
        <v>90</v>
      </c>
    </row>
    <row r="489" spans="1:16" hidden="1" x14ac:dyDescent="0.35">
      <c r="A489"/>
      <c r="C489" s="233" t="s">
        <v>1233</v>
      </c>
      <c r="F489" s="366">
        <v>36</v>
      </c>
      <c r="G489" s="245" t="s">
        <v>1171</v>
      </c>
      <c r="I489" s="173">
        <v>23</v>
      </c>
      <c r="J489">
        <v>5000</v>
      </c>
      <c r="K489" s="173">
        <v>4254</v>
      </c>
      <c r="L489" s="402">
        <f t="shared" si="44"/>
        <v>19.5684</v>
      </c>
      <c r="M489" s="402">
        <f t="shared" si="45"/>
        <v>42.568399999999997</v>
      </c>
      <c r="N489" s="174"/>
      <c r="O489" s="173">
        <f t="shared" si="46"/>
        <v>59.595759999999991</v>
      </c>
      <c r="P489" s="173">
        <v>75</v>
      </c>
    </row>
    <row r="490" spans="1:16" hidden="1" x14ac:dyDescent="0.35">
      <c r="A490"/>
      <c r="C490" s="233" t="s">
        <v>1233</v>
      </c>
      <c r="F490" s="366">
        <v>38</v>
      </c>
      <c r="G490" s="245" t="s">
        <v>1171</v>
      </c>
      <c r="I490" s="173">
        <v>23</v>
      </c>
      <c r="J490">
        <v>5000</v>
      </c>
      <c r="K490" s="173">
        <v>4254</v>
      </c>
      <c r="L490" s="402">
        <f t="shared" si="44"/>
        <v>19.5684</v>
      </c>
      <c r="M490" s="402">
        <f t="shared" si="45"/>
        <v>42.568399999999997</v>
      </c>
      <c r="N490" s="174"/>
      <c r="O490" s="173">
        <f t="shared" si="46"/>
        <v>59.595759999999991</v>
      </c>
      <c r="P490" s="173">
        <v>75</v>
      </c>
    </row>
    <row r="491" spans="1:16" hidden="1" x14ac:dyDescent="0.35">
      <c r="A491"/>
      <c r="C491" s="233" t="s">
        <v>1233</v>
      </c>
      <c r="F491" s="366">
        <v>40</v>
      </c>
      <c r="G491" s="245" t="s">
        <v>1171</v>
      </c>
      <c r="I491" s="173">
        <v>23</v>
      </c>
      <c r="J491">
        <v>5000</v>
      </c>
      <c r="K491" s="173">
        <v>4254</v>
      </c>
      <c r="L491" s="402">
        <f t="shared" si="44"/>
        <v>19.5684</v>
      </c>
      <c r="M491" s="402">
        <f t="shared" si="45"/>
        <v>42.568399999999997</v>
      </c>
      <c r="N491" s="174"/>
      <c r="O491" s="173">
        <f t="shared" si="46"/>
        <v>59.595759999999991</v>
      </c>
      <c r="P491" s="146">
        <v>60</v>
      </c>
    </row>
    <row r="492" spans="1:16" hidden="1" x14ac:dyDescent="0.35">
      <c r="C492" s="233" t="s">
        <v>1233</v>
      </c>
      <c r="F492" s="366">
        <v>42</v>
      </c>
      <c r="G492" s="245" t="s">
        <v>1171</v>
      </c>
      <c r="I492" s="173">
        <v>23</v>
      </c>
      <c r="J492">
        <v>5000</v>
      </c>
      <c r="K492" s="173">
        <v>4254</v>
      </c>
      <c r="L492" s="402">
        <f t="shared" si="44"/>
        <v>19.5684</v>
      </c>
      <c r="M492" s="402">
        <f t="shared" si="45"/>
        <v>42.568399999999997</v>
      </c>
      <c r="N492" s="174"/>
      <c r="O492" s="173">
        <f t="shared" si="46"/>
        <v>59.595759999999991</v>
      </c>
      <c r="P492" s="173">
        <v>75</v>
      </c>
    </row>
    <row r="493" spans="1:16" hidden="1" x14ac:dyDescent="0.35">
      <c r="A493"/>
      <c r="C493" s="233" t="s">
        <v>1172</v>
      </c>
      <c r="F493" s="366">
        <v>42</v>
      </c>
      <c r="G493" s="245" t="s">
        <v>1173</v>
      </c>
      <c r="I493" s="173">
        <v>32</v>
      </c>
      <c r="J493">
        <v>5000</v>
      </c>
      <c r="K493" s="173">
        <v>4254</v>
      </c>
      <c r="L493" s="402">
        <f t="shared" si="44"/>
        <v>27.2256</v>
      </c>
      <c r="M493" s="402">
        <f t="shared" si="45"/>
        <v>59.2256</v>
      </c>
      <c r="N493" s="174"/>
      <c r="O493" s="173">
        <f t="shared" si="46"/>
        <v>82.915839999999989</v>
      </c>
      <c r="P493" s="173">
        <v>90</v>
      </c>
    </row>
    <row r="494" spans="1:16" hidden="1" x14ac:dyDescent="0.35">
      <c r="A494"/>
      <c r="C494" s="233" t="s">
        <v>1172</v>
      </c>
      <c r="F494" s="366">
        <v>44</v>
      </c>
      <c r="G494" s="245" t="s">
        <v>1173</v>
      </c>
      <c r="I494" s="173">
        <v>32</v>
      </c>
      <c r="J494">
        <v>5000</v>
      </c>
      <c r="K494" s="173">
        <v>4254</v>
      </c>
      <c r="L494" s="402">
        <f t="shared" si="44"/>
        <v>27.2256</v>
      </c>
      <c r="M494" s="402">
        <f t="shared" si="45"/>
        <v>59.2256</v>
      </c>
      <c r="N494" s="174"/>
      <c r="O494" s="173">
        <f t="shared" si="46"/>
        <v>82.915839999999989</v>
      </c>
      <c r="P494" s="173">
        <v>90</v>
      </c>
    </row>
    <row r="495" spans="1:16" hidden="1" x14ac:dyDescent="0.35">
      <c r="A495"/>
      <c r="C495" s="233" t="s">
        <v>1172</v>
      </c>
      <c r="F495" s="366">
        <v>46</v>
      </c>
      <c r="G495" s="245" t="s">
        <v>1173</v>
      </c>
      <c r="I495" s="173">
        <v>32</v>
      </c>
      <c r="J495">
        <v>5000</v>
      </c>
      <c r="K495" s="173">
        <v>4254</v>
      </c>
      <c r="L495" s="402">
        <f t="shared" si="44"/>
        <v>27.2256</v>
      </c>
      <c r="M495" s="402">
        <f t="shared" si="45"/>
        <v>59.2256</v>
      </c>
      <c r="N495" s="174"/>
      <c r="O495" s="173">
        <f t="shared" si="46"/>
        <v>82.915839999999989</v>
      </c>
      <c r="P495" s="173">
        <v>90</v>
      </c>
    </row>
    <row r="496" spans="1:16" hidden="1" x14ac:dyDescent="0.35">
      <c r="C496" s="233" t="s">
        <v>1172</v>
      </c>
      <c r="F496" s="366">
        <v>48</v>
      </c>
      <c r="G496" s="245" t="s">
        <v>1173</v>
      </c>
      <c r="I496" s="173">
        <v>32</v>
      </c>
      <c r="J496">
        <v>5000</v>
      </c>
      <c r="K496" s="173">
        <v>4254</v>
      </c>
      <c r="L496" s="402">
        <f t="shared" si="44"/>
        <v>27.2256</v>
      </c>
      <c r="M496" s="402">
        <f t="shared" si="45"/>
        <v>59.2256</v>
      </c>
      <c r="N496" s="174"/>
      <c r="O496" s="173">
        <f t="shared" si="46"/>
        <v>82.915839999999989</v>
      </c>
      <c r="P496" s="173">
        <v>90</v>
      </c>
    </row>
    <row r="497" spans="3:20" hidden="1" x14ac:dyDescent="0.35">
      <c r="C497" s="233" t="s">
        <v>1172</v>
      </c>
      <c r="F497" s="366">
        <v>42</v>
      </c>
      <c r="G497" s="245" t="s">
        <v>1174</v>
      </c>
      <c r="I497" s="173">
        <v>36</v>
      </c>
      <c r="J497">
        <v>5000</v>
      </c>
      <c r="K497" s="173">
        <v>4254</v>
      </c>
      <c r="L497" s="402">
        <f t="shared" si="44"/>
        <v>30.628799999999998</v>
      </c>
      <c r="M497" s="402">
        <f t="shared" si="45"/>
        <v>66.628799999999998</v>
      </c>
      <c r="N497" s="174"/>
      <c r="O497" s="173">
        <f t="shared" si="46"/>
        <v>93.280319999999989</v>
      </c>
      <c r="P497" s="173">
        <v>110</v>
      </c>
    </row>
    <row r="498" spans="3:20" hidden="1" x14ac:dyDescent="0.35">
      <c r="C498" s="233" t="s">
        <v>1172</v>
      </c>
      <c r="F498" s="366">
        <v>44</v>
      </c>
      <c r="G498" s="245" t="s">
        <v>1174</v>
      </c>
      <c r="I498" s="173">
        <v>36</v>
      </c>
      <c r="J498">
        <v>5000</v>
      </c>
      <c r="K498" s="173">
        <v>4254</v>
      </c>
      <c r="L498" s="402">
        <f t="shared" si="44"/>
        <v>30.628799999999998</v>
      </c>
      <c r="M498" s="402">
        <f t="shared" si="45"/>
        <v>66.628799999999998</v>
      </c>
      <c r="N498" s="174"/>
      <c r="O498" s="173">
        <f t="shared" si="46"/>
        <v>93.280319999999989</v>
      </c>
      <c r="P498" s="173">
        <v>110</v>
      </c>
      <c r="S498" t="s">
        <v>61</v>
      </c>
    </row>
    <row r="499" spans="3:20" hidden="1" x14ac:dyDescent="0.35">
      <c r="C499" s="233" t="s">
        <v>1172</v>
      </c>
      <c r="F499" s="366">
        <v>46</v>
      </c>
      <c r="G499" s="245" t="s">
        <v>1174</v>
      </c>
      <c r="I499" s="173">
        <v>36</v>
      </c>
      <c r="J499">
        <v>5000</v>
      </c>
      <c r="K499" s="173">
        <v>4254</v>
      </c>
      <c r="L499" s="402">
        <f t="shared" si="44"/>
        <v>30.628799999999998</v>
      </c>
      <c r="M499" s="402">
        <f t="shared" si="45"/>
        <v>66.628799999999998</v>
      </c>
      <c r="N499" s="174"/>
      <c r="O499" s="173">
        <f t="shared" si="46"/>
        <v>93.280319999999989</v>
      </c>
      <c r="P499" s="173">
        <v>110</v>
      </c>
    </row>
    <row r="500" spans="3:20" hidden="1" x14ac:dyDescent="0.35">
      <c r="C500" s="233" t="s">
        <v>1172</v>
      </c>
      <c r="F500" s="366">
        <v>48</v>
      </c>
      <c r="G500" s="245" t="s">
        <v>1174</v>
      </c>
      <c r="I500" s="173">
        <v>36</v>
      </c>
      <c r="J500">
        <v>5000</v>
      </c>
      <c r="K500" s="173">
        <v>4254</v>
      </c>
      <c r="L500" s="402">
        <f t="shared" si="44"/>
        <v>30.628799999999998</v>
      </c>
      <c r="M500" s="402">
        <f t="shared" si="45"/>
        <v>66.628799999999998</v>
      </c>
      <c r="N500" s="174"/>
      <c r="O500" s="173">
        <f t="shared" si="46"/>
        <v>93.280319999999989</v>
      </c>
      <c r="P500" s="173">
        <v>110</v>
      </c>
    </row>
    <row r="501" spans="3:20" hidden="1" x14ac:dyDescent="0.35">
      <c r="C501" s="233" t="s">
        <v>1237</v>
      </c>
      <c r="F501" s="366">
        <v>48</v>
      </c>
      <c r="G501" s="245" t="s">
        <v>1175</v>
      </c>
      <c r="I501" s="173">
        <v>80</v>
      </c>
      <c r="J501">
        <v>5000</v>
      </c>
      <c r="K501" s="173">
        <v>4254</v>
      </c>
      <c r="L501" s="402">
        <f t="shared" si="44"/>
        <v>68.064000000000007</v>
      </c>
      <c r="M501" s="402">
        <f t="shared" si="45"/>
        <v>148.06400000000002</v>
      </c>
      <c r="N501" s="174"/>
      <c r="O501" s="173">
        <f t="shared" si="46"/>
        <v>207.28960000000001</v>
      </c>
      <c r="P501" s="173">
        <v>200</v>
      </c>
    </row>
    <row r="502" spans="3:20" hidden="1" x14ac:dyDescent="0.35">
      <c r="C502" s="233" t="s">
        <v>1237</v>
      </c>
      <c r="F502" s="366">
        <v>50</v>
      </c>
      <c r="G502" s="245" t="s">
        <v>1175</v>
      </c>
      <c r="I502" s="173">
        <v>80</v>
      </c>
      <c r="J502">
        <v>5000</v>
      </c>
      <c r="K502" s="173">
        <v>4254</v>
      </c>
      <c r="L502" s="402">
        <f t="shared" si="44"/>
        <v>68.064000000000007</v>
      </c>
      <c r="M502" s="402">
        <f t="shared" si="45"/>
        <v>148.06400000000002</v>
      </c>
      <c r="N502" s="174"/>
      <c r="O502" s="173">
        <f t="shared" si="46"/>
        <v>207.28960000000001</v>
      </c>
      <c r="P502" s="173">
        <v>200</v>
      </c>
    </row>
    <row r="503" spans="3:20" hidden="1" x14ac:dyDescent="0.35">
      <c r="C503" s="233" t="s">
        <v>1237</v>
      </c>
      <c r="F503" s="366">
        <v>48</v>
      </c>
      <c r="G503" s="245" t="s">
        <v>1176</v>
      </c>
      <c r="I503" s="173">
        <v>80</v>
      </c>
      <c r="J503">
        <v>5000</v>
      </c>
      <c r="K503" s="173">
        <v>4254</v>
      </c>
      <c r="L503" s="402">
        <f t="shared" si="44"/>
        <v>68.064000000000007</v>
      </c>
      <c r="M503" s="402">
        <f t="shared" si="45"/>
        <v>148.06400000000002</v>
      </c>
      <c r="N503" s="174"/>
      <c r="O503" s="173">
        <f t="shared" si="46"/>
        <v>207.28960000000001</v>
      </c>
      <c r="P503" s="173">
        <v>200</v>
      </c>
    </row>
    <row r="504" spans="3:20" hidden="1" x14ac:dyDescent="0.35">
      <c r="C504" s="233" t="s">
        <v>1237</v>
      </c>
      <c r="F504" s="366">
        <v>50</v>
      </c>
      <c r="G504" s="245" t="s">
        <v>1176</v>
      </c>
      <c r="I504" s="173">
        <v>80</v>
      </c>
      <c r="J504">
        <v>5000</v>
      </c>
      <c r="K504" s="173">
        <v>4254</v>
      </c>
      <c r="L504" s="402">
        <f t="shared" si="44"/>
        <v>68.064000000000007</v>
      </c>
      <c r="M504" s="402">
        <f t="shared" si="45"/>
        <v>148.06400000000002</v>
      </c>
      <c r="N504" s="174"/>
      <c r="O504" s="173">
        <f t="shared" si="46"/>
        <v>207.28960000000001</v>
      </c>
      <c r="P504" s="173">
        <v>200</v>
      </c>
    </row>
    <row r="505" spans="3:20" hidden="1" x14ac:dyDescent="0.35">
      <c r="C505" s="233" t="s">
        <v>1237</v>
      </c>
      <c r="F505" s="366">
        <v>44</v>
      </c>
      <c r="G505" s="245" t="s">
        <v>1177</v>
      </c>
      <c r="I505" s="173">
        <v>85</v>
      </c>
      <c r="J505">
        <v>5000</v>
      </c>
      <c r="K505" s="173">
        <v>4254</v>
      </c>
      <c r="L505" s="402">
        <f t="shared" si="44"/>
        <v>72.318000000000012</v>
      </c>
      <c r="M505" s="402">
        <f t="shared" si="45"/>
        <v>157.31800000000001</v>
      </c>
      <c r="N505" s="174"/>
      <c r="O505" s="173">
        <f t="shared" si="46"/>
        <v>220.24520000000001</v>
      </c>
      <c r="P505" s="173">
        <v>220</v>
      </c>
    </row>
    <row r="506" spans="3:20" hidden="1" x14ac:dyDescent="0.35">
      <c r="C506" s="233" t="s">
        <v>1237</v>
      </c>
      <c r="F506" s="366">
        <v>46</v>
      </c>
      <c r="G506" s="245" t="s">
        <v>1177</v>
      </c>
      <c r="I506" s="173">
        <v>85</v>
      </c>
      <c r="J506">
        <v>5000</v>
      </c>
      <c r="K506" s="173">
        <v>4254</v>
      </c>
      <c r="L506" s="402">
        <f t="shared" si="44"/>
        <v>72.318000000000012</v>
      </c>
      <c r="M506" s="402">
        <f t="shared" si="45"/>
        <v>157.31800000000001</v>
      </c>
      <c r="N506" s="174"/>
      <c r="O506" s="173">
        <f t="shared" si="46"/>
        <v>220.24520000000001</v>
      </c>
      <c r="P506" s="173">
        <v>220</v>
      </c>
    </row>
    <row r="507" spans="3:20" hidden="1" x14ac:dyDescent="0.35">
      <c r="C507" s="436" t="s">
        <v>1178</v>
      </c>
      <c r="D507" s="436"/>
      <c r="E507" s="343"/>
      <c r="F507" s="437">
        <v>48</v>
      </c>
      <c r="G507" s="372" t="s">
        <v>1179</v>
      </c>
      <c r="H507" s="372"/>
      <c r="I507" s="373">
        <v>25</v>
      </c>
      <c r="J507" s="343">
        <v>5000</v>
      </c>
      <c r="K507" s="373">
        <v>4254</v>
      </c>
      <c r="L507" s="407">
        <f t="shared" si="44"/>
        <v>21.27</v>
      </c>
      <c r="M507" s="407">
        <f t="shared" si="45"/>
        <v>46.269999999999996</v>
      </c>
      <c r="N507" s="408"/>
      <c r="O507" s="373">
        <f t="shared" si="46"/>
        <v>64.777999999999992</v>
      </c>
    </row>
    <row r="508" spans="3:20" hidden="1" x14ac:dyDescent="0.35">
      <c r="C508" s="233" t="s">
        <v>1178</v>
      </c>
      <c r="F508" s="366">
        <v>50</v>
      </c>
      <c r="G508" s="245" t="s">
        <v>1179</v>
      </c>
      <c r="I508" s="173">
        <v>25</v>
      </c>
      <c r="J508">
        <v>5000</v>
      </c>
      <c r="K508" s="173">
        <v>4254</v>
      </c>
      <c r="L508" s="402">
        <f t="shared" si="44"/>
        <v>21.27</v>
      </c>
      <c r="M508" s="402">
        <f t="shared" si="45"/>
        <v>46.269999999999996</v>
      </c>
      <c r="N508" s="174"/>
      <c r="O508" s="173">
        <f t="shared" si="46"/>
        <v>64.777999999999992</v>
      </c>
      <c r="P508" s="173">
        <v>90</v>
      </c>
    </row>
    <row r="509" spans="3:20" hidden="1" x14ac:dyDescent="0.35">
      <c r="C509" s="233" t="s">
        <v>1178</v>
      </c>
      <c r="F509" s="366">
        <v>52</v>
      </c>
      <c r="G509" s="245" t="s">
        <v>1179</v>
      </c>
      <c r="I509" s="173">
        <v>25</v>
      </c>
      <c r="J509">
        <v>5000</v>
      </c>
      <c r="K509" s="173">
        <v>4254</v>
      </c>
      <c r="L509" s="402">
        <f t="shared" si="44"/>
        <v>21.27</v>
      </c>
      <c r="M509" s="402">
        <f t="shared" si="45"/>
        <v>46.269999999999996</v>
      </c>
      <c r="N509" s="174"/>
      <c r="O509" s="173">
        <f t="shared" si="46"/>
        <v>64.777999999999992</v>
      </c>
      <c r="P509" s="173">
        <v>90</v>
      </c>
    </row>
    <row r="510" spans="3:20" hidden="1" x14ac:dyDescent="0.35">
      <c r="C510" s="233" t="s">
        <v>1178</v>
      </c>
      <c r="F510" s="366">
        <v>48</v>
      </c>
      <c r="G510" s="245" t="s">
        <v>1200</v>
      </c>
      <c r="I510" s="173">
        <v>25</v>
      </c>
      <c r="J510">
        <v>5000</v>
      </c>
      <c r="K510" s="173">
        <v>4254</v>
      </c>
      <c r="L510" s="402">
        <f t="shared" si="44"/>
        <v>21.27</v>
      </c>
      <c r="M510" s="402">
        <f t="shared" si="45"/>
        <v>46.269999999999996</v>
      </c>
      <c r="N510" s="174"/>
      <c r="O510" s="173">
        <f t="shared" si="46"/>
        <v>64.777999999999992</v>
      </c>
      <c r="P510" s="173">
        <v>90</v>
      </c>
    </row>
    <row r="511" spans="3:20" hidden="1" x14ac:dyDescent="0.35">
      <c r="C511" s="233" t="s">
        <v>1178</v>
      </c>
      <c r="F511" s="366">
        <v>50</v>
      </c>
      <c r="G511" s="245" t="s">
        <v>1200</v>
      </c>
      <c r="I511" s="173">
        <v>25</v>
      </c>
      <c r="J511">
        <v>5000</v>
      </c>
      <c r="K511" s="173">
        <v>4254</v>
      </c>
      <c r="L511" s="402">
        <f t="shared" si="44"/>
        <v>21.27</v>
      </c>
      <c r="M511" s="402">
        <f t="shared" si="45"/>
        <v>46.269999999999996</v>
      </c>
      <c r="N511" s="174"/>
      <c r="O511" s="173">
        <f t="shared" si="46"/>
        <v>64.777999999999992</v>
      </c>
      <c r="P511" s="173">
        <v>90</v>
      </c>
    </row>
    <row r="512" spans="3:20" hidden="1" x14ac:dyDescent="0.35">
      <c r="C512" s="233" t="s">
        <v>1178</v>
      </c>
      <c r="F512" s="366">
        <v>52</v>
      </c>
      <c r="G512" s="371" t="s">
        <v>1200</v>
      </c>
      <c r="H512" s="371"/>
      <c r="I512" s="176">
        <v>25</v>
      </c>
      <c r="J512" s="12">
        <v>5000</v>
      </c>
      <c r="K512" s="176">
        <v>4254</v>
      </c>
      <c r="L512" s="410">
        <f t="shared" si="44"/>
        <v>21.27</v>
      </c>
      <c r="M512" s="410">
        <f t="shared" si="45"/>
        <v>46.269999999999996</v>
      </c>
      <c r="N512" s="411"/>
      <c r="O512" s="176">
        <f t="shared" si="46"/>
        <v>64.777999999999992</v>
      </c>
      <c r="P512" s="176">
        <v>90</v>
      </c>
      <c r="S512" t="s">
        <v>12</v>
      </c>
      <c r="T512" s="6">
        <v>45531</v>
      </c>
    </row>
    <row r="513" spans="1:16" hidden="1" x14ac:dyDescent="0.35">
      <c r="C513" s="233" t="s">
        <v>227</v>
      </c>
      <c r="J513">
        <v>5000</v>
      </c>
      <c r="K513" s="173">
        <v>4254</v>
      </c>
      <c r="L513" s="402">
        <f t="shared" si="44"/>
        <v>0</v>
      </c>
      <c r="M513" s="402">
        <f t="shared" si="45"/>
        <v>0</v>
      </c>
      <c r="N513" s="174"/>
      <c r="O513" s="173">
        <f t="shared" si="46"/>
        <v>0</v>
      </c>
    </row>
    <row r="514" spans="1:16" hidden="1" x14ac:dyDescent="0.35">
      <c r="A514"/>
      <c r="C514" s="233" t="s">
        <v>1180</v>
      </c>
      <c r="F514" s="366">
        <v>50</v>
      </c>
      <c r="G514" s="245" t="s">
        <v>1181</v>
      </c>
      <c r="I514" s="173">
        <v>63</v>
      </c>
      <c r="J514">
        <v>5000</v>
      </c>
      <c r="K514" s="173">
        <v>4254</v>
      </c>
      <c r="L514" s="402">
        <f t="shared" si="44"/>
        <v>53.6004</v>
      </c>
      <c r="M514" s="402">
        <f t="shared" si="45"/>
        <v>116.60040000000001</v>
      </c>
      <c r="N514" s="174"/>
      <c r="O514" s="173">
        <f t="shared" si="46"/>
        <v>163.24055999999999</v>
      </c>
      <c r="P514" s="173">
        <v>150</v>
      </c>
    </row>
    <row r="515" spans="1:16" hidden="1" x14ac:dyDescent="0.35">
      <c r="C515" s="233" t="s">
        <v>1180</v>
      </c>
      <c r="F515" s="366">
        <v>52</v>
      </c>
      <c r="G515" s="245" t="s">
        <v>1181</v>
      </c>
      <c r="I515" s="173">
        <v>63</v>
      </c>
      <c r="J515">
        <v>5000</v>
      </c>
      <c r="K515" s="173">
        <v>4254</v>
      </c>
      <c r="L515" s="402">
        <f t="shared" si="44"/>
        <v>53.6004</v>
      </c>
      <c r="M515" s="402">
        <f t="shared" si="45"/>
        <v>116.60040000000001</v>
      </c>
      <c r="N515" s="174"/>
      <c r="O515" s="173">
        <f t="shared" si="46"/>
        <v>163.24055999999999</v>
      </c>
      <c r="P515" s="173">
        <v>150</v>
      </c>
    </row>
    <row r="516" spans="1:16" hidden="1" x14ac:dyDescent="0.35">
      <c r="C516" s="233" t="s">
        <v>1180</v>
      </c>
      <c r="F516" s="366">
        <v>54</v>
      </c>
      <c r="G516" s="245" t="s">
        <v>1181</v>
      </c>
      <c r="I516" s="173">
        <v>63</v>
      </c>
      <c r="J516">
        <v>5000</v>
      </c>
      <c r="K516" s="173">
        <v>4254</v>
      </c>
      <c r="L516" s="402">
        <f t="shared" si="44"/>
        <v>53.6004</v>
      </c>
      <c r="M516" s="402">
        <f t="shared" si="45"/>
        <v>116.60040000000001</v>
      </c>
      <c r="N516" s="174"/>
      <c r="O516" s="173">
        <f t="shared" si="46"/>
        <v>163.24055999999999</v>
      </c>
      <c r="P516" s="173">
        <v>150</v>
      </c>
    </row>
    <row r="517" spans="1:16" hidden="1" x14ac:dyDescent="0.35">
      <c r="C517" s="233" t="s">
        <v>1180</v>
      </c>
      <c r="F517" s="366">
        <v>56</v>
      </c>
      <c r="G517" s="245" t="s">
        <v>1181</v>
      </c>
      <c r="I517" s="173">
        <v>63</v>
      </c>
      <c r="J517">
        <v>5000</v>
      </c>
      <c r="K517" s="173">
        <v>4254</v>
      </c>
      <c r="L517" s="402">
        <f t="shared" ref="L517:L548" si="47">+I517/J517*K517</f>
        <v>53.6004</v>
      </c>
      <c r="M517" s="402">
        <f t="shared" ref="M517:M548" si="48">+I517+L517</f>
        <v>116.60040000000001</v>
      </c>
      <c r="N517" s="174"/>
      <c r="O517" s="173">
        <f t="shared" ref="O517:O548" si="49">+M517*1.4</f>
        <v>163.24055999999999</v>
      </c>
      <c r="P517" s="173">
        <v>150</v>
      </c>
    </row>
    <row r="518" spans="1:16" hidden="1" x14ac:dyDescent="0.35">
      <c r="C518" s="233" t="s">
        <v>1092</v>
      </c>
      <c r="F518" s="366">
        <v>44</v>
      </c>
      <c r="G518" s="245" t="s">
        <v>1182</v>
      </c>
      <c r="I518" s="173">
        <v>32</v>
      </c>
      <c r="J518">
        <v>5000</v>
      </c>
      <c r="K518" s="173">
        <v>4254</v>
      </c>
      <c r="L518" s="402">
        <f t="shared" si="47"/>
        <v>27.2256</v>
      </c>
      <c r="M518" s="402">
        <f t="shared" si="48"/>
        <v>59.2256</v>
      </c>
      <c r="N518" s="174"/>
      <c r="O518" s="173">
        <f t="shared" si="49"/>
        <v>82.915839999999989</v>
      </c>
      <c r="P518" s="173">
        <v>110</v>
      </c>
    </row>
    <row r="519" spans="1:16" hidden="1" x14ac:dyDescent="0.35">
      <c r="C519" s="233" t="s">
        <v>1092</v>
      </c>
      <c r="F519" s="366">
        <v>46</v>
      </c>
      <c r="G519" s="245" t="s">
        <v>1182</v>
      </c>
      <c r="I519" s="173">
        <v>32</v>
      </c>
      <c r="J519">
        <v>5000</v>
      </c>
      <c r="K519" s="173">
        <v>4254</v>
      </c>
      <c r="L519" s="402">
        <f t="shared" si="47"/>
        <v>27.2256</v>
      </c>
      <c r="M519" s="402">
        <f t="shared" si="48"/>
        <v>59.2256</v>
      </c>
      <c r="N519" s="174"/>
      <c r="O519" s="173">
        <f t="shared" si="49"/>
        <v>82.915839999999989</v>
      </c>
      <c r="P519" s="173">
        <v>110</v>
      </c>
    </row>
    <row r="520" spans="1:16" hidden="1" x14ac:dyDescent="0.35">
      <c r="C520" s="233" t="s">
        <v>1092</v>
      </c>
      <c r="F520" s="366">
        <v>48</v>
      </c>
      <c r="G520" s="245" t="s">
        <v>1182</v>
      </c>
      <c r="I520" s="173">
        <v>32</v>
      </c>
      <c r="J520">
        <v>5000</v>
      </c>
      <c r="K520" s="173">
        <v>4254</v>
      </c>
      <c r="L520" s="402">
        <f t="shared" si="47"/>
        <v>27.2256</v>
      </c>
      <c r="M520" s="402">
        <f t="shared" si="48"/>
        <v>59.2256</v>
      </c>
      <c r="N520" s="174"/>
      <c r="O520" s="173">
        <f t="shared" si="49"/>
        <v>82.915839999999989</v>
      </c>
      <c r="P520" s="173">
        <v>110</v>
      </c>
    </row>
    <row r="521" spans="1:16" hidden="1" x14ac:dyDescent="0.35">
      <c r="C521" s="233" t="s">
        <v>1092</v>
      </c>
      <c r="F521" s="366">
        <v>50</v>
      </c>
      <c r="G521" s="245" t="s">
        <v>1182</v>
      </c>
      <c r="I521" s="173">
        <v>32</v>
      </c>
      <c r="J521">
        <v>5000</v>
      </c>
      <c r="K521" s="173">
        <v>4254</v>
      </c>
      <c r="L521" s="402">
        <f t="shared" si="47"/>
        <v>27.2256</v>
      </c>
      <c r="M521" s="402">
        <f t="shared" si="48"/>
        <v>59.2256</v>
      </c>
      <c r="N521" s="174"/>
      <c r="O521" s="173">
        <f t="shared" si="49"/>
        <v>82.915839999999989</v>
      </c>
      <c r="P521" s="173">
        <v>110</v>
      </c>
    </row>
    <row r="522" spans="1:16" hidden="1" x14ac:dyDescent="0.35">
      <c r="A522"/>
      <c r="C522" s="233" t="s">
        <v>1232</v>
      </c>
      <c r="F522" s="366">
        <v>44</v>
      </c>
      <c r="G522" s="245" t="s">
        <v>1183</v>
      </c>
      <c r="I522" s="173">
        <v>38</v>
      </c>
      <c r="J522">
        <v>5000</v>
      </c>
      <c r="K522" s="173">
        <v>4254</v>
      </c>
      <c r="L522" s="402">
        <f t="shared" si="47"/>
        <v>32.330399999999997</v>
      </c>
      <c r="M522" s="402">
        <f t="shared" si="48"/>
        <v>70.330399999999997</v>
      </c>
      <c r="N522" s="174"/>
      <c r="O522" s="173">
        <f t="shared" si="49"/>
        <v>98.462559999999996</v>
      </c>
      <c r="P522" s="173">
        <v>125</v>
      </c>
    </row>
    <row r="523" spans="1:16" hidden="1" x14ac:dyDescent="0.35">
      <c r="C523" s="233" t="s">
        <v>1232</v>
      </c>
      <c r="F523" s="366">
        <v>46</v>
      </c>
      <c r="G523" s="245" t="s">
        <v>1183</v>
      </c>
      <c r="I523" s="173">
        <v>38</v>
      </c>
      <c r="J523">
        <v>5000</v>
      </c>
      <c r="K523" s="173">
        <v>4254</v>
      </c>
      <c r="L523" s="402">
        <f t="shared" si="47"/>
        <v>32.330399999999997</v>
      </c>
      <c r="M523" s="402">
        <f t="shared" si="48"/>
        <v>70.330399999999997</v>
      </c>
      <c r="N523" s="174"/>
      <c r="O523" s="173">
        <f t="shared" si="49"/>
        <v>98.462559999999996</v>
      </c>
      <c r="P523" s="173">
        <v>125</v>
      </c>
    </row>
    <row r="524" spans="1:16" hidden="1" x14ac:dyDescent="0.35">
      <c r="C524" s="233" t="s">
        <v>1232</v>
      </c>
      <c r="F524" s="366">
        <v>48</v>
      </c>
      <c r="G524" s="245" t="s">
        <v>1183</v>
      </c>
      <c r="I524" s="173">
        <v>38</v>
      </c>
      <c r="J524">
        <v>5000</v>
      </c>
      <c r="K524" s="173">
        <v>4254</v>
      </c>
      <c r="L524" s="402">
        <f t="shared" si="47"/>
        <v>32.330399999999997</v>
      </c>
      <c r="M524" s="402">
        <f t="shared" si="48"/>
        <v>70.330399999999997</v>
      </c>
      <c r="N524" s="174"/>
      <c r="O524" s="173">
        <f t="shared" si="49"/>
        <v>98.462559999999996</v>
      </c>
      <c r="P524" s="173">
        <v>125</v>
      </c>
    </row>
    <row r="525" spans="1:16" hidden="1" x14ac:dyDescent="0.35">
      <c r="C525" s="233" t="s">
        <v>1232</v>
      </c>
      <c r="F525" s="366">
        <v>50</v>
      </c>
      <c r="G525" s="245" t="s">
        <v>1183</v>
      </c>
      <c r="I525" s="173">
        <v>38</v>
      </c>
      <c r="J525">
        <v>5000</v>
      </c>
      <c r="K525" s="173">
        <v>4254</v>
      </c>
      <c r="L525" s="402">
        <f t="shared" si="47"/>
        <v>32.330399999999997</v>
      </c>
      <c r="M525" s="402">
        <f t="shared" si="48"/>
        <v>70.330399999999997</v>
      </c>
      <c r="N525" s="174"/>
      <c r="O525" s="173">
        <f t="shared" si="49"/>
        <v>98.462559999999996</v>
      </c>
      <c r="P525" s="173">
        <v>125</v>
      </c>
    </row>
    <row r="526" spans="1:16" hidden="1" x14ac:dyDescent="0.35">
      <c r="C526" s="233" t="s">
        <v>1232</v>
      </c>
      <c r="F526" s="366">
        <v>38</v>
      </c>
      <c r="G526" s="245" t="s">
        <v>1184</v>
      </c>
      <c r="I526" s="173">
        <v>41</v>
      </c>
      <c r="J526">
        <v>5000</v>
      </c>
      <c r="K526" s="173">
        <v>4254</v>
      </c>
      <c r="L526" s="402">
        <f t="shared" si="47"/>
        <v>34.882800000000003</v>
      </c>
      <c r="M526" s="402">
        <f t="shared" si="48"/>
        <v>75.882800000000003</v>
      </c>
      <c r="N526" s="174"/>
      <c r="O526" s="173">
        <f t="shared" si="49"/>
        <v>106.23591999999999</v>
      </c>
      <c r="P526" s="173">
        <v>125</v>
      </c>
    </row>
    <row r="527" spans="1:16" hidden="1" x14ac:dyDescent="0.35">
      <c r="C527" s="233" t="s">
        <v>1232</v>
      </c>
      <c r="F527" s="366">
        <v>40</v>
      </c>
      <c r="G527" s="245" t="s">
        <v>1184</v>
      </c>
      <c r="I527" s="173">
        <v>41</v>
      </c>
      <c r="J527">
        <v>5000</v>
      </c>
      <c r="K527" s="173">
        <v>4254</v>
      </c>
      <c r="L527" s="402">
        <f t="shared" si="47"/>
        <v>34.882800000000003</v>
      </c>
      <c r="M527" s="402">
        <f t="shared" si="48"/>
        <v>75.882800000000003</v>
      </c>
      <c r="N527" s="174"/>
      <c r="O527" s="173">
        <f t="shared" si="49"/>
        <v>106.23591999999999</v>
      </c>
      <c r="P527" s="173">
        <v>125</v>
      </c>
    </row>
    <row r="528" spans="1:16" hidden="1" x14ac:dyDescent="0.35">
      <c r="C528" s="233" t="s">
        <v>1232</v>
      </c>
      <c r="F528" s="366">
        <v>42</v>
      </c>
      <c r="G528" s="245" t="s">
        <v>1184</v>
      </c>
      <c r="I528" s="173">
        <v>41</v>
      </c>
      <c r="J528">
        <v>5000</v>
      </c>
      <c r="K528" s="173">
        <v>4254</v>
      </c>
      <c r="L528" s="402">
        <f t="shared" si="47"/>
        <v>34.882800000000003</v>
      </c>
      <c r="M528" s="402">
        <f t="shared" si="48"/>
        <v>75.882800000000003</v>
      </c>
      <c r="N528" s="174"/>
      <c r="O528" s="173">
        <f t="shared" si="49"/>
        <v>106.23591999999999</v>
      </c>
      <c r="P528" s="173">
        <v>125</v>
      </c>
    </row>
    <row r="529" spans="3:20" hidden="1" x14ac:dyDescent="0.35">
      <c r="C529" s="233" t="s">
        <v>1232</v>
      </c>
      <c r="F529" s="366">
        <v>44</v>
      </c>
      <c r="G529" s="371" t="s">
        <v>1184</v>
      </c>
      <c r="H529" s="371"/>
      <c r="I529" s="176">
        <v>41</v>
      </c>
      <c r="J529" s="12">
        <v>5000</v>
      </c>
      <c r="K529" s="176">
        <v>4254</v>
      </c>
      <c r="L529" s="410">
        <f t="shared" si="47"/>
        <v>34.882800000000003</v>
      </c>
      <c r="M529" s="410">
        <f t="shared" si="48"/>
        <v>75.882800000000003</v>
      </c>
      <c r="N529" s="411"/>
      <c r="O529" s="176">
        <f t="shared" si="49"/>
        <v>106.23591999999999</v>
      </c>
      <c r="P529" s="176">
        <v>125</v>
      </c>
      <c r="S529" t="s">
        <v>1238</v>
      </c>
      <c r="T529" s="6">
        <v>45526</v>
      </c>
    </row>
    <row r="530" spans="3:20" hidden="1" x14ac:dyDescent="0.35">
      <c r="C530" s="233" t="s">
        <v>518</v>
      </c>
      <c r="F530" s="366">
        <v>44</v>
      </c>
      <c r="G530" s="245" t="s">
        <v>1187</v>
      </c>
      <c r="I530" s="173">
        <v>60</v>
      </c>
      <c r="J530">
        <v>5000</v>
      </c>
      <c r="K530" s="173">
        <v>4254</v>
      </c>
      <c r="L530" s="402">
        <f t="shared" si="47"/>
        <v>51.048000000000002</v>
      </c>
      <c r="M530" s="402">
        <f t="shared" si="48"/>
        <v>111.048</v>
      </c>
      <c r="N530" s="174"/>
      <c r="O530" s="173">
        <f t="shared" si="49"/>
        <v>155.46719999999999</v>
      </c>
      <c r="P530" s="173">
        <v>150</v>
      </c>
    </row>
    <row r="531" spans="3:20" hidden="1" x14ac:dyDescent="0.35">
      <c r="C531" s="233" t="s">
        <v>518</v>
      </c>
      <c r="F531" s="366">
        <v>46</v>
      </c>
      <c r="G531" s="245" t="s">
        <v>1187</v>
      </c>
      <c r="I531" s="173">
        <v>60</v>
      </c>
      <c r="J531">
        <v>5000</v>
      </c>
      <c r="K531" s="173">
        <v>4254</v>
      </c>
      <c r="L531" s="402">
        <f t="shared" si="47"/>
        <v>51.048000000000002</v>
      </c>
      <c r="M531" s="402">
        <f t="shared" si="48"/>
        <v>111.048</v>
      </c>
      <c r="N531" s="174"/>
      <c r="O531" s="173">
        <f t="shared" si="49"/>
        <v>155.46719999999999</v>
      </c>
      <c r="P531" s="173">
        <v>150</v>
      </c>
    </row>
    <row r="532" spans="3:20" hidden="1" x14ac:dyDescent="0.35">
      <c r="C532" s="233" t="s">
        <v>518</v>
      </c>
      <c r="F532" s="366">
        <v>48</v>
      </c>
      <c r="G532" s="245" t="s">
        <v>1187</v>
      </c>
      <c r="I532" s="173">
        <v>60</v>
      </c>
      <c r="J532">
        <v>5000</v>
      </c>
      <c r="K532" s="173">
        <v>4254</v>
      </c>
      <c r="L532" s="402">
        <f t="shared" si="47"/>
        <v>51.048000000000002</v>
      </c>
      <c r="M532" s="402">
        <f t="shared" si="48"/>
        <v>111.048</v>
      </c>
      <c r="N532" s="174"/>
      <c r="O532" s="173">
        <f t="shared" si="49"/>
        <v>155.46719999999999</v>
      </c>
      <c r="P532" s="173">
        <v>150</v>
      </c>
    </row>
    <row r="533" spans="3:20" hidden="1" x14ac:dyDescent="0.35">
      <c r="C533" s="233" t="s">
        <v>518</v>
      </c>
      <c r="F533" s="366">
        <v>50</v>
      </c>
      <c r="G533" s="245" t="s">
        <v>1187</v>
      </c>
      <c r="I533" s="173">
        <v>60</v>
      </c>
      <c r="J533">
        <v>5000</v>
      </c>
      <c r="K533" s="173">
        <v>4254</v>
      </c>
      <c r="L533" s="402">
        <f t="shared" si="47"/>
        <v>51.048000000000002</v>
      </c>
      <c r="M533" s="402">
        <f t="shared" si="48"/>
        <v>111.048</v>
      </c>
      <c r="N533" s="174"/>
      <c r="O533" s="173">
        <f t="shared" si="49"/>
        <v>155.46719999999999</v>
      </c>
      <c r="P533" s="173">
        <v>150</v>
      </c>
    </row>
    <row r="534" spans="3:20" hidden="1" x14ac:dyDescent="0.35">
      <c r="C534" s="233" t="s">
        <v>518</v>
      </c>
      <c r="F534" s="366">
        <v>44</v>
      </c>
      <c r="G534" s="371" t="s">
        <v>1188</v>
      </c>
      <c r="H534" s="371"/>
      <c r="I534" s="176">
        <v>45</v>
      </c>
      <c r="J534" s="12">
        <v>5000</v>
      </c>
      <c r="K534" s="176">
        <v>4254</v>
      </c>
      <c r="L534" s="410">
        <f t="shared" si="47"/>
        <v>38.285999999999994</v>
      </c>
      <c r="M534" s="410">
        <f t="shared" si="48"/>
        <v>83.286000000000001</v>
      </c>
      <c r="N534" s="411"/>
      <c r="O534" s="176">
        <f t="shared" si="49"/>
        <v>116.60039999999999</v>
      </c>
      <c r="P534" s="176">
        <v>150</v>
      </c>
      <c r="S534" t="s">
        <v>1240</v>
      </c>
      <c r="T534" s="6">
        <v>45527</v>
      </c>
    </row>
    <row r="535" spans="3:20" hidden="1" x14ac:dyDescent="0.35">
      <c r="C535" s="233" t="s">
        <v>518</v>
      </c>
      <c r="F535" s="366">
        <v>46</v>
      </c>
      <c r="G535" s="245" t="s">
        <v>1188</v>
      </c>
      <c r="I535" s="173">
        <v>45</v>
      </c>
      <c r="J535">
        <v>5000</v>
      </c>
      <c r="K535" s="173">
        <v>4254</v>
      </c>
      <c r="L535" s="402">
        <f t="shared" si="47"/>
        <v>38.285999999999994</v>
      </c>
      <c r="M535" s="402">
        <f t="shared" si="48"/>
        <v>83.286000000000001</v>
      </c>
      <c r="N535" s="174"/>
      <c r="O535" s="173">
        <f t="shared" si="49"/>
        <v>116.60039999999999</v>
      </c>
      <c r="P535" s="173">
        <v>150</v>
      </c>
    </row>
    <row r="536" spans="3:20" hidden="1" x14ac:dyDescent="0.35">
      <c r="C536" s="233" t="s">
        <v>518</v>
      </c>
      <c r="F536" s="366">
        <v>48</v>
      </c>
      <c r="G536" s="245" t="s">
        <v>1188</v>
      </c>
      <c r="I536" s="173">
        <v>45</v>
      </c>
      <c r="J536">
        <v>5000</v>
      </c>
      <c r="K536" s="173">
        <v>4254</v>
      </c>
      <c r="L536" s="402">
        <f t="shared" si="47"/>
        <v>38.285999999999994</v>
      </c>
      <c r="M536" s="402">
        <f t="shared" si="48"/>
        <v>83.286000000000001</v>
      </c>
      <c r="N536" s="174"/>
      <c r="O536" s="173">
        <f t="shared" si="49"/>
        <v>116.60039999999999</v>
      </c>
      <c r="P536" s="173">
        <v>150</v>
      </c>
    </row>
    <row r="537" spans="3:20" hidden="1" x14ac:dyDescent="0.35">
      <c r="C537" s="233" t="s">
        <v>518</v>
      </c>
      <c r="F537" s="366">
        <v>50</v>
      </c>
      <c r="G537" s="245" t="s">
        <v>1188</v>
      </c>
      <c r="I537" s="173">
        <v>45</v>
      </c>
      <c r="J537">
        <v>5000</v>
      </c>
      <c r="K537" s="173">
        <v>4254</v>
      </c>
      <c r="L537" s="402">
        <f t="shared" si="47"/>
        <v>38.285999999999994</v>
      </c>
      <c r="M537" s="402">
        <f t="shared" si="48"/>
        <v>83.286000000000001</v>
      </c>
      <c r="N537" s="174"/>
      <c r="O537" s="173">
        <f t="shared" si="49"/>
        <v>116.60039999999999</v>
      </c>
      <c r="P537" s="173">
        <v>150</v>
      </c>
    </row>
    <row r="538" spans="3:20" hidden="1" x14ac:dyDescent="0.35">
      <c r="C538" s="233" t="s">
        <v>1189</v>
      </c>
      <c r="F538" s="366">
        <v>48</v>
      </c>
      <c r="G538" s="245" t="s">
        <v>1191</v>
      </c>
      <c r="I538" s="173">
        <v>50</v>
      </c>
      <c r="J538">
        <v>5000</v>
      </c>
      <c r="K538" s="173">
        <v>4254</v>
      </c>
      <c r="L538" s="402">
        <f t="shared" si="47"/>
        <v>42.54</v>
      </c>
      <c r="M538" s="402">
        <f t="shared" si="48"/>
        <v>92.539999999999992</v>
      </c>
      <c r="N538" s="174"/>
      <c r="O538" s="173">
        <f t="shared" si="49"/>
        <v>129.55599999999998</v>
      </c>
      <c r="P538" s="173">
        <v>150</v>
      </c>
    </row>
    <row r="539" spans="3:20" hidden="1" x14ac:dyDescent="0.35">
      <c r="C539" s="233" t="s">
        <v>1189</v>
      </c>
      <c r="F539" s="366">
        <v>50</v>
      </c>
      <c r="G539" s="245" t="s">
        <v>1191</v>
      </c>
      <c r="I539" s="173">
        <v>50</v>
      </c>
      <c r="J539">
        <v>5000</v>
      </c>
      <c r="K539" s="173">
        <v>4254</v>
      </c>
      <c r="L539" s="402">
        <f t="shared" si="47"/>
        <v>42.54</v>
      </c>
      <c r="M539" s="402">
        <f t="shared" si="48"/>
        <v>92.539999999999992</v>
      </c>
      <c r="N539" s="174"/>
      <c r="O539" s="173">
        <f t="shared" si="49"/>
        <v>129.55599999999998</v>
      </c>
      <c r="P539" s="173">
        <v>150</v>
      </c>
    </row>
    <row r="540" spans="3:20" hidden="1" x14ac:dyDescent="0.35">
      <c r="C540" s="233" t="s">
        <v>1189</v>
      </c>
      <c r="F540" s="366">
        <v>52</v>
      </c>
      <c r="G540" s="245" t="s">
        <v>1191</v>
      </c>
      <c r="I540" s="173">
        <v>50</v>
      </c>
      <c r="J540">
        <v>5000</v>
      </c>
      <c r="K540" s="173">
        <v>4254</v>
      </c>
      <c r="L540" s="402">
        <f t="shared" si="47"/>
        <v>42.54</v>
      </c>
      <c r="M540" s="402">
        <f t="shared" si="48"/>
        <v>92.539999999999992</v>
      </c>
      <c r="N540" s="174"/>
      <c r="O540" s="173">
        <f t="shared" si="49"/>
        <v>129.55599999999998</v>
      </c>
      <c r="P540" s="173">
        <v>150</v>
      </c>
    </row>
    <row r="541" spans="3:20" hidden="1" x14ac:dyDescent="0.35">
      <c r="C541" s="233" t="s">
        <v>1189</v>
      </c>
      <c r="F541" s="366">
        <v>54</v>
      </c>
      <c r="G541" s="245" t="s">
        <v>1191</v>
      </c>
      <c r="I541" s="173">
        <v>50</v>
      </c>
      <c r="J541">
        <v>5000</v>
      </c>
      <c r="K541" s="173">
        <v>4254</v>
      </c>
      <c r="L541" s="402">
        <f t="shared" si="47"/>
        <v>42.54</v>
      </c>
      <c r="M541" s="402">
        <f t="shared" si="48"/>
        <v>92.539999999999992</v>
      </c>
      <c r="N541" s="174"/>
      <c r="O541" s="173">
        <f t="shared" si="49"/>
        <v>129.55599999999998</v>
      </c>
      <c r="P541" s="173">
        <v>150</v>
      </c>
    </row>
    <row r="542" spans="3:20" hidden="1" x14ac:dyDescent="0.35">
      <c r="C542" s="233" t="s">
        <v>1189</v>
      </c>
      <c r="F542" s="366">
        <v>54</v>
      </c>
      <c r="G542" s="245" t="s">
        <v>1214</v>
      </c>
      <c r="I542" s="173">
        <v>55</v>
      </c>
      <c r="J542">
        <v>5000</v>
      </c>
      <c r="K542" s="173">
        <v>4254</v>
      </c>
      <c r="L542" s="402">
        <f t="shared" si="47"/>
        <v>46.793999999999997</v>
      </c>
      <c r="M542" s="402">
        <f t="shared" si="48"/>
        <v>101.794</v>
      </c>
      <c r="N542" s="174"/>
      <c r="O542" s="173">
        <f t="shared" si="49"/>
        <v>142.51159999999999</v>
      </c>
      <c r="P542" s="173">
        <v>150</v>
      </c>
    </row>
    <row r="543" spans="3:20" hidden="1" x14ac:dyDescent="0.35">
      <c r="C543" s="233" t="s">
        <v>1189</v>
      </c>
      <c r="F543" s="366">
        <v>56</v>
      </c>
      <c r="G543" s="245" t="s">
        <v>1214</v>
      </c>
      <c r="I543" s="173">
        <v>55</v>
      </c>
      <c r="J543">
        <v>5000</v>
      </c>
      <c r="K543" s="173">
        <v>4254</v>
      </c>
      <c r="L543" s="402">
        <f t="shared" si="47"/>
        <v>46.793999999999997</v>
      </c>
      <c r="M543" s="402">
        <f t="shared" si="48"/>
        <v>101.794</v>
      </c>
      <c r="N543" s="174"/>
      <c r="O543" s="173">
        <f t="shared" si="49"/>
        <v>142.51159999999999</v>
      </c>
      <c r="P543" s="173">
        <v>150</v>
      </c>
    </row>
    <row r="544" spans="3:20" hidden="1" x14ac:dyDescent="0.35">
      <c r="C544" s="233" t="s">
        <v>1189</v>
      </c>
      <c r="F544" s="366">
        <v>58</v>
      </c>
      <c r="G544" s="245" t="s">
        <v>1214</v>
      </c>
      <c r="I544" s="173">
        <v>55</v>
      </c>
      <c r="J544">
        <v>5000</v>
      </c>
      <c r="K544" s="173">
        <v>4254</v>
      </c>
      <c r="L544" s="402">
        <f t="shared" si="47"/>
        <v>46.793999999999997</v>
      </c>
      <c r="M544" s="402">
        <f t="shared" si="48"/>
        <v>101.794</v>
      </c>
      <c r="N544" s="174"/>
      <c r="O544" s="173">
        <f t="shared" si="49"/>
        <v>142.51159999999999</v>
      </c>
      <c r="P544" s="173">
        <v>150</v>
      </c>
    </row>
    <row r="545" spans="3:20" hidden="1" x14ac:dyDescent="0.35">
      <c r="C545" s="233" t="s">
        <v>1189</v>
      </c>
      <c r="F545" s="366">
        <v>60</v>
      </c>
      <c r="G545" s="245" t="s">
        <v>1214</v>
      </c>
      <c r="I545" s="173">
        <v>55</v>
      </c>
      <c r="J545">
        <v>5000</v>
      </c>
      <c r="K545" s="173">
        <v>4254</v>
      </c>
      <c r="L545" s="402">
        <f t="shared" si="47"/>
        <v>46.793999999999997</v>
      </c>
      <c r="M545" s="402">
        <f t="shared" si="48"/>
        <v>101.794</v>
      </c>
      <c r="N545" s="174"/>
      <c r="O545" s="173">
        <f t="shared" si="49"/>
        <v>142.51159999999999</v>
      </c>
      <c r="P545" s="173">
        <v>150</v>
      </c>
    </row>
    <row r="546" spans="3:20" hidden="1" x14ac:dyDescent="0.35">
      <c r="C546" s="233" t="s">
        <v>941</v>
      </c>
      <c r="F546" s="366">
        <v>44</v>
      </c>
      <c r="G546" s="245" t="s">
        <v>1192</v>
      </c>
      <c r="I546" s="173">
        <v>26</v>
      </c>
      <c r="J546">
        <v>5000</v>
      </c>
      <c r="K546" s="173">
        <v>4254</v>
      </c>
      <c r="L546" s="402">
        <f t="shared" si="47"/>
        <v>22.120799999999999</v>
      </c>
      <c r="M546" s="402">
        <f t="shared" si="48"/>
        <v>48.120800000000003</v>
      </c>
      <c r="N546" s="174"/>
      <c r="O546" s="173">
        <f t="shared" si="49"/>
        <v>67.369119999999995</v>
      </c>
      <c r="P546" s="173">
        <v>110</v>
      </c>
    </row>
    <row r="547" spans="3:20" hidden="1" x14ac:dyDescent="0.35">
      <c r="C547" s="233" t="s">
        <v>941</v>
      </c>
      <c r="F547" s="366">
        <v>46</v>
      </c>
      <c r="G547" s="245" t="s">
        <v>1192</v>
      </c>
      <c r="I547" s="173">
        <v>26</v>
      </c>
      <c r="J547">
        <v>5000</v>
      </c>
      <c r="K547" s="173">
        <v>4254</v>
      </c>
      <c r="L547" s="402">
        <f t="shared" si="47"/>
        <v>22.120799999999999</v>
      </c>
      <c r="M547" s="402">
        <f t="shared" si="48"/>
        <v>48.120800000000003</v>
      </c>
      <c r="N547" s="174"/>
      <c r="O547" s="173">
        <f t="shared" si="49"/>
        <v>67.369119999999995</v>
      </c>
      <c r="P547" s="173">
        <v>110</v>
      </c>
    </row>
    <row r="548" spans="3:20" hidden="1" x14ac:dyDescent="0.35">
      <c r="C548" s="233" t="s">
        <v>941</v>
      </c>
      <c r="F548" s="366">
        <v>48</v>
      </c>
      <c r="G548" s="245" t="s">
        <v>1192</v>
      </c>
      <c r="I548" s="173">
        <v>26</v>
      </c>
      <c r="J548">
        <v>5000</v>
      </c>
      <c r="K548" s="173">
        <v>4254</v>
      </c>
      <c r="L548" s="402">
        <f t="shared" si="47"/>
        <v>22.120799999999999</v>
      </c>
      <c r="M548" s="402">
        <f t="shared" si="48"/>
        <v>48.120800000000003</v>
      </c>
      <c r="N548" s="174"/>
      <c r="O548" s="173">
        <f t="shared" si="49"/>
        <v>67.369119999999995</v>
      </c>
      <c r="P548" s="173">
        <v>110</v>
      </c>
    </row>
    <row r="549" spans="3:20" hidden="1" x14ac:dyDescent="0.35">
      <c r="C549" s="233" t="s">
        <v>941</v>
      </c>
      <c r="F549" s="366">
        <v>50</v>
      </c>
      <c r="G549" s="245" t="s">
        <v>1192</v>
      </c>
      <c r="I549" s="173">
        <v>26</v>
      </c>
      <c r="J549">
        <v>5000</v>
      </c>
      <c r="K549" s="173">
        <v>4254</v>
      </c>
      <c r="L549" s="402">
        <f t="shared" ref="L549:L580" si="50">+I549/J549*K549</f>
        <v>22.120799999999999</v>
      </c>
      <c r="M549" s="402">
        <f t="shared" ref="M549:M580" si="51">+I549+L549</f>
        <v>48.120800000000003</v>
      </c>
      <c r="N549" s="174"/>
      <c r="O549" s="173">
        <f t="shared" ref="O549:O580" si="52">+M549*1.4</f>
        <v>67.369119999999995</v>
      </c>
      <c r="P549" s="173">
        <v>110</v>
      </c>
    </row>
    <row r="550" spans="3:20" hidden="1" x14ac:dyDescent="0.35">
      <c r="C550" s="233" t="s">
        <v>1231</v>
      </c>
      <c r="F550" s="366">
        <v>44</v>
      </c>
      <c r="G550" s="245" t="s">
        <v>1193</v>
      </c>
      <c r="I550" s="173">
        <v>26</v>
      </c>
      <c r="J550">
        <v>5000</v>
      </c>
      <c r="K550" s="173">
        <v>4254</v>
      </c>
      <c r="L550" s="402">
        <f t="shared" si="50"/>
        <v>22.120799999999999</v>
      </c>
      <c r="M550" s="402">
        <f t="shared" si="51"/>
        <v>48.120800000000003</v>
      </c>
      <c r="N550" s="174"/>
      <c r="O550" s="173">
        <f t="shared" si="52"/>
        <v>67.369119999999995</v>
      </c>
      <c r="P550" s="173">
        <v>110</v>
      </c>
    </row>
    <row r="551" spans="3:20" hidden="1" x14ac:dyDescent="0.35">
      <c r="C551" s="233" t="s">
        <v>1231</v>
      </c>
      <c r="F551" s="366">
        <v>46</v>
      </c>
      <c r="G551" s="371" t="s">
        <v>1193</v>
      </c>
      <c r="H551" s="371"/>
      <c r="I551" s="176">
        <v>26</v>
      </c>
      <c r="J551" s="12">
        <v>5000</v>
      </c>
      <c r="K551" s="176">
        <v>4254</v>
      </c>
      <c r="L551" s="410">
        <f t="shared" si="50"/>
        <v>22.120799999999999</v>
      </c>
      <c r="M551" s="410">
        <f t="shared" si="51"/>
        <v>48.120800000000003</v>
      </c>
      <c r="N551" s="411"/>
      <c r="O551" s="176">
        <f t="shared" si="52"/>
        <v>67.369119999999995</v>
      </c>
      <c r="P551" s="176">
        <v>110</v>
      </c>
      <c r="S551" t="s">
        <v>12</v>
      </c>
      <c r="T551" s="6">
        <v>45530</v>
      </c>
    </row>
    <row r="552" spans="3:20" hidden="1" x14ac:dyDescent="0.35">
      <c r="C552" s="233" t="s">
        <v>1231</v>
      </c>
      <c r="F552" s="366">
        <v>48</v>
      </c>
      <c r="G552" s="245" t="s">
        <v>1193</v>
      </c>
      <c r="I552" s="173">
        <v>26</v>
      </c>
      <c r="J552">
        <v>5000</v>
      </c>
      <c r="K552" s="173">
        <v>4254</v>
      </c>
      <c r="L552" s="402">
        <f t="shared" si="50"/>
        <v>22.120799999999999</v>
      </c>
      <c r="M552" s="402">
        <f t="shared" si="51"/>
        <v>48.120800000000003</v>
      </c>
      <c r="N552" s="174"/>
      <c r="O552" s="173">
        <f t="shared" si="52"/>
        <v>67.369119999999995</v>
      </c>
      <c r="P552" s="173">
        <v>110</v>
      </c>
    </row>
    <row r="553" spans="3:20" hidden="1" x14ac:dyDescent="0.35">
      <c r="C553" s="233" t="s">
        <v>1231</v>
      </c>
      <c r="F553" s="366">
        <v>50</v>
      </c>
      <c r="G553" s="245" t="s">
        <v>1193</v>
      </c>
      <c r="I553" s="173">
        <v>26</v>
      </c>
      <c r="J553">
        <v>5000</v>
      </c>
      <c r="K553" s="173">
        <v>4254</v>
      </c>
      <c r="L553" s="402">
        <f t="shared" si="50"/>
        <v>22.120799999999999</v>
      </c>
      <c r="M553" s="402">
        <f t="shared" si="51"/>
        <v>48.120800000000003</v>
      </c>
      <c r="N553" s="174"/>
      <c r="O553" s="173">
        <f t="shared" si="52"/>
        <v>67.369119999999995</v>
      </c>
      <c r="P553" s="173">
        <v>110</v>
      </c>
    </row>
    <row r="554" spans="3:20" hidden="1" x14ac:dyDescent="0.35">
      <c r="C554" s="233" t="s">
        <v>941</v>
      </c>
      <c r="F554" s="366">
        <v>44</v>
      </c>
      <c r="G554" s="245" t="s">
        <v>1194</v>
      </c>
      <c r="I554" s="173">
        <v>27</v>
      </c>
      <c r="J554">
        <v>5000</v>
      </c>
      <c r="K554" s="173">
        <v>4254</v>
      </c>
      <c r="L554" s="402">
        <f t="shared" si="50"/>
        <v>22.971600000000002</v>
      </c>
      <c r="M554" s="402">
        <f t="shared" si="51"/>
        <v>49.971600000000002</v>
      </c>
      <c r="N554" s="174"/>
      <c r="O554" s="173">
        <f t="shared" si="52"/>
        <v>69.960239999999999</v>
      </c>
      <c r="P554" s="173">
        <v>110</v>
      </c>
    </row>
    <row r="555" spans="3:20" hidden="1" x14ac:dyDescent="0.35">
      <c r="C555" s="233" t="s">
        <v>941</v>
      </c>
      <c r="F555" s="366">
        <v>46</v>
      </c>
      <c r="G555" s="245" t="s">
        <v>1194</v>
      </c>
      <c r="I555" s="173">
        <v>27</v>
      </c>
      <c r="J555">
        <v>5000</v>
      </c>
      <c r="K555" s="173">
        <v>4254</v>
      </c>
      <c r="L555" s="402">
        <f t="shared" si="50"/>
        <v>22.971600000000002</v>
      </c>
      <c r="M555" s="402">
        <f t="shared" si="51"/>
        <v>49.971600000000002</v>
      </c>
      <c r="N555" s="174"/>
      <c r="O555" s="173">
        <f t="shared" si="52"/>
        <v>69.960239999999999</v>
      </c>
      <c r="P555" s="173">
        <v>110</v>
      </c>
    </row>
    <row r="556" spans="3:20" hidden="1" x14ac:dyDescent="0.35">
      <c r="C556" s="233" t="s">
        <v>941</v>
      </c>
      <c r="F556" s="366">
        <v>48</v>
      </c>
      <c r="G556" s="245" t="s">
        <v>1194</v>
      </c>
      <c r="I556" s="173">
        <v>27</v>
      </c>
      <c r="J556">
        <v>5000</v>
      </c>
      <c r="K556" s="173">
        <v>4254</v>
      </c>
      <c r="L556" s="402">
        <f t="shared" si="50"/>
        <v>22.971600000000002</v>
      </c>
      <c r="M556" s="402">
        <f t="shared" si="51"/>
        <v>49.971600000000002</v>
      </c>
      <c r="N556" s="174"/>
      <c r="O556" s="173">
        <f t="shared" si="52"/>
        <v>69.960239999999999</v>
      </c>
      <c r="P556" s="173">
        <v>110</v>
      </c>
    </row>
    <row r="557" spans="3:20" hidden="1" x14ac:dyDescent="0.35">
      <c r="C557" s="233" t="s">
        <v>941</v>
      </c>
      <c r="F557" s="366">
        <v>50</v>
      </c>
      <c r="G557" s="245" t="s">
        <v>1194</v>
      </c>
      <c r="I557" s="173">
        <v>27</v>
      </c>
      <c r="J557">
        <v>5000</v>
      </c>
      <c r="K557" s="173">
        <v>4254</v>
      </c>
      <c r="L557" s="402">
        <f t="shared" si="50"/>
        <v>22.971600000000002</v>
      </c>
      <c r="M557" s="402">
        <f t="shared" si="51"/>
        <v>49.971600000000002</v>
      </c>
      <c r="N557" s="174"/>
      <c r="O557" s="173">
        <f t="shared" si="52"/>
        <v>69.960239999999999</v>
      </c>
      <c r="P557" s="173">
        <v>110</v>
      </c>
    </row>
    <row r="558" spans="3:20" hidden="1" x14ac:dyDescent="0.35">
      <c r="C558" s="233" t="s">
        <v>937</v>
      </c>
      <c r="F558" s="366">
        <v>38</v>
      </c>
      <c r="G558" s="245" t="s">
        <v>1195</v>
      </c>
      <c r="I558" s="173">
        <v>16</v>
      </c>
      <c r="J558">
        <v>5000</v>
      </c>
      <c r="K558" s="173">
        <v>4254</v>
      </c>
      <c r="L558" s="402">
        <f t="shared" si="50"/>
        <v>13.6128</v>
      </c>
      <c r="M558" s="402">
        <f t="shared" si="51"/>
        <v>29.6128</v>
      </c>
      <c r="N558" s="174"/>
      <c r="O558" s="173">
        <f t="shared" si="52"/>
        <v>41.457919999999994</v>
      </c>
      <c r="P558" s="173">
        <v>75</v>
      </c>
    </row>
    <row r="559" spans="3:20" hidden="1" x14ac:dyDescent="0.35">
      <c r="C559" s="233" t="s">
        <v>937</v>
      </c>
      <c r="F559" s="366">
        <v>40</v>
      </c>
      <c r="G559" s="245" t="s">
        <v>1195</v>
      </c>
      <c r="I559" s="173">
        <v>16</v>
      </c>
      <c r="J559">
        <v>5000</v>
      </c>
      <c r="K559" s="173">
        <v>4254</v>
      </c>
      <c r="L559" s="402">
        <f t="shared" si="50"/>
        <v>13.6128</v>
      </c>
      <c r="M559" s="402">
        <f t="shared" si="51"/>
        <v>29.6128</v>
      </c>
      <c r="N559" s="174"/>
      <c r="O559" s="173">
        <f t="shared" si="52"/>
        <v>41.457919999999994</v>
      </c>
      <c r="P559" s="173">
        <v>75</v>
      </c>
    </row>
    <row r="560" spans="3:20" hidden="1" x14ac:dyDescent="0.35">
      <c r="C560" s="233" t="s">
        <v>937</v>
      </c>
      <c r="F560" s="366">
        <v>42</v>
      </c>
      <c r="G560" s="245" t="s">
        <v>1195</v>
      </c>
      <c r="I560" s="173">
        <v>16</v>
      </c>
      <c r="J560">
        <v>5000</v>
      </c>
      <c r="K560" s="173">
        <v>4254</v>
      </c>
      <c r="L560" s="402">
        <f t="shared" si="50"/>
        <v>13.6128</v>
      </c>
      <c r="M560" s="402">
        <f t="shared" si="51"/>
        <v>29.6128</v>
      </c>
      <c r="N560" s="174"/>
      <c r="O560" s="173">
        <f t="shared" si="52"/>
        <v>41.457919999999994</v>
      </c>
      <c r="P560" s="173">
        <v>75</v>
      </c>
    </row>
    <row r="561" spans="3:20" hidden="1" x14ac:dyDescent="0.35">
      <c r="C561" s="233" t="s">
        <v>937</v>
      </c>
      <c r="F561" s="366">
        <v>44</v>
      </c>
      <c r="G561" s="245" t="s">
        <v>1195</v>
      </c>
      <c r="I561" s="173">
        <v>16</v>
      </c>
      <c r="J561">
        <v>5000</v>
      </c>
      <c r="K561" s="173">
        <v>4254</v>
      </c>
      <c r="L561" s="402">
        <f t="shared" si="50"/>
        <v>13.6128</v>
      </c>
      <c r="M561" s="402">
        <f t="shared" si="51"/>
        <v>29.6128</v>
      </c>
      <c r="N561" s="174"/>
      <c r="O561" s="173">
        <f t="shared" si="52"/>
        <v>41.457919999999994</v>
      </c>
      <c r="P561" s="173">
        <v>75</v>
      </c>
    </row>
    <row r="562" spans="3:20" hidden="1" x14ac:dyDescent="0.35">
      <c r="C562" s="233" t="s">
        <v>937</v>
      </c>
      <c r="F562" s="366">
        <v>38</v>
      </c>
      <c r="G562" s="245" t="s">
        <v>1196</v>
      </c>
      <c r="I562" s="173">
        <v>16</v>
      </c>
      <c r="J562">
        <v>5000</v>
      </c>
      <c r="K562" s="173">
        <v>4254</v>
      </c>
      <c r="L562" s="402">
        <f t="shared" si="50"/>
        <v>13.6128</v>
      </c>
      <c r="M562" s="402">
        <f t="shared" si="51"/>
        <v>29.6128</v>
      </c>
      <c r="N562" s="174"/>
      <c r="O562" s="173">
        <f t="shared" si="52"/>
        <v>41.457919999999994</v>
      </c>
      <c r="P562" s="173">
        <v>75</v>
      </c>
    </row>
    <row r="563" spans="3:20" hidden="1" x14ac:dyDescent="0.35">
      <c r="C563" s="233" t="s">
        <v>937</v>
      </c>
      <c r="F563" s="366">
        <v>40</v>
      </c>
      <c r="G563" s="245" t="s">
        <v>1196</v>
      </c>
      <c r="I563" s="173">
        <v>16</v>
      </c>
      <c r="J563">
        <v>5000</v>
      </c>
      <c r="K563" s="173">
        <v>4254</v>
      </c>
      <c r="L563" s="402">
        <f t="shared" si="50"/>
        <v>13.6128</v>
      </c>
      <c r="M563" s="402">
        <f t="shared" si="51"/>
        <v>29.6128</v>
      </c>
      <c r="N563" s="174"/>
      <c r="O563" s="173">
        <f t="shared" si="52"/>
        <v>41.457919999999994</v>
      </c>
      <c r="P563" s="173">
        <v>75</v>
      </c>
    </row>
    <row r="564" spans="3:20" hidden="1" x14ac:dyDescent="0.35">
      <c r="C564" s="233" t="s">
        <v>937</v>
      </c>
      <c r="F564" s="366">
        <v>42</v>
      </c>
      <c r="G564" s="245" t="s">
        <v>1196</v>
      </c>
      <c r="I564" s="173">
        <v>16</v>
      </c>
      <c r="J564">
        <v>5000</v>
      </c>
      <c r="K564" s="173">
        <v>4254</v>
      </c>
      <c r="L564" s="402">
        <f t="shared" si="50"/>
        <v>13.6128</v>
      </c>
      <c r="M564" s="402">
        <f t="shared" si="51"/>
        <v>29.6128</v>
      </c>
      <c r="N564" s="174"/>
      <c r="O564" s="173">
        <f t="shared" si="52"/>
        <v>41.457919999999994</v>
      </c>
      <c r="P564" s="173">
        <v>75</v>
      </c>
    </row>
    <row r="565" spans="3:20" hidden="1" x14ac:dyDescent="0.35">
      <c r="C565" s="233" t="s">
        <v>937</v>
      </c>
      <c r="F565" s="366">
        <v>44</v>
      </c>
      <c r="G565" s="245" t="s">
        <v>1196</v>
      </c>
      <c r="I565" s="173">
        <v>16</v>
      </c>
      <c r="J565">
        <v>5000</v>
      </c>
      <c r="K565" s="173">
        <v>4254</v>
      </c>
      <c r="L565" s="402">
        <f t="shared" si="50"/>
        <v>13.6128</v>
      </c>
      <c r="M565" s="402">
        <f t="shared" si="51"/>
        <v>29.6128</v>
      </c>
      <c r="N565" s="174"/>
      <c r="O565" s="173">
        <f t="shared" si="52"/>
        <v>41.457919999999994</v>
      </c>
      <c r="P565" s="173">
        <v>75</v>
      </c>
    </row>
    <row r="566" spans="3:20" hidden="1" x14ac:dyDescent="0.35">
      <c r="C566" s="233" t="s">
        <v>937</v>
      </c>
      <c r="F566" s="366">
        <v>38</v>
      </c>
      <c r="G566" s="245" t="s">
        <v>1197</v>
      </c>
      <c r="I566" s="173">
        <v>16</v>
      </c>
      <c r="J566">
        <v>5000</v>
      </c>
      <c r="K566" s="173">
        <v>4254</v>
      </c>
      <c r="L566" s="402">
        <f t="shared" si="50"/>
        <v>13.6128</v>
      </c>
      <c r="M566" s="402">
        <f t="shared" si="51"/>
        <v>29.6128</v>
      </c>
      <c r="N566" s="174"/>
      <c r="O566" s="173">
        <f t="shared" si="52"/>
        <v>41.457919999999994</v>
      </c>
      <c r="P566" s="173">
        <v>75</v>
      </c>
    </row>
    <row r="567" spans="3:20" hidden="1" x14ac:dyDescent="0.35">
      <c r="C567" s="233" t="s">
        <v>937</v>
      </c>
      <c r="F567" s="366">
        <v>40</v>
      </c>
      <c r="G567" s="245" t="s">
        <v>1197</v>
      </c>
      <c r="I567" s="173">
        <v>16</v>
      </c>
      <c r="J567">
        <v>5000</v>
      </c>
      <c r="K567" s="173">
        <v>4254</v>
      </c>
      <c r="L567" s="402">
        <f t="shared" si="50"/>
        <v>13.6128</v>
      </c>
      <c r="M567" s="402">
        <f t="shared" si="51"/>
        <v>29.6128</v>
      </c>
      <c r="N567" s="174"/>
      <c r="O567" s="173">
        <f t="shared" si="52"/>
        <v>41.457919999999994</v>
      </c>
      <c r="P567" s="173">
        <v>75</v>
      </c>
    </row>
    <row r="568" spans="3:20" hidden="1" x14ac:dyDescent="0.35">
      <c r="C568" s="233" t="s">
        <v>937</v>
      </c>
      <c r="F568" s="366">
        <v>42</v>
      </c>
      <c r="G568" s="245" t="s">
        <v>1197</v>
      </c>
      <c r="I568" s="173">
        <v>16</v>
      </c>
      <c r="J568">
        <v>5000</v>
      </c>
      <c r="K568" s="173">
        <v>4254</v>
      </c>
      <c r="L568" s="402">
        <f t="shared" si="50"/>
        <v>13.6128</v>
      </c>
      <c r="M568" s="402">
        <f t="shared" si="51"/>
        <v>29.6128</v>
      </c>
      <c r="N568" s="174"/>
      <c r="O568" s="173">
        <f t="shared" si="52"/>
        <v>41.457919999999994</v>
      </c>
      <c r="P568" s="173">
        <v>75</v>
      </c>
    </row>
    <row r="569" spans="3:20" hidden="1" x14ac:dyDescent="0.35">
      <c r="C569" s="233" t="s">
        <v>937</v>
      </c>
      <c r="F569" s="366">
        <v>44</v>
      </c>
      <c r="G569" s="371" t="s">
        <v>1197</v>
      </c>
      <c r="H569" s="371"/>
      <c r="I569" s="176">
        <v>16</v>
      </c>
      <c r="J569" s="12">
        <v>5000</v>
      </c>
      <c r="K569" s="176">
        <v>4254</v>
      </c>
      <c r="L569" s="410">
        <f t="shared" si="50"/>
        <v>13.6128</v>
      </c>
      <c r="M569" s="410">
        <f t="shared" si="51"/>
        <v>29.6128</v>
      </c>
      <c r="N569" s="411"/>
      <c r="O569" s="176">
        <f t="shared" si="52"/>
        <v>41.457919999999994</v>
      </c>
      <c r="P569" s="176">
        <v>75</v>
      </c>
      <c r="S569" t="s">
        <v>1238</v>
      </c>
      <c r="T569" s="6">
        <v>45526</v>
      </c>
    </row>
    <row r="570" spans="3:20" hidden="1" x14ac:dyDescent="0.35">
      <c r="C570" s="233" t="s">
        <v>1035</v>
      </c>
      <c r="G570" s="245" t="s">
        <v>1201</v>
      </c>
      <c r="I570" s="173">
        <v>46</v>
      </c>
      <c r="J570">
        <v>5000</v>
      </c>
      <c r="K570" s="173">
        <v>4254</v>
      </c>
      <c r="L570" s="402">
        <f t="shared" si="50"/>
        <v>39.136800000000001</v>
      </c>
      <c r="M570" s="402">
        <f t="shared" si="51"/>
        <v>85.136799999999994</v>
      </c>
      <c r="N570" s="174"/>
      <c r="O570" s="173">
        <f t="shared" si="52"/>
        <v>119.19151999999998</v>
      </c>
      <c r="P570" s="173">
        <v>125</v>
      </c>
    </row>
    <row r="571" spans="3:20" hidden="1" x14ac:dyDescent="0.35">
      <c r="C571" s="233" t="s">
        <v>1035</v>
      </c>
      <c r="G571" s="245" t="s">
        <v>1201</v>
      </c>
      <c r="I571" s="173">
        <v>46</v>
      </c>
      <c r="J571">
        <v>5000</v>
      </c>
      <c r="K571" s="173">
        <v>4254</v>
      </c>
      <c r="L571" s="402">
        <f t="shared" si="50"/>
        <v>39.136800000000001</v>
      </c>
      <c r="M571" s="402">
        <f t="shared" si="51"/>
        <v>85.136799999999994</v>
      </c>
      <c r="N571" s="174"/>
      <c r="O571" s="173">
        <f t="shared" si="52"/>
        <v>119.19151999999998</v>
      </c>
      <c r="P571" s="173">
        <v>125</v>
      </c>
    </row>
    <row r="572" spans="3:20" hidden="1" x14ac:dyDescent="0.35">
      <c r="C572" s="233" t="s">
        <v>1236</v>
      </c>
      <c r="G572" s="245" t="s">
        <v>1202</v>
      </c>
      <c r="I572" s="173">
        <v>40</v>
      </c>
      <c r="J572">
        <v>5000</v>
      </c>
      <c r="K572" s="173">
        <v>4254</v>
      </c>
      <c r="L572" s="402">
        <f t="shared" si="50"/>
        <v>34.032000000000004</v>
      </c>
      <c r="M572" s="402">
        <f t="shared" si="51"/>
        <v>74.032000000000011</v>
      </c>
      <c r="N572" s="174"/>
      <c r="O572" s="173">
        <f t="shared" si="52"/>
        <v>103.6448</v>
      </c>
      <c r="P572" s="173">
        <v>125</v>
      </c>
    </row>
    <row r="573" spans="3:20" hidden="1" x14ac:dyDescent="0.35">
      <c r="C573" s="233" t="s">
        <v>1236</v>
      </c>
      <c r="G573" s="245" t="s">
        <v>1202</v>
      </c>
      <c r="I573" s="173">
        <v>40</v>
      </c>
      <c r="J573">
        <v>5000</v>
      </c>
      <c r="K573" s="173">
        <v>4254</v>
      </c>
      <c r="L573" s="402">
        <f t="shared" si="50"/>
        <v>34.032000000000004</v>
      </c>
      <c r="M573" s="402">
        <f t="shared" si="51"/>
        <v>74.032000000000011</v>
      </c>
      <c r="N573" s="174"/>
      <c r="O573" s="173">
        <f t="shared" si="52"/>
        <v>103.6448</v>
      </c>
      <c r="P573" s="173">
        <v>125</v>
      </c>
    </row>
    <row r="574" spans="3:20" hidden="1" x14ac:dyDescent="0.35">
      <c r="C574" s="233" t="s">
        <v>1236</v>
      </c>
      <c r="G574" s="245" t="s">
        <v>1202</v>
      </c>
      <c r="I574" s="173">
        <v>40</v>
      </c>
      <c r="J574">
        <v>5000</v>
      </c>
      <c r="K574" s="173">
        <v>4254</v>
      </c>
      <c r="L574" s="402">
        <f t="shared" si="50"/>
        <v>34.032000000000004</v>
      </c>
      <c r="M574" s="402">
        <f t="shared" si="51"/>
        <v>74.032000000000011</v>
      </c>
      <c r="N574" s="174"/>
      <c r="O574" s="173">
        <f t="shared" si="52"/>
        <v>103.6448</v>
      </c>
      <c r="P574" s="173">
        <v>125</v>
      </c>
    </row>
    <row r="575" spans="3:20" hidden="1" x14ac:dyDescent="0.35">
      <c r="C575" s="233" t="s">
        <v>1236</v>
      </c>
      <c r="G575" s="245" t="s">
        <v>1202</v>
      </c>
      <c r="I575" s="173">
        <v>40</v>
      </c>
      <c r="J575">
        <v>5000</v>
      </c>
      <c r="K575" s="173">
        <v>4254</v>
      </c>
      <c r="L575" s="402">
        <f t="shared" si="50"/>
        <v>34.032000000000004</v>
      </c>
      <c r="M575" s="402">
        <f t="shared" si="51"/>
        <v>74.032000000000011</v>
      </c>
      <c r="N575" s="174"/>
      <c r="O575" s="173">
        <f t="shared" si="52"/>
        <v>103.6448</v>
      </c>
      <c r="P575" s="173">
        <v>125</v>
      </c>
    </row>
    <row r="576" spans="3:20" hidden="1" x14ac:dyDescent="0.35">
      <c r="C576" s="233" t="s">
        <v>1236</v>
      </c>
      <c r="G576" s="245" t="s">
        <v>1203</v>
      </c>
      <c r="I576" s="173">
        <v>55</v>
      </c>
      <c r="J576">
        <v>5000</v>
      </c>
      <c r="K576" s="173">
        <v>4254</v>
      </c>
      <c r="L576" s="402">
        <f t="shared" si="50"/>
        <v>46.793999999999997</v>
      </c>
      <c r="M576" s="402">
        <f t="shared" si="51"/>
        <v>101.794</v>
      </c>
      <c r="N576" s="174"/>
      <c r="O576" s="173">
        <f t="shared" si="52"/>
        <v>142.51159999999999</v>
      </c>
      <c r="P576" s="173">
        <v>150</v>
      </c>
    </row>
    <row r="577" spans="3:20" hidden="1" x14ac:dyDescent="0.35">
      <c r="C577" s="233" t="s">
        <v>1236</v>
      </c>
      <c r="G577" s="245" t="s">
        <v>1203</v>
      </c>
      <c r="I577" s="173">
        <v>55</v>
      </c>
      <c r="J577">
        <v>5000</v>
      </c>
      <c r="K577" s="173">
        <v>4254</v>
      </c>
      <c r="L577" s="402">
        <f t="shared" si="50"/>
        <v>46.793999999999997</v>
      </c>
      <c r="M577" s="402">
        <f t="shared" si="51"/>
        <v>101.794</v>
      </c>
      <c r="N577" s="174"/>
      <c r="O577" s="173">
        <f t="shared" si="52"/>
        <v>142.51159999999999</v>
      </c>
      <c r="P577" s="173">
        <v>150</v>
      </c>
    </row>
    <row r="578" spans="3:20" hidden="1" x14ac:dyDescent="0.35">
      <c r="C578" s="233" t="s">
        <v>1236</v>
      </c>
      <c r="G578" s="245" t="s">
        <v>1203</v>
      </c>
      <c r="I578" s="173">
        <v>55</v>
      </c>
      <c r="J578">
        <v>5000</v>
      </c>
      <c r="K578" s="173">
        <v>4254</v>
      </c>
      <c r="L578" s="402">
        <f t="shared" si="50"/>
        <v>46.793999999999997</v>
      </c>
      <c r="M578" s="402">
        <f t="shared" si="51"/>
        <v>101.794</v>
      </c>
      <c r="N578" s="174"/>
      <c r="O578" s="173">
        <f t="shared" si="52"/>
        <v>142.51159999999999</v>
      </c>
      <c r="P578" s="173">
        <v>150</v>
      </c>
    </row>
    <row r="579" spans="3:20" hidden="1" x14ac:dyDescent="0.35">
      <c r="C579" s="233" t="s">
        <v>1236</v>
      </c>
      <c r="G579" s="245" t="s">
        <v>1203</v>
      </c>
      <c r="I579" s="173">
        <v>55</v>
      </c>
      <c r="J579">
        <v>5000</v>
      </c>
      <c r="K579" s="173">
        <v>4254</v>
      </c>
      <c r="L579" s="402">
        <f t="shared" si="50"/>
        <v>46.793999999999997</v>
      </c>
      <c r="M579" s="402">
        <f t="shared" si="51"/>
        <v>101.794</v>
      </c>
      <c r="N579" s="174"/>
      <c r="O579" s="173">
        <f t="shared" si="52"/>
        <v>142.51159999999999</v>
      </c>
      <c r="P579" s="173">
        <v>150</v>
      </c>
    </row>
    <row r="580" spans="3:20" hidden="1" x14ac:dyDescent="0.35">
      <c r="C580" s="233" t="s">
        <v>1234</v>
      </c>
      <c r="F580" s="366">
        <v>44</v>
      </c>
      <c r="G580" s="245" t="s">
        <v>1205</v>
      </c>
      <c r="I580" s="173">
        <v>55</v>
      </c>
      <c r="J580">
        <v>5000</v>
      </c>
      <c r="K580" s="173">
        <v>4254</v>
      </c>
      <c r="L580" s="402">
        <f t="shared" si="50"/>
        <v>46.793999999999997</v>
      </c>
      <c r="M580" s="402">
        <f t="shared" si="51"/>
        <v>101.794</v>
      </c>
      <c r="N580" s="174"/>
      <c r="O580" s="173">
        <f t="shared" si="52"/>
        <v>142.51159999999999</v>
      </c>
      <c r="P580" s="173">
        <v>125</v>
      </c>
    </row>
    <row r="581" spans="3:20" hidden="1" x14ac:dyDescent="0.35">
      <c r="C581" s="233" t="s">
        <v>1234</v>
      </c>
      <c r="F581" s="366">
        <v>46</v>
      </c>
      <c r="G581" s="245" t="s">
        <v>1205</v>
      </c>
      <c r="I581" s="173">
        <v>55</v>
      </c>
      <c r="J581">
        <v>5000</v>
      </c>
      <c r="K581" s="173">
        <v>4254</v>
      </c>
      <c r="L581" s="402">
        <f t="shared" ref="L581:L590" si="53">+I581/J581*K581</f>
        <v>46.793999999999997</v>
      </c>
      <c r="M581" s="402">
        <f t="shared" ref="M581:M590" si="54">+I581+L581</f>
        <v>101.794</v>
      </c>
      <c r="N581" s="174"/>
      <c r="O581" s="173">
        <f t="shared" ref="O581:O590" si="55">+M581*1.4</f>
        <v>142.51159999999999</v>
      </c>
      <c r="P581" s="173">
        <v>125</v>
      </c>
    </row>
    <row r="582" spans="3:20" hidden="1" x14ac:dyDescent="0.35">
      <c r="C582" s="233" t="s">
        <v>1234</v>
      </c>
      <c r="F582" s="366">
        <v>48</v>
      </c>
      <c r="G582" s="371" t="s">
        <v>1205</v>
      </c>
      <c r="H582" s="371"/>
      <c r="I582" s="176">
        <v>55</v>
      </c>
      <c r="J582" s="12">
        <v>5000</v>
      </c>
      <c r="K582" s="176">
        <v>4254</v>
      </c>
      <c r="L582" s="410">
        <f t="shared" si="53"/>
        <v>46.793999999999997</v>
      </c>
      <c r="M582" s="410">
        <f t="shared" si="54"/>
        <v>101.794</v>
      </c>
      <c r="N582" s="411"/>
      <c r="O582" s="176">
        <f t="shared" si="55"/>
        <v>142.51159999999999</v>
      </c>
      <c r="P582" s="176">
        <v>125</v>
      </c>
      <c r="S582" t="s">
        <v>1086</v>
      </c>
      <c r="T582" s="6">
        <v>45524</v>
      </c>
    </row>
    <row r="583" spans="3:20" hidden="1" x14ac:dyDescent="0.35">
      <c r="C583" s="233" t="s">
        <v>1234</v>
      </c>
      <c r="F583" s="366">
        <v>50</v>
      </c>
      <c r="G583" s="245" t="s">
        <v>1205</v>
      </c>
      <c r="I583" s="173">
        <v>55</v>
      </c>
      <c r="J583">
        <v>5000</v>
      </c>
      <c r="K583" s="173">
        <v>4254</v>
      </c>
      <c r="L583" s="402">
        <f t="shared" si="53"/>
        <v>46.793999999999997</v>
      </c>
      <c r="M583" s="402">
        <f t="shared" si="54"/>
        <v>101.794</v>
      </c>
      <c r="N583" s="174"/>
      <c r="O583" s="173">
        <f t="shared" si="55"/>
        <v>142.51159999999999</v>
      </c>
      <c r="P583" s="173">
        <v>125</v>
      </c>
    </row>
    <row r="584" spans="3:20" hidden="1" x14ac:dyDescent="0.35">
      <c r="C584" s="233" t="s">
        <v>1206</v>
      </c>
      <c r="F584" s="366">
        <v>42</v>
      </c>
      <c r="G584" s="245" t="s">
        <v>1207</v>
      </c>
      <c r="I584" s="173">
        <v>50</v>
      </c>
      <c r="J584">
        <v>5000</v>
      </c>
      <c r="K584" s="173">
        <v>4254</v>
      </c>
      <c r="L584" s="402">
        <f t="shared" si="53"/>
        <v>42.54</v>
      </c>
      <c r="M584" s="402">
        <f t="shared" si="54"/>
        <v>92.539999999999992</v>
      </c>
      <c r="N584" s="174"/>
      <c r="O584" s="173">
        <f t="shared" si="55"/>
        <v>129.55599999999998</v>
      </c>
      <c r="P584" s="173">
        <v>130</v>
      </c>
    </row>
    <row r="585" spans="3:20" hidden="1" x14ac:dyDescent="0.35">
      <c r="C585" s="233" t="s">
        <v>1206</v>
      </c>
      <c r="F585" s="366">
        <v>44</v>
      </c>
      <c r="G585" s="245" t="s">
        <v>1207</v>
      </c>
      <c r="I585" s="173">
        <v>50</v>
      </c>
      <c r="J585">
        <v>5000</v>
      </c>
      <c r="K585" s="173">
        <v>4254</v>
      </c>
      <c r="L585" s="402">
        <f t="shared" si="53"/>
        <v>42.54</v>
      </c>
      <c r="M585" s="402">
        <f t="shared" si="54"/>
        <v>92.539999999999992</v>
      </c>
      <c r="N585" s="174"/>
      <c r="O585" s="173">
        <f t="shared" si="55"/>
        <v>129.55599999999998</v>
      </c>
      <c r="P585" s="173">
        <v>130</v>
      </c>
    </row>
    <row r="586" spans="3:20" hidden="1" x14ac:dyDescent="0.35">
      <c r="C586" s="233" t="s">
        <v>1206</v>
      </c>
      <c r="F586" s="366">
        <v>46</v>
      </c>
      <c r="G586" s="245" t="s">
        <v>1207</v>
      </c>
      <c r="I586" s="173">
        <v>50</v>
      </c>
      <c r="J586">
        <v>5000</v>
      </c>
      <c r="K586" s="173">
        <v>4254</v>
      </c>
      <c r="L586" s="402">
        <f t="shared" si="53"/>
        <v>42.54</v>
      </c>
      <c r="M586" s="402">
        <f t="shared" si="54"/>
        <v>92.539999999999992</v>
      </c>
      <c r="N586" s="174"/>
      <c r="O586" s="173">
        <f t="shared" si="55"/>
        <v>129.55599999999998</v>
      </c>
      <c r="P586" s="173">
        <v>130</v>
      </c>
    </row>
    <row r="587" spans="3:20" hidden="1" x14ac:dyDescent="0.35">
      <c r="C587" s="233" t="s">
        <v>1206</v>
      </c>
      <c r="F587" s="366">
        <v>48</v>
      </c>
      <c r="G587" s="245" t="s">
        <v>1207</v>
      </c>
      <c r="I587" s="173">
        <v>50</v>
      </c>
      <c r="J587">
        <v>5000</v>
      </c>
      <c r="K587" s="173">
        <v>4254</v>
      </c>
      <c r="L587" s="402">
        <f t="shared" si="53"/>
        <v>42.54</v>
      </c>
      <c r="M587" s="402">
        <f t="shared" si="54"/>
        <v>92.539999999999992</v>
      </c>
      <c r="N587" s="174"/>
      <c r="O587" s="173">
        <f t="shared" si="55"/>
        <v>129.55599999999998</v>
      </c>
      <c r="P587" s="173">
        <v>130</v>
      </c>
    </row>
    <row r="588" spans="3:20" ht="15.75" hidden="1" customHeight="1" x14ac:dyDescent="0.35">
      <c r="C588" s="233" t="s">
        <v>1235</v>
      </c>
      <c r="G588" s="371" t="s">
        <v>1228</v>
      </c>
      <c r="H588" s="371"/>
      <c r="I588" s="176">
        <v>30</v>
      </c>
      <c r="J588" s="12">
        <v>5000</v>
      </c>
      <c r="K588" s="176">
        <v>4254</v>
      </c>
      <c r="L588" s="410">
        <f t="shared" si="53"/>
        <v>25.524000000000001</v>
      </c>
      <c r="M588" s="410">
        <f t="shared" si="54"/>
        <v>55.524000000000001</v>
      </c>
      <c r="N588" s="411"/>
      <c r="O588" s="176">
        <f t="shared" si="55"/>
        <v>77.733599999999996</v>
      </c>
      <c r="P588" s="176">
        <v>90</v>
      </c>
      <c r="S588" t="s">
        <v>1111</v>
      </c>
      <c r="T588" s="6">
        <v>45524</v>
      </c>
    </row>
    <row r="589" spans="3:20" ht="15.75" hidden="1" customHeight="1" x14ac:dyDescent="0.35">
      <c r="C589" s="233" t="s">
        <v>1235</v>
      </c>
      <c r="G589" s="245" t="s">
        <v>1228</v>
      </c>
      <c r="I589" s="173">
        <v>30</v>
      </c>
      <c r="J589">
        <v>5000</v>
      </c>
      <c r="K589" s="173">
        <v>4254</v>
      </c>
      <c r="L589" s="402">
        <f t="shared" si="53"/>
        <v>25.524000000000001</v>
      </c>
      <c r="M589" s="402">
        <f t="shared" si="54"/>
        <v>55.524000000000001</v>
      </c>
      <c r="N589" s="174"/>
      <c r="O589" s="173">
        <f t="shared" si="55"/>
        <v>77.733599999999996</v>
      </c>
      <c r="P589" s="173">
        <v>90</v>
      </c>
    </row>
    <row r="590" spans="3:20" hidden="1" x14ac:dyDescent="0.35">
      <c r="C590" s="233" t="s">
        <v>1235</v>
      </c>
      <c r="G590" s="245" t="s">
        <v>1229</v>
      </c>
      <c r="I590" s="173">
        <v>30</v>
      </c>
      <c r="J590">
        <v>5000</v>
      </c>
      <c r="K590" s="173">
        <v>4254</v>
      </c>
      <c r="L590" s="402">
        <f t="shared" si="53"/>
        <v>25.524000000000001</v>
      </c>
      <c r="M590" s="402">
        <f t="shared" si="54"/>
        <v>55.524000000000001</v>
      </c>
      <c r="N590" s="174"/>
      <c r="O590" s="173">
        <f t="shared" si="55"/>
        <v>77.733599999999996</v>
      </c>
      <c r="P590" s="173">
        <v>90</v>
      </c>
    </row>
    <row r="591" spans="3:20" hidden="1" x14ac:dyDescent="0.35">
      <c r="L591" s="402"/>
      <c r="M591" s="402"/>
      <c r="N591" s="174"/>
    </row>
    <row r="592" spans="3:20" hidden="1" x14ac:dyDescent="0.35">
      <c r="C592" s="233" t="s">
        <v>186</v>
      </c>
      <c r="F592" s="366" t="s">
        <v>409</v>
      </c>
      <c r="G592" s="438" t="s">
        <v>1198</v>
      </c>
      <c r="H592" s="438"/>
      <c r="I592" s="439">
        <v>4.5</v>
      </c>
      <c r="J592" s="440">
        <v>5000</v>
      </c>
      <c r="K592" s="439">
        <v>4254</v>
      </c>
      <c r="L592" s="441">
        <f t="shared" ref="L592:L615" si="56">+I592/J592*K592</f>
        <v>3.8285999999999998</v>
      </c>
      <c r="M592" s="441">
        <f t="shared" ref="M592:M615" si="57">+I592+L592</f>
        <v>8.3285999999999998</v>
      </c>
      <c r="N592" s="442"/>
      <c r="O592" s="439">
        <f t="shared" ref="O592:O615" si="58">+M592*1.4</f>
        <v>11.660039999999999</v>
      </c>
    </row>
    <row r="593" spans="3:20" hidden="1" x14ac:dyDescent="0.35">
      <c r="C593" s="233" t="s">
        <v>186</v>
      </c>
      <c r="F593" s="366" t="s">
        <v>407</v>
      </c>
      <c r="G593" s="245" t="s">
        <v>1198</v>
      </c>
      <c r="I593" s="173">
        <v>4.5</v>
      </c>
      <c r="J593">
        <v>5000</v>
      </c>
      <c r="K593" s="173">
        <v>4254</v>
      </c>
      <c r="L593" s="402">
        <f t="shared" si="56"/>
        <v>3.8285999999999998</v>
      </c>
      <c r="M593" s="402">
        <f t="shared" si="57"/>
        <v>8.3285999999999998</v>
      </c>
      <c r="N593" s="174"/>
      <c r="O593" s="173">
        <f t="shared" si="58"/>
        <v>11.660039999999999</v>
      </c>
      <c r="P593" s="173">
        <v>20</v>
      </c>
    </row>
    <row r="594" spans="3:20" hidden="1" x14ac:dyDescent="0.35">
      <c r="C594" s="233" t="s">
        <v>186</v>
      </c>
      <c r="F594" s="366" t="s">
        <v>412</v>
      </c>
      <c r="G594" s="245" t="s">
        <v>1198</v>
      </c>
      <c r="I594" s="173">
        <v>4.5</v>
      </c>
      <c r="J594">
        <v>5000</v>
      </c>
      <c r="K594" s="173">
        <v>4254</v>
      </c>
      <c r="L594" s="402">
        <f t="shared" si="56"/>
        <v>3.8285999999999998</v>
      </c>
      <c r="M594" s="402">
        <f t="shared" si="57"/>
        <v>8.3285999999999998</v>
      </c>
      <c r="N594" s="174"/>
      <c r="O594" s="173">
        <f t="shared" si="58"/>
        <v>11.660039999999999</v>
      </c>
      <c r="P594" s="173">
        <v>20</v>
      </c>
    </row>
    <row r="595" spans="3:20" hidden="1" x14ac:dyDescent="0.35">
      <c r="C595" s="233" t="s">
        <v>186</v>
      </c>
      <c r="F595" s="366" t="s">
        <v>407</v>
      </c>
      <c r="G595" s="245" t="s">
        <v>1215</v>
      </c>
      <c r="I595" s="173">
        <v>9</v>
      </c>
      <c r="J595">
        <v>5000</v>
      </c>
      <c r="K595" s="173">
        <v>4254</v>
      </c>
      <c r="L595" s="402">
        <f t="shared" si="56"/>
        <v>7.6571999999999996</v>
      </c>
      <c r="M595" s="402">
        <f t="shared" si="57"/>
        <v>16.6572</v>
      </c>
      <c r="N595" s="174"/>
      <c r="O595" s="173">
        <f t="shared" si="58"/>
        <v>23.320079999999997</v>
      </c>
      <c r="P595" s="173">
        <v>25</v>
      </c>
    </row>
    <row r="596" spans="3:20" hidden="1" x14ac:dyDescent="0.35">
      <c r="C596" s="233" t="s">
        <v>186</v>
      </c>
      <c r="F596" s="366" t="s">
        <v>409</v>
      </c>
      <c r="G596" s="245" t="s">
        <v>1215</v>
      </c>
      <c r="I596" s="173">
        <v>9</v>
      </c>
      <c r="J596">
        <v>5000</v>
      </c>
      <c r="K596" s="173">
        <v>4254</v>
      </c>
      <c r="L596" s="402">
        <f t="shared" si="56"/>
        <v>7.6571999999999996</v>
      </c>
      <c r="M596" s="402">
        <f t="shared" si="57"/>
        <v>16.6572</v>
      </c>
      <c r="N596" s="174"/>
      <c r="O596" s="173">
        <f t="shared" si="58"/>
        <v>23.320079999999997</v>
      </c>
      <c r="P596" s="173">
        <v>25</v>
      </c>
    </row>
    <row r="597" spans="3:20" hidden="1" x14ac:dyDescent="0.35">
      <c r="C597" s="233" t="s">
        <v>186</v>
      </c>
      <c r="F597" s="366" t="s">
        <v>412</v>
      </c>
      <c r="G597" s="245" t="s">
        <v>1215</v>
      </c>
      <c r="I597" s="173">
        <v>9</v>
      </c>
      <c r="J597">
        <v>5000</v>
      </c>
      <c r="K597" s="173">
        <v>4254</v>
      </c>
      <c r="L597" s="402">
        <f t="shared" si="56"/>
        <v>7.6571999999999996</v>
      </c>
      <c r="M597" s="402">
        <f t="shared" si="57"/>
        <v>16.6572</v>
      </c>
      <c r="N597" s="174"/>
      <c r="O597" s="173">
        <f t="shared" si="58"/>
        <v>23.320079999999997</v>
      </c>
      <c r="P597" s="173">
        <v>25</v>
      </c>
    </row>
    <row r="598" spans="3:20" hidden="1" x14ac:dyDescent="0.35">
      <c r="C598" s="233" t="s">
        <v>186</v>
      </c>
      <c r="F598" s="366" t="s">
        <v>407</v>
      </c>
      <c r="G598" s="245" t="s">
        <v>1199</v>
      </c>
      <c r="I598" s="173">
        <v>9</v>
      </c>
      <c r="J598">
        <v>5000</v>
      </c>
      <c r="K598" s="173">
        <v>4254</v>
      </c>
      <c r="L598" s="402">
        <f t="shared" si="56"/>
        <v>7.6571999999999996</v>
      </c>
      <c r="M598" s="402">
        <f t="shared" si="57"/>
        <v>16.6572</v>
      </c>
      <c r="N598" s="174"/>
      <c r="O598" s="173">
        <f t="shared" si="58"/>
        <v>23.320079999999997</v>
      </c>
      <c r="P598" s="173">
        <v>25</v>
      </c>
    </row>
    <row r="599" spans="3:20" hidden="1" x14ac:dyDescent="0.35">
      <c r="C599" s="233" t="s">
        <v>186</v>
      </c>
      <c r="F599" s="366" t="s">
        <v>409</v>
      </c>
      <c r="G599" s="245" t="s">
        <v>1199</v>
      </c>
      <c r="I599" s="173">
        <v>9</v>
      </c>
      <c r="J599">
        <v>5000</v>
      </c>
      <c r="K599" s="173">
        <v>4254</v>
      </c>
      <c r="L599" s="402">
        <f t="shared" si="56"/>
        <v>7.6571999999999996</v>
      </c>
      <c r="M599" s="402">
        <f t="shared" si="57"/>
        <v>16.6572</v>
      </c>
      <c r="N599" s="174"/>
      <c r="O599" s="173">
        <f t="shared" si="58"/>
        <v>23.320079999999997</v>
      </c>
      <c r="P599" s="173">
        <v>25</v>
      </c>
    </row>
    <row r="600" spans="3:20" hidden="1" x14ac:dyDescent="0.35">
      <c r="C600" s="233" t="s">
        <v>186</v>
      </c>
      <c r="F600" s="366" t="s">
        <v>412</v>
      </c>
      <c r="G600" s="371" t="s">
        <v>1199</v>
      </c>
      <c r="H600" s="371"/>
      <c r="I600" s="176">
        <v>9</v>
      </c>
      <c r="J600" s="12">
        <v>5000</v>
      </c>
      <c r="K600" s="176">
        <v>4254</v>
      </c>
      <c r="L600" s="410">
        <f t="shared" si="56"/>
        <v>7.6571999999999996</v>
      </c>
      <c r="M600" s="410">
        <f t="shared" si="57"/>
        <v>16.6572</v>
      </c>
      <c r="N600" s="411"/>
      <c r="O600" s="176">
        <f t="shared" si="58"/>
        <v>23.320079999999997</v>
      </c>
      <c r="P600" s="176">
        <v>25</v>
      </c>
      <c r="S600" t="s">
        <v>12</v>
      </c>
      <c r="T600" s="6">
        <v>45527</v>
      </c>
    </row>
    <row r="601" spans="3:20" hidden="1" x14ac:dyDescent="0.35">
      <c r="C601" s="233" t="s">
        <v>186</v>
      </c>
      <c r="F601" s="366" t="s">
        <v>407</v>
      </c>
      <c r="G601" s="245" t="s">
        <v>1220</v>
      </c>
      <c r="I601" s="173">
        <v>12</v>
      </c>
      <c r="J601">
        <v>5000</v>
      </c>
      <c r="K601" s="173">
        <v>4254</v>
      </c>
      <c r="L601" s="402">
        <f t="shared" si="56"/>
        <v>10.209599999999998</v>
      </c>
      <c r="M601" s="402">
        <f t="shared" si="57"/>
        <v>22.209599999999998</v>
      </c>
      <c r="N601" s="174"/>
      <c r="O601" s="173">
        <f t="shared" si="58"/>
        <v>31.093439999999994</v>
      </c>
      <c r="P601" s="173">
        <v>40</v>
      </c>
    </row>
    <row r="602" spans="3:20" hidden="1" x14ac:dyDescent="0.35">
      <c r="C602" s="233" t="s">
        <v>186</v>
      </c>
      <c r="F602" s="366" t="s">
        <v>409</v>
      </c>
      <c r="G602" s="245" t="s">
        <v>1220</v>
      </c>
      <c r="I602" s="173">
        <v>12</v>
      </c>
      <c r="J602">
        <v>5000</v>
      </c>
      <c r="K602" s="173">
        <v>4254</v>
      </c>
      <c r="L602" s="402">
        <f t="shared" si="56"/>
        <v>10.209599999999998</v>
      </c>
      <c r="M602" s="402">
        <f t="shared" si="57"/>
        <v>22.209599999999998</v>
      </c>
      <c r="N602" s="174"/>
      <c r="O602" s="173">
        <f t="shared" si="58"/>
        <v>31.093439999999994</v>
      </c>
      <c r="P602" s="173">
        <v>40</v>
      </c>
    </row>
    <row r="603" spans="3:20" hidden="1" x14ac:dyDescent="0.35">
      <c r="C603" s="233" t="s">
        <v>186</v>
      </c>
      <c r="F603" s="366" t="s">
        <v>412</v>
      </c>
      <c r="G603" s="371" t="s">
        <v>1220</v>
      </c>
      <c r="H603" s="371"/>
      <c r="I603" s="176">
        <v>12</v>
      </c>
      <c r="J603" s="12">
        <v>5000</v>
      </c>
      <c r="K603" s="176">
        <v>4254</v>
      </c>
      <c r="L603" s="410">
        <f t="shared" si="56"/>
        <v>10.209599999999998</v>
      </c>
      <c r="M603" s="410">
        <f t="shared" si="57"/>
        <v>22.209599999999998</v>
      </c>
      <c r="N603" s="411"/>
      <c r="O603" s="176">
        <f t="shared" si="58"/>
        <v>31.093439999999994</v>
      </c>
      <c r="P603" s="176">
        <v>40</v>
      </c>
      <c r="S603" t="s">
        <v>12</v>
      </c>
      <c r="T603" s="6">
        <v>45528</v>
      </c>
    </row>
    <row r="604" spans="3:20" hidden="1" x14ac:dyDescent="0.35">
      <c r="C604" s="233" t="s">
        <v>186</v>
      </c>
      <c r="F604" s="366" t="s">
        <v>407</v>
      </c>
      <c r="G604" s="245" t="s">
        <v>1216</v>
      </c>
      <c r="I604" s="173">
        <v>12</v>
      </c>
      <c r="J604">
        <v>5000</v>
      </c>
      <c r="K604" s="173">
        <v>4254</v>
      </c>
      <c r="L604" s="402">
        <f t="shared" si="56"/>
        <v>10.209599999999998</v>
      </c>
      <c r="M604" s="402">
        <f t="shared" si="57"/>
        <v>22.209599999999998</v>
      </c>
      <c r="N604" s="174"/>
      <c r="O604" s="173">
        <f t="shared" si="58"/>
        <v>31.093439999999994</v>
      </c>
      <c r="P604" s="173">
        <v>40</v>
      </c>
    </row>
    <row r="605" spans="3:20" hidden="1" x14ac:dyDescent="0.35">
      <c r="C605" s="233" t="s">
        <v>186</v>
      </c>
      <c r="F605" s="366" t="s">
        <v>409</v>
      </c>
      <c r="G605" s="245" t="s">
        <v>1216</v>
      </c>
      <c r="I605" s="173">
        <v>12</v>
      </c>
      <c r="J605">
        <v>5000</v>
      </c>
      <c r="K605" s="173">
        <v>4254</v>
      </c>
      <c r="L605" s="402">
        <f t="shared" si="56"/>
        <v>10.209599999999998</v>
      </c>
      <c r="M605" s="402">
        <f t="shared" si="57"/>
        <v>22.209599999999998</v>
      </c>
      <c r="N605" s="174"/>
      <c r="O605" s="173">
        <f t="shared" si="58"/>
        <v>31.093439999999994</v>
      </c>
      <c r="P605" s="173">
        <v>40</v>
      </c>
    </row>
    <row r="606" spans="3:20" hidden="1" x14ac:dyDescent="0.35">
      <c r="C606" s="233" t="s">
        <v>186</v>
      </c>
      <c r="F606" s="366" t="s">
        <v>412</v>
      </c>
      <c r="G606" s="371" t="s">
        <v>1216</v>
      </c>
      <c r="H606" s="371"/>
      <c r="I606" s="176">
        <v>12</v>
      </c>
      <c r="J606" s="12">
        <v>5000</v>
      </c>
      <c r="K606" s="176">
        <v>4254</v>
      </c>
      <c r="L606" s="410">
        <f t="shared" si="56"/>
        <v>10.209599999999998</v>
      </c>
      <c r="M606" s="410">
        <f t="shared" si="57"/>
        <v>22.209599999999998</v>
      </c>
      <c r="N606" s="411"/>
      <c r="O606" s="176">
        <f t="shared" si="58"/>
        <v>31.093439999999994</v>
      </c>
      <c r="P606" s="176">
        <v>40</v>
      </c>
      <c r="S606" t="s">
        <v>12</v>
      </c>
      <c r="T606" s="6">
        <v>45527</v>
      </c>
    </row>
    <row r="607" spans="3:20" hidden="1" x14ac:dyDescent="0.35">
      <c r="C607" s="233" t="s">
        <v>186</v>
      </c>
      <c r="F607" s="366" t="s">
        <v>407</v>
      </c>
      <c r="G607" s="245" t="s">
        <v>1217</v>
      </c>
      <c r="I607" s="173">
        <v>12</v>
      </c>
      <c r="J607">
        <v>5000</v>
      </c>
      <c r="K607" s="173">
        <v>4254</v>
      </c>
      <c r="L607" s="402">
        <f t="shared" si="56"/>
        <v>10.209599999999998</v>
      </c>
      <c r="M607" s="402">
        <f t="shared" si="57"/>
        <v>22.209599999999998</v>
      </c>
      <c r="N607" s="174"/>
      <c r="O607" s="173">
        <f t="shared" si="58"/>
        <v>31.093439999999994</v>
      </c>
      <c r="P607" s="173">
        <v>40</v>
      </c>
    </row>
    <row r="608" spans="3:20" hidden="1" x14ac:dyDescent="0.35">
      <c r="C608" s="233" t="s">
        <v>186</v>
      </c>
      <c r="F608" s="366" t="s">
        <v>409</v>
      </c>
      <c r="G608" s="245" t="s">
        <v>1217</v>
      </c>
      <c r="I608" s="173">
        <v>12</v>
      </c>
      <c r="J608">
        <v>5000</v>
      </c>
      <c r="K608" s="173">
        <v>4254</v>
      </c>
      <c r="L608" s="402">
        <f t="shared" si="56"/>
        <v>10.209599999999998</v>
      </c>
      <c r="M608" s="402">
        <f t="shared" si="57"/>
        <v>22.209599999999998</v>
      </c>
      <c r="N608" s="174"/>
      <c r="O608" s="173">
        <f t="shared" si="58"/>
        <v>31.093439999999994</v>
      </c>
      <c r="P608" s="173">
        <v>40</v>
      </c>
    </row>
    <row r="609" spans="1:20" hidden="1" x14ac:dyDescent="0.35">
      <c r="C609" s="233" t="s">
        <v>186</v>
      </c>
      <c r="F609" s="366" t="s">
        <v>412</v>
      </c>
      <c r="G609" s="371" t="s">
        <v>1217</v>
      </c>
      <c r="H609" s="371"/>
      <c r="I609" s="176">
        <v>12</v>
      </c>
      <c r="J609" s="12">
        <v>5000</v>
      </c>
      <c r="K609" s="176">
        <v>4254</v>
      </c>
      <c r="L609" s="410">
        <f t="shared" si="56"/>
        <v>10.209599999999998</v>
      </c>
      <c r="M609" s="410">
        <f t="shared" si="57"/>
        <v>22.209599999999998</v>
      </c>
      <c r="N609" s="411"/>
      <c r="O609" s="176">
        <f t="shared" si="58"/>
        <v>31.093439999999994</v>
      </c>
      <c r="P609" s="176">
        <v>40</v>
      </c>
      <c r="S609" t="s">
        <v>1241</v>
      </c>
      <c r="T609" s="6">
        <v>45527</v>
      </c>
    </row>
    <row r="610" spans="1:20" hidden="1" x14ac:dyDescent="0.35">
      <c r="C610" s="233" t="s">
        <v>186</v>
      </c>
      <c r="F610" s="366" t="s">
        <v>407</v>
      </c>
      <c r="G610" s="245" t="s">
        <v>1218</v>
      </c>
      <c r="I610" s="173">
        <v>12</v>
      </c>
      <c r="J610">
        <v>5000</v>
      </c>
      <c r="K610" s="173">
        <v>4254</v>
      </c>
      <c r="L610" s="402">
        <f t="shared" si="56"/>
        <v>10.209599999999998</v>
      </c>
      <c r="M610" s="402">
        <f t="shared" si="57"/>
        <v>22.209599999999998</v>
      </c>
      <c r="N610" s="174"/>
      <c r="O610" s="173">
        <f t="shared" si="58"/>
        <v>31.093439999999994</v>
      </c>
      <c r="P610" s="173">
        <v>40</v>
      </c>
    </row>
    <row r="611" spans="1:20" hidden="1" x14ac:dyDescent="0.35">
      <c r="C611" s="233" t="s">
        <v>186</v>
      </c>
      <c r="F611" s="366" t="s">
        <v>409</v>
      </c>
      <c r="G611" s="245" t="s">
        <v>1218</v>
      </c>
      <c r="I611" s="173">
        <v>12</v>
      </c>
      <c r="J611">
        <v>5000</v>
      </c>
      <c r="K611" s="173">
        <v>4254</v>
      </c>
      <c r="L611" s="402">
        <f t="shared" si="56"/>
        <v>10.209599999999998</v>
      </c>
      <c r="M611" s="402">
        <f t="shared" si="57"/>
        <v>22.209599999999998</v>
      </c>
      <c r="N611" s="174"/>
      <c r="O611" s="173">
        <f t="shared" si="58"/>
        <v>31.093439999999994</v>
      </c>
      <c r="P611" s="173">
        <v>40</v>
      </c>
    </row>
    <row r="612" spans="1:20" hidden="1" x14ac:dyDescent="0.35">
      <c r="C612" s="233" t="s">
        <v>186</v>
      </c>
      <c r="F612" s="366" t="s">
        <v>412</v>
      </c>
      <c r="G612" s="245" t="s">
        <v>1218</v>
      </c>
      <c r="I612" s="173">
        <v>12</v>
      </c>
      <c r="J612">
        <v>5000</v>
      </c>
      <c r="K612" s="173">
        <v>4254</v>
      </c>
      <c r="L612" s="402">
        <f t="shared" si="56"/>
        <v>10.209599999999998</v>
      </c>
      <c r="M612" s="402">
        <f t="shared" si="57"/>
        <v>22.209599999999998</v>
      </c>
      <c r="N612" s="174"/>
      <c r="O612" s="173">
        <f t="shared" si="58"/>
        <v>31.093439999999994</v>
      </c>
      <c r="P612" s="173">
        <v>40</v>
      </c>
    </row>
    <row r="613" spans="1:20" hidden="1" x14ac:dyDescent="0.35">
      <c r="C613" s="233" t="s">
        <v>186</v>
      </c>
      <c r="F613" s="366" t="s">
        <v>407</v>
      </c>
      <c r="G613" s="245" t="s">
        <v>1219</v>
      </c>
      <c r="I613" s="173">
        <v>12</v>
      </c>
      <c r="J613">
        <v>5000</v>
      </c>
      <c r="K613" s="173">
        <v>4254</v>
      </c>
      <c r="L613" s="402">
        <f t="shared" si="56"/>
        <v>10.209599999999998</v>
      </c>
      <c r="M613" s="402">
        <f t="shared" si="57"/>
        <v>22.209599999999998</v>
      </c>
      <c r="N613" s="174"/>
      <c r="O613" s="173">
        <f t="shared" si="58"/>
        <v>31.093439999999994</v>
      </c>
      <c r="P613" s="173">
        <v>40</v>
      </c>
    </row>
    <row r="614" spans="1:20" hidden="1" x14ac:dyDescent="0.35">
      <c r="C614" s="233" t="s">
        <v>186</v>
      </c>
      <c r="F614" s="366" t="s">
        <v>409</v>
      </c>
      <c r="G614" s="245" t="s">
        <v>1219</v>
      </c>
      <c r="I614" s="173">
        <v>12</v>
      </c>
      <c r="J614">
        <v>5000</v>
      </c>
      <c r="K614" s="173">
        <v>4254</v>
      </c>
      <c r="L614" s="402">
        <f t="shared" si="56"/>
        <v>10.209599999999998</v>
      </c>
      <c r="M614" s="402">
        <f t="shared" si="57"/>
        <v>22.209599999999998</v>
      </c>
      <c r="N614" s="174"/>
      <c r="O614" s="173">
        <f t="shared" si="58"/>
        <v>31.093439999999994</v>
      </c>
      <c r="P614" s="173">
        <v>40</v>
      </c>
    </row>
    <row r="615" spans="1:20" hidden="1" x14ac:dyDescent="0.35">
      <c r="C615" s="233" t="s">
        <v>186</v>
      </c>
      <c r="F615" s="366" t="s">
        <v>412</v>
      </c>
      <c r="G615" s="371" t="s">
        <v>1219</v>
      </c>
      <c r="H615" s="371"/>
      <c r="I615" s="176">
        <v>12</v>
      </c>
      <c r="J615" s="12">
        <v>5000</v>
      </c>
      <c r="K615" s="176">
        <v>4254</v>
      </c>
      <c r="L615" s="410">
        <f t="shared" si="56"/>
        <v>10.209599999999998</v>
      </c>
      <c r="M615" s="410">
        <f t="shared" si="57"/>
        <v>22.209599999999998</v>
      </c>
      <c r="N615" s="411"/>
      <c r="O615" s="176">
        <f t="shared" si="58"/>
        <v>31.093439999999994</v>
      </c>
      <c r="P615" s="176">
        <v>40</v>
      </c>
      <c r="S615" t="s">
        <v>12</v>
      </c>
      <c r="T615" s="6">
        <v>45527</v>
      </c>
    </row>
    <row r="616" spans="1:20" hidden="1" x14ac:dyDescent="0.35">
      <c r="L616" s="402"/>
      <c r="M616" s="402"/>
      <c r="N616" s="174"/>
    </row>
    <row r="617" spans="1:20" hidden="1" x14ac:dyDescent="0.35">
      <c r="L617" s="402"/>
      <c r="M617" s="402"/>
      <c r="N617" s="174"/>
    </row>
    <row r="618" spans="1:20" hidden="1" x14ac:dyDescent="0.35">
      <c r="L618" s="402"/>
      <c r="M618" s="402"/>
      <c r="N618" s="174"/>
    </row>
    <row r="619" spans="1:20" hidden="1" x14ac:dyDescent="0.35">
      <c r="L619" s="402"/>
      <c r="M619" s="402"/>
      <c r="N619" s="174"/>
    </row>
    <row r="620" spans="1:20" hidden="1" x14ac:dyDescent="0.35">
      <c r="G620" s="256" t="s">
        <v>1244</v>
      </c>
      <c r="H620" s="256"/>
      <c r="L620" s="402"/>
      <c r="M620" s="402"/>
      <c r="N620" s="174"/>
    </row>
    <row r="621" spans="1:20" hidden="1" x14ac:dyDescent="0.35">
      <c r="G621" s="245" t="s">
        <v>505</v>
      </c>
      <c r="I621" s="173">
        <v>17</v>
      </c>
      <c r="J621">
        <v>5000</v>
      </c>
      <c r="K621" s="173">
        <v>4254</v>
      </c>
      <c r="L621" s="402">
        <f t="shared" ref="L621:L645" si="59">+I621/J621*K621</f>
        <v>14.4636</v>
      </c>
      <c r="M621" s="402">
        <f t="shared" ref="M621:M645" si="60">+I621+L621</f>
        <v>31.4636</v>
      </c>
      <c r="N621" s="174"/>
      <c r="O621" s="173">
        <f t="shared" ref="O621:O645" si="61">+M621*1.4</f>
        <v>44.049039999999998</v>
      </c>
      <c r="P621" s="173">
        <v>45</v>
      </c>
    </row>
    <row r="622" spans="1:20" hidden="1" x14ac:dyDescent="0.35">
      <c r="G622" s="245" t="s">
        <v>153</v>
      </c>
      <c r="I622" s="173">
        <v>12</v>
      </c>
      <c r="J622">
        <v>5000</v>
      </c>
      <c r="K622" s="173">
        <v>4254</v>
      </c>
      <c r="L622" s="402">
        <f t="shared" si="59"/>
        <v>10.209599999999998</v>
      </c>
      <c r="M622" s="402">
        <f t="shared" si="60"/>
        <v>22.209599999999998</v>
      </c>
      <c r="N622" s="174"/>
      <c r="O622" s="173">
        <f t="shared" si="61"/>
        <v>31.093439999999994</v>
      </c>
      <c r="P622" s="173">
        <v>45</v>
      </c>
    </row>
    <row r="623" spans="1:20" hidden="1" x14ac:dyDescent="0.35">
      <c r="G623" s="245" t="s">
        <v>90</v>
      </c>
      <c r="I623" s="173">
        <v>12</v>
      </c>
      <c r="J623">
        <v>5000</v>
      </c>
      <c r="K623" s="173">
        <v>4254</v>
      </c>
      <c r="L623" s="402">
        <f t="shared" si="59"/>
        <v>10.209599999999998</v>
      </c>
      <c r="M623" s="402">
        <f t="shared" si="60"/>
        <v>22.209599999999998</v>
      </c>
      <c r="N623" s="174"/>
      <c r="O623" s="173">
        <f t="shared" si="61"/>
        <v>31.093439999999994</v>
      </c>
      <c r="P623" s="173">
        <v>45</v>
      </c>
    </row>
    <row r="624" spans="1:20" s="13" customFormat="1" hidden="1" x14ac:dyDescent="0.35">
      <c r="A624" s="369"/>
      <c r="B624" s="369"/>
      <c r="C624" s="368"/>
      <c r="D624" s="368"/>
      <c r="F624" s="399"/>
      <c r="G624" s="435" t="s">
        <v>1119</v>
      </c>
      <c r="H624" s="435"/>
      <c r="I624" s="344">
        <v>12</v>
      </c>
      <c r="J624" s="13">
        <v>5000</v>
      </c>
      <c r="K624" s="344">
        <v>4254</v>
      </c>
      <c r="L624" s="443">
        <f t="shared" si="59"/>
        <v>10.209599999999998</v>
      </c>
      <c r="M624" s="443">
        <f t="shared" si="60"/>
        <v>22.209599999999998</v>
      </c>
      <c r="N624" s="444"/>
      <c r="O624" s="344">
        <f t="shared" si="61"/>
        <v>31.093439999999994</v>
      </c>
      <c r="P624" s="344">
        <v>45</v>
      </c>
    </row>
    <row r="625" spans="3:20" hidden="1" x14ac:dyDescent="0.35">
      <c r="G625" s="245" t="s">
        <v>807</v>
      </c>
      <c r="J625">
        <v>5000</v>
      </c>
      <c r="K625" s="173">
        <v>4254</v>
      </c>
      <c r="L625" s="402">
        <f t="shared" si="59"/>
        <v>0</v>
      </c>
      <c r="M625" s="402">
        <f t="shared" si="60"/>
        <v>0</v>
      </c>
      <c r="N625" s="174"/>
      <c r="O625" s="173">
        <f t="shared" si="61"/>
        <v>0</v>
      </c>
    </row>
    <row r="626" spans="3:20" hidden="1" x14ac:dyDescent="0.35">
      <c r="C626" s="233" t="s">
        <v>1185</v>
      </c>
      <c r="F626" s="366">
        <v>52</v>
      </c>
      <c r="G626" s="245" t="s">
        <v>1186</v>
      </c>
      <c r="I626" s="173">
        <v>75</v>
      </c>
      <c r="J626">
        <v>5000</v>
      </c>
      <c r="K626" s="173">
        <v>4254</v>
      </c>
      <c r="L626" s="402">
        <f t="shared" si="59"/>
        <v>63.809999999999995</v>
      </c>
      <c r="M626" s="402">
        <f t="shared" si="60"/>
        <v>138.81</v>
      </c>
      <c r="N626" s="174" t="s">
        <v>1221</v>
      </c>
      <c r="O626" s="173">
        <f t="shared" si="61"/>
        <v>194.334</v>
      </c>
      <c r="P626" s="173">
        <v>220</v>
      </c>
    </row>
    <row r="627" spans="3:20" hidden="1" x14ac:dyDescent="0.35">
      <c r="C627" s="233" t="s">
        <v>1185</v>
      </c>
      <c r="F627" s="366">
        <v>54</v>
      </c>
      <c r="G627" s="245" t="s">
        <v>1186</v>
      </c>
      <c r="I627" s="173">
        <v>75</v>
      </c>
      <c r="J627">
        <v>5000</v>
      </c>
      <c r="K627" s="173">
        <v>4254</v>
      </c>
      <c r="L627" s="402">
        <f t="shared" si="59"/>
        <v>63.809999999999995</v>
      </c>
      <c r="M627" s="402">
        <f t="shared" si="60"/>
        <v>138.81</v>
      </c>
      <c r="N627" s="174"/>
      <c r="O627" s="173">
        <f t="shared" si="61"/>
        <v>194.334</v>
      </c>
      <c r="P627" s="173">
        <v>220</v>
      </c>
    </row>
    <row r="628" spans="3:20" hidden="1" x14ac:dyDescent="0.35">
      <c r="C628" s="233" t="s">
        <v>1185</v>
      </c>
      <c r="F628" s="366">
        <v>56</v>
      </c>
      <c r="G628" s="371" t="s">
        <v>1186</v>
      </c>
      <c r="H628" s="371"/>
      <c r="I628" s="176">
        <v>75</v>
      </c>
      <c r="J628" s="12">
        <v>5000</v>
      </c>
      <c r="K628" s="176">
        <v>4254</v>
      </c>
      <c r="L628" s="410">
        <f t="shared" si="59"/>
        <v>63.809999999999995</v>
      </c>
      <c r="M628" s="410">
        <f t="shared" si="60"/>
        <v>138.81</v>
      </c>
      <c r="N628" s="411"/>
      <c r="O628" s="176">
        <f t="shared" si="61"/>
        <v>194.334</v>
      </c>
      <c r="P628" s="176">
        <v>200</v>
      </c>
      <c r="S628" t="s">
        <v>12</v>
      </c>
      <c r="T628" s="6">
        <v>45524</v>
      </c>
    </row>
    <row r="629" spans="3:20" hidden="1" x14ac:dyDescent="0.35">
      <c r="C629" s="233" t="s">
        <v>1189</v>
      </c>
      <c r="F629" s="366">
        <v>54</v>
      </c>
      <c r="G629" s="245" t="s">
        <v>1190</v>
      </c>
      <c r="I629" s="173">
        <v>68</v>
      </c>
      <c r="J629">
        <v>5000</v>
      </c>
      <c r="K629" s="173">
        <v>4254</v>
      </c>
      <c r="L629" s="402">
        <f t="shared" si="59"/>
        <v>57.854399999999998</v>
      </c>
      <c r="M629" s="402">
        <f t="shared" si="60"/>
        <v>125.8544</v>
      </c>
      <c r="N629" s="174"/>
      <c r="O629" s="173">
        <f t="shared" si="61"/>
        <v>176.19615999999999</v>
      </c>
      <c r="P629" s="173">
        <v>180</v>
      </c>
    </row>
    <row r="630" spans="3:20" hidden="1" x14ac:dyDescent="0.35">
      <c r="C630" s="233" t="s">
        <v>1189</v>
      </c>
      <c r="F630" s="366">
        <v>56</v>
      </c>
      <c r="G630" s="245" t="s">
        <v>1190</v>
      </c>
      <c r="I630" s="173">
        <v>68</v>
      </c>
      <c r="J630">
        <v>5000</v>
      </c>
      <c r="K630" s="173">
        <v>4254</v>
      </c>
      <c r="L630" s="402">
        <f t="shared" si="59"/>
        <v>57.854399999999998</v>
      </c>
      <c r="M630" s="402">
        <f t="shared" si="60"/>
        <v>125.8544</v>
      </c>
      <c r="N630" s="174"/>
      <c r="O630" s="173">
        <f t="shared" si="61"/>
        <v>176.19615999999999</v>
      </c>
      <c r="P630" s="173">
        <v>180</v>
      </c>
    </row>
    <row r="631" spans="3:20" hidden="1" x14ac:dyDescent="0.35">
      <c r="C631" s="233" t="s">
        <v>1189</v>
      </c>
      <c r="F631" s="366">
        <v>58</v>
      </c>
      <c r="G631" s="245" t="s">
        <v>1190</v>
      </c>
      <c r="I631" s="173">
        <v>68</v>
      </c>
      <c r="J631">
        <v>5000</v>
      </c>
      <c r="K631" s="173">
        <v>4254</v>
      </c>
      <c r="L631" s="402">
        <f t="shared" si="59"/>
        <v>57.854399999999998</v>
      </c>
      <c r="M631" s="402">
        <f t="shared" si="60"/>
        <v>125.8544</v>
      </c>
      <c r="N631" s="174"/>
      <c r="O631" s="173">
        <f t="shared" si="61"/>
        <v>176.19615999999999</v>
      </c>
      <c r="P631" s="173">
        <v>180</v>
      </c>
    </row>
    <row r="632" spans="3:20" hidden="1" x14ac:dyDescent="0.35">
      <c r="C632" s="233" t="s">
        <v>1189</v>
      </c>
      <c r="F632" s="366">
        <v>60</v>
      </c>
      <c r="G632" s="245" t="s">
        <v>1190</v>
      </c>
      <c r="I632" s="173">
        <v>68</v>
      </c>
      <c r="J632">
        <v>5000</v>
      </c>
      <c r="K632" s="173">
        <v>4254</v>
      </c>
      <c r="L632" s="402">
        <f t="shared" si="59"/>
        <v>57.854399999999998</v>
      </c>
      <c r="M632" s="402">
        <f t="shared" si="60"/>
        <v>125.8544</v>
      </c>
      <c r="N632" s="174"/>
      <c r="O632" s="173">
        <f t="shared" si="61"/>
        <v>176.19615999999999</v>
      </c>
      <c r="P632" s="173">
        <v>180</v>
      </c>
    </row>
    <row r="633" spans="3:20" hidden="1" x14ac:dyDescent="0.35">
      <c r="C633" s="233" t="s">
        <v>1204</v>
      </c>
      <c r="F633" s="366">
        <v>48</v>
      </c>
      <c r="G633" s="245" t="s">
        <v>1031</v>
      </c>
      <c r="I633" s="173">
        <v>40</v>
      </c>
      <c r="J633">
        <v>5000</v>
      </c>
      <c r="K633" s="173">
        <v>4254</v>
      </c>
      <c r="L633" s="402">
        <f t="shared" si="59"/>
        <v>34.032000000000004</v>
      </c>
      <c r="M633" s="402">
        <f t="shared" si="60"/>
        <v>74.032000000000011</v>
      </c>
      <c r="N633" s="174"/>
      <c r="O633" s="173">
        <f t="shared" si="61"/>
        <v>103.6448</v>
      </c>
      <c r="P633" s="173">
        <v>125</v>
      </c>
    </row>
    <row r="634" spans="3:20" hidden="1" x14ac:dyDescent="0.35">
      <c r="C634" s="233" t="s">
        <v>1204</v>
      </c>
      <c r="F634" s="366">
        <v>50</v>
      </c>
      <c r="G634" s="245" t="s">
        <v>1031</v>
      </c>
      <c r="I634" s="173">
        <v>40</v>
      </c>
      <c r="J634">
        <v>5000</v>
      </c>
      <c r="K634" s="173">
        <v>4254</v>
      </c>
      <c r="L634" s="402">
        <f t="shared" si="59"/>
        <v>34.032000000000004</v>
      </c>
      <c r="M634" s="402">
        <f t="shared" si="60"/>
        <v>74.032000000000011</v>
      </c>
      <c r="N634" s="174"/>
      <c r="O634" s="173">
        <f t="shared" si="61"/>
        <v>103.6448</v>
      </c>
      <c r="P634" s="173">
        <v>125</v>
      </c>
    </row>
    <row r="635" spans="3:20" hidden="1" x14ac:dyDescent="0.35">
      <c r="C635" s="233" t="s">
        <v>1204</v>
      </c>
      <c r="F635" s="366">
        <v>52</v>
      </c>
      <c r="G635" s="245" t="s">
        <v>1031</v>
      </c>
      <c r="I635" s="173">
        <v>40</v>
      </c>
      <c r="J635">
        <v>5000</v>
      </c>
      <c r="K635" s="173">
        <v>4254</v>
      </c>
      <c r="L635" s="402">
        <f t="shared" si="59"/>
        <v>34.032000000000004</v>
      </c>
      <c r="M635" s="402">
        <f t="shared" si="60"/>
        <v>74.032000000000011</v>
      </c>
      <c r="N635" s="174"/>
      <c r="O635" s="173">
        <f t="shared" si="61"/>
        <v>103.6448</v>
      </c>
      <c r="P635" s="173">
        <v>125</v>
      </c>
    </row>
    <row r="636" spans="3:20" hidden="1" x14ac:dyDescent="0.35">
      <c r="C636" s="233" t="s">
        <v>1204</v>
      </c>
      <c r="F636" s="366">
        <v>54</v>
      </c>
      <c r="G636" s="245" t="s">
        <v>1031</v>
      </c>
      <c r="I636" s="173">
        <v>40</v>
      </c>
      <c r="J636">
        <v>5000</v>
      </c>
      <c r="K636" s="173">
        <v>4254</v>
      </c>
      <c r="L636" s="402">
        <f t="shared" si="59"/>
        <v>34.032000000000004</v>
      </c>
      <c r="M636" s="402">
        <f t="shared" si="60"/>
        <v>74.032000000000011</v>
      </c>
      <c r="N636" s="174"/>
      <c r="O636" s="173">
        <f t="shared" si="61"/>
        <v>103.6448</v>
      </c>
      <c r="P636" s="173">
        <v>125</v>
      </c>
    </row>
    <row r="637" spans="3:20" hidden="1" x14ac:dyDescent="0.35">
      <c r="J637">
        <v>5000</v>
      </c>
      <c r="K637" s="173">
        <v>4254</v>
      </c>
      <c r="L637" s="402">
        <f t="shared" si="59"/>
        <v>0</v>
      </c>
      <c r="M637" s="402">
        <f t="shared" si="60"/>
        <v>0</v>
      </c>
      <c r="N637" s="174"/>
      <c r="O637" s="173">
        <f t="shared" si="61"/>
        <v>0</v>
      </c>
    </row>
    <row r="638" spans="3:20" hidden="1" x14ac:dyDescent="0.35">
      <c r="G638" s="256" t="s">
        <v>1208</v>
      </c>
      <c r="H638" s="256"/>
      <c r="J638">
        <v>5000</v>
      </c>
      <c r="K638" s="173">
        <v>4254</v>
      </c>
      <c r="L638" s="402">
        <f t="shared" si="59"/>
        <v>0</v>
      </c>
      <c r="M638" s="402">
        <f t="shared" si="60"/>
        <v>0</v>
      </c>
      <c r="N638" s="174"/>
      <c r="O638" s="173">
        <f t="shared" si="61"/>
        <v>0</v>
      </c>
    </row>
    <row r="639" spans="3:20" hidden="1" x14ac:dyDescent="0.35">
      <c r="C639" s="233" t="s">
        <v>1246</v>
      </c>
      <c r="G639" s="371" t="s">
        <v>1209</v>
      </c>
      <c r="H639" s="371"/>
      <c r="I639" s="176">
        <v>85</v>
      </c>
      <c r="J639" s="12">
        <v>5000</v>
      </c>
      <c r="K639" s="176">
        <v>4254</v>
      </c>
      <c r="L639" s="410">
        <f t="shared" si="59"/>
        <v>72.318000000000012</v>
      </c>
      <c r="M639" s="410">
        <f t="shared" si="60"/>
        <v>157.31800000000001</v>
      </c>
      <c r="N639" s="411"/>
      <c r="O639" s="176">
        <f t="shared" si="61"/>
        <v>220.24520000000001</v>
      </c>
      <c r="P639" s="176">
        <v>150</v>
      </c>
      <c r="S639" t="s">
        <v>1238</v>
      </c>
    </row>
    <row r="640" spans="3:20" hidden="1" x14ac:dyDescent="0.35">
      <c r="C640" s="233" t="s">
        <v>1246</v>
      </c>
      <c r="G640" s="371" t="s">
        <v>1209</v>
      </c>
      <c r="H640" s="371"/>
      <c r="I640" s="176">
        <v>85</v>
      </c>
      <c r="J640" s="12">
        <v>5000</v>
      </c>
      <c r="K640" s="176">
        <v>4254</v>
      </c>
      <c r="L640" s="410">
        <f t="shared" si="59"/>
        <v>72.318000000000012</v>
      </c>
      <c r="M640" s="410">
        <f t="shared" si="60"/>
        <v>157.31800000000001</v>
      </c>
      <c r="N640" s="411"/>
      <c r="O640" s="176">
        <f t="shared" si="61"/>
        <v>220.24520000000001</v>
      </c>
      <c r="P640" s="176">
        <v>150</v>
      </c>
      <c r="S640" t="s">
        <v>1239</v>
      </c>
    </row>
    <row r="641" spans="3:20" hidden="1" x14ac:dyDescent="0.35">
      <c r="C641" s="233" t="s">
        <v>478</v>
      </c>
      <c r="G641" s="245" t="s">
        <v>1210</v>
      </c>
      <c r="I641" s="173">
        <v>17</v>
      </c>
      <c r="J641">
        <v>5000</v>
      </c>
      <c r="K641" s="173">
        <v>4254</v>
      </c>
      <c r="L641" s="402">
        <f t="shared" si="59"/>
        <v>14.4636</v>
      </c>
      <c r="M641" s="402">
        <f t="shared" si="60"/>
        <v>31.4636</v>
      </c>
      <c r="N641" s="174"/>
      <c r="O641" s="173">
        <f t="shared" si="61"/>
        <v>44.049039999999998</v>
      </c>
      <c r="P641" s="173">
        <v>45</v>
      </c>
    </row>
    <row r="642" spans="3:20" hidden="1" x14ac:dyDescent="0.35">
      <c r="C642" s="233" t="s">
        <v>478</v>
      </c>
      <c r="G642" s="245" t="s">
        <v>1210</v>
      </c>
      <c r="I642" s="173">
        <v>17</v>
      </c>
      <c r="J642">
        <v>5000</v>
      </c>
      <c r="K642" s="173">
        <v>4254</v>
      </c>
      <c r="L642" s="402">
        <f t="shared" si="59"/>
        <v>14.4636</v>
      </c>
      <c r="M642" s="402">
        <f t="shared" si="60"/>
        <v>31.4636</v>
      </c>
      <c r="N642" s="174"/>
      <c r="O642" s="173">
        <f t="shared" si="61"/>
        <v>44.049039999999998</v>
      </c>
      <c r="P642" s="173">
        <v>45</v>
      </c>
    </row>
    <row r="643" spans="3:20" hidden="1" x14ac:dyDescent="0.35">
      <c r="C643" s="233" t="s">
        <v>478</v>
      </c>
      <c r="G643" s="245" t="s">
        <v>1210</v>
      </c>
      <c r="I643" s="173">
        <v>17</v>
      </c>
      <c r="J643">
        <v>5000</v>
      </c>
      <c r="K643" s="173">
        <v>4254</v>
      </c>
      <c r="L643" s="402">
        <f t="shared" si="59"/>
        <v>14.4636</v>
      </c>
      <c r="M643" s="402">
        <f t="shared" si="60"/>
        <v>31.4636</v>
      </c>
      <c r="N643" s="174"/>
      <c r="O643" s="173">
        <f t="shared" si="61"/>
        <v>44.049039999999998</v>
      </c>
      <c r="P643" s="173">
        <v>45</v>
      </c>
    </row>
    <row r="644" spans="3:20" hidden="1" x14ac:dyDescent="0.35">
      <c r="C644" s="233" t="s">
        <v>478</v>
      </c>
      <c r="G644" s="245" t="s">
        <v>1210</v>
      </c>
      <c r="I644" s="173">
        <v>17</v>
      </c>
      <c r="J644">
        <v>5000</v>
      </c>
      <c r="K644" s="173">
        <v>4254</v>
      </c>
      <c r="L644" s="402">
        <f t="shared" si="59"/>
        <v>14.4636</v>
      </c>
      <c r="M644" s="402">
        <f t="shared" si="60"/>
        <v>31.4636</v>
      </c>
      <c r="N644" s="174"/>
      <c r="O644" s="173">
        <f t="shared" si="61"/>
        <v>44.049039999999998</v>
      </c>
      <c r="P644" s="173">
        <v>45</v>
      </c>
    </row>
    <row r="645" spans="3:20" hidden="1" x14ac:dyDescent="0.35">
      <c r="C645" s="233" t="s">
        <v>478</v>
      </c>
      <c r="G645" s="245" t="s">
        <v>1211</v>
      </c>
      <c r="I645" s="173">
        <v>25</v>
      </c>
      <c r="J645">
        <v>5000</v>
      </c>
      <c r="K645" s="173">
        <v>4254</v>
      </c>
      <c r="L645" s="402">
        <f t="shared" si="59"/>
        <v>21.27</v>
      </c>
      <c r="M645" s="402">
        <f t="shared" si="60"/>
        <v>46.269999999999996</v>
      </c>
      <c r="N645" s="174"/>
      <c r="O645" s="173">
        <f t="shared" si="61"/>
        <v>64.777999999999992</v>
      </c>
      <c r="P645" s="173">
        <v>60</v>
      </c>
    </row>
    <row r="646" spans="3:20" hidden="1" x14ac:dyDescent="0.35">
      <c r="N646" s="174"/>
    </row>
    <row r="647" spans="3:20" hidden="1" x14ac:dyDescent="0.35">
      <c r="G647" s="256" t="s">
        <v>1242</v>
      </c>
      <c r="H647" s="256"/>
      <c r="N647" s="174"/>
    </row>
    <row r="648" spans="3:20" hidden="1" x14ac:dyDescent="0.35">
      <c r="F648" s="366">
        <v>16</v>
      </c>
      <c r="G648" s="371" t="s">
        <v>1243</v>
      </c>
      <c r="H648" s="371"/>
      <c r="I648" s="176">
        <v>4</v>
      </c>
      <c r="J648" s="12"/>
      <c r="K648" s="176"/>
      <c r="L648" s="176"/>
      <c r="M648" s="176"/>
      <c r="N648" s="411"/>
      <c r="O648" s="176"/>
      <c r="P648" s="176">
        <v>45</v>
      </c>
      <c r="S648" t="s">
        <v>12</v>
      </c>
      <c r="T648" s="6">
        <v>45527</v>
      </c>
    </row>
    <row r="649" spans="3:20" hidden="1" x14ac:dyDescent="0.35">
      <c r="N649" s="174"/>
      <c r="T649" s="6"/>
    </row>
    <row r="650" spans="3:20" s="3" customFormat="1" hidden="1" x14ac:dyDescent="0.35">
      <c r="C650" s="232"/>
      <c r="D650" s="232"/>
      <c r="F650" s="340"/>
      <c r="G650" s="256" t="s">
        <v>1289</v>
      </c>
      <c r="H650" s="256"/>
      <c r="I650" s="146">
        <f>SUM(I479:I649)</f>
        <v>5598.5</v>
      </c>
      <c r="K650" s="146"/>
      <c r="L650" s="146"/>
      <c r="M650" s="146"/>
      <c r="N650" s="481"/>
      <c r="O650" s="146"/>
      <c r="P650" s="146"/>
    </row>
    <row r="651" spans="3:20" hidden="1" x14ac:dyDescent="0.35">
      <c r="N651" s="174"/>
    </row>
    <row r="652" spans="3:20" hidden="1" x14ac:dyDescent="0.35">
      <c r="G652" s="256" t="s">
        <v>1245</v>
      </c>
      <c r="H652" s="256"/>
      <c r="N652" s="174"/>
    </row>
    <row r="653" spans="3:20" hidden="1" x14ac:dyDescent="0.35">
      <c r="C653" s="233" t="s">
        <v>699</v>
      </c>
      <c r="F653" s="366">
        <v>1</v>
      </c>
      <c r="G653" s="245" t="s">
        <v>1247</v>
      </c>
      <c r="I653" s="173">
        <v>20</v>
      </c>
      <c r="J653">
        <v>546</v>
      </c>
      <c r="K653" s="173">
        <v>250</v>
      </c>
      <c r="L653" s="402">
        <f t="shared" ref="L653:L669" si="62">+I653/J653*K653</f>
        <v>9.1575091575091587</v>
      </c>
      <c r="M653" s="173">
        <f t="shared" ref="M653:M669" si="63">+I653+L653</f>
        <v>29.157509157509161</v>
      </c>
      <c r="N653" s="174"/>
      <c r="O653" s="173">
        <f t="shared" ref="O653:O669" si="64">+M653*1.4</f>
        <v>40.820512820512825</v>
      </c>
      <c r="P653" s="173">
        <v>80</v>
      </c>
    </row>
    <row r="654" spans="3:20" hidden="1" x14ac:dyDescent="0.35">
      <c r="C654" s="233" t="s">
        <v>699</v>
      </c>
      <c r="F654" s="366">
        <v>2</v>
      </c>
      <c r="G654" s="245" t="s">
        <v>1247</v>
      </c>
      <c r="I654" s="173">
        <v>20</v>
      </c>
      <c r="J654">
        <v>546</v>
      </c>
      <c r="K654" s="173">
        <v>250</v>
      </c>
      <c r="L654" s="402">
        <f t="shared" si="62"/>
        <v>9.1575091575091587</v>
      </c>
      <c r="M654" s="173">
        <f t="shared" si="63"/>
        <v>29.157509157509161</v>
      </c>
      <c r="N654" s="174"/>
      <c r="O654" s="173">
        <f t="shared" si="64"/>
        <v>40.820512820512825</v>
      </c>
      <c r="P654" s="173">
        <v>80</v>
      </c>
    </row>
    <row r="655" spans="3:20" hidden="1" x14ac:dyDescent="0.35">
      <c r="C655" s="233" t="s">
        <v>699</v>
      </c>
      <c r="F655" s="366">
        <v>3</v>
      </c>
      <c r="G655" s="245" t="s">
        <v>1247</v>
      </c>
      <c r="I655" s="173">
        <v>20</v>
      </c>
      <c r="J655">
        <v>546</v>
      </c>
      <c r="K655" s="173">
        <v>250</v>
      </c>
      <c r="L655" s="402">
        <f t="shared" si="62"/>
        <v>9.1575091575091587</v>
      </c>
      <c r="M655" s="173">
        <f t="shared" si="63"/>
        <v>29.157509157509161</v>
      </c>
      <c r="N655" s="174"/>
      <c r="O655" s="173">
        <f t="shared" si="64"/>
        <v>40.820512820512825</v>
      </c>
      <c r="P655" s="173">
        <v>80</v>
      </c>
    </row>
    <row r="656" spans="3:20" hidden="1" x14ac:dyDescent="0.35">
      <c r="C656" s="233" t="s">
        <v>699</v>
      </c>
      <c r="F656" s="366">
        <v>1</v>
      </c>
      <c r="G656" s="245" t="s">
        <v>1247</v>
      </c>
      <c r="I656" s="173">
        <v>20</v>
      </c>
      <c r="J656">
        <v>546</v>
      </c>
      <c r="K656" s="173">
        <v>250</v>
      </c>
      <c r="L656" s="402">
        <f t="shared" si="62"/>
        <v>9.1575091575091587</v>
      </c>
      <c r="M656" s="173">
        <f t="shared" si="63"/>
        <v>29.157509157509161</v>
      </c>
      <c r="N656" s="174"/>
      <c r="O656" s="173">
        <f t="shared" si="64"/>
        <v>40.820512820512825</v>
      </c>
      <c r="P656" s="173">
        <v>80</v>
      </c>
    </row>
    <row r="657" spans="3:16" hidden="1" x14ac:dyDescent="0.35">
      <c r="C657" s="233" t="s">
        <v>699</v>
      </c>
      <c r="F657" s="366">
        <v>2</v>
      </c>
      <c r="G657" s="245" t="s">
        <v>1247</v>
      </c>
      <c r="I657" s="173">
        <v>20</v>
      </c>
      <c r="J657">
        <v>546</v>
      </c>
      <c r="K657" s="173">
        <v>250</v>
      </c>
      <c r="L657" s="402">
        <f t="shared" si="62"/>
        <v>9.1575091575091587</v>
      </c>
      <c r="M657" s="173">
        <f t="shared" si="63"/>
        <v>29.157509157509161</v>
      </c>
      <c r="N657" s="174"/>
      <c r="O657" s="173">
        <f t="shared" si="64"/>
        <v>40.820512820512825</v>
      </c>
      <c r="P657" s="173">
        <v>80</v>
      </c>
    </row>
    <row r="658" spans="3:16" hidden="1" x14ac:dyDescent="0.35">
      <c r="C658" s="233" t="s">
        <v>699</v>
      </c>
      <c r="F658" s="366">
        <v>3</v>
      </c>
      <c r="G658" s="245" t="s">
        <v>1247</v>
      </c>
      <c r="I658" s="173">
        <v>20</v>
      </c>
      <c r="J658">
        <v>546</v>
      </c>
      <c r="K658" s="173">
        <v>250</v>
      </c>
      <c r="L658" s="402">
        <f t="shared" si="62"/>
        <v>9.1575091575091587</v>
      </c>
      <c r="M658" s="173">
        <f t="shared" si="63"/>
        <v>29.157509157509161</v>
      </c>
      <c r="N658" s="174"/>
      <c r="O658" s="173">
        <f t="shared" si="64"/>
        <v>40.820512820512825</v>
      </c>
      <c r="P658" s="173">
        <v>80</v>
      </c>
    </row>
    <row r="659" spans="3:16" hidden="1" x14ac:dyDescent="0.35">
      <c r="C659" s="233" t="s">
        <v>699</v>
      </c>
      <c r="F659" s="366">
        <v>1</v>
      </c>
      <c r="G659" s="245" t="s">
        <v>1250</v>
      </c>
      <c r="I659" s="173">
        <v>30</v>
      </c>
      <c r="J659">
        <v>546</v>
      </c>
      <c r="K659" s="173">
        <v>250</v>
      </c>
      <c r="L659" s="402">
        <f t="shared" si="62"/>
        <v>13.736263736263735</v>
      </c>
      <c r="M659" s="173">
        <f t="shared" si="63"/>
        <v>43.736263736263737</v>
      </c>
      <c r="N659" s="174"/>
      <c r="O659" s="173">
        <f t="shared" si="64"/>
        <v>61.230769230769226</v>
      </c>
      <c r="P659" s="173">
        <v>125</v>
      </c>
    </row>
    <row r="660" spans="3:16" hidden="1" x14ac:dyDescent="0.35">
      <c r="C660" s="233" t="s">
        <v>699</v>
      </c>
      <c r="F660" s="366">
        <v>2</v>
      </c>
      <c r="G660" s="245" t="s">
        <v>1250</v>
      </c>
      <c r="I660" s="173">
        <v>30</v>
      </c>
      <c r="J660">
        <v>546</v>
      </c>
      <c r="K660" s="173">
        <v>250</v>
      </c>
      <c r="L660" s="402">
        <f t="shared" si="62"/>
        <v>13.736263736263735</v>
      </c>
      <c r="M660" s="173">
        <f t="shared" si="63"/>
        <v>43.736263736263737</v>
      </c>
      <c r="N660" s="174"/>
      <c r="O660" s="173">
        <f t="shared" si="64"/>
        <v>61.230769230769226</v>
      </c>
      <c r="P660" s="173">
        <v>125</v>
      </c>
    </row>
    <row r="661" spans="3:16" hidden="1" x14ac:dyDescent="0.35">
      <c r="C661" s="233" t="s">
        <v>699</v>
      </c>
      <c r="F661" s="366">
        <v>3</v>
      </c>
      <c r="G661" s="245" t="s">
        <v>1249</v>
      </c>
      <c r="I661" s="173">
        <v>30</v>
      </c>
      <c r="J661">
        <v>546</v>
      </c>
      <c r="K661" s="173">
        <v>250</v>
      </c>
      <c r="L661" s="402">
        <f t="shared" si="62"/>
        <v>13.736263736263735</v>
      </c>
      <c r="M661" s="173">
        <f t="shared" si="63"/>
        <v>43.736263736263737</v>
      </c>
      <c r="N661" s="174"/>
      <c r="O661" s="173">
        <f t="shared" si="64"/>
        <v>61.230769230769226</v>
      </c>
      <c r="P661" s="173">
        <v>125</v>
      </c>
    </row>
    <row r="662" spans="3:16" hidden="1" x14ac:dyDescent="0.35">
      <c r="C662" s="233" t="s">
        <v>1236</v>
      </c>
      <c r="F662" s="366">
        <v>44</v>
      </c>
      <c r="G662" s="245" t="s">
        <v>1248</v>
      </c>
      <c r="I662" s="173">
        <v>40</v>
      </c>
      <c r="J662">
        <v>546</v>
      </c>
      <c r="K662" s="173">
        <v>250</v>
      </c>
      <c r="L662" s="402">
        <f t="shared" si="62"/>
        <v>18.315018315018317</v>
      </c>
      <c r="M662" s="173">
        <f t="shared" si="63"/>
        <v>58.315018315018321</v>
      </c>
      <c r="N662" s="174"/>
      <c r="O662" s="173">
        <f t="shared" si="64"/>
        <v>81.641025641025649</v>
      </c>
      <c r="P662" s="173">
        <v>125</v>
      </c>
    </row>
    <row r="663" spans="3:16" hidden="1" x14ac:dyDescent="0.35">
      <c r="C663" s="233" t="s">
        <v>1236</v>
      </c>
      <c r="F663" s="366">
        <v>46</v>
      </c>
      <c r="G663" s="245" t="s">
        <v>1248</v>
      </c>
      <c r="I663" s="173">
        <v>40</v>
      </c>
      <c r="J663">
        <v>546</v>
      </c>
      <c r="K663" s="173">
        <v>250</v>
      </c>
      <c r="L663" s="402">
        <f t="shared" si="62"/>
        <v>18.315018315018317</v>
      </c>
      <c r="M663" s="173">
        <f t="shared" si="63"/>
        <v>58.315018315018321</v>
      </c>
      <c r="N663" s="174"/>
      <c r="O663" s="173">
        <f t="shared" si="64"/>
        <v>81.641025641025649</v>
      </c>
      <c r="P663" s="173">
        <v>125</v>
      </c>
    </row>
    <row r="664" spans="3:16" hidden="1" x14ac:dyDescent="0.35">
      <c r="C664" s="233" t="s">
        <v>1236</v>
      </c>
      <c r="F664" s="366">
        <v>48</v>
      </c>
      <c r="G664" s="245" t="s">
        <v>1248</v>
      </c>
      <c r="I664" s="173">
        <v>40</v>
      </c>
      <c r="J664">
        <v>546</v>
      </c>
      <c r="K664" s="173">
        <v>250</v>
      </c>
      <c r="L664" s="402">
        <f t="shared" si="62"/>
        <v>18.315018315018317</v>
      </c>
      <c r="M664" s="173">
        <f t="shared" si="63"/>
        <v>58.315018315018321</v>
      </c>
      <c r="N664" s="174"/>
      <c r="O664" s="173">
        <f t="shared" si="64"/>
        <v>81.641025641025649</v>
      </c>
      <c r="P664" s="173">
        <v>125</v>
      </c>
    </row>
    <row r="665" spans="3:16" hidden="1" x14ac:dyDescent="0.35">
      <c r="C665" s="233" t="s">
        <v>1236</v>
      </c>
      <c r="F665" s="366">
        <v>50</v>
      </c>
      <c r="G665" s="245" t="s">
        <v>1248</v>
      </c>
      <c r="I665" s="173">
        <v>40</v>
      </c>
      <c r="J665">
        <v>546</v>
      </c>
      <c r="K665" s="173">
        <v>250</v>
      </c>
      <c r="L665" s="402">
        <f t="shared" si="62"/>
        <v>18.315018315018317</v>
      </c>
      <c r="M665" s="173">
        <f t="shared" si="63"/>
        <v>58.315018315018321</v>
      </c>
      <c r="N665" s="174"/>
      <c r="O665" s="173">
        <f t="shared" si="64"/>
        <v>81.641025641025649</v>
      </c>
      <c r="P665" s="173">
        <v>125</v>
      </c>
    </row>
    <row r="666" spans="3:16" hidden="1" x14ac:dyDescent="0.35">
      <c r="C666" s="233" t="s">
        <v>1251</v>
      </c>
      <c r="F666" s="366">
        <v>44</v>
      </c>
      <c r="G666" s="245" t="s">
        <v>1252</v>
      </c>
      <c r="I666" s="173">
        <v>44</v>
      </c>
      <c r="J666">
        <v>546</v>
      </c>
      <c r="K666" s="173">
        <v>250</v>
      </c>
      <c r="L666" s="402">
        <f t="shared" si="62"/>
        <v>20.14652014652015</v>
      </c>
      <c r="M666" s="173">
        <f t="shared" si="63"/>
        <v>64.146520146520146</v>
      </c>
      <c r="N666" s="174"/>
      <c r="O666" s="173">
        <f t="shared" si="64"/>
        <v>89.805128205128199</v>
      </c>
      <c r="P666" s="173">
        <v>125</v>
      </c>
    </row>
    <row r="667" spans="3:16" hidden="1" x14ac:dyDescent="0.35">
      <c r="C667" s="233" t="s">
        <v>1251</v>
      </c>
      <c r="F667" s="366">
        <v>46</v>
      </c>
      <c r="G667" s="245" t="s">
        <v>1252</v>
      </c>
      <c r="I667" s="173">
        <v>44</v>
      </c>
      <c r="J667">
        <v>546</v>
      </c>
      <c r="K667" s="173">
        <v>250</v>
      </c>
      <c r="L667" s="402">
        <f t="shared" si="62"/>
        <v>20.14652014652015</v>
      </c>
      <c r="M667" s="173">
        <f t="shared" si="63"/>
        <v>64.146520146520146</v>
      </c>
      <c r="N667" s="174"/>
      <c r="O667" s="173">
        <f t="shared" si="64"/>
        <v>89.805128205128199</v>
      </c>
      <c r="P667" s="173">
        <v>125</v>
      </c>
    </row>
    <row r="668" spans="3:16" hidden="1" x14ac:dyDescent="0.35">
      <c r="C668" s="233" t="s">
        <v>1251</v>
      </c>
      <c r="F668" s="366">
        <v>48</v>
      </c>
      <c r="G668" s="245" t="s">
        <v>1252</v>
      </c>
      <c r="I668" s="173">
        <v>44</v>
      </c>
      <c r="J668">
        <v>546</v>
      </c>
      <c r="K668" s="173">
        <v>250</v>
      </c>
      <c r="L668" s="402">
        <f t="shared" si="62"/>
        <v>20.14652014652015</v>
      </c>
      <c r="M668" s="173">
        <f t="shared" si="63"/>
        <v>64.146520146520146</v>
      </c>
      <c r="N668" s="174"/>
      <c r="O668" s="173">
        <f t="shared" si="64"/>
        <v>89.805128205128199</v>
      </c>
      <c r="P668" s="173">
        <v>125</v>
      </c>
    </row>
    <row r="669" spans="3:16" hidden="1" x14ac:dyDescent="0.35">
      <c r="C669" s="233" t="s">
        <v>1251</v>
      </c>
      <c r="F669" s="366">
        <v>50</v>
      </c>
      <c r="G669" s="245" t="s">
        <v>1252</v>
      </c>
      <c r="I669" s="173">
        <v>44</v>
      </c>
      <c r="J669">
        <v>546</v>
      </c>
      <c r="K669" s="173">
        <v>250</v>
      </c>
      <c r="L669" s="402">
        <f t="shared" si="62"/>
        <v>20.14652014652015</v>
      </c>
      <c r="M669" s="173">
        <f t="shared" si="63"/>
        <v>64.146520146520146</v>
      </c>
      <c r="N669" s="174"/>
      <c r="O669" s="173">
        <f t="shared" si="64"/>
        <v>89.805128205128199</v>
      </c>
      <c r="P669" s="173">
        <v>125</v>
      </c>
    </row>
    <row r="670" spans="3:16" hidden="1" x14ac:dyDescent="0.35">
      <c r="L670" s="402"/>
      <c r="N670" s="174"/>
    </row>
    <row r="671" spans="3:16" hidden="1" x14ac:dyDescent="0.35">
      <c r="C671" s="233" t="s">
        <v>179</v>
      </c>
      <c r="G671" s="245" t="s">
        <v>1254</v>
      </c>
      <c r="I671" s="173">
        <v>10</v>
      </c>
      <c r="J671">
        <v>546</v>
      </c>
      <c r="K671" s="173">
        <v>250</v>
      </c>
      <c r="L671" s="402">
        <f t="shared" ref="L671:L690" si="65">+I671/J671*K671</f>
        <v>4.5787545787545794</v>
      </c>
      <c r="M671" s="173">
        <f t="shared" ref="M671:M690" si="66">+I671+L671</f>
        <v>14.57875457875458</v>
      </c>
      <c r="N671" s="174"/>
      <c r="O671" s="173">
        <f t="shared" ref="O671:O690" si="67">+M671*1.4</f>
        <v>20.410256410256412</v>
      </c>
      <c r="P671" s="173">
        <v>45</v>
      </c>
    </row>
    <row r="672" spans="3:16" hidden="1" x14ac:dyDescent="0.35">
      <c r="C672" s="233" t="s">
        <v>179</v>
      </c>
      <c r="G672" s="245" t="s">
        <v>1254</v>
      </c>
      <c r="I672" s="173">
        <v>10</v>
      </c>
      <c r="J672">
        <v>546</v>
      </c>
      <c r="K672" s="173">
        <v>250</v>
      </c>
      <c r="L672" s="402">
        <f t="shared" si="65"/>
        <v>4.5787545787545794</v>
      </c>
      <c r="M672" s="173">
        <f t="shared" si="66"/>
        <v>14.57875457875458</v>
      </c>
      <c r="N672" s="174"/>
      <c r="O672" s="173">
        <f t="shared" si="67"/>
        <v>20.410256410256412</v>
      </c>
      <c r="P672" s="173">
        <v>45</v>
      </c>
    </row>
    <row r="673" spans="3:16" hidden="1" x14ac:dyDescent="0.35">
      <c r="C673" s="233" t="s">
        <v>179</v>
      </c>
      <c r="G673" s="245" t="s">
        <v>1254</v>
      </c>
      <c r="I673" s="173">
        <v>10</v>
      </c>
      <c r="J673">
        <v>546</v>
      </c>
      <c r="K673" s="173">
        <v>250</v>
      </c>
      <c r="L673" s="402">
        <f t="shared" si="65"/>
        <v>4.5787545787545794</v>
      </c>
      <c r="M673" s="173">
        <f t="shared" si="66"/>
        <v>14.57875457875458</v>
      </c>
      <c r="N673" s="174"/>
      <c r="O673" s="173">
        <f t="shared" si="67"/>
        <v>20.410256410256412</v>
      </c>
      <c r="P673" s="173">
        <v>45</v>
      </c>
    </row>
    <row r="674" spans="3:16" hidden="1" x14ac:dyDescent="0.35">
      <c r="C674" s="233" t="s">
        <v>179</v>
      </c>
      <c r="G674" s="245" t="s">
        <v>1255</v>
      </c>
      <c r="I674" s="173">
        <v>10</v>
      </c>
      <c r="J674">
        <v>546</v>
      </c>
      <c r="K674" s="173">
        <v>250</v>
      </c>
      <c r="L674" s="402">
        <f t="shared" si="65"/>
        <v>4.5787545787545794</v>
      </c>
      <c r="M674" s="173">
        <f t="shared" si="66"/>
        <v>14.57875457875458</v>
      </c>
      <c r="N674" s="174"/>
      <c r="O674" s="173">
        <f t="shared" si="67"/>
        <v>20.410256410256412</v>
      </c>
      <c r="P674" s="173">
        <v>45</v>
      </c>
    </row>
    <row r="675" spans="3:16" hidden="1" x14ac:dyDescent="0.35">
      <c r="C675" s="233" t="s">
        <v>179</v>
      </c>
      <c r="G675" s="245" t="s">
        <v>1255</v>
      </c>
      <c r="I675" s="173">
        <v>10</v>
      </c>
      <c r="J675">
        <v>546</v>
      </c>
      <c r="K675" s="173">
        <v>250</v>
      </c>
      <c r="L675" s="402">
        <f t="shared" si="65"/>
        <v>4.5787545787545794</v>
      </c>
      <c r="M675" s="173">
        <f t="shared" si="66"/>
        <v>14.57875457875458</v>
      </c>
      <c r="N675" s="174"/>
      <c r="O675" s="173">
        <f t="shared" si="67"/>
        <v>20.410256410256412</v>
      </c>
      <c r="P675" s="173">
        <v>45</v>
      </c>
    </row>
    <row r="676" spans="3:16" hidden="1" x14ac:dyDescent="0.35">
      <c r="C676" s="233" t="s">
        <v>179</v>
      </c>
      <c r="G676" s="245" t="s">
        <v>1255</v>
      </c>
      <c r="I676" s="173">
        <v>10</v>
      </c>
      <c r="J676">
        <v>546</v>
      </c>
      <c r="K676" s="173">
        <v>250</v>
      </c>
      <c r="L676" s="402">
        <f t="shared" si="65"/>
        <v>4.5787545787545794</v>
      </c>
      <c r="M676" s="173">
        <f t="shared" si="66"/>
        <v>14.57875457875458</v>
      </c>
      <c r="N676" s="174"/>
      <c r="O676" s="173">
        <f t="shared" si="67"/>
        <v>20.410256410256412</v>
      </c>
      <c r="P676" s="173">
        <v>45</v>
      </c>
    </row>
    <row r="677" spans="3:16" hidden="1" x14ac:dyDescent="0.35">
      <c r="C677" s="233" t="s">
        <v>179</v>
      </c>
      <c r="G677" s="245" t="s">
        <v>1256</v>
      </c>
      <c r="I677" s="173">
        <v>10</v>
      </c>
      <c r="J677">
        <v>546</v>
      </c>
      <c r="K677" s="173">
        <v>250</v>
      </c>
      <c r="L677" s="402">
        <f t="shared" si="65"/>
        <v>4.5787545787545794</v>
      </c>
      <c r="M677" s="173">
        <f t="shared" si="66"/>
        <v>14.57875457875458</v>
      </c>
      <c r="N677" s="174"/>
      <c r="O677" s="173">
        <f t="shared" si="67"/>
        <v>20.410256410256412</v>
      </c>
      <c r="P677" s="173">
        <v>45</v>
      </c>
    </row>
    <row r="678" spans="3:16" hidden="1" x14ac:dyDescent="0.35">
      <c r="C678" s="233" t="s">
        <v>179</v>
      </c>
      <c r="G678" s="245" t="s">
        <v>1256</v>
      </c>
      <c r="I678" s="173">
        <v>10</v>
      </c>
      <c r="J678">
        <v>546</v>
      </c>
      <c r="K678" s="173">
        <v>250</v>
      </c>
      <c r="L678" s="402">
        <f t="shared" si="65"/>
        <v>4.5787545787545794</v>
      </c>
      <c r="M678" s="173">
        <f t="shared" si="66"/>
        <v>14.57875457875458</v>
      </c>
      <c r="N678" s="174"/>
      <c r="O678" s="173">
        <f t="shared" si="67"/>
        <v>20.410256410256412</v>
      </c>
      <c r="P678" s="173">
        <v>45</v>
      </c>
    </row>
    <row r="679" spans="3:16" hidden="1" x14ac:dyDescent="0.35">
      <c r="C679" s="233" t="s">
        <v>179</v>
      </c>
      <c r="G679" s="245" t="s">
        <v>1256</v>
      </c>
      <c r="I679" s="173">
        <v>10</v>
      </c>
      <c r="J679">
        <v>546</v>
      </c>
      <c r="K679" s="173">
        <v>250</v>
      </c>
      <c r="L679" s="402">
        <f t="shared" si="65"/>
        <v>4.5787545787545794</v>
      </c>
      <c r="M679" s="173">
        <f t="shared" si="66"/>
        <v>14.57875457875458</v>
      </c>
      <c r="N679" s="174"/>
      <c r="O679" s="173">
        <f t="shared" si="67"/>
        <v>20.410256410256412</v>
      </c>
      <c r="P679" s="173">
        <v>45</v>
      </c>
    </row>
    <row r="680" spans="3:16" hidden="1" x14ac:dyDescent="0.35">
      <c r="C680" s="233" t="s">
        <v>179</v>
      </c>
      <c r="G680" s="245" t="s">
        <v>1256</v>
      </c>
      <c r="I680" s="173">
        <v>10</v>
      </c>
      <c r="J680">
        <v>546</v>
      </c>
      <c r="K680" s="173">
        <v>250</v>
      </c>
      <c r="L680" s="402">
        <f t="shared" si="65"/>
        <v>4.5787545787545794</v>
      </c>
      <c r="M680" s="173">
        <f t="shared" si="66"/>
        <v>14.57875457875458</v>
      </c>
      <c r="N680" s="174"/>
      <c r="O680" s="173">
        <f t="shared" si="67"/>
        <v>20.410256410256412</v>
      </c>
      <c r="P680" s="173">
        <v>45</v>
      </c>
    </row>
    <row r="681" spans="3:16" hidden="1" x14ac:dyDescent="0.35">
      <c r="C681" s="233" t="s">
        <v>179</v>
      </c>
      <c r="G681" s="245" t="s">
        <v>1257</v>
      </c>
      <c r="I681" s="173">
        <v>5</v>
      </c>
      <c r="J681">
        <v>546</v>
      </c>
      <c r="K681" s="173">
        <v>250</v>
      </c>
      <c r="L681" s="402">
        <f t="shared" si="65"/>
        <v>2.2893772893772897</v>
      </c>
      <c r="M681" s="173">
        <f t="shared" si="66"/>
        <v>7.2893772893772901</v>
      </c>
      <c r="N681" s="174"/>
      <c r="O681" s="173">
        <f t="shared" si="67"/>
        <v>10.205128205128206</v>
      </c>
      <c r="P681" s="173">
        <v>15</v>
      </c>
    </row>
    <row r="682" spans="3:16" hidden="1" x14ac:dyDescent="0.35">
      <c r="C682" s="233" t="s">
        <v>179</v>
      </c>
      <c r="G682" s="245" t="s">
        <v>1257</v>
      </c>
      <c r="I682" s="173">
        <v>5</v>
      </c>
      <c r="J682">
        <v>546</v>
      </c>
      <c r="K682" s="173">
        <v>250</v>
      </c>
      <c r="L682" s="402">
        <f t="shared" si="65"/>
        <v>2.2893772893772897</v>
      </c>
      <c r="M682" s="173">
        <f t="shared" si="66"/>
        <v>7.2893772893772901</v>
      </c>
      <c r="N682" s="174"/>
      <c r="O682" s="173">
        <f t="shared" si="67"/>
        <v>10.205128205128206</v>
      </c>
      <c r="P682" s="173">
        <v>15</v>
      </c>
    </row>
    <row r="683" spans="3:16" hidden="1" x14ac:dyDescent="0.35">
      <c r="C683" s="233" t="s">
        <v>179</v>
      </c>
      <c r="G683" s="245" t="s">
        <v>1257</v>
      </c>
      <c r="I683" s="173">
        <v>5</v>
      </c>
      <c r="J683">
        <v>546</v>
      </c>
      <c r="K683" s="173">
        <v>250</v>
      </c>
      <c r="L683" s="402">
        <f t="shared" si="65"/>
        <v>2.2893772893772897</v>
      </c>
      <c r="M683" s="173">
        <f t="shared" si="66"/>
        <v>7.2893772893772901</v>
      </c>
      <c r="N683" s="174"/>
      <c r="O683" s="173">
        <f t="shared" si="67"/>
        <v>10.205128205128206</v>
      </c>
      <c r="P683" s="173">
        <v>15</v>
      </c>
    </row>
    <row r="684" spans="3:16" hidden="1" x14ac:dyDescent="0.35">
      <c r="C684" s="233" t="s">
        <v>179</v>
      </c>
      <c r="G684" s="245" t="s">
        <v>1257</v>
      </c>
      <c r="I684" s="173">
        <v>5</v>
      </c>
      <c r="J684">
        <v>546</v>
      </c>
      <c r="K684" s="173">
        <v>250</v>
      </c>
      <c r="L684" s="402">
        <f t="shared" si="65"/>
        <v>2.2893772893772897</v>
      </c>
      <c r="M684" s="173">
        <f t="shared" si="66"/>
        <v>7.2893772893772901</v>
      </c>
      <c r="N684" s="174"/>
      <c r="O684" s="173">
        <f t="shared" si="67"/>
        <v>10.205128205128206</v>
      </c>
      <c r="P684" s="173">
        <v>15</v>
      </c>
    </row>
    <row r="685" spans="3:16" hidden="1" x14ac:dyDescent="0.35">
      <c r="C685" s="233" t="s">
        <v>179</v>
      </c>
      <c r="G685" s="245" t="s">
        <v>1257</v>
      </c>
      <c r="I685" s="173">
        <v>5</v>
      </c>
      <c r="J685">
        <v>546</v>
      </c>
      <c r="K685" s="173">
        <v>250</v>
      </c>
      <c r="L685" s="402">
        <f t="shared" si="65"/>
        <v>2.2893772893772897</v>
      </c>
      <c r="M685" s="173">
        <f t="shared" si="66"/>
        <v>7.2893772893772901</v>
      </c>
      <c r="N685" s="174"/>
      <c r="O685" s="173">
        <f t="shared" si="67"/>
        <v>10.205128205128206</v>
      </c>
      <c r="P685" s="173">
        <v>15</v>
      </c>
    </row>
    <row r="686" spans="3:16" hidden="1" x14ac:dyDescent="0.35">
      <c r="C686" s="233" t="s">
        <v>179</v>
      </c>
      <c r="G686" s="245" t="s">
        <v>1257</v>
      </c>
      <c r="I686" s="173">
        <v>5</v>
      </c>
      <c r="J686">
        <v>546</v>
      </c>
      <c r="K686" s="173">
        <v>250</v>
      </c>
      <c r="L686" s="402">
        <f t="shared" si="65"/>
        <v>2.2893772893772897</v>
      </c>
      <c r="M686" s="173">
        <f t="shared" si="66"/>
        <v>7.2893772893772901</v>
      </c>
      <c r="N686" s="174"/>
      <c r="O686" s="173">
        <f t="shared" si="67"/>
        <v>10.205128205128206</v>
      </c>
      <c r="P686" s="173">
        <v>15</v>
      </c>
    </row>
    <row r="687" spans="3:16" hidden="1" x14ac:dyDescent="0.35">
      <c r="C687" s="233" t="s">
        <v>783</v>
      </c>
      <c r="G687" s="245" t="s">
        <v>1303</v>
      </c>
      <c r="I687" s="173">
        <v>37</v>
      </c>
      <c r="J687">
        <v>546</v>
      </c>
      <c r="K687" s="173">
        <v>250</v>
      </c>
      <c r="L687" s="402">
        <f t="shared" si="65"/>
        <v>16.941391941391942</v>
      </c>
      <c r="M687" s="173">
        <f t="shared" si="66"/>
        <v>53.941391941391942</v>
      </c>
      <c r="N687" s="174"/>
      <c r="O687" s="173">
        <f t="shared" si="67"/>
        <v>75.517948717948713</v>
      </c>
      <c r="P687" s="173">
        <v>125</v>
      </c>
    </row>
    <row r="688" spans="3:16" hidden="1" x14ac:dyDescent="0.35">
      <c r="C688" s="233" t="s">
        <v>783</v>
      </c>
      <c r="G688" s="245" t="s">
        <v>1303</v>
      </c>
      <c r="I688" s="173">
        <v>37</v>
      </c>
      <c r="J688">
        <v>546</v>
      </c>
      <c r="K688" s="173">
        <v>250</v>
      </c>
      <c r="L688" s="402">
        <f t="shared" si="65"/>
        <v>16.941391941391942</v>
      </c>
      <c r="M688" s="173">
        <f t="shared" si="66"/>
        <v>53.941391941391942</v>
      </c>
      <c r="N688" s="174"/>
      <c r="O688" s="173">
        <f t="shared" si="67"/>
        <v>75.517948717948713</v>
      </c>
      <c r="P688" s="173">
        <v>125</v>
      </c>
    </row>
    <row r="689" spans="3:20" hidden="1" x14ac:dyDescent="0.35">
      <c r="C689" s="233" t="s">
        <v>783</v>
      </c>
      <c r="G689" s="245" t="s">
        <v>1303</v>
      </c>
      <c r="I689" s="173">
        <v>37</v>
      </c>
      <c r="J689">
        <v>546</v>
      </c>
      <c r="K689" s="173">
        <v>250</v>
      </c>
      <c r="L689" s="402">
        <f t="shared" si="65"/>
        <v>16.941391941391942</v>
      </c>
      <c r="M689" s="173">
        <f t="shared" si="66"/>
        <v>53.941391941391942</v>
      </c>
      <c r="N689" s="174"/>
      <c r="O689" s="173">
        <f t="shared" si="67"/>
        <v>75.517948717948713</v>
      </c>
      <c r="P689" s="173">
        <v>125</v>
      </c>
    </row>
    <row r="690" spans="3:20" hidden="1" x14ac:dyDescent="0.35">
      <c r="C690" s="233" t="s">
        <v>783</v>
      </c>
      <c r="G690" s="245" t="s">
        <v>1303</v>
      </c>
      <c r="I690" s="173">
        <v>37</v>
      </c>
      <c r="J690">
        <v>546</v>
      </c>
      <c r="K690" s="173">
        <v>250</v>
      </c>
      <c r="L690" s="402">
        <f t="shared" si="65"/>
        <v>16.941391941391942</v>
      </c>
      <c r="M690" s="173">
        <f t="shared" si="66"/>
        <v>53.941391941391942</v>
      </c>
      <c r="N690" s="174"/>
      <c r="O690" s="173">
        <f t="shared" si="67"/>
        <v>75.517948717948713</v>
      </c>
      <c r="P690" s="173">
        <v>125</v>
      </c>
    </row>
    <row r="691" spans="3:20" s="3" customFormat="1" hidden="1" x14ac:dyDescent="0.35">
      <c r="C691" s="232"/>
      <c r="D691" s="232"/>
      <c r="F691" s="340"/>
      <c r="G691" s="256"/>
      <c r="H691" s="256"/>
      <c r="I691" s="146">
        <f>SUM(I653:I690)</f>
        <v>824</v>
      </c>
      <c r="J691" s="146"/>
      <c r="K691" s="146"/>
      <c r="L691" s="146"/>
      <c r="M691" s="146"/>
      <c r="N691" s="146"/>
      <c r="O691" s="146">
        <f>SUM(O653:O686)</f>
        <v>1379.7333333333327</v>
      </c>
      <c r="P691" s="146">
        <f>SUM(P653:P687)</f>
        <v>2520</v>
      </c>
    </row>
    <row r="692" spans="3:20" hidden="1" x14ac:dyDescent="0.35">
      <c r="N692" s="174"/>
    </row>
    <row r="693" spans="3:20" hidden="1" x14ac:dyDescent="0.35">
      <c r="G693" s="256" t="s">
        <v>898</v>
      </c>
      <c r="H693" s="256"/>
      <c r="N693" s="174"/>
    </row>
    <row r="694" spans="3:20" hidden="1" x14ac:dyDescent="0.35">
      <c r="C694" s="233" t="s">
        <v>699</v>
      </c>
      <c r="F694" s="366">
        <v>1</v>
      </c>
      <c r="G694" s="245" t="s">
        <v>1247</v>
      </c>
      <c r="I694" s="173">
        <v>20</v>
      </c>
      <c r="J694">
        <v>680</v>
      </c>
      <c r="K694" s="173">
        <v>290</v>
      </c>
      <c r="L694" s="402">
        <f t="shared" ref="L694:L710" si="68">+I694/J694*K694</f>
        <v>8.5294117647058822</v>
      </c>
      <c r="M694" s="173">
        <f t="shared" ref="M694:M710" si="69">+I694+L694</f>
        <v>28.529411764705884</v>
      </c>
      <c r="N694" s="174"/>
      <c r="O694" s="173">
        <f t="shared" ref="O694:O710" si="70">+M694*1.4</f>
        <v>39.941176470588232</v>
      </c>
      <c r="P694" s="173">
        <v>80</v>
      </c>
    </row>
    <row r="695" spans="3:20" hidden="1" x14ac:dyDescent="0.35">
      <c r="C695" s="233" t="s">
        <v>699</v>
      </c>
      <c r="F695" s="366">
        <v>2</v>
      </c>
      <c r="G695" s="245" t="s">
        <v>1247</v>
      </c>
      <c r="I695" s="173">
        <v>20</v>
      </c>
      <c r="J695">
        <v>680</v>
      </c>
      <c r="K695" s="173">
        <v>290</v>
      </c>
      <c r="L695" s="402">
        <f t="shared" si="68"/>
        <v>8.5294117647058822</v>
      </c>
      <c r="M695" s="173">
        <f t="shared" si="69"/>
        <v>28.529411764705884</v>
      </c>
      <c r="N695" s="174"/>
      <c r="O695" s="173">
        <f t="shared" si="70"/>
        <v>39.941176470588232</v>
      </c>
      <c r="P695" s="173">
        <v>80</v>
      </c>
    </row>
    <row r="696" spans="3:20" hidden="1" x14ac:dyDescent="0.35">
      <c r="C696" s="233" t="s">
        <v>699</v>
      </c>
      <c r="F696" s="366">
        <v>3</v>
      </c>
      <c r="G696" s="245" t="s">
        <v>1247</v>
      </c>
      <c r="I696" s="173">
        <v>20</v>
      </c>
      <c r="J696">
        <v>680</v>
      </c>
      <c r="K696" s="173">
        <v>290</v>
      </c>
      <c r="L696" s="402">
        <f t="shared" si="68"/>
        <v>8.5294117647058822</v>
      </c>
      <c r="M696" s="173">
        <f t="shared" si="69"/>
        <v>28.529411764705884</v>
      </c>
      <c r="N696" s="174"/>
      <c r="O696" s="173">
        <f t="shared" si="70"/>
        <v>39.941176470588232</v>
      </c>
      <c r="P696" s="173">
        <v>80</v>
      </c>
    </row>
    <row r="697" spans="3:20" hidden="1" x14ac:dyDescent="0.35">
      <c r="C697" s="233" t="s">
        <v>699</v>
      </c>
      <c r="F697" s="366">
        <v>1</v>
      </c>
      <c r="G697" s="245" t="s">
        <v>1259</v>
      </c>
      <c r="I697" s="173">
        <v>20</v>
      </c>
      <c r="J697">
        <v>680</v>
      </c>
      <c r="K697" s="173">
        <v>290</v>
      </c>
      <c r="L697" s="402">
        <f t="shared" si="68"/>
        <v>8.5294117647058822</v>
      </c>
      <c r="M697" s="173">
        <f t="shared" si="69"/>
        <v>28.529411764705884</v>
      </c>
      <c r="N697" s="174"/>
      <c r="O697" s="173">
        <f t="shared" si="70"/>
        <v>39.941176470588232</v>
      </c>
      <c r="P697" s="173">
        <v>80</v>
      </c>
    </row>
    <row r="698" spans="3:20" hidden="1" x14ac:dyDescent="0.35">
      <c r="C698" s="233" t="s">
        <v>699</v>
      </c>
      <c r="F698" s="366">
        <v>2</v>
      </c>
      <c r="G698" s="245" t="s">
        <v>1259</v>
      </c>
      <c r="I698" s="173">
        <v>20</v>
      </c>
      <c r="J698">
        <v>680</v>
      </c>
      <c r="K698" s="173">
        <v>290</v>
      </c>
      <c r="L698" s="402">
        <f t="shared" si="68"/>
        <v>8.5294117647058822</v>
      </c>
      <c r="M698" s="173">
        <f t="shared" si="69"/>
        <v>28.529411764705884</v>
      </c>
      <c r="N698" s="174"/>
      <c r="O698" s="173">
        <f t="shared" si="70"/>
        <v>39.941176470588232</v>
      </c>
      <c r="P698" s="173">
        <v>80</v>
      </c>
    </row>
    <row r="699" spans="3:20" hidden="1" x14ac:dyDescent="0.35">
      <c r="C699" s="233" t="s">
        <v>699</v>
      </c>
      <c r="F699" s="366">
        <v>3</v>
      </c>
      <c r="G699" s="245" t="s">
        <v>1259</v>
      </c>
      <c r="I699" s="173">
        <v>20</v>
      </c>
      <c r="J699">
        <v>680</v>
      </c>
      <c r="K699" s="173">
        <v>290</v>
      </c>
      <c r="L699" s="402">
        <f t="shared" si="68"/>
        <v>8.5294117647058822</v>
      </c>
      <c r="M699" s="173">
        <f t="shared" si="69"/>
        <v>28.529411764705884</v>
      </c>
      <c r="N699" s="174"/>
      <c r="O699" s="173">
        <f t="shared" si="70"/>
        <v>39.941176470588232</v>
      </c>
      <c r="P699" s="173">
        <v>80</v>
      </c>
    </row>
    <row r="700" spans="3:20" hidden="1" x14ac:dyDescent="0.35">
      <c r="C700" s="233" t="s">
        <v>699</v>
      </c>
      <c r="F700" s="366">
        <v>1</v>
      </c>
      <c r="G700" s="371" t="s">
        <v>1260</v>
      </c>
      <c r="H700" s="371"/>
      <c r="I700" s="176">
        <v>20</v>
      </c>
      <c r="J700" s="12">
        <v>680</v>
      </c>
      <c r="K700" s="176">
        <v>290</v>
      </c>
      <c r="L700" s="410">
        <f t="shared" si="68"/>
        <v>8.5294117647058822</v>
      </c>
      <c r="M700" s="176">
        <f t="shared" si="69"/>
        <v>28.529411764705884</v>
      </c>
      <c r="N700" s="411"/>
      <c r="O700" s="176">
        <f t="shared" si="70"/>
        <v>39.941176470588232</v>
      </c>
      <c r="P700" s="176">
        <v>80</v>
      </c>
      <c r="S700" t="s">
        <v>12</v>
      </c>
      <c r="T700" s="6">
        <v>45581</v>
      </c>
    </row>
    <row r="701" spans="3:20" hidden="1" x14ac:dyDescent="0.35">
      <c r="C701" s="233" t="s">
        <v>699</v>
      </c>
      <c r="F701" s="366">
        <v>2</v>
      </c>
      <c r="G701" s="245" t="s">
        <v>1260</v>
      </c>
      <c r="I701" s="173">
        <v>20</v>
      </c>
      <c r="J701">
        <v>680</v>
      </c>
      <c r="K701" s="173">
        <v>290</v>
      </c>
      <c r="L701" s="402">
        <f t="shared" si="68"/>
        <v>8.5294117647058822</v>
      </c>
      <c r="M701" s="173">
        <f t="shared" si="69"/>
        <v>28.529411764705884</v>
      </c>
      <c r="N701" s="174"/>
      <c r="O701" s="173">
        <f t="shared" si="70"/>
        <v>39.941176470588232</v>
      </c>
      <c r="P701" s="173">
        <v>80</v>
      </c>
    </row>
    <row r="702" spans="3:20" hidden="1" x14ac:dyDescent="0.35">
      <c r="C702" s="233" t="s">
        <v>699</v>
      </c>
      <c r="F702" s="366">
        <v>3</v>
      </c>
      <c r="G702" s="245" t="s">
        <v>1260</v>
      </c>
      <c r="I702" s="173">
        <v>20</v>
      </c>
      <c r="J702">
        <v>680</v>
      </c>
      <c r="K702" s="173">
        <v>290</v>
      </c>
      <c r="L702" s="402">
        <f t="shared" si="68"/>
        <v>8.5294117647058822</v>
      </c>
      <c r="M702" s="173">
        <f t="shared" si="69"/>
        <v>28.529411764705884</v>
      </c>
      <c r="N702" s="174"/>
      <c r="O702" s="173">
        <f t="shared" si="70"/>
        <v>39.941176470588232</v>
      </c>
      <c r="P702" s="173">
        <v>80</v>
      </c>
    </row>
    <row r="703" spans="3:20" hidden="1" x14ac:dyDescent="0.35">
      <c r="C703" s="233" t="s">
        <v>1261</v>
      </c>
      <c r="F703" s="366">
        <v>44</v>
      </c>
      <c r="G703" s="245" t="s">
        <v>1262</v>
      </c>
      <c r="I703" s="173">
        <v>55</v>
      </c>
      <c r="J703">
        <v>680</v>
      </c>
      <c r="K703" s="173">
        <v>290</v>
      </c>
      <c r="L703" s="402">
        <f t="shared" si="68"/>
        <v>23.455882352941178</v>
      </c>
      <c r="M703" s="173">
        <f t="shared" si="69"/>
        <v>78.455882352941174</v>
      </c>
      <c r="N703" s="174"/>
      <c r="O703" s="173">
        <f t="shared" si="70"/>
        <v>109.83823529411764</v>
      </c>
      <c r="P703" s="173">
        <v>180</v>
      </c>
    </row>
    <row r="704" spans="3:20" hidden="1" x14ac:dyDescent="0.35">
      <c r="C704" s="233" t="s">
        <v>1261</v>
      </c>
      <c r="F704" s="366">
        <v>46</v>
      </c>
      <c r="G704" s="245" t="s">
        <v>1262</v>
      </c>
      <c r="I704" s="173">
        <v>55</v>
      </c>
      <c r="J704">
        <v>680</v>
      </c>
      <c r="K704" s="173">
        <v>290</v>
      </c>
      <c r="L704" s="402">
        <f t="shared" si="68"/>
        <v>23.455882352941178</v>
      </c>
      <c r="M704" s="173">
        <f t="shared" si="69"/>
        <v>78.455882352941174</v>
      </c>
      <c r="N704" s="174"/>
      <c r="O704" s="173">
        <f t="shared" si="70"/>
        <v>109.83823529411764</v>
      </c>
      <c r="P704" s="173">
        <v>180</v>
      </c>
    </row>
    <row r="705" spans="3:16" hidden="1" x14ac:dyDescent="0.35">
      <c r="C705" s="233" t="s">
        <v>1261</v>
      </c>
      <c r="F705" s="366">
        <v>48</v>
      </c>
      <c r="G705" s="245" t="s">
        <v>1262</v>
      </c>
      <c r="I705" s="173">
        <v>55</v>
      </c>
      <c r="J705">
        <v>680</v>
      </c>
      <c r="K705" s="173">
        <v>290</v>
      </c>
      <c r="L705" s="402">
        <f t="shared" si="68"/>
        <v>23.455882352941178</v>
      </c>
      <c r="M705" s="173">
        <f t="shared" si="69"/>
        <v>78.455882352941174</v>
      </c>
      <c r="N705" s="174"/>
      <c r="O705" s="173">
        <f t="shared" si="70"/>
        <v>109.83823529411764</v>
      </c>
      <c r="P705" s="173">
        <v>180</v>
      </c>
    </row>
    <row r="706" spans="3:16" hidden="1" x14ac:dyDescent="0.35">
      <c r="C706" s="233" t="s">
        <v>1261</v>
      </c>
      <c r="F706" s="366">
        <v>50</v>
      </c>
      <c r="G706" s="245" t="s">
        <v>1262</v>
      </c>
      <c r="I706" s="173">
        <v>55</v>
      </c>
      <c r="J706">
        <v>680</v>
      </c>
      <c r="K706" s="173">
        <v>290</v>
      </c>
      <c r="L706" s="402">
        <f t="shared" si="68"/>
        <v>23.455882352941178</v>
      </c>
      <c r="M706" s="173">
        <f t="shared" si="69"/>
        <v>78.455882352941174</v>
      </c>
      <c r="N706" s="174"/>
      <c r="O706" s="173">
        <f t="shared" si="70"/>
        <v>109.83823529411764</v>
      </c>
      <c r="P706" s="173">
        <v>180</v>
      </c>
    </row>
    <row r="707" spans="3:16" hidden="1" x14ac:dyDescent="0.35">
      <c r="C707" s="233" t="s">
        <v>1261</v>
      </c>
      <c r="F707" s="366">
        <v>52</v>
      </c>
      <c r="G707" s="245" t="s">
        <v>1262</v>
      </c>
      <c r="I707" s="173">
        <v>55</v>
      </c>
      <c r="J707">
        <v>680</v>
      </c>
      <c r="K707" s="173">
        <v>290</v>
      </c>
      <c r="L707" s="402">
        <f t="shared" si="68"/>
        <v>23.455882352941178</v>
      </c>
      <c r="M707" s="173">
        <f t="shared" si="69"/>
        <v>78.455882352941174</v>
      </c>
      <c r="N707" s="174"/>
      <c r="O707" s="173">
        <f t="shared" si="70"/>
        <v>109.83823529411764</v>
      </c>
      <c r="P707" s="173">
        <v>180</v>
      </c>
    </row>
    <row r="708" spans="3:16" hidden="1" x14ac:dyDescent="0.35">
      <c r="C708" s="233" t="s">
        <v>1261</v>
      </c>
      <c r="F708" s="366">
        <v>54</v>
      </c>
      <c r="G708" s="245" t="s">
        <v>1262</v>
      </c>
      <c r="I708" s="173">
        <v>55</v>
      </c>
      <c r="J708">
        <v>680</v>
      </c>
      <c r="K708" s="173">
        <v>290</v>
      </c>
      <c r="L708" s="402">
        <f t="shared" si="68"/>
        <v>23.455882352941178</v>
      </c>
      <c r="M708" s="173">
        <f t="shared" si="69"/>
        <v>78.455882352941174</v>
      </c>
      <c r="N708" s="174"/>
      <c r="O708" s="173">
        <f t="shared" si="70"/>
        <v>109.83823529411764</v>
      </c>
      <c r="P708" s="173">
        <v>180</v>
      </c>
    </row>
    <row r="709" spans="3:16" hidden="1" x14ac:dyDescent="0.35">
      <c r="F709" s="366">
        <v>54</v>
      </c>
      <c r="G709" s="245" t="s">
        <v>1263</v>
      </c>
      <c r="I709" s="173">
        <v>85</v>
      </c>
      <c r="J709">
        <v>680</v>
      </c>
      <c r="K709" s="173">
        <v>290</v>
      </c>
      <c r="L709" s="402">
        <f t="shared" si="68"/>
        <v>36.25</v>
      </c>
      <c r="M709" s="173">
        <f t="shared" si="69"/>
        <v>121.25</v>
      </c>
      <c r="N709" s="174"/>
      <c r="O709" s="173">
        <f t="shared" si="70"/>
        <v>169.75</v>
      </c>
      <c r="P709" s="173">
        <v>180</v>
      </c>
    </row>
    <row r="710" spans="3:16" hidden="1" x14ac:dyDescent="0.35">
      <c r="F710" s="366">
        <v>56</v>
      </c>
      <c r="G710" s="245" t="s">
        <v>1263</v>
      </c>
      <c r="I710" s="173">
        <v>85</v>
      </c>
      <c r="J710">
        <v>680</v>
      </c>
      <c r="K710" s="173">
        <v>290</v>
      </c>
      <c r="L710" s="402">
        <f t="shared" si="68"/>
        <v>36.25</v>
      </c>
      <c r="M710" s="173">
        <f t="shared" si="69"/>
        <v>121.25</v>
      </c>
      <c r="N710" s="174"/>
      <c r="O710" s="173">
        <f t="shared" si="70"/>
        <v>169.75</v>
      </c>
      <c r="P710" s="173">
        <v>180</v>
      </c>
    </row>
    <row r="711" spans="3:16" s="3" customFormat="1" hidden="1" x14ac:dyDescent="0.35">
      <c r="C711" s="232"/>
      <c r="D711" s="232"/>
      <c r="F711" s="340"/>
      <c r="G711" s="256"/>
      <c r="H711" s="256"/>
      <c r="I711" s="146">
        <f>SUM(I694:I708)</f>
        <v>510</v>
      </c>
      <c r="J711" s="146"/>
      <c r="K711" s="146"/>
      <c r="L711" s="146"/>
      <c r="M711" s="146"/>
      <c r="N711" s="146"/>
      <c r="O711" s="146"/>
      <c r="P711" s="146">
        <f>SUM(P694:P708)</f>
        <v>1800</v>
      </c>
    </row>
    <row r="712" spans="3:16" hidden="1" x14ac:dyDescent="0.35">
      <c r="G712" s="256" t="s">
        <v>1283</v>
      </c>
      <c r="H712" s="256"/>
      <c r="I712" s="175"/>
      <c r="N712" s="174"/>
    </row>
    <row r="713" spans="3:16" hidden="1" x14ac:dyDescent="0.35">
      <c r="C713" s="233" t="s">
        <v>1279</v>
      </c>
      <c r="F713" s="366">
        <v>18</v>
      </c>
      <c r="G713" s="245" t="s">
        <v>1264</v>
      </c>
      <c r="I713" s="173">
        <f>18*1.3</f>
        <v>23.400000000000002</v>
      </c>
      <c r="N713" s="174"/>
      <c r="P713" s="173">
        <v>80</v>
      </c>
    </row>
    <row r="714" spans="3:16" hidden="1" x14ac:dyDescent="0.35">
      <c r="C714" s="233" t="s">
        <v>1279</v>
      </c>
      <c r="F714" s="366">
        <v>18</v>
      </c>
      <c r="G714" s="245" t="s">
        <v>1264</v>
      </c>
      <c r="I714" s="173">
        <v>23</v>
      </c>
      <c r="N714" s="174"/>
      <c r="P714" s="173">
        <v>80</v>
      </c>
    </row>
    <row r="715" spans="3:16" hidden="1" x14ac:dyDescent="0.35">
      <c r="C715" s="233" t="s">
        <v>1279</v>
      </c>
      <c r="F715" s="366" t="s">
        <v>1281</v>
      </c>
      <c r="G715" s="245" t="s">
        <v>1265</v>
      </c>
      <c r="I715" s="173">
        <v>26</v>
      </c>
      <c r="N715" s="174"/>
      <c r="P715" s="173">
        <v>80</v>
      </c>
    </row>
    <row r="716" spans="3:16" hidden="1" x14ac:dyDescent="0.35">
      <c r="C716" s="233" t="s">
        <v>1279</v>
      </c>
      <c r="F716" s="366">
        <v>20</v>
      </c>
      <c r="G716" s="245" t="s">
        <v>1266</v>
      </c>
      <c r="I716" s="173">
        <f>35*1.3</f>
        <v>45.5</v>
      </c>
      <c r="N716" s="174"/>
      <c r="P716" s="173">
        <v>110</v>
      </c>
    </row>
    <row r="717" spans="3:16" hidden="1" x14ac:dyDescent="0.35">
      <c r="C717" s="233" t="s">
        <v>1279</v>
      </c>
      <c r="F717" s="366">
        <v>20</v>
      </c>
      <c r="G717" s="245" t="s">
        <v>1267</v>
      </c>
      <c r="I717" s="173">
        <f>25*1.3</f>
        <v>32.5</v>
      </c>
      <c r="N717" s="174"/>
      <c r="P717" s="173">
        <v>125</v>
      </c>
    </row>
    <row r="718" spans="3:16" hidden="1" x14ac:dyDescent="0.35">
      <c r="C718" s="233" t="s">
        <v>1280</v>
      </c>
      <c r="F718" s="366">
        <v>18</v>
      </c>
      <c r="G718" s="245" t="s">
        <v>1268</v>
      </c>
      <c r="I718" s="173">
        <v>61</v>
      </c>
      <c r="N718" s="174"/>
      <c r="P718" s="173">
        <v>125</v>
      </c>
    </row>
    <row r="719" spans="3:16" hidden="1" x14ac:dyDescent="0.35">
      <c r="C719" s="233" t="s">
        <v>1282</v>
      </c>
      <c r="F719" s="366">
        <v>20</v>
      </c>
      <c r="G719" s="245" t="s">
        <v>1269</v>
      </c>
      <c r="I719" s="173">
        <v>23</v>
      </c>
      <c r="N719" s="174"/>
      <c r="P719" s="173">
        <v>80</v>
      </c>
    </row>
    <row r="720" spans="3:16" s="3" customFormat="1" hidden="1" x14ac:dyDescent="0.35">
      <c r="C720" s="232"/>
      <c r="D720" s="232"/>
      <c r="F720" s="340"/>
      <c r="G720" s="256"/>
      <c r="H720" s="256"/>
      <c r="I720" s="146">
        <f>SUM(I713:I719)</f>
        <v>234.4</v>
      </c>
      <c r="K720" s="146"/>
      <c r="L720" s="146"/>
      <c r="M720" s="146"/>
      <c r="N720" s="481"/>
      <c r="O720" s="146"/>
      <c r="P720" s="146">
        <f>SUM(P713:P719)</f>
        <v>680</v>
      </c>
    </row>
    <row r="721" spans="3:16" hidden="1" x14ac:dyDescent="0.35">
      <c r="N721" s="174"/>
    </row>
    <row r="722" spans="3:16" hidden="1" x14ac:dyDescent="0.35">
      <c r="G722" s="256" t="s">
        <v>1270</v>
      </c>
      <c r="H722" s="256"/>
      <c r="N722" s="174"/>
    </row>
    <row r="723" spans="3:16" hidden="1" x14ac:dyDescent="0.35">
      <c r="C723" s="233" t="s">
        <v>783</v>
      </c>
      <c r="F723" s="366">
        <v>36</v>
      </c>
      <c r="G723" s="256" t="s">
        <v>1278</v>
      </c>
      <c r="H723" s="256"/>
      <c r="I723" s="173">
        <v>44</v>
      </c>
      <c r="J723">
        <v>1008</v>
      </c>
      <c r="K723" s="173">
        <f>20*14</f>
        <v>280</v>
      </c>
      <c r="L723" s="402">
        <f t="shared" ref="L723:L750" si="71">+I723/J723*K723</f>
        <v>12.222222222222221</v>
      </c>
      <c r="M723" s="173">
        <f t="shared" ref="M723:M750" si="72">+I723+L723</f>
        <v>56.222222222222221</v>
      </c>
      <c r="N723" s="174"/>
      <c r="O723" s="173">
        <f t="shared" ref="O723:O750" si="73">+M723*1.4</f>
        <v>78.711111111111109</v>
      </c>
      <c r="P723" s="173">
        <v>150</v>
      </c>
    </row>
    <row r="724" spans="3:16" hidden="1" x14ac:dyDescent="0.35">
      <c r="C724" s="233" t="s">
        <v>783</v>
      </c>
      <c r="F724" s="366">
        <v>38</v>
      </c>
      <c r="G724" s="256" t="s">
        <v>1278</v>
      </c>
      <c r="H724" s="256"/>
      <c r="I724" s="173">
        <v>44</v>
      </c>
      <c r="J724">
        <v>1008</v>
      </c>
      <c r="K724" s="173">
        <f t="shared" ref="K724:K750" si="74">20*14</f>
        <v>280</v>
      </c>
      <c r="L724" s="402">
        <f t="shared" si="71"/>
        <v>12.222222222222221</v>
      </c>
      <c r="M724" s="173">
        <f t="shared" si="72"/>
        <v>56.222222222222221</v>
      </c>
      <c r="N724" s="174"/>
      <c r="O724" s="173">
        <f t="shared" si="73"/>
        <v>78.711111111111109</v>
      </c>
      <c r="P724" s="173">
        <v>150</v>
      </c>
    </row>
    <row r="725" spans="3:16" hidden="1" x14ac:dyDescent="0.35">
      <c r="C725" s="233" t="s">
        <v>783</v>
      </c>
      <c r="F725" s="366">
        <v>40</v>
      </c>
      <c r="G725" s="256" t="s">
        <v>1278</v>
      </c>
      <c r="H725" s="256"/>
      <c r="I725" s="173">
        <v>44</v>
      </c>
      <c r="J725">
        <v>1008</v>
      </c>
      <c r="K725" s="173">
        <f t="shared" si="74"/>
        <v>280</v>
      </c>
      <c r="L725" s="402">
        <f t="shared" si="71"/>
        <v>12.222222222222221</v>
      </c>
      <c r="M725" s="173">
        <f t="shared" si="72"/>
        <v>56.222222222222221</v>
      </c>
      <c r="N725" s="174"/>
      <c r="O725" s="173">
        <f t="shared" si="73"/>
        <v>78.711111111111109</v>
      </c>
      <c r="P725" s="173">
        <v>150</v>
      </c>
    </row>
    <row r="726" spans="3:16" hidden="1" x14ac:dyDescent="0.35">
      <c r="C726" s="233" t="s">
        <v>783</v>
      </c>
      <c r="F726" s="366">
        <v>42</v>
      </c>
      <c r="G726" s="256" t="s">
        <v>1278</v>
      </c>
      <c r="H726" s="256"/>
      <c r="I726" s="173">
        <v>44</v>
      </c>
      <c r="J726">
        <v>1008</v>
      </c>
      <c r="K726" s="173">
        <f t="shared" si="74"/>
        <v>280</v>
      </c>
      <c r="L726" s="402">
        <f t="shared" si="71"/>
        <v>12.222222222222221</v>
      </c>
      <c r="M726" s="173">
        <f t="shared" si="72"/>
        <v>56.222222222222221</v>
      </c>
      <c r="N726" s="174"/>
      <c r="O726" s="173">
        <f t="shared" si="73"/>
        <v>78.711111111111109</v>
      </c>
      <c r="P726" s="173">
        <v>150</v>
      </c>
    </row>
    <row r="727" spans="3:16" hidden="1" x14ac:dyDescent="0.35">
      <c r="C727" s="233" t="s">
        <v>783</v>
      </c>
      <c r="F727" s="366">
        <v>46</v>
      </c>
      <c r="G727" s="245" t="s">
        <v>1271</v>
      </c>
      <c r="I727" s="173">
        <v>46</v>
      </c>
      <c r="J727">
        <v>1008</v>
      </c>
      <c r="K727" s="173">
        <f t="shared" si="74"/>
        <v>280</v>
      </c>
      <c r="L727" s="402">
        <f t="shared" si="71"/>
        <v>12.777777777777777</v>
      </c>
      <c r="M727" s="173">
        <f t="shared" si="72"/>
        <v>58.777777777777779</v>
      </c>
      <c r="N727" s="174"/>
      <c r="O727" s="173">
        <f t="shared" si="73"/>
        <v>82.288888888888891</v>
      </c>
      <c r="P727" s="173">
        <v>150</v>
      </c>
    </row>
    <row r="728" spans="3:16" hidden="1" x14ac:dyDescent="0.35">
      <c r="C728" s="233" t="s">
        <v>783</v>
      </c>
      <c r="F728" s="366">
        <v>48</v>
      </c>
      <c r="G728" s="245" t="s">
        <v>1271</v>
      </c>
      <c r="I728" s="173">
        <v>46</v>
      </c>
      <c r="J728">
        <v>1008</v>
      </c>
      <c r="K728" s="173">
        <f t="shared" si="74"/>
        <v>280</v>
      </c>
      <c r="L728" s="402">
        <f t="shared" si="71"/>
        <v>12.777777777777777</v>
      </c>
      <c r="M728" s="173">
        <f t="shared" si="72"/>
        <v>58.777777777777779</v>
      </c>
      <c r="N728" s="174"/>
      <c r="O728" s="173">
        <f t="shared" si="73"/>
        <v>82.288888888888891</v>
      </c>
      <c r="P728" s="173">
        <v>150</v>
      </c>
    </row>
    <row r="729" spans="3:16" hidden="1" x14ac:dyDescent="0.35">
      <c r="C729" s="233" t="s">
        <v>783</v>
      </c>
      <c r="F729" s="366">
        <v>50</v>
      </c>
      <c r="G729" s="245" t="s">
        <v>1271</v>
      </c>
      <c r="I729" s="173">
        <v>46</v>
      </c>
      <c r="J729">
        <v>1008</v>
      </c>
      <c r="K729" s="173">
        <f t="shared" si="74"/>
        <v>280</v>
      </c>
      <c r="L729" s="402">
        <f t="shared" si="71"/>
        <v>12.777777777777777</v>
      </c>
      <c r="M729" s="173">
        <f t="shared" si="72"/>
        <v>58.777777777777779</v>
      </c>
      <c r="N729" s="174"/>
      <c r="O729" s="173">
        <f t="shared" si="73"/>
        <v>82.288888888888891</v>
      </c>
      <c r="P729" s="173">
        <v>150</v>
      </c>
    </row>
    <row r="730" spans="3:16" hidden="1" x14ac:dyDescent="0.35">
      <c r="C730" s="233" t="s">
        <v>783</v>
      </c>
      <c r="F730" s="366">
        <v>52</v>
      </c>
      <c r="G730" s="245" t="s">
        <v>1271</v>
      </c>
      <c r="I730" s="173">
        <v>46</v>
      </c>
      <c r="J730">
        <v>1008</v>
      </c>
      <c r="K730" s="173">
        <f t="shared" si="74"/>
        <v>280</v>
      </c>
      <c r="L730" s="402">
        <f t="shared" si="71"/>
        <v>12.777777777777777</v>
      </c>
      <c r="M730" s="173">
        <f t="shared" si="72"/>
        <v>58.777777777777779</v>
      </c>
      <c r="N730" s="174"/>
      <c r="O730" s="173">
        <f t="shared" si="73"/>
        <v>82.288888888888891</v>
      </c>
      <c r="P730" s="173">
        <v>150</v>
      </c>
    </row>
    <row r="731" spans="3:16" hidden="1" x14ac:dyDescent="0.35">
      <c r="C731" s="233" t="s">
        <v>1101</v>
      </c>
      <c r="F731" s="366">
        <v>42</v>
      </c>
      <c r="G731" s="245" t="s">
        <v>1272</v>
      </c>
      <c r="I731" s="173">
        <v>43</v>
      </c>
      <c r="J731">
        <v>1008</v>
      </c>
      <c r="K731" s="173">
        <f t="shared" si="74"/>
        <v>280</v>
      </c>
      <c r="L731" s="402">
        <f t="shared" si="71"/>
        <v>11.944444444444445</v>
      </c>
      <c r="M731" s="173">
        <f t="shared" si="72"/>
        <v>54.944444444444443</v>
      </c>
      <c r="N731" s="174"/>
      <c r="O731" s="173">
        <f t="shared" si="73"/>
        <v>76.922222222222217</v>
      </c>
      <c r="P731" s="173">
        <v>125</v>
      </c>
    </row>
    <row r="732" spans="3:16" hidden="1" x14ac:dyDescent="0.35">
      <c r="C732" s="233" t="s">
        <v>1101</v>
      </c>
      <c r="F732" s="366">
        <v>44</v>
      </c>
      <c r="G732" s="245" t="s">
        <v>1272</v>
      </c>
      <c r="I732" s="173">
        <v>43</v>
      </c>
      <c r="J732">
        <v>1008</v>
      </c>
      <c r="K732" s="173">
        <f t="shared" si="74"/>
        <v>280</v>
      </c>
      <c r="L732" s="402">
        <f t="shared" si="71"/>
        <v>11.944444444444445</v>
      </c>
      <c r="M732" s="173">
        <f t="shared" si="72"/>
        <v>54.944444444444443</v>
      </c>
      <c r="N732" s="174"/>
      <c r="O732" s="173">
        <f t="shared" si="73"/>
        <v>76.922222222222217</v>
      </c>
      <c r="P732" s="173">
        <v>125</v>
      </c>
    </row>
    <row r="733" spans="3:16" hidden="1" x14ac:dyDescent="0.35">
      <c r="C733" s="233" t="s">
        <v>1101</v>
      </c>
      <c r="F733" s="366">
        <v>46</v>
      </c>
      <c r="G733" s="245" t="s">
        <v>1272</v>
      </c>
      <c r="I733" s="173">
        <v>43</v>
      </c>
      <c r="J733">
        <v>1008</v>
      </c>
      <c r="K733" s="173">
        <f t="shared" si="74"/>
        <v>280</v>
      </c>
      <c r="L733" s="402">
        <f t="shared" si="71"/>
        <v>11.944444444444445</v>
      </c>
      <c r="M733" s="173">
        <f t="shared" si="72"/>
        <v>54.944444444444443</v>
      </c>
      <c r="N733" s="174"/>
      <c r="O733" s="173">
        <f t="shared" si="73"/>
        <v>76.922222222222217</v>
      </c>
      <c r="P733" s="173">
        <v>125</v>
      </c>
    </row>
    <row r="734" spans="3:16" hidden="1" x14ac:dyDescent="0.35">
      <c r="C734" s="233" t="s">
        <v>1101</v>
      </c>
      <c r="F734" s="366">
        <v>48</v>
      </c>
      <c r="G734" s="245" t="s">
        <v>1272</v>
      </c>
      <c r="I734" s="173">
        <v>43</v>
      </c>
      <c r="J734">
        <v>1008</v>
      </c>
      <c r="K734" s="173">
        <f t="shared" si="74"/>
        <v>280</v>
      </c>
      <c r="L734" s="402">
        <f t="shared" si="71"/>
        <v>11.944444444444445</v>
      </c>
      <c r="M734" s="173">
        <f t="shared" si="72"/>
        <v>54.944444444444443</v>
      </c>
      <c r="N734" s="174"/>
      <c r="O734" s="173">
        <f t="shared" si="73"/>
        <v>76.922222222222217</v>
      </c>
      <c r="P734" s="173">
        <v>125</v>
      </c>
    </row>
    <row r="735" spans="3:16" hidden="1" x14ac:dyDescent="0.35">
      <c r="C735" s="233" t="s">
        <v>1273</v>
      </c>
      <c r="F735" s="366">
        <v>42</v>
      </c>
      <c r="G735" s="245" t="s">
        <v>1274</v>
      </c>
      <c r="I735" s="173">
        <v>32</v>
      </c>
      <c r="J735">
        <v>1008</v>
      </c>
      <c r="K735" s="173">
        <f t="shared" si="74"/>
        <v>280</v>
      </c>
      <c r="L735" s="402">
        <f t="shared" si="71"/>
        <v>8.8888888888888893</v>
      </c>
      <c r="M735" s="173">
        <f t="shared" si="72"/>
        <v>40.888888888888886</v>
      </c>
      <c r="N735" s="174"/>
      <c r="O735" s="173">
        <f t="shared" si="73"/>
        <v>57.244444444444433</v>
      </c>
      <c r="P735" s="173">
        <v>90</v>
      </c>
    </row>
    <row r="736" spans="3:16" hidden="1" x14ac:dyDescent="0.35">
      <c r="C736" s="233" t="s">
        <v>1273</v>
      </c>
      <c r="F736" s="366">
        <v>44</v>
      </c>
      <c r="G736" s="245" t="s">
        <v>1274</v>
      </c>
      <c r="I736" s="173">
        <v>32</v>
      </c>
      <c r="J736">
        <v>1008</v>
      </c>
      <c r="K736" s="173">
        <f t="shared" si="74"/>
        <v>280</v>
      </c>
      <c r="L736" s="402">
        <f t="shared" si="71"/>
        <v>8.8888888888888893</v>
      </c>
      <c r="M736" s="173">
        <f t="shared" si="72"/>
        <v>40.888888888888886</v>
      </c>
      <c r="N736" s="174"/>
      <c r="O736" s="173">
        <f t="shared" si="73"/>
        <v>57.244444444444433</v>
      </c>
      <c r="P736" s="173">
        <v>90</v>
      </c>
    </row>
    <row r="737" spans="1:16" hidden="1" x14ac:dyDescent="0.35">
      <c r="A737"/>
      <c r="C737" s="233" t="s">
        <v>1273</v>
      </c>
      <c r="F737" s="366">
        <v>46</v>
      </c>
      <c r="G737" s="245" t="s">
        <v>1274</v>
      </c>
      <c r="I737" s="173">
        <v>32</v>
      </c>
      <c r="J737">
        <v>1008</v>
      </c>
      <c r="K737" s="173">
        <f t="shared" si="74"/>
        <v>280</v>
      </c>
      <c r="L737" s="402">
        <f t="shared" si="71"/>
        <v>8.8888888888888893</v>
      </c>
      <c r="M737" s="173">
        <f t="shared" si="72"/>
        <v>40.888888888888886</v>
      </c>
      <c r="N737" s="174"/>
      <c r="O737" s="173">
        <f t="shared" si="73"/>
        <v>57.244444444444433</v>
      </c>
      <c r="P737" s="173">
        <v>90</v>
      </c>
    </row>
    <row r="738" spans="1:16" hidden="1" x14ac:dyDescent="0.35">
      <c r="A738"/>
      <c r="C738" s="233" t="s">
        <v>1273</v>
      </c>
      <c r="F738" s="366">
        <v>48</v>
      </c>
      <c r="G738" s="245" t="s">
        <v>1274</v>
      </c>
      <c r="I738" s="173">
        <v>32</v>
      </c>
      <c r="J738">
        <v>1008</v>
      </c>
      <c r="K738" s="173">
        <f t="shared" si="74"/>
        <v>280</v>
      </c>
      <c r="L738" s="402">
        <f t="shared" si="71"/>
        <v>8.8888888888888893</v>
      </c>
      <c r="M738" s="173">
        <f t="shared" si="72"/>
        <v>40.888888888888886</v>
      </c>
      <c r="N738" s="174"/>
      <c r="O738" s="173">
        <f t="shared" si="73"/>
        <v>57.244444444444433</v>
      </c>
      <c r="P738" s="173">
        <v>90</v>
      </c>
    </row>
    <row r="739" spans="1:16" hidden="1" x14ac:dyDescent="0.35">
      <c r="A739"/>
      <c r="C739" s="233" t="s">
        <v>1275</v>
      </c>
      <c r="F739" s="366">
        <v>36</v>
      </c>
      <c r="G739" s="245" t="s">
        <v>1276</v>
      </c>
      <c r="I739" s="173">
        <v>52</v>
      </c>
      <c r="J739">
        <v>1008</v>
      </c>
      <c r="K739" s="173">
        <f t="shared" si="74"/>
        <v>280</v>
      </c>
      <c r="L739" s="402">
        <f t="shared" si="71"/>
        <v>14.444444444444443</v>
      </c>
      <c r="M739" s="173">
        <f t="shared" si="72"/>
        <v>66.444444444444443</v>
      </c>
      <c r="N739" s="174"/>
      <c r="O739" s="173">
        <f t="shared" si="73"/>
        <v>93.022222222222211</v>
      </c>
      <c r="P739" s="173">
        <v>150</v>
      </c>
    </row>
    <row r="740" spans="1:16" hidden="1" x14ac:dyDescent="0.35">
      <c r="A740"/>
      <c r="C740" s="233" t="s">
        <v>1275</v>
      </c>
      <c r="F740" s="366">
        <v>38</v>
      </c>
      <c r="G740" s="245" t="s">
        <v>1276</v>
      </c>
      <c r="I740" s="173">
        <v>52</v>
      </c>
      <c r="J740">
        <v>1008</v>
      </c>
      <c r="K740" s="173">
        <f t="shared" si="74"/>
        <v>280</v>
      </c>
      <c r="L740" s="402">
        <f t="shared" si="71"/>
        <v>14.444444444444443</v>
      </c>
      <c r="M740" s="173">
        <f t="shared" si="72"/>
        <v>66.444444444444443</v>
      </c>
      <c r="N740" s="174"/>
      <c r="O740" s="173">
        <f t="shared" si="73"/>
        <v>93.022222222222211</v>
      </c>
      <c r="P740" s="173">
        <v>150</v>
      </c>
    </row>
    <row r="741" spans="1:16" hidden="1" x14ac:dyDescent="0.35">
      <c r="A741"/>
      <c r="C741" s="233" t="s">
        <v>1275</v>
      </c>
      <c r="F741" s="366">
        <v>40</v>
      </c>
      <c r="G741" s="245" t="s">
        <v>1276</v>
      </c>
      <c r="I741" s="173">
        <v>52</v>
      </c>
      <c r="J741">
        <v>1008</v>
      </c>
      <c r="K741" s="173">
        <f t="shared" si="74"/>
        <v>280</v>
      </c>
      <c r="L741" s="402">
        <f t="shared" si="71"/>
        <v>14.444444444444443</v>
      </c>
      <c r="M741" s="173">
        <f t="shared" si="72"/>
        <v>66.444444444444443</v>
      </c>
      <c r="N741" s="174"/>
      <c r="O741" s="173">
        <f t="shared" si="73"/>
        <v>93.022222222222211</v>
      </c>
      <c r="P741" s="173">
        <v>150</v>
      </c>
    </row>
    <row r="742" spans="1:16" hidden="1" x14ac:dyDescent="0.35">
      <c r="A742"/>
      <c r="C742" s="233" t="s">
        <v>1275</v>
      </c>
      <c r="F742" s="366">
        <v>42</v>
      </c>
      <c r="G742" s="245" t="s">
        <v>1276</v>
      </c>
      <c r="I742" s="173">
        <v>52</v>
      </c>
      <c r="J742">
        <v>1008</v>
      </c>
      <c r="K742" s="173">
        <f t="shared" si="74"/>
        <v>280</v>
      </c>
      <c r="L742" s="402">
        <f t="shared" si="71"/>
        <v>14.444444444444443</v>
      </c>
      <c r="M742" s="173">
        <f t="shared" si="72"/>
        <v>66.444444444444443</v>
      </c>
      <c r="N742" s="174"/>
      <c r="O742" s="173">
        <f t="shared" si="73"/>
        <v>93.022222222222211</v>
      </c>
      <c r="P742" s="173">
        <v>150</v>
      </c>
    </row>
    <row r="743" spans="1:16" hidden="1" x14ac:dyDescent="0.35">
      <c r="A743"/>
      <c r="C743" s="233" t="s">
        <v>801</v>
      </c>
      <c r="F743" s="366">
        <v>42</v>
      </c>
      <c r="G743" s="245" t="s">
        <v>1277</v>
      </c>
      <c r="I743" s="173">
        <v>35</v>
      </c>
      <c r="J743">
        <v>1008</v>
      </c>
      <c r="K743" s="173">
        <f t="shared" si="74"/>
        <v>280</v>
      </c>
      <c r="L743" s="402">
        <f t="shared" si="71"/>
        <v>9.7222222222222232</v>
      </c>
      <c r="M743" s="173">
        <f t="shared" si="72"/>
        <v>44.722222222222221</v>
      </c>
      <c r="N743" s="174"/>
      <c r="O743" s="173">
        <f t="shared" si="73"/>
        <v>62.611111111111107</v>
      </c>
      <c r="P743" s="173">
        <v>90</v>
      </c>
    </row>
    <row r="744" spans="1:16" hidden="1" x14ac:dyDescent="0.35">
      <c r="A744"/>
      <c r="C744" s="233" t="s">
        <v>801</v>
      </c>
      <c r="F744" s="366">
        <v>44</v>
      </c>
      <c r="G744" s="245" t="s">
        <v>1277</v>
      </c>
      <c r="I744" s="173">
        <v>35</v>
      </c>
      <c r="J744">
        <v>1008</v>
      </c>
      <c r="K744" s="173">
        <f t="shared" si="74"/>
        <v>280</v>
      </c>
      <c r="L744" s="402">
        <f t="shared" si="71"/>
        <v>9.7222222222222232</v>
      </c>
      <c r="M744" s="173">
        <f t="shared" si="72"/>
        <v>44.722222222222221</v>
      </c>
      <c r="N744" s="174"/>
      <c r="O744" s="173">
        <f t="shared" si="73"/>
        <v>62.611111111111107</v>
      </c>
      <c r="P744" s="173">
        <v>90</v>
      </c>
    </row>
    <row r="745" spans="1:16" hidden="1" x14ac:dyDescent="0.35">
      <c r="A745"/>
      <c r="C745" s="233" t="s">
        <v>801</v>
      </c>
      <c r="F745" s="366">
        <v>46</v>
      </c>
      <c r="G745" s="245" t="s">
        <v>1277</v>
      </c>
      <c r="I745" s="173">
        <v>35</v>
      </c>
      <c r="J745">
        <v>1008</v>
      </c>
      <c r="K745" s="173">
        <f t="shared" si="74"/>
        <v>280</v>
      </c>
      <c r="L745" s="402">
        <f t="shared" si="71"/>
        <v>9.7222222222222232</v>
      </c>
      <c r="M745" s="173">
        <f t="shared" si="72"/>
        <v>44.722222222222221</v>
      </c>
      <c r="N745" s="174"/>
      <c r="O745" s="173">
        <f t="shared" si="73"/>
        <v>62.611111111111107</v>
      </c>
      <c r="P745" s="173">
        <v>90</v>
      </c>
    </row>
    <row r="746" spans="1:16" hidden="1" x14ac:dyDescent="0.35">
      <c r="A746"/>
      <c r="C746" s="233" t="s">
        <v>801</v>
      </c>
      <c r="F746" s="366">
        <v>48</v>
      </c>
      <c r="G746" s="245" t="s">
        <v>1277</v>
      </c>
      <c r="I746" s="173">
        <v>35</v>
      </c>
      <c r="J746">
        <v>1008</v>
      </c>
      <c r="K746" s="173">
        <f t="shared" si="74"/>
        <v>280</v>
      </c>
      <c r="L746" s="402">
        <f t="shared" si="71"/>
        <v>9.7222222222222232</v>
      </c>
      <c r="M746" s="173">
        <f t="shared" si="72"/>
        <v>44.722222222222221</v>
      </c>
      <c r="N746" s="174"/>
      <c r="O746" s="173">
        <f t="shared" si="73"/>
        <v>62.611111111111107</v>
      </c>
      <c r="P746" s="173">
        <v>90</v>
      </c>
    </row>
    <row r="747" spans="1:16" hidden="1" x14ac:dyDescent="0.35">
      <c r="A747"/>
      <c r="C747" s="233" t="s">
        <v>1304</v>
      </c>
      <c r="G747" s="245" t="s">
        <v>1252</v>
      </c>
      <c r="I747" s="173">
        <v>44</v>
      </c>
      <c r="J747">
        <v>1008</v>
      </c>
      <c r="K747" s="173">
        <f t="shared" si="74"/>
        <v>280</v>
      </c>
      <c r="L747" s="402">
        <f t="shared" si="71"/>
        <v>12.222222222222221</v>
      </c>
      <c r="M747" s="173">
        <f t="shared" si="72"/>
        <v>56.222222222222221</v>
      </c>
      <c r="N747" s="174"/>
      <c r="O747" s="173">
        <f t="shared" si="73"/>
        <v>78.711111111111109</v>
      </c>
      <c r="P747" s="173">
        <v>125</v>
      </c>
    </row>
    <row r="748" spans="1:16" hidden="1" x14ac:dyDescent="0.35">
      <c r="A748"/>
      <c r="C748" s="233" t="s">
        <v>1304</v>
      </c>
      <c r="G748" s="245" t="s">
        <v>1252</v>
      </c>
      <c r="I748" s="173">
        <v>44</v>
      </c>
      <c r="J748">
        <v>1008</v>
      </c>
      <c r="K748" s="173">
        <f t="shared" si="74"/>
        <v>280</v>
      </c>
      <c r="L748" s="402">
        <f t="shared" si="71"/>
        <v>12.222222222222221</v>
      </c>
      <c r="M748" s="173">
        <f t="shared" si="72"/>
        <v>56.222222222222221</v>
      </c>
      <c r="N748" s="174"/>
      <c r="O748" s="173">
        <f t="shared" si="73"/>
        <v>78.711111111111109</v>
      </c>
      <c r="P748" s="173">
        <v>125</v>
      </c>
    </row>
    <row r="749" spans="1:16" hidden="1" x14ac:dyDescent="0.35">
      <c r="A749"/>
      <c r="C749" s="233" t="s">
        <v>1304</v>
      </c>
      <c r="G749" s="245" t="s">
        <v>1252</v>
      </c>
      <c r="I749" s="173">
        <v>44</v>
      </c>
      <c r="J749">
        <v>1008</v>
      </c>
      <c r="K749" s="173">
        <f t="shared" si="74"/>
        <v>280</v>
      </c>
      <c r="L749" s="402">
        <f t="shared" si="71"/>
        <v>12.222222222222221</v>
      </c>
      <c r="M749" s="173">
        <f t="shared" si="72"/>
        <v>56.222222222222221</v>
      </c>
      <c r="N749" s="174"/>
      <c r="O749" s="173">
        <f t="shared" si="73"/>
        <v>78.711111111111109</v>
      </c>
      <c r="P749" s="173">
        <v>125</v>
      </c>
    </row>
    <row r="750" spans="1:16" hidden="1" x14ac:dyDescent="0.35">
      <c r="A750"/>
      <c r="C750" s="233" t="s">
        <v>1304</v>
      </c>
      <c r="G750" s="245" t="s">
        <v>1252</v>
      </c>
      <c r="I750" s="173">
        <v>44</v>
      </c>
      <c r="J750">
        <v>1008</v>
      </c>
      <c r="K750" s="173">
        <f t="shared" si="74"/>
        <v>280</v>
      </c>
      <c r="L750" s="402">
        <f t="shared" si="71"/>
        <v>12.222222222222221</v>
      </c>
      <c r="M750" s="173">
        <f t="shared" si="72"/>
        <v>56.222222222222221</v>
      </c>
      <c r="N750" s="174"/>
      <c r="O750" s="173">
        <f t="shared" si="73"/>
        <v>78.711111111111109</v>
      </c>
      <c r="P750" s="173">
        <v>125</v>
      </c>
    </row>
    <row r="751" spans="1:16" hidden="1" x14ac:dyDescent="0.35">
      <c r="A751"/>
      <c r="J751" s="173"/>
      <c r="N751" s="173"/>
      <c r="P751" s="173">
        <f>SUM(P723:P747)</f>
        <v>3145</v>
      </c>
    </row>
    <row r="752" spans="1:16" hidden="1" x14ac:dyDescent="0.35">
      <c r="A752"/>
      <c r="G752" s="245" t="s">
        <v>1286</v>
      </c>
      <c r="N752" s="174"/>
    </row>
    <row r="753" spans="1:19" hidden="1" x14ac:dyDescent="0.35">
      <c r="A753"/>
      <c r="C753" s="233" t="s">
        <v>518</v>
      </c>
      <c r="F753" s="366">
        <v>44</v>
      </c>
      <c r="G753" s="245" t="s">
        <v>1284</v>
      </c>
      <c r="I753" s="173">
        <v>50</v>
      </c>
      <c r="J753">
        <v>400</v>
      </c>
      <c r="K753" s="173">
        <v>200</v>
      </c>
      <c r="L753" s="402">
        <f t="shared" ref="L753:L760" si="75">+I753/J753*K753</f>
        <v>25</v>
      </c>
      <c r="M753" s="173">
        <f t="shared" ref="M753:M760" si="76">+I753+L753</f>
        <v>75</v>
      </c>
      <c r="N753" s="174"/>
      <c r="O753" s="173">
        <f t="shared" ref="O753:O760" si="77">+M753*1.4</f>
        <v>105</v>
      </c>
      <c r="P753" s="173">
        <v>150</v>
      </c>
    </row>
    <row r="754" spans="1:19" hidden="1" x14ac:dyDescent="0.35">
      <c r="A754"/>
      <c r="C754" s="233" t="s">
        <v>518</v>
      </c>
      <c r="F754" s="366">
        <v>46</v>
      </c>
      <c r="G754" s="245" t="s">
        <v>1284</v>
      </c>
      <c r="I754" s="173">
        <v>50</v>
      </c>
      <c r="J754">
        <v>400</v>
      </c>
      <c r="K754" s="173">
        <v>200</v>
      </c>
      <c r="L754" s="402">
        <f t="shared" si="75"/>
        <v>25</v>
      </c>
      <c r="M754" s="173">
        <f t="shared" si="76"/>
        <v>75</v>
      </c>
      <c r="N754" s="174"/>
      <c r="O754" s="173">
        <f t="shared" si="77"/>
        <v>105</v>
      </c>
      <c r="P754" s="173">
        <v>150</v>
      </c>
    </row>
    <row r="755" spans="1:19" hidden="1" x14ac:dyDescent="0.35">
      <c r="A755"/>
      <c r="C755" s="233" t="s">
        <v>518</v>
      </c>
      <c r="F755" s="366">
        <v>48</v>
      </c>
      <c r="G755" s="245" t="s">
        <v>1284</v>
      </c>
      <c r="I755" s="173">
        <v>50</v>
      </c>
      <c r="J755">
        <v>400</v>
      </c>
      <c r="K755" s="173">
        <v>200</v>
      </c>
      <c r="L755" s="402">
        <f t="shared" si="75"/>
        <v>25</v>
      </c>
      <c r="M755" s="173">
        <f t="shared" si="76"/>
        <v>75</v>
      </c>
      <c r="N755" s="174"/>
      <c r="O755" s="173">
        <f t="shared" si="77"/>
        <v>105</v>
      </c>
      <c r="P755" s="173">
        <v>150</v>
      </c>
      <c r="S755" s="173"/>
    </row>
    <row r="756" spans="1:19" hidden="1" x14ac:dyDescent="0.35">
      <c r="A756"/>
      <c r="C756" s="233" t="s">
        <v>518</v>
      </c>
      <c r="F756" s="366">
        <v>50</v>
      </c>
      <c r="G756" s="245" t="s">
        <v>1284</v>
      </c>
      <c r="I756" s="173">
        <v>50</v>
      </c>
      <c r="J756">
        <v>400</v>
      </c>
      <c r="K756" s="173">
        <v>200</v>
      </c>
      <c r="L756" s="402">
        <f t="shared" si="75"/>
        <v>25</v>
      </c>
      <c r="M756" s="173">
        <f t="shared" si="76"/>
        <v>75</v>
      </c>
      <c r="N756" s="174"/>
      <c r="O756" s="173">
        <f t="shared" si="77"/>
        <v>105</v>
      </c>
      <c r="P756" s="173">
        <v>150</v>
      </c>
    </row>
    <row r="757" spans="1:19" hidden="1" x14ac:dyDescent="0.35">
      <c r="C757" s="233" t="s">
        <v>518</v>
      </c>
      <c r="F757" s="366">
        <v>44</v>
      </c>
      <c r="G757" s="245" t="s">
        <v>1285</v>
      </c>
      <c r="I757" s="173">
        <v>50</v>
      </c>
      <c r="J757">
        <v>400</v>
      </c>
      <c r="K757" s="173">
        <v>200</v>
      </c>
      <c r="L757" s="402">
        <f t="shared" si="75"/>
        <v>25</v>
      </c>
      <c r="M757" s="173">
        <f t="shared" si="76"/>
        <v>75</v>
      </c>
      <c r="N757" s="174"/>
      <c r="O757" s="173">
        <f t="shared" si="77"/>
        <v>105</v>
      </c>
      <c r="P757" s="173">
        <v>150</v>
      </c>
    </row>
    <row r="758" spans="1:19" hidden="1" x14ac:dyDescent="0.35">
      <c r="C758" s="233" t="s">
        <v>518</v>
      </c>
      <c r="F758" s="366">
        <v>46</v>
      </c>
      <c r="G758" s="245" t="s">
        <v>1285</v>
      </c>
      <c r="I758" s="173">
        <v>50</v>
      </c>
      <c r="J758">
        <v>400</v>
      </c>
      <c r="K758" s="173">
        <v>200</v>
      </c>
      <c r="L758" s="402">
        <f t="shared" si="75"/>
        <v>25</v>
      </c>
      <c r="M758" s="173">
        <f t="shared" si="76"/>
        <v>75</v>
      </c>
      <c r="N758" s="174"/>
      <c r="O758" s="173">
        <f t="shared" si="77"/>
        <v>105</v>
      </c>
      <c r="P758" s="173">
        <v>150</v>
      </c>
    </row>
    <row r="759" spans="1:19" hidden="1" x14ac:dyDescent="0.35">
      <c r="C759" s="233" t="s">
        <v>518</v>
      </c>
      <c r="F759" s="366">
        <v>48</v>
      </c>
      <c r="G759" s="245" t="s">
        <v>1285</v>
      </c>
      <c r="I759" s="173">
        <v>50</v>
      </c>
      <c r="J759">
        <v>400</v>
      </c>
      <c r="K759" s="173">
        <v>200</v>
      </c>
      <c r="L759" s="402">
        <f t="shared" si="75"/>
        <v>25</v>
      </c>
      <c r="M759" s="173">
        <f t="shared" si="76"/>
        <v>75</v>
      </c>
      <c r="N759" s="174"/>
      <c r="O759" s="173">
        <f t="shared" si="77"/>
        <v>105</v>
      </c>
      <c r="P759" s="173">
        <v>150</v>
      </c>
    </row>
    <row r="760" spans="1:19" hidden="1" x14ac:dyDescent="0.35">
      <c r="C760" s="233" t="s">
        <v>518</v>
      </c>
      <c r="F760" s="366">
        <v>50</v>
      </c>
      <c r="G760" s="245" t="s">
        <v>1285</v>
      </c>
      <c r="I760" s="173">
        <v>50</v>
      </c>
      <c r="J760">
        <v>400</v>
      </c>
      <c r="K760" s="173">
        <v>200</v>
      </c>
      <c r="L760" s="402">
        <f t="shared" si="75"/>
        <v>25</v>
      </c>
      <c r="M760" s="173">
        <f t="shared" si="76"/>
        <v>75</v>
      </c>
      <c r="N760" s="174"/>
      <c r="O760" s="173">
        <f t="shared" si="77"/>
        <v>105</v>
      </c>
      <c r="P760" s="173">
        <v>150</v>
      </c>
    </row>
    <row r="761" spans="1:19" hidden="1" x14ac:dyDescent="0.35">
      <c r="L761" s="402"/>
      <c r="N761" s="174"/>
    </row>
    <row r="762" spans="1:19" hidden="1" x14ac:dyDescent="0.35">
      <c r="C762" s="233" t="s">
        <v>1296</v>
      </c>
      <c r="F762" s="366">
        <v>44</v>
      </c>
      <c r="G762" s="245" t="s">
        <v>1297</v>
      </c>
      <c r="I762" s="173">
        <v>57</v>
      </c>
      <c r="J762">
        <v>804</v>
      </c>
      <c r="K762" s="173">
        <v>400</v>
      </c>
      <c r="L762" s="402">
        <f t="shared" ref="L762:L777" si="78">+I762/J762*K762</f>
        <v>28.35820895522388</v>
      </c>
      <c r="M762" s="173">
        <f t="shared" ref="M762:M777" si="79">+I762+L762</f>
        <v>85.358208955223887</v>
      </c>
      <c r="N762" s="174"/>
      <c r="O762" s="173">
        <f>+M762*1.5</f>
        <v>128.03731343283584</v>
      </c>
      <c r="P762" s="173">
        <v>150</v>
      </c>
    </row>
    <row r="763" spans="1:19" hidden="1" x14ac:dyDescent="0.35">
      <c r="C763" s="233" t="s">
        <v>1296</v>
      </c>
      <c r="F763" s="366">
        <v>46</v>
      </c>
      <c r="G763" s="245" t="s">
        <v>1297</v>
      </c>
      <c r="I763" s="173">
        <v>57</v>
      </c>
      <c r="J763">
        <v>804</v>
      </c>
      <c r="K763" s="173">
        <v>400</v>
      </c>
      <c r="L763" s="402">
        <f t="shared" si="78"/>
        <v>28.35820895522388</v>
      </c>
      <c r="M763" s="173">
        <f t="shared" si="79"/>
        <v>85.358208955223887</v>
      </c>
      <c r="N763" s="174"/>
      <c r="O763" s="173">
        <f t="shared" ref="O763:O778" si="80">+M763*1.4</f>
        <v>119.50149253731344</v>
      </c>
      <c r="P763" s="173">
        <v>150</v>
      </c>
    </row>
    <row r="764" spans="1:19" hidden="1" x14ac:dyDescent="0.35">
      <c r="C764" s="233" t="s">
        <v>1296</v>
      </c>
      <c r="F764" s="366">
        <v>48</v>
      </c>
      <c r="G764" s="245" t="s">
        <v>1297</v>
      </c>
      <c r="I764" s="173">
        <v>57</v>
      </c>
      <c r="J764">
        <v>804</v>
      </c>
      <c r="K764" s="173">
        <v>400</v>
      </c>
      <c r="L764" s="402">
        <f t="shared" si="78"/>
        <v>28.35820895522388</v>
      </c>
      <c r="M764" s="173">
        <f t="shared" si="79"/>
        <v>85.358208955223887</v>
      </c>
      <c r="N764" s="174"/>
      <c r="O764" s="173">
        <f t="shared" si="80"/>
        <v>119.50149253731344</v>
      </c>
      <c r="P764" s="173">
        <v>150</v>
      </c>
    </row>
    <row r="765" spans="1:19" hidden="1" x14ac:dyDescent="0.35">
      <c r="C765" s="233" t="s">
        <v>1296</v>
      </c>
      <c r="F765" s="366">
        <v>50</v>
      </c>
      <c r="G765" s="245" t="s">
        <v>1297</v>
      </c>
      <c r="I765" s="173">
        <v>57</v>
      </c>
      <c r="J765">
        <v>804</v>
      </c>
      <c r="K765" s="173">
        <v>400</v>
      </c>
      <c r="L765" s="402">
        <f t="shared" si="78"/>
        <v>28.35820895522388</v>
      </c>
      <c r="M765" s="173">
        <f t="shared" si="79"/>
        <v>85.358208955223887</v>
      </c>
      <c r="N765" s="174"/>
      <c r="O765" s="173">
        <f t="shared" si="80"/>
        <v>119.50149253731344</v>
      </c>
      <c r="P765" s="173">
        <v>150</v>
      </c>
    </row>
    <row r="766" spans="1:19" hidden="1" x14ac:dyDescent="0.35">
      <c r="C766" s="233" t="s">
        <v>1296</v>
      </c>
      <c r="F766" s="366">
        <v>44</v>
      </c>
      <c r="G766" s="245" t="s">
        <v>1298</v>
      </c>
      <c r="I766" s="173">
        <v>57</v>
      </c>
      <c r="J766">
        <v>804</v>
      </c>
      <c r="K766" s="173">
        <v>400</v>
      </c>
      <c r="L766" s="402">
        <f t="shared" si="78"/>
        <v>28.35820895522388</v>
      </c>
      <c r="M766" s="173">
        <f t="shared" si="79"/>
        <v>85.358208955223887</v>
      </c>
      <c r="N766" s="174"/>
      <c r="O766" s="173">
        <f t="shared" si="80"/>
        <v>119.50149253731344</v>
      </c>
      <c r="P766" s="173">
        <v>150</v>
      </c>
    </row>
    <row r="767" spans="1:19" hidden="1" x14ac:dyDescent="0.35">
      <c r="C767" s="233" t="s">
        <v>1296</v>
      </c>
      <c r="F767" s="366">
        <v>46</v>
      </c>
      <c r="G767" s="245" t="s">
        <v>1298</v>
      </c>
      <c r="I767" s="173">
        <v>57</v>
      </c>
      <c r="J767">
        <v>804</v>
      </c>
      <c r="K767" s="173">
        <v>400</v>
      </c>
      <c r="L767" s="402">
        <f t="shared" si="78"/>
        <v>28.35820895522388</v>
      </c>
      <c r="M767" s="173">
        <f t="shared" si="79"/>
        <v>85.358208955223887</v>
      </c>
      <c r="N767" s="174"/>
      <c r="O767" s="173">
        <f t="shared" si="80"/>
        <v>119.50149253731344</v>
      </c>
      <c r="P767" s="173">
        <v>150</v>
      </c>
    </row>
    <row r="768" spans="1:19" hidden="1" x14ac:dyDescent="0.35">
      <c r="C768" s="233" t="s">
        <v>1296</v>
      </c>
      <c r="F768" s="366">
        <v>48</v>
      </c>
      <c r="G768" s="245" t="s">
        <v>1298</v>
      </c>
      <c r="I768" s="173">
        <v>57</v>
      </c>
      <c r="J768">
        <v>804</v>
      </c>
      <c r="K768" s="173">
        <v>400</v>
      </c>
      <c r="L768" s="402">
        <f t="shared" si="78"/>
        <v>28.35820895522388</v>
      </c>
      <c r="M768" s="173">
        <f t="shared" si="79"/>
        <v>85.358208955223887</v>
      </c>
      <c r="N768" s="174"/>
      <c r="O768" s="173">
        <f t="shared" si="80"/>
        <v>119.50149253731344</v>
      </c>
      <c r="P768" s="173">
        <v>150</v>
      </c>
    </row>
    <row r="769" spans="3:16" hidden="1" x14ac:dyDescent="0.35">
      <c r="C769" s="233" t="s">
        <v>1296</v>
      </c>
      <c r="F769" s="366">
        <v>50</v>
      </c>
      <c r="G769" s="245" t="s">
        <v>1298</v>
      </c>
      <c r="I769" s="173">
        <v>57</v>
      </c>
      <c r="J769">
        <v>804</v>
      </c>
      <c r="K769" s="173">
        <v>400</v>
      </c>
      <c r="L769" s="402">
        <f t="shared" si="78"/>
        <v>28.35820895522388</v>
      </c>
      <c r="M769" s="173">
        <f t="shared" si="79"/>
        <v>85.358208955223887</v>
      </c>
      <c r="N769" s="174"/>
      <c r="O769" s="173">
        <f t="shared" si="80"/>
        <v>119.50149253731344</v>
      </c>
      <c r="P769" s="173">
        <v>150</v>
      </c>
    </row>
    <row r="770" spans="3:16" hidden="1" x14ac:dyDescent="0.35">
      <c r="C770" s="233" t="s">
        <v>509</v>
      </c>
      <c r="F770" s="366">
        <v>38</v>
      </c>
      <c r="G770" s="245" t="s">
        <v>1299</v>
      </c>
      <c r="I770" s="173">
        <v>48</v>
      </c>
      <c r="J770">
        <v>804</v>
      </c>
      <c r="K770" s="173">
        <v>400</v>
      </c>
      <c r="L770" s="402">
        <f t="shared" si="78"/>
        <v>23.880597014925371</v>
      </c>
      <c r="M770" s="173">
        <f t="shared" si="79"/>
        <v>71.880597014925371</v>
      </c>
      <c r="N770" s="174"/>
      <c r="O770" s="173">
        <f t="shared" si="80"/>
        <v>100.63283582089551</v>
      </c>
      <c r="P770" s="173">
        <v>125</v>
      </c>
    </row>
    <row r="771" spans="3:16" hidden="1" x14ac:dyDescent="0.35">
      <c r="C771" s="233" t="s">
        <v>509</v>
      </c>
      <c r="F771" s="366">
        <v>40</v>
      </c>
      <c r="G771" s="245" t="s">
        <v>1299</v>
      </c>
      <c r="I771" s="173">
        <v>48</v>
      </c>
      <c r="J771">
        <v>804</v>
      </c>
      <c r="K771" s="173">
        <v>400</v>
      </c>
      <c r="L771" s="402">
        <f t="shared" si="78"/>
        <v>23.880597014925371</v>
      </c>
      <c r="M771" s="173">
        <f t="shared" si="79"/>
        <v>71.880597014925371</v>
      </c>
      <c r="N771" s="174"/>
      <c r="O771" s="173">
        <f t="shared" si="80"/>
        <v>100.63283582089551</v>
      </c>
      <c r="P771" s="173">
        <v>125</v>
      </c>
    </row>
    <row r="772" spans="3:16" hidden="1" x14ac:dyDescent="0.35">
      <c r="C772" s="233" t="s">
        <v>509</v>
      </c>
      <c r="F772" s="366">
        <v>42</v>
      </c>
      <c r="G772" s="245" t="s">
        <v>1299</v>
      </c>
      <c r="I772" s="173">
        <v>48</v>
      </c>
      <c r="J772">
        <v>804</v>
      </c>
      <c r="K772" s="173">
        <v>400</v>
      </c>
      <c r="L772" s="402">
        <f t="shared" si="78"/>
        <v>23.880597014925371</v>
      </c>
      <c r="M772" s="173">
        <f t="shared" si="79"/>
        <v>71.880597014925371</v>
      </c>
      <c r="N772" s="174"/>
      <c r="O772" s="173">
        <f t="shared" si="80"/>
        <v>100.63283582089551</v>
      </c>
      <c r="P772" s="173">
        <v>125</v>
      </c>
    </row>
    <row r="773" spans="3:16" hidden="1" x14ac:dyDescent="0.35">
      <c r="C773" s="233" t="s">
        <v>509</v>
      </c>
      <c r="F773" s="366">
        <v>44</v>
      </c>
      <c r="G773" s="245" t="s">
        <v>1299</v>
      </c>
      <c r="I773" s="173">
        <v>48</v>
      </c>
      <c r="J773">
        <v>804</v>
      </c>
      <c r="K773" s="173">
        <v>400</v>
      </c>
      <c r="L773" s="402">
        <f t="shared" si="78"/>
        <v>23.880597014925371</v>
      </c>
      <c r="M773" s="173">
        <f t="shared" si="79"/>
        <v>71.880597014925371</v>
      </c>
      <c r="N773" s="174"/>
      <c r="O773" s="173">
        <f t="shared" si="80"/>
        <v>100.63283582089551</v>
      </c>
      <c r="P773" s="173">
        <v>125</v>
      </c>
    </row>
    <row r="774" spans="3:16" hidden="1" x14ac:dyDescent="0.35">
      <c r="C774" s="233" t="s">
        <v>1300</v>
      </c>
      <c r="F774" s="366">
        <v>44</v>
      </c>
      <c r="G774" s="256" t="s">
        <v>1301</v>
      </c>
      <c r="H774" s="256"/>
      <c r="I774" s="146">
        <v>39</v>
      </c>
      <c r="J774">
        <v>804</v>
      </c>
      <c r="K774" s="173">
        <v>400</v>
      </c>
      <c r="L774" s="402">
        <f t="shared" si="78"/>
        <v>19.402985074626866</v>
      </c>
      <c r="M774" s="173">
        <f t="shared" si="79"/>
        <v>58.402985074626869</v>
      </c>
      <c r="N774" s="174"/>
      <c r="O774" s="173">
        <f t="shared" si="80"/>
        <v>81.764179104477606</v>
      </c>
      <c r="P774" s="146">
        <v>110</v>
      </c>
    </row>
    <row r="775" spans="3:16" hidden="1" x14ac:dyDescent="0.35">
      <c r="C775" s="233" t="s">
        <v>1300</v>
      </c>
      <c r="F775" s="366">
        <v>46</v>
      </c>
      <c r="G775" s="256" t="s">
        <v>1301</v>
      </c>
      <c r="H775" s="256"/>
      <c r="I775" s="146">
        <v>39</v>
      </c>
      <c r="J775">
        <v>804</v>
      </c>
      <c r="K775" s="173">
        <v>400</v>
      </c>
      <c r="L775" s="402">
        <f t="shared" si="78"/>
        <v>19.402985074626866</v>
      </c>
      <c r="M775" s="173">
        <f t="shared" si="79"/>
        <v>58.402985074626869</v>
      </c>
      <c r="N775" s="174"/>
      <c r="O775" s="173">
        <f t="shared" si="80"/>
        <v>81.764179104477606</v>
      </c>
      <c r="P775" s="146">
        <v>110</v>
      </c>
    </row>
    <row r="776" spans="3:16" hidden="1" x14ac:dyDescent="0.35">
      <c r="C776" s="233" t="s">
        <v>1300</v>
      </c>
      <c r="F776" s="366">
        <v>48</v>
      </c>
      <c r="G776" s="256" t="s">
        <v>1301</v>
      </c>
      <c r="H776" s="256"/>
      <c r="I776" s="146">
        <v>39</v>
      </c>
      <c r="J776">
        <v>804</v>
      </c>
      <c r="K776" s="173">
        <v>400</v>
      </c>
      <c r="L776" s="402">
        <f t="shared" si="78"/>
        <v>19.402985074626866</v>
      </c>
      <c r="M776" s="173">
        <f t="shared" si="79"/>
        <v>58.402985074626869</v>
      </c>
      <c r="N776" s="174"/>
      <c r="O776" s="173">
        <f t="shared" si="80"/>
        <v>81.764179104477606</v>
      </c>
      <c r="P776" s="146">
        <v>110</v>
      </c>
    </row>
    <row r="777" spans="3:16" hidden="1" x14ac:dyDescent="0.35">
      <c r="C777" s="233" t="s">
        <v>1300</v>
      </c>
      <c r="F777" s="366">
        <v>50</v>
      </c>
      <c r="G777" s="256" t="s">
        <v>1301</v>
      </c>
      <c r="H777" s="256"/>
      <c r="I777" s="146">
        <v>39</v>
      </c>
      <c r="J777">
        <v>804</v>
      </c>
      <c r="K777" s="173">
        <v>400</v>
      </c>
      <c r="L777" s="402">
        <f t="shared" si="78"/>
        <v>19.402985074626866</v>
      </c>
      <c r="M777" s="173">
        <f t="shared" si="79"/>
        <v>58.402985074626869</v>
      </c>
      <c r="N777" s="174"/>
      <c r="O777" s="173">
        <f t="shared" si="80"/>
        <v>81.764179104477606</v>
      </c>
      <c r="P777" s="146">
        <v>110</v>
      </c>
    </row>
    <row r="778" spans="3:16" s="3" customFormat="1" hidden="1" x14ac:dyDescent="0.35">
      <c r="C778" s="232"/>
      <c r="D778" s="232"/>
      <c r="F778" s="340"/>
      <c r="G778" s="256"/>
      <c r="H778" s="256"/>
      <c r="I778" s="146">
        <f>SUM(I694:I777)</f>
        <v>4046.8</v>
      </c>
      <c r="K778" s="146"/>
      <c r="L778" s="146"/>
      <c r="M778" s="146"/>
      <c r="N778" s="481"/>
      <c r="O778" s="146">
        <f t="shared" si="80"/>
        <v>0</v>
      </c>
      <c r="P778" s="146"/>
    </row>
    <row r="779" spans="3:16" hidden="1" x14ac:dyDescent="0.35">
      <c r="N779" s="174"/>
    </row>
    <row r="780" spans="3:16" hidden="1" x14ac:dyDescent="0.35">
      <c r="C780" s="232" t="s">
        <v>1310</v>
      </c>
      <c r="D780" s="232"/>
      <c r="N780" s="174"/>
    </row>
    <row r="781" spans="3:16" hidden="1" x14ac:dyDescent="0.35">
      <c r="C781" s="233" t="s">
        <v>1237</v>
      </c>
      <c r="F781" s="366">
        <v>44</v>
      </c>
      <c r="G781" s="245" t="s">
        <v>1311</v>
      </c>
      <c r="I781" s="173">
        <v>55</v>
      </c>
      <c r="J781">
        <v>1222</v>
      </c>
      <c r="K781" s="173">
        <v>453</v>
      </c>
      <c r="L781" s="402">
        <f t="shared" ref="L781:L821" si="81">+I781/J781*K781</f>
        <v>20.388707037643208</v>
      </c>
      <c r="M781" s="173">
        <f t="shared" ref="M781:M821" si="82">+I781+L781</f>
        <v>75.388707037643201</v>
      </c>
      <c r="N781" s="174"/>
      <c r="O781" s="173">
        <f t="shared" ref="O781:O821" si="83">+M781*1.4</f>
        <v>105.54418985270047</v>
      </c>
      <c r="P781" s="173">
        <v>200</v>
      </c>
    </row>
    <row r="782" spans="3:16" hidden="1" x14ac:dyDescent="0.35">
      <c r="C782" s="233" t="s">
        <v>1237</v>
      </c>
      <c r="F782" s="366">
        <v>46</v>
      </c>
      <c r="G782" s="245" t="s">
        <v>1311</v>
      </c>
      <c r="I782" s="173">
        <v>55</v>
      </c>
      <c r="J782">
        <v>1222</v>
      </c>
      <c r="K782" s="173">
        <v>453</v>
      </c>
      <c r="L782" s="402">
        <f t="shared" si="81"/>
        <v>20.388707037643208</v>
      </c>
      <c r="M782" s="173">
        <f t="shared" si="82"/>
        <v>75.388707037643201</v>
      </c>
      <c r="N782" s="174"/>
      <c r="O782" s="173">
        <f t="shared" si="83"/>
        <v>105.54418985270047</v>
      </c>
      <c r="P782" s="173">
        <v>200</v>
      </c>
    </row>
    <row r="783" spans="3:16" hidden="1" x14ac:dyDescent="0.35">
      <c r="C783" s="233" t="s">
        <v>1237</v>
      </c>
      <c r="F783" s="366">
        <v>48</v>
      </c>
      <c r="G783" s="245" t="s">
        <v>1311</v>
      </c>
      <c r="I783" s="173">
        <v>55</v>
      </c>
      <c r="J783">
        <v>1222</v>
      </c>
      <c r="K783" s="173">
        <v>453</v>
      </c>
      <c r="L783" s="402">
        <f t="shared" si="81"/>
        <v>20.388707037643208</v>
      </c>
      <c r="M783" s="173">
        <f t="shared" si="82"/>
        <v>75.388707037643201</v>
      </c>
      <c r="N783" s="174"/>
      <c r="O783" s="173">
        <f t="shared" si="83"/>
        <v>105.54418985270047</v>
      </c>
      <c r="P783" s="173">
        <v>200</v>
      </c>
    </row>
    <row r="784" spans="3:16" hidden="1" x14ac:dyDescent="0.35">
      <c r="C784" s="233" t="s">
        <v>1237</v>
      </c>
      <c r="F784" s="366">
        <v>50</v>
      </c>
      <c r="G784" s="245" t="s">
        <v>1311</v>
      </c>
      <c r="I784" s="173">
        <v>55</v>
      </c>
      <c r="J784">
        <v>1222</v>
      </c>
      <c r="K784" s="173">
        <v>453</v>
      </c>
      <c r="L784" s="402">
        <f t="shared" si="81"/>
        <v>20.388707037643208</v>
      </c>
      <c r="M784" s="173">
        <f t="shared" si="82"/>
        <v>75.388707037643201</v>
      </c>
      <c r="N784" s="174"/>
      <c r="O784" s="173">
        <f t="shared" si="83"/>
        <v>105.54418985270047</v>
      </c>
      <c r="P784" s="173">
        <v>200</v>
      </c>
    </row>
    <row r="785" spans="1:16" hidden="1" x14ac:dyDescent="0.35">
      <c r="C785" s="233" t="s">
        <v>1237</v>
      </c>
      <c r="F785" s="366">
        <v>44</v>
      </c>
      <c r="G785" s="245" t="s">
        <v>1312</v>
      </c>
      <c r="I785" s="173">
        <v>55</v>
      </c>
      <c r="J785">
        <v>1222</v>
      </c>
      <c r="K785" s="173">
        <v>453</v>
      </c>
      <c r="L785" s="402">
        <f t="shared" si="81"/>
        <v>20.388707037643208</v>
      </c>
      <c r="M785" s="173">
        <f t="shared" si="82"/>
        <v>75.388707037643201</v>
      </c>
      <c r="N785" s="174"/>
      <c r="O785" s="173">
        <f t="shared" si="83"/>
        <v>105.54418985270047</v>
      </c>
      <c r="P785" s="173">
        <v>200</v>
      </c>
    </row>
    <row r="786" spans="1:16" hidden="1" x14ac:dyDescent="0.35">
      <c r="A786"/>
      <c r="C786" s="233" t="s">
        <v>1237</v>
      </c>
      <c r="F786" s="366">
        <v>46</v>
      </c>
      <c r="G786" s="245" t="s">
        <v>1312</v>
      </c>
      <c r="I786" s="173">
        <v>55</v>
      </c>
      <c r="J786">
        <v>1222</v>
      </c>
      <c r="K786" s="173">
        <v>453</v>
      </c>
      <c r="L786" s="402">
        <f t="shared" si="81"/>
        <v>20.388707037643208</v>
      </c>
      <c r="M786" s="173">
        <f t="shared" si="82"/>
        <v>75.388707037643201</v>
      </c>
      <c r="N786" s="174"/>
      <c r="O786" s="173">
        <f t="shared" si="83"/>
        <v>105.54418985270047</v>
      </c>
      <c r="P786" s="173">
        <v>200</v>
      </c>
    </row>
    <row r="787" spans="1:16" hidden="1" x14ac:dyDescent="0.35">
      <c r="A787"/>
      <c r="C787" s="233" t="s">
        <v>1237</v>
      </c>
      <c r="F787" s="366">
        <v>48</v>
      </c>
      <c r="G787" s="245" t="s">
        <v>1312</v>
      </c>
      <c r="I787" s="173">
        <v>55</v>
      </c>
      <c r="J787">
        <v>1222</v>
      </c>
      <c r="K787" s="173">
        <v>453</v>
      </c>
      <c r="L787" s="402">
        <f t="shared" si="81"/>
        <v>20.388707037643208</v>
      </c>
      <c r="M787" s="173">
        <f t="shared" si="82"/>
        <v>75.388707037643201</v>
      </c>
      <c r="N787" s="174"/>
      <c r="O787" s="173">
        <f t="shared" si="83"/>
        <v>105.54418985270047</v>
      </c>
      <c r="P787" s="173">
        <v>200</v>
      </c>
    </row>
    <row r="788" spans="1:16" hidden="1" x14ac:dyDescent="0.35">
      <c r="A788"/>
      <c r="C788" s="233" t="s">
        <v>1237</v>
      </c>
      <c r="F788" s="366">
        <v>50</v>
      </c>
      <c r="G788" s="245" t="s">
        <v>1312</v>
      </c>
      <c r="I788" s="173">
        <v>55</v>
      </c>
      <c r="J788">
        <v>1222</v>
      </c>
      <c r="K788" s="173">
        <v>453</v>
      </c>
      <c r="L788" s="402">
        <f t="shared" si="81"/>
        <v>20.388707037643208</v>
      </c>
      <c r="M788" s="173">
        <f t="shared" si="82"/>
        <v>75.388707037643201</v>
      </c>
      <c r="N788" s="174"/>
      <c r="O788" s="173">
        <f t="shared" si="83"/>
        <v>105.54418985270047</v>
      </c>
      <c r="P788" s="173">
        <v>200</v>
      </c>
    </row>
    <row r="789" spans="1:16" hidden="1" x14ac:dyDescent="0.35">
      <c r="A789"/>
      <c r="C789" s="233" t="s">
        <v>1237</v>
      </c>
      <c r="F789" s="366">
        <v>44</v>
      </c>
      <c r="G789" s="256" t="s">
        <v>1313</v>
      </c>
      <c r="H789" s="256"/>
      <c r="I789" s="173">
        <v>55</v>
      </c>
      <c r="J789">
        <v>1222</v>
      </c>
      <c r="K789" s="173">
        <v>453</v>
      </c>
      <c r="L789" s="402">
        <f t="shared" si="81"/>
        <v>20.388707037643208</v>
      </c>
      <c r="M789" s="173">
        <f t="shared" si="82"/>
        <v>75.388707037643201</v>
      </c>
      <c r="N789" s="174"/>
      <c r="O789" s="173">
        <f t="shared" si="83"/>
        <v>105.54418985270047</v>
      </c>
      <c r="P789" s="173">
        <v>200</v>
      </c>
    </row>
    <row r="790" spans="1:16" hidden="1" x14ac:dyDescent="0.35">
      <c r="A790"/>
      <c r="C790" s="233" t="s">
        <v>1237</v>
      </c>
      <c r="F790" s="366">
        <v>46</v>
      </c>
      <c r="G790" s="256" t="s">
        <v>1313</v>
      </c>
      <c r="H790" s="256"/>
      <c r="I790" s="173">
        <v>55</v>
      </c>
      <c r="J790">
        <v>1222</v>
      </c>
      <c r="K790" s="173">
        <v>453</v>
      </c>
      <c r="L790" s="402">
        <f t="shared" si="81"/>
        <v>20.388707037643208</v>
      </c>
      <c r="M790" s="173">
        <f t="shared" si="82"/>
        <v>75.388707037643201</v>
      </c>
      <c r="N790" s="174"/>
      <c r="O790" s="173">
        <f t="shared" si="83"/>
        <v>105.54418985270047</v>
      </c>
      <c r="P790" s="173">
        <v>150</v>
      </c>
    </row>
    <row r="791" spans="1:16" hidden="1" x14ac:dyDescent="0.35">
      <c r="A791"/>
      <c r="C791" s="233" t="s">
        <v>1237</v>
      </c>
      <c r="F791" s="366">
        <v>48</v>
      </c>
      <c r="G791" s="256" t="s">
        <v>1313</v>
      </c>
      <c r="H791" s="256"/>
      <c r="I791" s="173">
        <v>55</v>
      </c>
      <c r="J791">
        <v>1222</v>
      </c>
      <c r="K791" s="173">
        <v>453</v>
      </c>
      <c r="L791" s="402">
        <f t="shared" si="81"/>
        <v>20.388707037643208</v>
      </c>
      <c r="M791" s="173">
        <f t="shared" si="82"/>
        <v>75.388707037643201</v>
      </c>
      <c r="N791" s="174"/>
      <c r="O791" s="173">
        <f t="shared" si="83"/>
        <v>105.54418985270047</v>
      </c>
      <c r="P791" s="173">
        <v>150</v>
      </c>
    </row>
    <row r="792" spans="1:16" hidden="1" x14ac:dyDescent="0.35">
      <c r="A792"/>
      <c r="C792" s="233" t="s">
        <v>1237</v>
      </c>
      <c r="F792" s="366">
        <v>50</v>
      </c>
      <c r="G792" s="256" t="s">
        <v>1313</v>
      </c>
      <c r="H792" s="256"/>
      <c r="I792" s="173">
        <v>55</v>
      </c>
      <c r="J792">
        <v>1222</v>
      </c>
      <c r="K792" s="173">
        <v>453</v>
      </c>
      <c r="L792" s="402">
        <f t="shared" si="81"/>
        <v>20.388707037643208</v>
      </c>
      <c r="M792" s="173">
        <f t="shared" si="82"/>
        <v>75.388707037643201</v>
      </c>
      <c r="N792" s="174"/>
      <c r="O792" s="173">
        <f t="shared" si="83"/>
        <v>105.54418985270047</v>
      </c>
      <c r="P792" s="173">
        <v>150</v>
      </c>
    </row>
    <row r="793" spans="1:16" hidden="1" x14ac:dyDescent="0.35">
      <c r="A793"/>
      <c r="C793" s="233" t="s">
        <v>1237</v>
      </c>
      <c r="F793" s="366">
        <v>44</v>
      </c>
      <c r="G793" s="245" t="s">
        <v>1314</v>
      </c>
      <c r="I793" s="173">
        <v>55</v>
      </c>
      <c r="J793">
        <v>1222</v>
      </c>
      <c r="K793" s="173">
        <v>453</v>
      </c>
      <c r="L793" s="402">
        <f t="shared" si="81"/>
        <v>20.388707037643208</v>
      </c>
      <c r="M793" s="173">
        <f t="shared" si="82"/>
        <v>75.388707037643201</v>
      </c>
      <c r="N793" s="174"/>
      <c r="O793" s="173">
        <f t="shared" si="83"/>
        <v>105.54418985270047</v>
      </c>
      <c r="P793" s="173">
        <v>150</v>
      </c>
    </row>
    <row r="794" spans="1:16" hidden="1" x14ac:dyDescent="0.35">
      <c r="A794"/>
      <c r="C794" s="233" t="s">
        <v>1237</v>
      </c>
      <c r="F794" s="366">
        <v>46</v>
      </c>
      <c r="G794" s="245" t="s">
        <v>1314</v>
      </c>
      <c r="I794" s="173">
        <v>55</v>
      </c>
      <c r="J794">
        <v>1222</v>
      </c>
      <c r="K794" s="173">
        <v>453</v>
      </c>
      <c r="L794" s="402">
        <f t="shared" si="81"/>
        <v>20.388707037643208</v>
      </c>
      <c r="M794" s="173">
        <f t="shared" si="82"/>
        <v>75.388707037643201</v>
      </c>
      <c r="N794" s="174"/>
      <c r="O794" s="173">
        <f t="shared" si="83"/>
        <v>105.54418985270047</v>
      </c>
      <c r="P794" s="173">
        <v>150</v>
      </c>
    </row>
    <row r="795" spans="1:16" hidden="1" x14ac:dyDescent="0.35">
      <c r="A795"/>
      <c r="C795" s="233" t="s">
        <v>1237</v>
      </c>
      <c r="F795" s="366">
        <v>48</v>
      </c>
      <c r="G795" s="245" t="s">
        <v>1314</v>
      </c>
      <c r="I795" s="173">
        <v>55</v>
      </c>
      <c r="J795">
        <v>1222</v>
      </c>
      <c r="K795" s="173">
        <v>453</v>
      </c>
      <c r="L795" s="402">
        <f t="shared" si="81"/>
        <v>20.388707037643208</v>
      </c>
      <c r="M795" s="173">
        <f t="shared" si="82"/>
        <v>75.388707037643201</v>
      </c>
      <c r="N795" s="174"/>
      <c r="O795" s="173">
        <f t="shared" si="83"/>
        <v>105.54418985270047</v>
      </c>
      <c r="P795" s="173">
        <v>150</v>
      </c>
    </row>
    <row r="796" spans="1:16" hidden="1" x14ac:dyDescent="0.35">
      <c r="A796"/>
      <c r="C796" s="233" t="s">
        <v>1237</v>
      </c>
      <c r="F796" s="366">
        <v>50</v>
      </c>
      <c r="G796" s="245" t="s">
        <v>1314</v>
      </c>
      <c r="I796" s="173">
        <v>55</v>
      </c>
      <c r="J796">
        <v>1222</v>
      </c>
      <c r="K796" s="173">
        <v>453</v>
      </c>
      <c r="L796" s="402">
        <f t="shared" si="81"/>
        <v>20.388707037643208</v>
      </c>
      <c r="M796" s="173">
        <f t="shared" si="82"/>
        <v>75.388707037643201</v>
      </c>
      <c r="N796" s="174"/>
      <c r="O796" s="173">
        <f t="shared" si="83"/>
        <v>105.54418985270047</v>
      </c>
      <c r="P796" s="173">
        <v>150</v>
      </c>
    </row>
    <row r="797" spans="1:16" hidden="1" x14ac:dyDescent="0.35">
      <c r="A797"/>
      <c r="C797" s="233" t="s">
        <v>1237</v>
      </c>
      <c r="F797" s="366">
        <v>44</v>
      </c>
      <c r="G797" s="245" t="s">
        <v>1315</v>
      </c>
      <c r="I797" s="173">
        <v>55</v>
      </c>
      <c r="J797">
        <v>1222</v>
      </c>
      <c r="K797" s="173">
        <v>453</v>
      </c>
      <c r="L797" s="402">
        <f t="shared" si="81"/>
        <v>20.388707037643208</v>
      </c>
      <c r="M797" s="173">
        <f t="shared" si="82"/>
        <v>75.388707037643201</v>
      </c>
      <c r="N797" s="174"/>
      <c r="O797" s="173">
        <f t="shared" si="83"/>
        <v>105.54418985270047</v>
      </c>
      <c r="P797" s="173">
        <v>200</v>
      </c>
    </row>
    <row r="798" spans="1:16" hidden="1" x14ac:dyDescent="0.35">
      <c r="A798"/>
      <c r="C798" s="233" t="s">
        <v>1237</v>
      </c>
      <c r="F798" s="366">
        <v>46</v>
      </c>
      <c r="G798" s="245" t="s">
        <v>1315</v>
      </c>
      <c r="I798" s="173">
        <v>55</v>
      </c>
      <c r="J798">
        <v>1222</v>
      </c>
      <c r="K798" s="173">
        <v>453</v>
      </c>
      <c r="L798" s="402">
        <f t="shared" si="81"/>
        <v>20.388707037643208</v>
      </c>
      <c r="M798" s="173">
        <f t="shared" si="82"/>
        <v>75.388707037643201</v>
      </c>
      <c r="N798" s="174"/>
      <c r="O798" s="173">
        <f t="shared" si="83"/>
        <v>105.54418985270047</v>
      </c>
      <c r="P798" s="173">
        <v>200</v>
      </c>
    </row>
    <row r="799" spans="1:16" hidden="1" x14ac:dyDescent="0.35">
      <c r="A799"/>
      <c r="C799" s="233" t="s">
        <v>1316</v>
      </c>
      <c r="G799" s="245" t="s">
        <v>1317</v>
      </c>
      <c r="I799" s="173">
        <v>10</v>
      </c>
      <c r="J799">
        <v>1222</v>
      </c>
      <c r="K799" s="173">
        <v>453</v>
      </c>
      <c r="L799" s="402">
        <f t="shared" si="81"/>
        <v>3.7070376432078564</v>
      </c>
      <c r="M799" s="173">
        <f t="shared" si="82"/>
        <v>13.707037643207856</v>
      </c>
      <c r="N799" s="174"/>
      <c r="O799" s="173">
        <f t="shared" si="83"/>
        <v>19.189852700490999</v>
      </c>
      <c r="P799" s="173">
        <v>35</v>
      </c>
    </row>
    <row r="800" spans="1:16" hidden="1" x14ac:dyDescent="0.35">
      <c r="A800"/>
      <c r="G800" s="245" t="s">
        <v>1317</v>
      </c>
      <c r="I800" s="173">
        <v>10</v>
      </c>
      <c r="J800">
        <v>1222</v>
      </c>
      <c r="K800" s="173">
        <v>453</v>
      </c>
      <c r="L800" s="402">
        <f t="shared" si="81"/>
        <v>3.7070376432078564</v>
      </c>
      <c r="M800" s="173">
        <f t="shared" si="82"/>
        <v>13.707037643207856</v>
      </c>
      <c r="N800" s="174"/>
      <c r="O800" s="173">
        <f t="shared" si="83"/>
        <v>19.189852700490999</v>
      </c>
      <c r="P800" s="173">
        <v>35</v>
      </c>
    </row>
    <row r="801" spans="1:16" hidden="1" x14ac:dyDescent="0.35">
      <c r="A801"/>
      <c r="G801" s="245" t="s">
        <v>1317</v>
      </c>
      <c r="I801" s="173">
        <v>10</v>
      </c>
      <c r="J801">
        <v>1222</v>
      </c>
      <c r="K801" s="173">
        <v>453</v>
      </c>
      <c r="L801" s="402">
        <f t="shared" si="81"/>
        <v>3.7070376432078564</v>
      </c>
      <c r="M801" s="173">
        <f t="shared" si="82"/>
        <v>13.707037643207856</v>
      </c>
      <c r="N801" s="174"/>
      <c r="O801" s="173">
        <f t="shared" si="83"/>
        <v>19.189852700490999</v>
      </c>
      <c r="P801" s="173">
        <v>35</v>
      </c>
    </row>
    <row r="802" spans="1:16" hidden="1" x14ac:dyDescent="0.35">
      <c r="G802" s="245" t="s">
        <v>1317</v>
      </c>
      <c r="I802" s="173">
        <v>10</v>
      </c>
      <c r="J802">
        <v>1222</v>
      </c>
      <c r="K802" s="173">
        <v>453</v>
      </c>
      <c r="L802" s="402">
        <f t="shared" si="81"/>
        <v>3.7070376432078564</v>
      </c>
      <c r="M802" s="173">
        <f t="shared" si="82"/>
        <v>13.707037643207856</v>
      </c>
      <c r="N802" s="174"/>
      <c r="O802" s="173">
        <f t="shared" si="83"/>
        <v>19.189852700490999</v>
      </c>
      <c r="P802" s="173">
        <v>35</v>
      </c>
    </row>
    <row r="803" spans="1:16" hidden="1" x14ac:dyDescent="0.35">
      <c r="G803" s="245" t="s">
        <v>1317</v>
      </c>
      <c r="I803" s="173">
        <v>10</v>
      </c>
      <c r="J803">
        <v>1222</v>
      </c>
      <c r="K803" s="173">
        <v>453</v>
      </c>
      <c r="L803" s="402">
        <f t="shared" si="81"/>
        <v>3.7070376432078564</v>
      </c>
      <c r="M803" s="173">
        <f t="shared" si="82"/>
        <v>13.707037643207856</v>
      </c>
      <c r="N803" s="174"/>
      <c r="O803" s="173">
        <f t="shared" si="83"/>
        <v>19.189852700490999</v>
      </c>
      <c r="P803" s="173">
        <v>35</v>
      </c>
    </row>
    <row r="804" spans="1:16" hidden="1" x14ac:dyDescent="0.35">
      <c r="G804" s="245" t="s">
        <v>1318</v>
      </c>
      <c r="I804" s="173">
        <v>10</v>
      </c>
      <c r="J804">
        <v>1222</v>
      </c>
      <c r="K804" s="173">
        <v>453</v>
      </c>
      <c r="L804" s="402">
        <f t="shared" si="81"/>
        <v>3.7070376432078564</v>
      </c>
      <c r="M804" s="173">
        <f t="shared" si="82"/>
        <v>13.707037643207856</v>
      </c>
      <c r="N804" s="174"/>
      <c r="O804" s="173">
        <f t="shared" si="83"/>
        <v>19.189852700490999</v>
      </c>
      <c r="P804" s="173">
        <v>35</v>
      </c>
    </row>
    <row r="805" spans="1:16" hidden="1" x14ac:dyDescent="0.35">
      <c r="G805" s="245" t="s">
        <v>1318</v>
      </c>
      <c r="I805" s="173">
        <v>10</v>
      </c>
      <c r="J805">
        <v>1222</v>
      </c>
      <c r="K805" s="173">
        <v>453</v>
      </c>
      <c r="L805" s="402">
        <f t="shared" si="81"/>
        <v>3.7070376432078564</v>
      </c>
      <c r="M805" s="173">
        <f t="shared" si="82"/>
        <v>13.707037643207856</v>
      </c>
      <c r="N805" s="174"/>
      <c r="O805" s="173">
        <f t="shared" si="83"/>
        <v>19.189852700490999</v>
      </c>
      <c r="P805" s="173">
        <v>35</v>
      </c>
    </row>
    <row r="806" spans="1:16" hidden="1" x14ac:dyDescent="0.35">
      <c r="G806" s="245" t="s">
        <v>1318</v>
      </c>
      <c r="I806" s="173">
        <v>10</v>
      </c>
      <c r="J806">
        <v>1222</v>
      </c>
      <c r="K806" s="173">
        <v>453</v>
      </c>
      <c r="L806" s="402">
        <f t="shared" si="81"/>
        <v>3.7070376432078564</v>
      </c>
      <c r="M806" s="173">
        <f t="shared" si="82"/>
        <v>13.707037643207856</v>
      </c>
      <c r="N806" s="174"/>
      <c r="O806" s="173">
        <f t="shared" si="83"/>
        <v>19.189852700490999</v>
      </c>
      <c r="P806" s="173">
        <v>35</v>
      </c>
    </row>
    <row r="807" spans="1:16" hidden="1" x14ac:dyDescent="0.35">
      <c r="G807" s="245" t="s">
        <v>1318</v>
      </c>
      <c r="I807" s="173">
        <v>10</v>
      </c>
      <c r="J807">
        <v>1222</v>
      </c>
      <c r="K807" s="173">
        <v>453</v>
      </c>
      <c r="L807" s="402">
        <f t="shared" si="81"/>
        <v>3.7070376432078564</v>
      </c>
      <c r="M807" s="173">
        <f t="shared" si="82"/>
        <v>13.707037643207856</v>
      </c>
      <c r="N807" s="174"/>
      <c r="O807" s="173">
        <f t="shared" si="83"/>
        <v>19.189852700490999</v>
      </c>
      <c r="P807" s="173">
        <v>35</v>
      </c>
    </row>
    <row r="808" spans="1:16" hidden="1" x14ac:dyDescent="0.35">
      <c r="G808" s="245" t="s">
        <v>1318</v>
      </c>
      <c r="I808" s="173">
        <v>10</v>
      </c>
      <c r="J808">
        <v>1222</v>
      </c>
      <c r="K808" s="173">
        <v>453</v>
      </c>
      <c r="L808" s="402">
        <f t="shared" si="81"/>
        <v>3.7070376432078564</v>
      </c>
      <c r="M808" s="173">
        <f t="shared" si="82"/>
        <v>13.707037643207856</v>
      </c>
      <c r="N808" s="174"/>
      <c r="O808" s="173">
        <f t="shared" si="83"/>
        <v>19.189852700490999</v>
      </c>
      <c r="P808" s="173">
        <v>35</v>
      </c>
    </row>
    <row r="809" spans="1:16" hidden="1" x14ac:dyDescent="0.35">
      <c r="G809" s="245" t="s">
        <v>1326</v>
      </c>
      <c r="I809" s="173">
        <v>10</v>
      </c>
      <c r="J809">
        <v>1222</v>
      </c>
      <c r="K809" s="173">
        <v>453</v>
      </c>
      <c r="L809" s="402">
        <f t="shared" si="81"/>
        <v>3.7070376432078564</v>
      </c>
      <c r="M809" s="173">
        <f t="shared" si="82"/>
        <v>13.707037643207856</v>
      </c>
      <c r="N809" s="174"/>
      <c r="O809" s="173">
        <f t="shared" si="83"/>
        <v>19.189852700490999</v>
      </c>
    </row>
    <row r="810" spans="1:16" hidden="1" x14ac:dyDescent="0.35">
      <c r="G810" s="245" t="s">
        <v>1319</v>
      </c>
      <c r="I810" s="173">
        <v>10</v>
      </c>
      <c r="J810">
        <v>1222</v>
      </c>
      <c r="K810" s="173">
        <v>453</v>
      </c>
      <c r="L810" s="402">
        <f t="shared" si="81"/>
        <v>3.7070376432078564</v>
      </c>
      <c r="M810" s="173">
        <f t="shared" si="82"/>
        <v>13.707037643207856</v>
      </c>
      <c r="N810" s="174"/>
      <c r="O810" s="173">
        <f t="shared" si="83"/>
        <v>19.189852700490999</v>
      </c>
      <c r="P810" s="173">
        <v>35</v>
      </c>
    </row>
    <row r="811" spans="1:16" hidden="1" x14ac:dyDescent="0.35">
      <c r="G811" s="245" t="s">
        <v>1319</v>
      </c>
      <c r="I811" s="173">
        <v>10</v>
      </c>
      <c r="J811">
        <v>1222</v>
      </c>
      <c r="K811" s="173">
        <v>453</v>
      </c>
      <c r="L811" s="402">
        <f t="shared" si="81"/>
        <v>3.7070376432078564</v>
      </c>
      <c r="M811" s="173">
        <f t="shared" si="82"/>
        <v>13.707037643207856</v>
      </c>
      <c r="N811" s="174"/>
      <c r="O811" s="173">
        <f t="shared" si="83"/>
        <v>19.189852700490999</v>
      </c>
      <c r="P811" s="173">
        <v>35</v>
      </c>
    </row>
    <row r="812" spans="1:16" hidden="1" x14ac:dyDescent="0.35">
      <c r="G812" s="245" t="s">
        <v>1319</v>
      </c>
      <c r="I812" s="173">
        <v>10</v>
      </c>
      <c r="J812">
        <v>1222</v>
      </c>
      <c r="K812" s="173">
        <v>453</v>
      </c>
      <c r="L812" s="402">
        <f t="shared" si="81"/>
        <v>3.7070376432078564</v>
      </c>
      <c r="M812" s="173">
        <f t="shared" si="82"/>
        <v>13.707037643207856</v>
      </c>
      <c r="N812" s="174"/>
      <c r="O812" s="173">
        <f t="shared" si="83"/>
        <v>19.189852700490999</v>
      </c>
      <c r="P812" s="173">
        <v>35</v>
      </c>
    </row>
    <row r="813" spans="1:16" hidden="1" x14ac:dyDescent="0.35">
      <c r="G813" s="245" t="s">
        <v>1319</v>
      </c>
      <c r="I813" s="173">
        <v>10</v>
      </c>
      <c r="J813">
        <v>1222</v>
      </c>
      <c r="K813" s="173">
        <v>453</v>
      </c>
      <c r="L813" s="402">
        <f t="shared" si="81"/>
        <v>3.7070376432078564</v>
      </c>
      <c r="M813" s="173">
        <f t="shared" si="82"/>
        <v>13.707037643207856</v>
      </c>
      <c r="N813" s="174"/>
      <c r="O813" s="173">
        <f t="shared" si="83"/>
        <v>19.189852700490999</v>
      </c>
      <c r="P813" s="173">
        <v>35</v>
      </c>
    </row>
    <row r="814" spans="1:16" hidden="1" x14ac:dyDescent="0.35">
      <c r="G814" s="245" t="s">
        <v>1320</v>
      </c>
      <c r="I814" s="173">
        <v>10</v>
      </c>
      <c r="J814">
        <v>1222</v>
      </c>
      <c r="K814" s="173">
        <v>453</v>
      </c>
      <c r="L814" s="402">
        <f t="shared" si="81"/>
        <v>3.7070376432078564</v>
      </c>
      <c r="M814" s="173">
        <f t="shared" si="82"/>
        <v>13.707037643207856</v>
      </c>
      <c r="N814" s="174"/>
      <c r="O814" s="173">
        <f t="shared" si="83"/>
        <v>19.189852700490999</v>
      </c>
      <c r="P814" s="173">
        <v>35</v>
      </c>
    </row>
    <row r="815" spans="1:16" hidden="1" x14ac:dyDescent="0.35">
      <c r="G815" s="245" t="s">
        <v>1320</v>
      </c>
      <c r="I815" s="173">
        <v>10</v>
      </c>
      <c r="J815">
        <v>1222</v>
      </c>
      <c r="K815" s="173">
        <v>453</v>
      </c>
      <c r="L815" s="402">
        <f t="shared" si="81"/>
        <v>3.7070376432078564</v>
      </c>
      <c r="M815" s="173">
        <f t="shared" si="82"/>
        <v>13.707037643207856</v>
      </c>
      <c r="N815" s="174"/>
      <c r="O815" s="173">
        <f t="shared" si="83"/>
        <v>19.189852700490999</v>
      </c>
      <c r="P815" s="173">
        <v>35</v>
      </c>
    </row>
    <row r="816" spans="1:16" hidden="1" x14ac:dyDescent="0.35">
      <c r="G816" s="245" t="s">
        <v>1320</v>
      </c>
      <c r="I816" s="173">
        <v>10</v>
      </c>
      <c r="J816">
        <v>1222</v>
      </c>
      <c r="K816" s="173">
        <v>453</v>
      </c>
      <c r="L816" s="402">
        <f t="shared" si="81"/>
        <v>3.7070376432078564</v>
      </c>
      <c r="M816" s="173">
        <f t="shared" si="82"/>
        <v>13.707037643207856</v>
      </c>
      <c r="N816" s="174"/>
      <c r="O816" s="173">
        <f t="shared" si="83"/>
        <v>19.189852700490999</v>
      </c>
      <c r="P816" s="173">
        <v>35</v>
      </c>
    </row>
    <row r="817" spans="1:16" hidden="1" x14ac:dyDescent="0.35">
      <c r="G817" s="245" t="s">
        <v>1325</v>
      </c>
      <c r="I817" s="173">
        <v>12</v>
      </c>
      <c r="J817">
        <v>1222</v>
      </c>
      <c r="K817" s="173">
        <v>453</v>
      </c>
      <c r="L817" s="402">
        <f t="shared" si="81"/>
        <v>4.4484451718494276</v>
      </c>
      <c r="M817" s="173">
        <f t="shared" si="82"/>
        <v>16.448445171849428</v>
      </c>
      <c r="N817" s="174"/>
      <c r="O817" s="173">
        <f t="shared" si="83"/>
        <v>23.0278232405892</v>
      </c>
      <c r="P817" s="173">
        <v>35</v>
      </c>
    </row>
    <row r="818" spans="1:16" hidden="1" x14ac:dyDescent="0.35">
      <c r="A818"/>
      <c r="G818" s="245" t="s">
        <v>1321</v>
      </c>
      <c r="I818" s="173">
        <v>12</v>
      </c>
      <c r="J818">
        <v>1222</v>
      </c>
      <c r="K818" s="173">
        <v>453</v>
      </c>
      <c r="L818" s="402">
        <f t="shared" si="81"/>
        <v>4.4484451718494276</v>
      </c>
      <c r="M818" s="173">
        <f t="shared" si="82"/>
        <v>16.448445171849428</v>
      </c>
      <c r="N818" s="174"/>
      <c r="O818" s="173">
        <f t="shared" si="83"/>
        <v>23.0278232405892</v>
      </c>
      <c r="P818" s="173">
        <v>35</v>
      </c>
    </row>
    <row r="819" spans="1:16" hidden="1" x14ac:dyDescent="0.35">
      <c r="A819"/>
      <c r="G819" s="245" t="s">
        <v>1322</v>
      </c>
      <c r="I819" s="173">
        <v>12</v>
      </c>
      <c r="J819">
        <v>1222</v>
      </c>
      <c r="K819" s="173">
        <v>453</v>
      </c>
      <c r="L819" s="402">
        <f t="shared" si="81"/>
        <v>4.4484451718494276</v>
      </c>
      <c r="M819" s="173">
        <f t="shared" si="82"/>
        <v>16.448445171849428</v>
      </c>
      <c r="N819" s="174"/>
      <c r="O819" s="173">
        <f t="shared" si="83"/>
        <v>23.0278232405892</v>
      </c>
      <c r="P819" s="173">
        <v>35</v>
      </c>
    </row>
    <row r="820" spans="1:16" hidden="1" x14ac:dyDescent="0.35">
      <c r="A820"/>
      <c r="G820" s="245" t="s">
        <v>1323</v>
      </c>
      <c r="I820" s="173">
        <v>8</v>
      </c>
      <c r="J820">
        <v>1222</v>
      </c>
      <c r="K820" s="173">
        <v>453</v>
      </c>
      <c r="L820" s="402">
        <f t="shared" si="81"/>
        <v>2.9656301145662849</v>
      </c>
      <c r="M820" s="173">
        <f t="shared" si="82"/>
        <v>10.965630114566284</v>
      </c>
      <c r="N820" s="174"/>
      <c r="O820" s="173">
        <f t="shared" si="83"/>
        <v>15.351882160392798</v>
      </c>
      <c r="P820" s="173">
        <v>35</v>
      </c>
    </row>
    <row r="821" spans="1:16" hidden="1" x14ac:dyDescent="0.35">
      <c r="A821"/>
      <c r="G821" s="245" t="s">
        <v>1324</v>
      </c>
      <c r="I821" s="173">
        <v>8</v>
      </c>
      <c r="J821">
        <v>1222</v>
      </c>
      <c r="K821" s="173">
        <v>453</v>
      </c>
      <c r="L821" s="402">
        <f t="shared" si="81"/>
        <v>2.9656301145662849</v>
      </c>
      <c r="M821" s="173">
        <f t="shared" si="82"/>
        <v>10.965630114566284</v>
      </c>
      <c r="N821" s="174"/>
      <c r="O821" s="173">
        <f t="shared" si="83"/>
        <v>15.351882160392798</v>
      </c>
    </row>
    <row r="822" spans="1:16" hidden="1" x14ac:dyDescent="0.35">
      <c r="A822"/>
      <c r="L822" s="402"/>
      <c r="N822" s="174"/>
    </row>
    <row r="823" spans="1:16" hidden="1" x14ac:dyDescent="0.35">
      <c r="A823"/>
      <c r="C823" s="245" t="s">
        <v>1328</v>
      </c>
      <c r="D823" s="245"/>
      <c r="F823" s="366">
        <v>38</v>
      </c>
      <c r="G823" s="245" t="s">
        <v>1329</v>
      </c>
      <c r="I823" s="173">
        <v>49</v>
      </c>
      <c r="J823">
        <v>928</v>
      </c>
      <c r="K823" s="173">
        <v>300</v>
      </c>
      <c r="L823" s="402">
        <f t="shared" ref="L823:L843" si="84">+I823/J823*K823</f>
        <v>15.840517241379311</v>
      </c>
      <c r="M823" s="173">
        <f t="shared" ref="M823:M843" si="85">+I823+L823</f>
        <v>64.840517241379317</v>
      </c>
      <c r="N823" s="174"/>
      <c r="O823" s="173">
        <f t="shared" ref="O823:O843" si="86">+M823*1.4</f>
        <v>90.776724137931041</v>
      </c>
      <c r="P823" s="173">
        <v>125</v>
      </c>
    </row>
    <row r="824" spans="1:16" hidden="1" x14ac:dyDescent="0.35">
      <c r="A824"/>
      <c r="C824" s="245" t="s">
        <v>1328</v>
      </c>
      <c r="D824" s="245"/>
      <c r="F824" s="366">
        <v>40</v>
      </c>
      <c r="G824" s="245" t="s">
        <v>1329</v>
      </c>
      <c r="I824" s="173">
        <v>49</v>
      </c>
      <c r="J824">
        <v>928</v>
      </c>
      <c r="K824" s="173">
        <v>300</v>
      </c>
      <c r="L824" s="402">
        <f t="shared" si="84"/>
        <v>15.840517241379311</v>
      </c>
      <c r="M824" s="173">
        <f t="shared" si="85"/>
        <v>64.840517241379317</v>
      </c>
      <c r="N824" s="174"/>
      <c r="O824" s="173">
        <f t="shared" si="86"/>
        <v>90.776724137931041</v>
      </c>
      <c r="P824" s="173">
        <v>125</v>
      </c>
    </row>
    <row r="825" spans="1:16" hidden="1" x14ac:dyDescent="0.35">
      <c r="A825"/>
      <c r="C825" s="245" t="s">
        <v>1328</v>
      </c>
      <c r="D825" s="245"/>
      <c r="F825" s="366">
        <v>42</v>
      </c>
      <c r="G825" s="245" t="s">
        <v>1329</v>
      </c>
      <c r="I825" s="173">
        <v>49</v>
      </c>
      <c r="J825">
        <v>928</v>
      </c>
      <c r="K825" s="173">
        <v>300</v>
      </c>
      <c r="L825" s="402">
        <f t="shared" si="84"/>
        <v>15.840517241379311</v>
      </c>
      <c r="M825" s="173">
        <f t="shared" si="85"/>
        <v>64.840517241379317</v>
      </c>
      <c r="N825" s="174"/>
      <c r="O825" s="173">
        <f t="shared" si="86"/>
        <v>90.776724137931041</v>
      </c>
      <c r="P825" s="173">
        <v>125</v>
      </c>
    </row>
    <row r="826" spans="1:16" hidden="1" x14ac:dyDescent="0.35">
      <c r="A826"/>
      <c r="C826" s="245" t="s">
        <v>1328</v>
      </c>
      <c r="D826" s="245"/>
      <c r="F826" s="366">
        <v>44</v>
      </c>
      <c r="G826" s="245" t="s">
        <v>1329</v>
      </c>
      <c r="I826" s="173">
        <v>49</v>
      </c>
      <c r="J826">
        <v>928</v>
      </c>
      <c r="K826" s="173">
        <v>300</v>
      </c>
      <c r="L826" s="402">
        <f t="shared" si="84"/>
        <v>15.840517241379311</v>
      </c>
      <c r="M826" s="173">
        <f t="shared" si="85"/>
        <v>64.840517241379317</v>
      </c>
      <c r="N826" s="174"/>
      <c r="O826" s="173">
        <f t="shared" si="86"/>
        <v>90.776724137931041</v>
      </c>
      <c r="P826" s="173">
        <v>125</v>
      </c>
    </row>
    <row r="827" spans="1:16" hidden="1" x14ac:dyDescent="0.35">
      <c r="A827"/>
      <c r="C827" s="245" t="s">
        <v>1328</v>
      </c>
      <c r="D827" s="245"/>
      <c r="F827" s="366">
        <v>42</v>
      </c>
      <c r="G827" s="245" t="s">
        <v>1330</v>
      </c>
      <c r="I827" s="173">
        <v>69</v>
      </c>
      <c r="J827">
        <v>928</v>
      </c>
      <c r="K827" s="173">
        <v>300</v>
      </c>
      <c r="L827" s="402">
        <f t="shared" si="84"/>
        <v>22.306034482758623</v>
      </c>
      <c r="M827" s="173">
        <f t="shared" si="85"/>
        <v>91.306034482758619</v>
      </c>
      <c r="N827" s="174"/>
      <c r="O827" s="173">
        <f t="shared" si="86"/>
        <v>127.82844827586206</v>
      </c>
      <c r="P827" s="173">
        <v>150</v>
      </c>
    </row>
    <row r="828" spans="1:16" hidden="1" x14ac:dyDescent="0.35">
      <c r="A828"/>
      <c r="C828" s="245" t="s">
        <v>1328</v>
      </c>
      <c r="D828" s="245"/>
      <c r="F828" s="366">
        <v>44</v>
      </c>
      <c r="G828" s="245" t="s">
        <v>1330</v>
      </c>
      <c r="I828" s="173">
        <v>69</v>
      </c>
      <c r="J828">
        <v>928</v>
      </c>
      <c r="K828" s="173">
        <v>300</v>
      </c>
      <c r="L828" s="402">
        <f t="shared" si="84"/>
        <v>22.306034482758623</v>
      </c>
      <c r="M828" s="173">
        <f t="shared" si="85"/>
        <v>91.306034482758619</v>
      </c>
      <c r="N828" s="174"/>
      <c r="O828" s="173">
        <f t="shared" si="86"/>
        <v>127.82844827586206</v>
      </c>
      <c r="P828" s="173">
        <v>150</v>
      </c>
    </row>
    <row r="829" spans="1:16" hidden="1" x14ac:dyDescent="0.35">
      <c r="A829"/>
      <c r="C829" s="245" t="s">
        <v>1328</v>
      </c>
      <c r="D829" s="245"/>
      <c r="F829" s="366">
        <v>46</v>
      </c>
      <c r="G829" s="245" t="s">
        <v>1330</v>
      </c>
      <c r="I829" s="173">
        <v>69</v>
      </c>
      <c r="J829">
        <v>928</v>
      </c>
      <c r="K829" s="173">
        <v>300</v>
      </c>
      <c r="L829" s="402">
        <f t="shared" si="84"/>
        <v>22.306034482758623</v>
      </c>
      <c r="M829" s="173">
        <f t="shared" si="85"/>
        <v>91.306034482758619</v>
      </c>
      <c r="N829" s="174"/>
      <c r="O829" s="173">
        <f t="shared" si="86"/>
        <v>127.82844827586206</v>
      </c>
      <c r="P829" s="173">
        <v>150</v>
      </c>
    </row>
    <row r="830" spans="1:16" hidden="1" x14ac:dyDescent="0.35">
      <c r="A830"/>
      <c r="C830" s="245" t="s">
        <v>1328</v>
      </c>
      <c r="D830" s="245"/>
      <c r="F830" s="366">
        <v>48</v>
      </c>
      <c r="G830" s="245" t="s">
        <v>1330</v>
      </c>
      <c r="I830" s="173">
        <v>69</v>
      </c>
      <c r="J830">
        <v>928</v>
      </c>
      <c r="K830" s="173">
        <v>300</v>
      </c>
      <c r="L830" s="402">
        <f t="shared" si="84"/>
        <v>22.306034482758623</v>
      </c>
      <c r="M830" s="173">
        <f t="shared" si="85"/>
        <v>91.306034482758619</v>
      </c>
      <c r="N830" s="174"/>
      <c r="O830" s="173">
        <f t="shared" si="86"/>
        <v>127.82844827586206</v>
      </c>
      <c r="P830" s="173">
        <v>150</v>
      </c>
    </row>
    <row r="831" spans="1:16" hidden="1" x14ac:dyDescent="0.35">
      <c r="A831"/>
      <c r="C831" s="245" t="s">
        <v>1328</v>
      </c>
      <c r="D831" s="245"/>
      <c r="F831" s="366">
        <v>38</v>
      </c>
      <c r="G831" s="245" t="s">
        <v>1331</v>
      </c>
      <c r="I831" s="173">
        <v>39</v>
      </c>
      <c r="J831">
        <v>928</v>
      </c>
      <c r="K831" s="173">
        <v>300</v>
      </c>
      <c r="L831" s="402">
        <f t="shared" si="84"/>
        <v>12.607758620689655</v>
      </c>
      <c r="M831" s="173">
        <f t="shared" si="85"/>
        <v>51.607758620689651</v>
      </c>
      <c r="N831" s="174"/>
      <c r="O831" s="173">
        <f t="shared" si="86"/>
        <v>72.250862068965503</v>
      </c>
      <c r="P831" s="173">
        <v>125</v>
      </c>
    </row>
    <row r="832" spans="1:16" hidden="1" x14ac:dyDescent="0.35">
      <c r="A832"/>
      <c r="C832" s="245" t="s">
        <v>1328</v>
      </c>
      <c r="D832" s="245"/>
      <c r="F832" s="366">
        <v>40</v>
      </c>
      <c r="G832" s="245" t="s">
        <v>1331</v>
      </c>
      <c r="I832" s="173">
        <v>39</v>
      </c>
      <c r="J832">
        <v>928</v>
      </c>
      <c r="K832" s="173">
        <v>300</v>
      </c>
      <c r="L832" s="402">
        <f t="shared" si="84"/>
        <v>12.607758620689655</v>
      </c>
      <c r="M832" s="173">
        <f t="shared" si="85"/>
        <v>51.607758620689651</v>
      </c>
      <c r="N832" s="174"/>
      <c r="O832" s="173">
        <f t="shared" si="86"/>
        <v>72.250862068965503</v>
      </c>
      <c r="P832" s="173">
        <v>125</v>
      </c>
    </row>
    <row r="833" spans="1:16" hidden="1" x14ac:dyDescent="0.35">
      <c r="A833"/>
      <c r="C833" s="245" t="s">
        <v>1328</v>
      </c>
      <c r="D833" s="245"/>
      <c r="F833" s="366">
        <v>42</v>
      </c>
      <c r="G833" s="245" t="s">
        <v>1331</v>
      </c>
      <c r="I833" s="173">
        <v>39</v>
      </c>
      <c r="J833">
        <v>928</v>
      </c>
      <c r="K833" s="173">
        <v>300</v>
      </c>
      <c r="L833" s="402">
        <f t="shared" si="84"/>
        <v>12.607758620689655</v>
      </c>
      <c r="M833" s="173">
        <f t="shared" si="85"/>
        <v>51.607758620689651</v>
      </c>
      <c r="N833" s="174"/>
      <c r="O833" s="173">
        <f t="shared" si="86"/>
        <v>72.250862068965503</v>
      </c>
      <c r="P833" s="173">
        <v>125</v>
      </c>
    </row>
    <row r="834" spans="1:16" hidden="1" x14ac:dyDescent="0.35">
      <c r="A834"/>
      <c r="C834" s="245" t="s">
        <v>1328</v>
      </c>
      <c r="D834" s="245"/>
      <c r="F834" s="366">
        <v>44</v>
      </c>
      <c r="G834" s="245" t="s">
        <v>1331</v>
      </c>
      <c r="I834" s="173">
        <v>39</v>
      </c>
      <c r="J834">
        <v>928</v>
      </c>
      <c r="K834" s="173">
        <v>300</v>
      </c>
      <c r="L834" s="402">
        <f t="shared" si="84"/>
        <v>12.607758620689655</v>
      </c>
      <c r="M834" s="173">
        <f t="shared" si="85"/>
        <v>51.607758620689651</v>
      </c>
      <c r="N834" s="174"/>
      <c r="O834" s="173">
        <f t="shared" si="86"/>
        <v>72.250862068965503</v>
      </c>
      <c r="P834" s="173">
        <v>125</v>
      </c>
    </row>
    <row r="835" spans="1:16" hidden="1" x14ac:dyDescent="0.35">
      <c r="A835"/>
      <c r="C835" s="233" t="s">
        <v>583</v>
      </c>
      <c r="G835" s="245" t="s">
        <v>1332</v>
      </c>
      <c r="I835" s="173">
        <v>50</v>
      </c>
      <c r="J835">
        <v>928</v>
      </c>
      <c r="K835" s="173">
        <v>300</v>
      </c>
      <c r="L835" s="402">
        <f t="shared" si="84"/>
        <v>16.163793103448274</v>
      </c>
      <c r="M835" s="173">
        <f t="shared" si="85"/>
        <v>66.16379310344827</v>
      </c>
      <c r="N835" s="174"/>
      <c r="O835" s="173">
        <f t="shared" si="86"/>
        <v>92.629310344827573</v>
      </c>
      <c r="P835" s="173">
        <v>150</v>
      </c>
    </row>
    <row r="836" spans="1:16" hidden="1" x14ac:dyDescent="0.35">
      <c r="A836"/>
      <c r="C836" s="233" t="s">
        <v>583</v>
      </c>
      <c r="G836" s="245" t="s">
        <v>1332</v>
      </c>
      <c r="I836" s="173">
        <v>50</v>
      </c>
      <c r="J836">
        <v>928</v>
      </c>
      <c r="K836" s="173">
        <v>300</v>
      </c>
      <c r="L836" s="402">
        <f t="shared" si="84"/>
        <v>16.163793103448274</v>
      </c>
      <c r="M836" s="173">
        <f t="shared" si="85"/>
        <v>66.16379310344827</v>
      </c>
      <c r="N836" s="174"/>
      <c r="O836" s="173">
        <f t="shared" si="86"/>
        <v>92.629310344827573</v>
      </c>
      <c r="P836" s="173">
        <v>150</v>
      </c>
    </row>
    <row r="837" spans="1:16" hidden="1" x14ac:dyDescent="0.35">
      <c r="A837"/>
      <c r="C837" s="233" t="s">
        <v>583</v>
      </c>
      <c r="G837" s="245" t="s">
        <v>1332</v>
      </c>
      <c r="I837" s="173">
        <v>50</v>
      </c>
      <c r="J837">
        <v>928</v>
      </c>
      <c r="K837" s="173">
        <v>300</v>
      </c>
      <c r="L837" s="402">
        <f t="shared" si="84"/>
        <v>16.163793103448274</v>
      </c>
      <c r="M837" s="173">
        <f t="shared" si="85"/>
        <v>66.16379310344827</v>
      </c>
      <c r="N837" s="174"/>
      <c r="O837" s="173">
        <f t="shared" si="86"/>
        <v>92.629310344827573</v>
      </c>
      <c r="P837" s="173">
        <v>150</v>
      </c>
    </row>
    <row r="838" spans="1:16" hidden="1" x14ac:dyDescent="0.35">
      <c r="A838"/>
      <c r="C838" s="233" t="s">
        <v>583</v>
      </c>
      <c r="G838" s="245" t="s">
        <v>1333</v>
      </c>
      <c r="I838" s="173">
        <v>50</v>
      </c>
      <c r="J838">
        <v>928</v>
      </c>
      <c r="K838" s="173">
        <v>300</v>
      </c>
      <c r="L838" s="402">
        <f t="shared" si="84"/>
        <v>16.163793103448274</v>
      </c>
      <c r="M838" s="173">
        <f t="shared" si="85"/>
        <v>66.16379310344827</v>
      </c>
      <c r="N838" s="174"/>
      <c r="O838" s="173">
        <f t="shared" si="86"/>
        <v>92.629310344827573</v>
      </c>
      <c r="P838" s="173">
        <v>150</v>
      </c>
    </row>
    <row r="839" spans="1:16" hidden="1" x14ac:dyDescent="0.35">
      <c r="A839"/>
      <c r="C839" s="233" t="s">
        <v>583</v>
      </c>
      <c r="G839" s="245" t="s">
        <v>1333</v>
      </c>
      <c r="I839" s="173">
        <v>50</v>
      </c>
      <c r="J839">
        <v>928</v>
      </c>
      <c r="K839" s="173">
        <v>300</v>
      </c>
      <c r="L839" s="402">
        <f t="shared" si="84"/>
        <v>16.163793103448274</v>
      </c>
      <c r="M839" s="173">
        <f t="shared" si="85"/>
        <v>66.16379310344827</v>
      </c>
      <c r="N839" s="174"/>
      <c r="O839" s="173">
        <f t="shared" si="86"/>
        <v>92.629310344827573</v>
      </c>
      <c r="P839" s="173">
        <v>150</v>
      </c>
    </row>
    <row r="840" spans="1:16" hidden="1" x14ac:dyDescent="0.35">
      <c r="A840"/>
      <c r="C840" s="233" t="s">
        <v>583</v>
      </c>
      <c r="G840" s="245" t="s">
        <v>1333</v>
      </c>
      <c r="I840" s="173">
        <v>50</v>
      </c>
      <c r="J840">
        <v>928</v>
      </c>
      <c r="K840" s="173">
        <v>300</v>
      </c>
      <c r="L840" s="402">
        <f t="shared" si="84"/>
        <v>16.163793103448274</v>
      </c>
      <c r="M840" s="173">
        <f t="shared" si="85"/>
        <v>66.16379310344827</v>
      </c>
      <c r="N840" s="174"/>
      <c r="O840" s="173">
        <f t="shared" si="86"/>
        <v>92.629310344827573</v>
      </c>
      <c r="P840" s="173">
        <v>150</v>
      </c>
    </row>
    <row r="841" spans="1:16" hidden="1" x14ac:dyDescent="0.35">
      <c r="A841"/>
      <c r="C841" s="233" t="s">
        <v>583</v>
      </c>
      <c r="G841" s="245" t="s">
        <v>1334</v>
      </c>
      <c r="I841" s="173">
        <v>50</v>
      </c>
      <c r="J841">
        <v>928</v>
      </c>
      <c r="K841" s="173">
        <v>300</v>
      </c>
      <c r="L841" s="402">
        <f t="shared" si="84"/>
        <v>16.163793103448274</v>
      </c>
      <c r="M841" s="173">
        <f t="shared" si="85"/>
        <v>66.16379310344827</v>
      </c>
      <c r="N841" s="174"/>
      <c r="O841" s="173">
        <f t="shared" si="86"/>
        <v>92.629310344827573</v>
      </c>
      <c r="P841" s="173">
        <v>150</v>
      </c>
    </row>
    <row r="842" spans="1:16" hidden="1" x14ac:dyDescent="0.35">
      <c r="A842"/>
      <c r="C842" s="233" t="s">
        <v>583</v>
      </c>
      <c r="G842" s="245" t="s">
        <v>1334</v>
      </c>
      <c r="I842" s="173">
        <v>50</v>
      </c>
      <c r="J842">
        <v>928</v>
      </c>
      <c r="K842" s="173">
        <v>300</v>
      </c>
      <c r="L842" s="402">
        <f t="shared" si="84"/>
        <v>16.163793103448274</v>
      </c>
      <c r="M842" s="173">
        <f t="shared" si="85"/>
        <v>66.16379310344827</v>
      </c>
      <c r="N842" s="174"/>
      <c r="O842" s="173">
        <f t="shared" si="86"/>
        <v>92.629310344827573</v>
      </c>
      <c r="P842" s="173">
        <v>150</v>
      </c>
    </row>
    <row r="843" spans="1:16" hidden="1" x14ac:dyDescent="0.35">
      <c r="A843"/>
      <c r="C843" s="233" t="s">
        <v>583</v>
      </c>
      <c r="G843" s="245" t="s">
        <v>1334</v>
      </c>
      <c r="I843" s="173">
        <v>50</v>
      </c>
      <c r="J843">
        <v>928</v>
      </c>
      <c r="K843" s="173">
        <v>300</v>
      </c>
      <c r="L843" s="402">
        <f t="shared" si="84"/>
        <v>16.163793103448274</v>
      </c>
      <c r="M843" s="173">
        <f t="shared" si="85"/>
        <v>66.16379310344827</v>
      </c>
      <c r="N843" s="174"/>
      <c r="O843" s="173">
        <f t="shared" si="86"/>
        <v>92.629310344827573</v>
      </c>
      <c r="P843" s="173">
        <v>150</v>
      </c>
    </row>
    <row r="844" spans="1:16" hidden="1" x14ac:dyDescent="0.35">
      <c r="A844"/>
      <c r="C844" s="232" t="s">
        <v>1345</v>
      </c>
      <c r="D844" s="232"/>
      <c r="L844" s="402"/>
      <c r="N844" s="174"/>
    </row>
    <row r="845" spans="1:16" hidden="1" x14ac:dyDescent="0.35">
      <c r="A845"/>
      <c r="C845" s="233" t="s">
        <v>943</v>
      </c>
      <c r="F845" s="366">
        <v>46</v>
      </c>
      <c r="G845" s="245" t="s">
        <v>1346</v>
      </c>
      <c r="I845" s="173">
        <v>29</v>
      </c>
      <c r="J845">
        <v>232</v>
      </c>
      <c r="K845" s="173">
        <f>65+23</f>
        <v>88</v>
      </c>
      <c r="L845" s="402">
        <f t="shared" ref="L845:L852" si="87">+I845/J845*K845</f>
        <v>11</v>
      </c>
      <c r="M845" s="173">
        <f t="shared" ref="M845:M852" si="88">+I845+L845</f>
        <v>40</v>
      </c>
      <c r="N845" s="174"/>
      <c r="O845" s="173">
        <f t="shared" ref="O845:O852" si="89">+M845*1.4</f>
        <v>56</v>
      </c>
      <c r="P845" s="173">
        <v>90</v>
      </c>
    </row>
    <row r="846" spans="1:16" hidden="1" x14ac:dyDescent="0.35">
      <c r="A846"/>
      <c r="C846" s="233" t="s">
        <v>943</v>
      </c>
      <c r="F846" s="366">
        <v>48</v>
      </c>
      <c r="G846" s="245" t="s">
        <v>1346</v>
      </c>
      <c r="I846" s="173">
        <v>29</v>
      </c>
      <c r="J846">
        <v>232</v>
      </c>
      <c r="K846" s="173">
        <f t="shared" ref="K846:K852" si="90">65+23</f>
        <v>88</v>
      </c>
      <c r="L846" s="402">
        <f t="shared" si="87"/>
        <v>11</v>
      </c>
      <c r="M846" s="173">
        <f t="shared" si="88"/>
        <v>40</v>
      </c>
      <c r="N846" s="174"/>
      <c r="O846" s="173">
        <f t="shared" si="89"/>
        <v>56</v>
      </c>
      <c r="P846" s="173">
        <v>90</v>
      </c>
    </row>
    <row r="847" spans="1:16" hidden="1" x14ac:dyDescent="0.35">
      <c r="A847"/>
      <c r="C847" s="233" t="s">
        <v>943</v>
      </c>
      <c r="F847" s="366">
        <v>50</v>
      </c>
      <c r="G847" s="245" t="s">
        <v>1346</v>
      </c>
      <c r="I847" s="173">
        <v>29</v>
      </c>
      <c r="J847">
        <v>232</v>
      </c>
      <c r="K847" s="173">
        <f t="shared" si="90"/>
        <v>88</v>
      </c>
      <c r="L847" s="402">
        <f t="shared" si="87"/>
        <v>11</v>
      </c>
      <c r="M847" s="173">
        <f t="shared" si="88"/>
        <v>40</v>
      </c>
      <c r="N847" s="174"/>
      <c r="O847" s="173">
        <f t="shared" si="89"/>
        <v>56</v>
      </c>
      <c r="P847" s="173">
        <v>90</v>
      </c>
    </row>
    <row r="848" spans="1:16" hidden="1" x14ac:dyDescent="0.35">
      <c r="A848"/>
      <c r="C848" s="233" t="s">
        <v>943</v>
      </c>
      <c r="F848" s="366">
        <v>52</v>
      </c>
      <c r="G848" s="245" t="s">
        <v>1346</v>
      </c>
      <c r="I848" s="173">
        <v>29</v>
      </c>
      <c r="J848">
        <v>232</v>
      </c>
      <c r="K848" s="173">
        <f t="shared" si="90"/>
        <v>88</v>
      </c>
      <c r="L848" s="402">
        <f t="shared" si="87"/>
        <v>11</v>
      </c>
      <c r="M848" s="173">
        <f t="shared" si="88"/>
        <v>40</v>
      </c>
      <c r="N848" s="174"/>
      <c r="O848" s="173">
        <f t="shared" si="89"/>
        <v>56</v>
      </c>
      <c r="P848" s="173">
        <v>90</v>
      </c>
    </row>
    <row r="849" spans="1:16" hidden="1" x14ac:dyDescent="0.35">
      <c r="A849"/>
      <c r="C849" s="233" t="s">
        <v>943</v>
      </c>
      <c r="F849" s="366">
        <v>46</v>
      </c>
      <c r="G849" s="245" t="s">
        <v>1347</v>
      </c>
      <c r="I849" s="173">
        <v>29</v>
      </c>
      <c r="J849">
        <v>232</v>
      </c>
      <c r="K849" s="173">
        <f t="shared" si="90"/>
        <v>88</v>
      </c>
      <c r="L849" s="402">
        <f t="shared" si="87"/>
        <v>11</v>
      </c>
      <c r="M849" s="173">
        <f t="shared" si="88"/>
        <v>40</v>
      </c>
      <c r="N849" s="174"/>
      <c r="O849" s="173">
        <f t="shared" si="89"/>
        <v>56</v>
      </c>
      <c r="P849" s="173">
        <v>90</v>
      </c>
    </row>
    <row r="850" spans="1:16" hidden="1" x14ac:dyDescent="0.35">
      <c r="A850"/>
      <c r="C850" s="233" t="s">
        <v>943</v>
      </c>
      <c r="F850" s="366">
        <v>48</v>
      </c>
      <c r="G850" s="245" t="s">
        <v>1347</v>
      </c>
      <c r="I850" s="173">
        <v>29</v>
      </c>
      <c r="J850">
        <v>232</v>
      </c>
      <c r="K850" s="173">
        <f t="shared" si="90"/>
        <v>88</v>
      </c>
      <c r="L850" s="402">
        <f t="shared" si="87"/>
        <v>11</v>
      </c>
      <c r="M850" s="173">
        <f t="shared" si="88"/>
        <v>40</v>
      </c>
      <c r="N850" s="174"/>
      <c r="O850" s="173">
        <f t="shared" si="89"/>
        <v>56</v>
      </c>
      <c r="P850" s="173">
        <v>90</v>
      </c>
    </row>
    <row r="851" spans="1:16" hidden="1" x14ac:dyDescent="0.35">
      <c r="A851"/>
      <c r="C851" s="233" t="s">
        <v>943</v>
      </c>
      <c r="F851" s="366">
        <v>50</v>
      </c>
      <c r="G851" s="245" t="s">
        <v>1347</v>
      </c>
      <c r="I851" s="173">
        <v>29</v>
      </c>
      <c r="J851">
        <v>232</v>
      </c>
      <c r="K851" s="173">
        <f t="shared" si="90"/>
        <v>88</v>
      </c>
      <c r="L851" s="402">
        <f t="shared" si="87"/>
        <v>11</v>
      </c>
      <c r="M851" s="173">
        <f t="shared" si="88"/>
        <v>40</v>
      </c>
      <c r="N851" s="174"/>
      <c r="O851" s="173">
        <f t="shared" si="89"/>
        <v>56</v>
      </c>
      <c r="P851" s="173">
        <v>90</v>
      </c>
    </row>
    <row r="852" spans="1:16" hidden="1" x14ac:dyDescent="0.35">
      <c r="A852"/>
      <c r="C852" s="233" t="s">
        <v>943</v>
      </c>
      <c r="F852" s="366">
        <v>52</v>
      </c>
      <c r="G852" s="245" t="s">
        <v>1347</v>
      </c>
      <c r="I852" s="173">
        <v>29</v>
      </c>
      <c r="J852">
        <v>232</v>
      </c>
      <c r="K852" s="173">
        <f t="shared" si="90"/>
        <v>88</v>
      </c>
      <c r="L852" s="402">
        <f t="shared" si="87"/>
        <v>11</v>
      </c>
      <c r="M852" s="173">
        <f t="shared" si="88"/>
        <v>40</v>
      </c>
      <c r="N852" s="174"/>
      <c r="O852" s="173">
        <f t="shared" si="89"/>
        <v>56</v>
      </c>
      <c r="P852" s="173">
        <v>90</v>
      </c>
    </row>
    <row r="853" spans="1:16" s="3" customFormat="1" hidden="1" x14ac:dyDescent="0.35">
      <c r="C853" s="232"/>
      <c r="D853" s="232"/>
      <c r="F853" s="340"/>
      <c r="G853" s="256"/>
      <c r="H853" s="256"/>
      <c r="I853" s="146">
        <f>SUM(I781:I843)</f>
        <v>2300</v>
      </c>
      <c r="J853" s="146"/>
      <c r="K853" s="146"/>
      <c r="L853" s="146"/>
      <c r="M853" s="146"/>
      <c r="N853" s="146"/>
      <c r="O853" s="146">
        <f>SUM(O781:O821)</f>
        <v>2344.9999999999995</v>
      </c>
      <c r="P853" s="146">
        <f>SUM(P781:P821)</f>
        <v>3985</v>
      </c>
    </row>
    <row r="854" spans="1:16" hidden="1" x14ac:dyDescent="0.35">
      <c r="A854"/>
      <c r="J854" s="173"/>
      <c r="N854" s="173"/>
    </row>
    <row r="855" spans="1:16" hidden="1" x14ac:dyDescent="0.35">
      <c r="A855"/>
      <c r="G855" s="245" t="s">
        <v>1431</v>
      </c>
      <c r="J855" s="173"/>
      <c r="N855" s="173"/>
    </row>
    <row r="856" spans="1:16" hidden="1" x14ac:dyDescent="0.35">
      <c r="A856"/>
      <c r="C856" s="233" t="s">
        <v>1432</v>
      </c>
      <c r="G856" s="245" t="s">
        <v>1433</v>
      </c>
      <c r="I856" s="173">
        <v>19</v>
      </c>
      <c r="J856" s="173"/>
      <c r="N856" s="173"/>
      <c r="P856" s="173">
        <v>90</v>
      </c>
    </row>
    <row r="857" spans="1:16" hidden="1" x14ac:dyDescent="0.35">
      <c r="A857"/>
      <c r="C857" s="233" t="s">
        <v>1432</v>
      </c>
      <c r="G857" s="245" t="s">
        <v>1433</v>
      </c>
      <c r="I857" s="173">
        <v>19</v>
      </c>
      <c r="J857" s="173"/>
      <c r="N857" s="173"/>
      <c r="P857" s="173">
        <v>90</v>
      </c>
    </row>
    <row r="858" spans="1:16" hidden="1" x14ac:dyDescent="0.35">
      <c r="A858"/>
      <c r="C858" s="233" t="s">
        <v>1432</v>
      </c>
      <c r="G858" s="245" t="s">
        <v>1433</v>
      </c>
      <c r="I858" s="173">
        <v>19</v>
      </c>
      <c r="J858" s="173"/>
      <c r="N858" s="173"/>
      <c r="P858" s="173">
        <v>90</v>
      </c>
    </row>
    <row r="859" spans="1:16" hidden="1" x14ac:dyDescent="0.35">
      <c r="A859"/>
      <c r="C859" s="233" t="s">
        <v>1432</v>
      </c>
      <c r="G859" s="245" t="s">
        <v>1433</v>
      </c>
      <c r="I859" s="173">
        <v>19</v>
      </c>
      <c r="J859" s="173"/>
      <c r="N859" s="173"/>
      <c r="P859" s="173">
        <v>90</v>
      </c>
    </row>
    <row r="860" spans="1:16" hidden="1" x14ac:dyDescent="0.35">
      <c r="A860"/>
      <c r="C860" s="233" t="s">
        <v>1432</v>
      </c>
      <c r="G860" s="245" t="s">
        <v>1433</v>
      </c>
      <c r="I860" s="173">
        <v>19</v>
      </c>
      <c r="J860" s="173"/>
      <c r="N860" s="173"/>
      <c r="P860" s="173">
        <v>90</v>
      </c>
    </row>
    <row r="861" spans="1:16" hidden="1" x14ac:dyDescent="0.35">
      <c r="A861"/>
      <c r="C861" s="233" t="s">
        <v>1432</v>
      </c>
      <c r="G861" s="245" t="s">
        <v>1433</v>
      </c>
      <c r="I861" s="173">
        <v>19</v>
      </c>
      <c r="J861" s="173"/>
      <c r="N861" s="173"/>
      <c r="P861" s="173">
        <v>90</v>
      </c>
    </row>
    <row r="862" spans="1:16" hidden="1" x14ac:dyDescent="0.35">
      <c r="A862"/>
      <c r="C862" s="233" t="s">
        <v>1432</v>
      </c>
      <c r="G862" s="245" t="s">
        <v>1434</v>
      </c>
      <c r="I862" s="173">
        <v>25</v>
      </c>
      <c r="J862" s="173"/>
      <c r="N862" s="173"/>
      <c r="P862" s="173">
        <v>90</v>
      </c>
    </row>
    <row r="863" spans="1:16" hidden="1" x14ac:dyDescent="0.35">
      <c r="A863"/>
      <c r="C863" s="233" t="s">
        <v>1432</v>
      </c>
      <c r="G863" s="245" t="s">
        <v>1434</v>
      </c>
      <c r="I863" s="173">
        <v>25</v>
      </c>
      <c r="J863" s="173"/>
      <c r="N863" s="173"/>
      <c r="P863" s="173">
        <v>90</v>
      </c>
    </row>
    <row r="864" spans="1:16" hidden="1" x14ac:dyDescent="0.35">
      <c r="A864"/>
      <c r="C864" s="233" t="s">
        <v>1432</v>
      </c>
      <c r="G864" s="245" t="s">
        <v>1434</v>
      </c>
      <c r="I864" s="173">
        <v>25</v>
      </c>
      <c r="J864" s="173"/>
      <c r="N864" s="173"/>
      <c r="P864" s="173">
        <v>90</v>
      </c>
    </row>
    <row r="865" spans="1:16" hidden="1" x14ac:dyDescent="0.35">
      <c r="A865"/>
      <c r="C865" s="233" t="s">
        <v>1432</v>
      </c>
      <c r="G865" s="245" t="s">
        <v>1434</v>
      </c>
      <c r="I865" s="173">
        <v>25</v>
      </c>
      <c r="J865" s="173"/>
      <c r="N865" s="173"/>
      <c r="P865" s="173">
        <v>90</v>
      </c>
    </row>
    <row r="866" spans="1:16" hidden="1" x14ac:dyDescent="0.35">
      <c r="A866"/>
      <c r="C866" s="233" t="s">
        <v>1432</v>
      </c>
      <c r="G866" s="245" t="s">
        <v>1434</v>
      </c>
      <c r="I866" s="173">
        <v>25</v>
      </c>
      <c r="N866" s="174"/>
      <c r="P866" s="173">
        <v>90</v>
      </c>
    </row>
    <row r="867" spans="1:16" hidden="1" x14ac:dyDescent="0.35">
      <c r="A867"/>
      <c r="C867" s="233" t="s">
        <v>941</v>
      </c>
      <c r="G867" s="245" t="s">
        <v>1435</v>
      </c>
      <c r="I867" s="173">
        <v>26</v>
      </c>
      <c r="N867" s="174"/>
      <c r="P867" s="173">
        <v>90</v>
      </c>
    </row>
    <row r="868" spans="1:16" hidden="1" x14ac:dyDescent="0.35">
      <c r="A868"/>
      <c r="C868" s="233" t="s">
        <v>941</v>
      </c>
      <c r="G868" s="245" t="s">
        <v>1435</v>
      </c>
      <c r="I868" s="173">
        <v>26</v>
      </c>
      <c r="N868" s="174"/>
      <c r="P868" s="173">
        <v>90</v>
      </c>
    </row>
    <row r="869" spans="1:16" hidden="1" x14ac:dyDescent="0.35">
      <c r="A869"/>
      <c r="C869" s="233" t="s">
        <v>941</v>
      </c>
      <c r="G869" s="245" t="s">
        <v>1435</v>
      </c>
      <c r="I869" s="173">
        <v>26</v>
      </c>
      <c r="N869" s="174"/>
      <c r="P869" s="173">
        <v>90</v>
      </c>
    </row>
    <row r="870" spans="1:16" hidden="1" x14ac:dyDescent="0.35">
      <c r="A870"/>
      <c r="C870" s="233" t="s">
        <v>941</v>
      </c>
      <c r="G870" s="245" t="s">
        <v>1435</v>
      </c>
      <c r="I870" s="173">
        <v>26</v>
      </c>
      <c r="N870" s="174"/>
      <c r="P870" s="173">
        <v>90</v>
      </c>
    </row>
    <row r="871" spans="1:16" s="3" customFormat="1" hidden="1" x14ac:dyDescent="0.35">
      <c r="C871" s="232"/>
      <c r="D871" s="232"/>
      <c r="F871" s="340"/>
      <c r="G871" s="256"/>
      <c r="H871" s="256"/>
      <c r="I871" s="146">
        <f>SUM(I856:I870)</f>
        <v>343</v>
      </c>
      <c r="K871" s="146"/>
      <c r="L871" s="146"/>
      <c r="M871" s="146"/>
      <c r="N871" s="481"/>
      <c r="O871" s="146"/>
      <c r="P871" s="146">
        <f>SUM(P856:P870)</f>
        <v>1350</v>
      </c>
    </row>
    <row r="872" spans="1:16" hidden="1" x14ac:dyDescent="0.35">
      <c r="A872"/>
      <c r="N872" s="174"/>
    </row>
    <row r="873" spans="1:16" hidden="1" x14ac:dyDescent="0.35">
      <c r="A873"/>
      <c r="G873" s="245" t="s">
        <v>1437</v>
      </c>
      <c r="I873" s="173">
        <f>+I19+I255+I379+I458+I477+I650+I691+I711+I720+I778+I853+I871</f>
        <v>25079.079999999987</v>
      </c>
      <c r="N873" s="174"/>
    </row>
    <row r="874" spans="1:16" x14ac:dyDescent="0.35">
      <c r="A874"/>
      <c r="N874" s="174"/>
    </row>
    <row r="875" spans="1:16" x14ac:dyDescent="0.35">
      <c r="A875"/>
      <c r="N875" s="174"/>
    </row>
    <row r="876" spans="1:16" hidden="1" x14ac:dyDescent="0.35">
      <c r="A876"/>
      <c r="G876" s="566">
        <v>45658</v>
      </c>
      <c r="H876" s="566"/>
      <c r="N876" s="174"/>
    </row>
    <row r="877" spans="1:16" hidden="1" x14ac:dyDescent="0.35">
      <c r="A877"/>
      <c r="G877" s="245" t="s">
        <v>13</v>
      </c>
      <c r="N877" s="174"/>
    </row>
    <row r="878" spans="1:16" hidden="1" x14ac:dyDescent="0.35">
      <c r="A878"/>
      <c r="C878" s="233" t="s">
        <v>1348</v>
      </c>
      <c r="E878">
        <v>1</v>
      </c>
      <c r="F878" s="366" t="s">
        <v>408</v>
      </c>
      <c r="G878" s="371" t="s">
        <v>1349</v>
      </c>
      <c r="H878" s="371"/>
      <c r="I878" s="173">
        <v>25</v>
      </c>
      <c r="J878">
        <v>3550</v>
      </c>
      <c r="K878" s="173">
        <v>5698</v>
      </c>
      <c r="L878" s="402">
        <f t="shared" ref="L878:L909" si="91">+I878/J878*K878</f>
        <v>40.12676056338028</v>
      </c>
      <c r="M878" s="173">
        <f t="shared" ref="M878:M909" si="92">+I878+L878</f>
        <v>65.126760563380287</v>
      </c>
      <c r="N878" s="174"/>
      <c r="O878" s="173">
        <f t="shared" ref="O878:O909" si="93">+M878*1.4</f>
        <v>91.177464788732394</v>
      </c>
      <c r="P878" s="173">
        <v>130</v>
      </c>
    </row>
    <row r="879" spans="1:16" hidden="1" x14ac:dyDescent="0.35">
      <c r="A879"/>
      <c r="C879" s="233" t="s">
        <v>1348</v>
      </c>
      <c r="E879">
        <v>2</v>
      </c>
      <c r="F879" s="366" t="s">
        <v>407</v>
      </c>
      <c r="G879" s="371" t="s">
        <v>1349</v>
      </c>
      <c r="H879" s="371"/>
      <c r="I879" s="173">
        <v>25</v>
      </c>
      <c r="J879">
        <v>3550</v>
      </c>
      <c r="K879" s="173">
        <v>5698</v>
      </c>
      <c r="L879" s="402">
        <f t="shared" si="91"/>
        <v>40.12676056338028</v>
      </c>
      <c r="M879" s="173">
        <f t="shared" si="92"/>
        <v>65.126760563380287</v>
      </c>
      <c r="N879" s="174"/>
      <c r="O879" s="173">
        <f t="shared" si="93"/>
        <v>91.177464788732394</v>
      </c>
      <c r="P879" s="173">
        <v>130</v>
      </c>
    </row>
    <row r="880" spans="1:16" hidden="1" x14ac:dyDescent="0.35">
      <c r="A880"/>
      <c r="C880" s="233" t="s">
        <v>1348</v>
      </c>
      <c r="E880">
        <v>3</v>
      </c>
      <c r="F880" s="366" t="s">
        <v>410</v>
      </c>
      <c r="G880" s="371" t="s">
        <v>1349</v>
      </c>
      <c r="H880" s="371"/>
      <c r="I880" s="173">
        <v>25</v>
      </c>
      <c r="J880">
        <v>3550</v>
      </c>
      <c r="K880" s="173">
        <v>5698</v>
      </c>
      <c r="L880" s="402">
        <f t="shared" si="91"/>
        <v>40.12676056338028</v>
      </c>
      <c r="M880" s="173">
        <f t="shared" si="92"/>
        <v>65.126760563380287</v>
      </c>
      <c r="N880" s="174"/>
      <c r="O880" s="173">
        <f t="shared" si="93"/>
        <v>91.177464788732394</v>
      </c>
      <c r="P880" s="173">
        <v>130</v>
      </c>
    </row>
    <row r="881" spans="1:16" hidden="1" x14ac:dyDescent="0.35">
      <c r="A881"/>
      <c r="C881" s="233" t="s">
        <v>1348</v>
      </c>
      <c r="E881">
        <v>4</v>
      </c>
      <c r="G881" s="435" t="s">
        <v>1349</v>
      </c>
      <c r="H881" s="435"/>
      <c r="I881" s="173">
        <v>25</v>
      </c>
      <c r="J881">
        <v>3550</v>
      </c>
      <c r="K881" s="173">
        <v>5698</v>
      </c>
      <c r="L881" s="402">
        <f t="shared" si="91"/>
        <v>40.12676056338028</v>
      </c>
      <c r="M881" s="173">
        <f t="shared" si="92"/>
        <v>65.126760563380287</v>
      </c>
      <c r="N881" s="174"/>
      <c r="O881" s="173">
        <f t="shared" si="93"/>
        <v>91.177464788732394</v>
      </c>
      <c r="P881" s="173">
        <v>130</v>
      </c>
    </row>
    <row r="882" spans="1:16" hidden="1" x14ac:dyDescent="0.35">
      <c r="A882"/>
      <c r="C882" s="233" t="s">
        <v>1348</v>
      </c>
      <c r="E882">
        <v>5</v>
      </c>
      <c r="G882" s="435" t="s">
        <v>1349</v>
      </c>
      <c r="H882" s="435"/>
      <c r="I882" s="173">
        <v>25</v>
      </c>
      <c r="J882">
        <v>3550</v>
      </c>
      <c r="K882" s="173">
        <v>5698</v>
      </c>
      <c r="L882" s="402">
        <f t="shared" si="91"/>
        <v>40.12676056338028</v>
      </c>
      <c r="M882" s="173">
        <f t="shared" si="92"/>
        <v>65.126760563380287</v>
      </c>
      <c r="N882" s="174"/>
      <c r="O882" s="173">
        <f t="shared" si="93"/>
        <v>91.177464788732394</v>
      </c>
      <c r="P882" s="173">
        <v>130</v>
      </c>
    </row>
    <row r="883" spans="1:16" hidden="1" x14ac:dyDescent="0.35">
      <c r="A883"/>
      <c r="C883" s="233" t="s">
        <v>1348</v>
      </c>
      <c r="E883">
        <v>6</v>
      </c>
      <c r="G883" s="435" t="s">
        <v>1349</v>
      </c>
      <c r="H883" s="435"/>
      <c r="I883" s="173">
        <v>25</v>
      </c>
      <c r="J883">
        <v>3550</v>
      </c>
      <c r="K883" s="173">
        <v>5698</v>
      </c>
      <c r="L883" s="402">
        <f t="shared" si="91"/>
        <v>40.12676056338028</v>
      </c>
      <c r="M883" s="173">
        <f t="shared" si="92"/>
        <v>65.126760563380287</v>
      </c>
      <c r="N883" s="174"/>
      <c r="O883" s="173">
        <f t="shared" si="93"/>
        <v>91.177464788732394</v>
      </c>
      <c r="P883" s="173">
        <v>130</v>
      </c>
    </row>
    <row r="884" spans="1:16" hidden="1" x14ac:dyDescent="0.35">
      <c r="A884"/>
      <c r="C884" s="233" t="s">
        <v>1348</v>
      </c>
      <c r="E884">
        <v>7</v>
      </c>
      <c r="F884" s="366" t="s">
        <v>407</v>
      </c>
      <c r="G884" s="371" t="s">
        <v>1350</v>
      </c>
      <c r="H884" s="371"/>
      <c r="I884" s="173">
        <v>22.142857142857142</v>
      </c>
      <c r="J884">
        <v>3550</v>
      </c>
      <c r="K884" s="173">
        <v>5698</v>
      </c>
      <c r="L884" s="402">
        <f t="shared" si="91"/>
        <v>35.540845070422534</v>
      </c>
      <c r="M884" s="173">
        <f t="shared" si="92"/>
        <v>57.683702213279673</v>
      </c>
      <c r="N884" s="174"/>
      <c r="O884" s="173">
        <f t="shared" si="93"/>
        <v>80.75718309859154</v>
      </c>
      <c r="P884" s="173">
        <v>125</v>
      </c>
    </row>
    <row r="885" spans="1:16" hidden="1" x14ac:dyDescent="0.35">
      <c r="A885"/>
      <c r="C885" s="233" t="s">
        <v>1348</v>
      </c>
      <c r="E885">
        <v>8</v>
      </c>
      <c r="F885" s="366" t="s">
        <v>409</v>
      </c>
      <c r="G885" s="371" t="s">
        <v>1350</v>
      </c>
      <c r="H885" s="371"/>
      <c r="I885" s="173">
        <v>22.142857142857142</v>
      </c>
      <c r="J885">
        <v>3550</v>
      </c>
      <c r="K885" s="173">
        <v>5698</v>
      </c>
      <c r="L885" s="402">
        <f t="shared" si="91"/>
        <v>35.540845070422534</v>
      </c>
      <c r="M885" s="173">
        <f t="shared" si="92"/>
        <v>57.683702213279673</v>
      </c>
      <c r="N885" s="174"/>
      <c r="O885" s="173">
        <f t="shared" si="93"/>
        <v>80.75718309859154</v>
      </c>
      <c r="P885" s="173">
        <v>125</v>
      </c>
    </row>
    <row r="886" spans="1:16" hidden="1" x14ac:dyDescent="0.35">
      <c r="A886"/>
      <c r="C886" s="233" t="s">
        <v>1348</v>
      </c>
      <c r="E886">
        <v>9</v>
      </c>
      <c r="F886" s="366" t="s">
        <v>410</v>
      </c>
      <c r="G886" s="371" t="s">
        <v>1350</v>
      </c>
      <c r="H886" s="371"/>
      <c r="I886" s="173">
        <v>22.142857142857142</v>
      </c>
      <c r="J886">
        <v>3550</v>
      </c>
      <c r="K886" s="173">
        <v>5698</v>
      </c>
      <c r="L886" s="402">
        <f t="shared" si="91"/>
        <v>35.540845070422534</v>
      </c>
      <c r="M886" s="173">
        <f t="shared" si="92"/>
        <v>57.683702213279673</v>
      </c>
      <c r="N886" s="174"/>
      <c r="O886" s="173">
        <f t="shared" si="93"/>
        <v>80.75718309859154</v>
      </c>
      <c r="P886" s="173">
        <v>125</v>
      </c>
    </row>
    <row r="887" spans="1:16" hidden="1" x14ac:dyDescent="0.35">
      <c r="A887"/>
      <c r="C887" s="233" t="s">
        <v>1348</v>
      </c>
      <c r="E887">
        <v>10</v>
      </c>
      <c r="G887" s="435" t="s">
        <v>1350</v>
      </c>
      <c r="H887" s="435"/>
      <c r="I887" s="173">
        <v>22.142857142857142</v>
      </c>
      <c r="J887">
        <v>3550</v>
      </c>
      <c r="K887" s="173">
        <v>5698</v>
      </c>
      <c r="L887" s="402">
        <f t="shared" si="91"/>
        <v>35.540845070422534</v>
      </c>
      <c r="M887" s="173">
        <f t="shared" si="92"/>
        <v>57.683702213279673</v>
      </c>
      <c r="N887" s="174"/>
      <c r="O887" s="173">
        <f t="shared" si="93"/>
        <v>80.75718309859154</v>
      </c>
      <c r="P887" s="173">
        <v>125</v>
      </c>
    </row>
    <row r="888" spans="1:16" hidden="1" x14ac:dyDescent="0.35">
      <c r="A888"/>
      <c r="C888" s="233" t="s">
        <v>1348</v>
      </c>
      <c r="E888">
        <v>11</v>
      </c>
      <c r="G888" s="371" t="s">
        <v>1416</v>
      </c>
      <c r="H888" s="371"/>
      <c r="I888" s="173">
        <v>22</v>
      </c>
      <c r="J888">
        <v>3550</v>
      </c>
      <c r="K888" s="173">
        <v>5698</v>
      </c>
      <c r="L888" s="402">
        <f t="shared" si="91"/>
        <v>35.311549295774647</v>
      </c>
      <c r="M888" s="173">
        <f t="shared" si="92"/>
        <v>57.311549295774647</v>
      </c>
      <c r="N888" s="174"/>
      <c r="O888" s="173">
        <f t="shared" si="93"/>
        <v>80.236169014084496</v>
      </c>
      <c r="P888" s="173">
        <v>125</v>
      </c>
    </row>
    <row r="889" spans="1:16" hidden="1" x14ac:dyDescent="0.35">
      <c r="A889"/>
      <c r="C889" s="233" t="s">
        <v>1348</v>
      </c>
      <c r="E889">
        <v>12</v>
      </c>
      <c r="G889" s="435" t="s">
        <v>1416</v>
      </c>
      <c r="H889" s="435"/>
      <c r="I889" s="173">
        <v>22</v>
      </c>
      <c r="J889">
        <v>3550</v>
      </c>
      <c r="K889" s="173">
        <v>5698</v>
      </c>
      <c r="L889" s="402">
        <f t="shared" si="91"/>
        <v>35.311549295774647</v>
      </c>
      <c r="M889" s="173">
        <f t="shared" si="92"/>
        <v>57.311549295774647</v>
      </c>
      <c r="N889" s="174"/>
      <c r="O889" s="173">
        <f t="shared" si="93"/>
        <v>80.236169014084496</v>
      </c>
      <c r="P889" s="173">
        <v>125</v>
      </c>
    </row>
    <row r="890" spans="1:16" hidden="1" x14ac:dyDescent="0.35">
      <c r="A890"/>
      <c r="C890" s="233" t="s">
        <v>1348</v>
      </c>
      <c r="E890">
        <v>13</v>
      </c>
      <c r="G890" s="435" t="s">
        <v>1416</v>
      </c>
      <c r="H890" s="435"/>
      <c r="I890" s="173">
        <v>22</v>
      </c>
      <c r="J890">
        <v>3550</v>
      </c>
      <c r="K890" s="173">
        <v>5698</v>
      </c>
      <c r="L890" s="402">
        <f t="shared" si="91"/>
        <v>35.311549295774647</v>
      </c>
      <c r="M890" s="173">
        <f t="shared" si="92"/>
        <v>57.311549295774647</v>
      </c>
      <c r="N890" s="174"/>
      <c r="O890" s="173">
        <f t="shared" si="93"/>
        <v>80.236169014084496</v>
      </c>
      <c r="P890" s="173">
        <v>125</v>
      </c>
    </row>
    <row r="891" spans="1:16" hidden="1" x14ac:dyDescent="0.35">
      <c r="A891"/>
      <c r="C891" s="233" t="s">
        <v>1348</v>
      </c>
      <c r="E891">
        <v>14</v>
      </c>
      <c r="G891" s="435" t="s">
        <v>1416</v>
      </c>
      <c r="H891" s="435"/>
      <c r="I891" s="173">
        <v>22</v>
      </c>
      <c r="J891">
        <v>3550</v>
      </c>
      <c r="K891" s="173">
        <v>5698</v>
      </c>
      <c r="L891" s="402">
        <f t="shared" si="91"/>
        <v>35.311549295774647</v>
      </c>
      <c r="M891" s="173">
        <f t="shared" si="92"/>
        <v>57.311549295774647</v>
      </c>
      <c r="N891" s="174"/>
      <c r="O891" s="173">
        <f t="shared" si="93"/>
        <v>80.236169014084496</v>
      </c>
      <c r="P891" s="173">
        <v>125</v>
      </c>
    </row>
    <row r="892" spans="1:16" hidden="1" x14ac:dyDescent="0.35">
      <c r="A892"/>
      <c r="C892" s="233" t="s">
        <v>1348</v>
      </c>
      <c r="E892">
        <v>15</v>
      </c>
      <c r="F892" s="366" t="s">
        <v>407</v>
      </c>
      <c r="G892" s="371" t="s">
        <v>1351</v>
      </c>
      <c r="H892" s="371"/>
      <c r="I892" s="173">
        <v>34</v>
      </c>
      <c r="J892">
        <v>3550</v>
      </c>
      <c r="K892" s="173">
        <v>5698</v>
      </c>
      <c r="L892" s="402">
        <f t="shared" si="91"/>
        <v>54.57239436619718</v>
      </c>
      <c r="M892" s="173">
        <f t="shared" si="92"/>
        <v>88.572394366197187</v>
      </c>
      <c r="N892" s="174"/>
      <c r="O892" s="173">
        <f t="shared" si="93"/>
        <v>124.00135211267606</v>
      </c>
      <c r="P892" s="173">
        <v>150</v>
      </c>
    </row>
    <row r="893" spans="1:16" hidden="1" x14ac:dyDescent="0.35">
      <c r="A893"/>
      <c r="C893" s="233" t="s">
        <v>1348</v>
      </c>
      <c r="E893">
        <v>16</v>
      </c>
      <c r="F893" s="366" t="s">
        <v>407</v>
      </c>
      <c r="G893" s="371" t="s">
        <v>1364</v>
      </c>
      <c r="H893" s="371"/>
      <c r="I893" s="173">
        <v>34</v>
      </c>
      <c r="J893">
        <v>3550</v>
      </c>
      <c r="K893" s="173">
        <v>5698</v>
      </c>
      <c r="L893" s="402">
        <f t="shared" si="91"/>
        <v>54.57239436619718</v>
      </c>
      <c r="M893" s="173">
        <f t="shared" si="92"/>
        <v>88.572394366197187</v>
      </c>
      <c r="N893" s="174"/>
      <c r="O893" s="173">
        <f t="shared" si="93"/>
        <v>124.00135211267606</v>
      </c>
      <c r="P893" s="173">
        <v>150</v>
      </c>
    </row>
    <row r="894" spans="1:16" hidden="1" x14ac:dyDescent="0.35">
      <c r="A894"/>
      <c r="C894" s="233" t="s">
        <v>1348</v>
      </c>
      <c r="E894">
        <v>17</v>
      </c>
      <c r="F894" s="366" t="s">
        <v>409</v>
      </c>
      <c r="G894" s="371" t="s">
        <v>1364</v>
      </c>
      <c r="H894" s="371"/>
      <c r="I894" s="173">
        <v>34</v>
      </c>
      <c r="J894">
        <v>3550</v>
      </c>
      <c r="K894" s="173">
        <v>5698</v>
      </c>
      <c r="L894" s="402">
        <f t="shared" si="91"/>
        <v>54.57239436619718</v>
      </c>
      <c r="M894" s="173">
        <f t="shared" si="92"/>
        <v>88.572394366197187</v>
      </c>
      <c r="N894" s="174"/>
      <c r="O894" s="173">
        <f t="shared" si="93"/>
        <v>124.00135211267606</v>
      </c>
      <c r="P894" s="173">
        <v>150</v>
      </c>
    </row>
    <row r="895" spans="1:16" hidden="1" x14ac:dyDescent="0.35">
      <c r="A895"/>
      <c r="C895" s="233" t="s">
        <v>1348</v>
      </c>
      <c r="E895">
        <v>18</v>
      </c>
      <c r="F895" s="366" t="s">
        <v>409</v>
      </c>
      <c r="G895" s="371" t="s">
        <v>1364</v>
      </c>
      <c r="H895" s="371"/>
      <c r="I895" s="173">
        <v>34</v>
      </c>
      <c r="J895">
        <v>3550</v>
      </c>
      <c r="K895" s="173">
        <v>5698</v>
      </c>
      <c r="L895" s="402">
        <f t="shared" si="91"/>
        <v>54.57239436619718</v>
      </c>
      <c r="M895" s="173">
        <f t="shared" si="92"/>
        <v>88.572394366197187</v>
      </c>
      <c r="N895" s="174"/>
      <c r="O895" s="173">
        <f t="shared" si="93"/>
        <v>124.00135211267606</v>
      </c>
      <c r="P895" s="173">
        <v>150</v>
      </c>
    </row>
    <row r="896" spans="1:16" hidden="1" x14ac:dyDescent="0.35">
      <c r="A896"/>
      <c r="C896" s="233" t="s">
        <v>1348</v>
      </c>
      <c r="E896">
        <v>19</v>
      </c>
      <c r="F896" s="366" t="s">
        <v>407</v>
      </c>
      <c r="G896" s="371" t="s">
        <v>1366</v>
      </c>
      <c r="H896" s="371"/>
      <c r="I896" s="173">
        <v>34</v>
      </c>
      <c r="J896">
        <v>3550</v>
      </c>
      <c r="K896" s="173">
        <v>5698</v>
      </c>
      <c r="L896" s="402">
        <f t="shared" si="91"/>
        <v>54.57239436619718</v>
      </c>
      <c r="M896" s="173">
        <f t="shared" si="92"/>
        <v>88.572394366197187</v>
      </c>
      <c r="N896" s="174"/>
      <c r="O896" s="173">
        <f t="shared" si="93"/>
        <v>124.00135211267606</v>
      </c>
      <c r="P896" s="173">
        <v>150</v>
      </c>
    </row>
    <row r="897" spans="1:16" hidden="1" x14ac:dyDescent="0.35">
      <c r="A897"/>
      <c r="C897" s="233" t="s">
        <v>1348</v>
      </c>
      <c r="E897">
        <v>20</v>
      </c>
      <c r="F897" s="366" t="s">
        <v>409</v>
      </c>
      <c r="G897" s="371" t="s">
        <v>1366</v>
      </c>
      <c r="H897" s="371"/>
      <c r="I897" s="173">
        <v>34</v>
      </c>
      <c r="J897">
        <v>3550</v>
      </c>
      <c r="K897" s="173">
        <v>5698</v>
      </c>
      <c r="L897" s="402">
        <f t="shared" si="91"/>
        <v>54.57239436619718</v>
      </c>
      <c r="M897" s="173">
        <f t="shared" si="92"/>
        <v>88.572394366197187</v>
      </c>
      <c r="N897" s="174"/>
      <c r="O897" s="173">
        <f t="shared" si="93"/>
        <v>124.00135211267606</v>
      </c>
      <c r="P897" s="173">
        <v>150</v>
      </c>
    </row>
    <row r="898" spans="1:16" hidden="1" x14ac:dyDescent="0.35">
      <c r="A898"/>
      <c r="C898" s="233" t="s">
        <v>1348</v>
      </c>
      <c r="E898">
        <v>21</v>
      </c>
      <c r="F898" s="366" t="s">
        <v>410</v>
      </c>
      <c r="G898" s="371" t="s">
        <v>1366</v>
      </c>
      <c r="H898" s="371"/>
      <c r="I898" s="173">
        <v>34</v>
      </c>
      <c r="J898">
        <v>3550</v>
      </c>
      <c r="K898" s="173">
        <v>5698</v>
      </c>
      <c r="L898" s="402">
        <f t="shared" si="91"/>
        <v>54.57239436619718</v>
      </c>
      <c r="M898" s="173">
        <f t="shared" si="92"/>
        <v>88.572394366197187</v>
      </c>
      <c r="N898" s="174"/>
      <c r="O898" s="173">
        <f t="shared" si="93"/>
        <v>124.00135211267606</v>
      </c>
      <c r="P898" s="173">
        <v>150</v>
      </c>
    </row>
    <row r="899" spans="1:16" hidden="1" x14ac:dyDescent="0.35">
      <c r="A899"/>
      <c r="C899" s="233" t="s">
        <v>1348</v>
      </c>
      <c r="E899">
        <v>22</v>
      </c>
      <c r="F899" s="366" t="s">
        <v>407</v>
      </c>
      <c r="G899" s="371" t="s">
        <v>1367</v>
      </c>
      <c r="H899" s="371"/>
      <c r="I899" s="173">
        <v>34</v>
      </c>
      <c r="J899">
        <v>3550</v>
      </c>
      <c r="K899" s="173">
        <v>5698</v>
      </c>
      <c r="L899" s="402">
        <f t="shared" si="91"/>
        <v>54.57239436619718</v>
      </c>
      <c r="M899" s="173">
        <f t="shared" si="92"/>
        <v>88.572394366197187</v>
      </c>
      <c r="N899" s="174"/>
      <c r="O899" s="173">
        <f t="shared" si="93"/>
        <v>124.00135211267606</v>
      </c>
      <c r="P899" s="173">
        <v>150</v>
      </c>
    </row>
    <row r="900" spans="1:16" hidden="1" x14ac:dyDescent="0.35">
      <c r="A900"/>
      <c r="C900" s="233" t="s">
        <v>1353</v>
      </c>
      <c r="E900">
        <v>23</v>
      </c>
      <c r="F900" s="366" t="s">
        <v>411</v>
      </c>
      <c r="G900" s="371" t="s">
        <v>1352</v>
      </c>
      <c r="H900" s="371"/>
      <c r="I900" s="173">
        <v>25</v>
      </c>
      <c r="J900">
        <v>3550</v>
      </c>
      <c r="K900" s="173">
        <v>5698</v>
      </c>
      <c r="L900" s="402">
        <f t="shared" si="91"/>
        <v>40.12676056338028</v>
      </c>
      <c r="M900" s="173">
        <f t="shared" si="92"/>
        <v>65.126760563380287</v>
      </c>
      <c r="N900" s="174"/>
      <c r="O900" s="173">
        <f t="shared" si="93"/>
        <v>91.177464788732394</v>
      </c>
      <c r="P900" s="173">
        <v>125</v>
      </c>
    </row>
    <row r="901" spans="1:16" hidden="1" x14ac:dyDescent="0.35">
      <c r="A901"/>
      <c r="C901" s="233" t="s">
        <v>1353</v>
      </c>
      <c r="E901">
        <v>24</v>
      </c>
      <c r="G901" s="435" t="s">
        <v>1352</v>
      </c>
      <c r="H901" s="435"/>
      <c r="I901" s="173">
        <v>25</v>
      </c>
      <c r="J901">
        <v>3550</v>
      </c>
      <c r="K901" s="173">
        <v>5698</v>
      </c>
      <c r="L901" s="402">
        <f t="shared" si="91"/>
        <v>40.12676056338028</v>
      </c>
      <c r="M901" s="173">
        <f t="shared" si="92"/>
        <v>65.126760563380287</v>
      </c>
      <c r="N901" s="174"/>
      <c r="O901" s="173">
        <f t="shared" si="93"/>
        <v>91.177464788732394</v>
      </c>
      <c r="P901" s="173">
        <v>125</v>
      </c>
    </row>
    <row r="902" spans="1:16" hidden="1" x14ac:dyDescent="0.35">
      <c r="A902"/>
      <c r="C902" s="233" t="s">
        <v>1353</v>
      </c>
      <c r="E902">
        <v>25</v>
      </c>
      <c r="G902" s="435" t="s">
        <v>1352</v>
      </c>
      <c r="H902" s="435"/>
      <c r="I902" s="173">
        <v>25</v>
      </c>
      <c r="J902">
        <v>3550</v>
      </c>
      <c r="K902" s="173">
        <v>5698</v>
      </c>
      <c r="L902" s="402">
        <f t="shared" si="91"/>
        <v>40.12676056338028</v>
      </c>
      <c r="M902" s="173">
        <f t="shared" si="92"/>
        <v>65.126760563380287</v>
      </c>
      <c r="N902" s="174"/>
      <c r="O902" s="173">
        <f t="shared" si="93"/>
        <v>91.177464788732394</v>
      </c>
      <c r="P902" s="173">
        <v>125</v>
      </c>
    </row>
    <row r="903" spans="1:16" hidden="1" x14ac:dyDescent="0.35">
      <c r="A903"/>
      <c r="C903" s="233" t="s">
        <v>1353</v>
      </c>
      <c r="E903">
        <v>26</v>
      </c>
      <c r="G903" s="435" t="s">
        <v>1352</v>
      </c>
      <c r="H903" s="435"/>
      <c r="I903" s="173">
        <v>25</v>
      </c>
      <c r="J903">
        <v>3550</v>
      </c>
      <c r="K903" s="173">
        <v>5698</v>
      </c>
      <c r="L903" s="402">
        <f t="shared" si="91"/>
        <v>40.12676056338028</v>
      </c>
      <c r="M903" s="173">
        <f t="shared" si="92"/>
        <v>65.126760563380287</v>
      </c>
      <c r="N903" s="174"/>
      <c r="O903" s="173">
        <f t="shared" si="93"/>
        <v>91.177464788732394</v>
      </c>
      <c r="P903" s="173">
        <v>125</v>
      </c>
    </row>
    <row r="904" spans="1:16" hidden="1" x14ac:dyDescent="0.35">
      <c r="A904"/>
      <c r="C904" s="233" t="s">
        <v>1353</v>
      </c>
      <c r="E904">
        <v>27</v>
      </c>
      <c r="G904" s="435" t="s">
        <v>1352</v>
      </c>
      <c r="H904" s="435"/>
      <c r="I904" s="173">
        <v>25</v>
      </c>
      <c r="J904">
        <v>3550</v>
      </c>
      <c r="K904" s="173">
        <v>5698</v>
      </c>
      <c r="L904" s="402">
        <f t="shared" si="91"/>
        <v>40.12676056338028</v>
      </c>
      <c r="M904" s="173">
        <f t="shared" si="92"/>
        <v>65.126760563380287</v>
      </c>
      <c r="N904" s="174"/>
      <c r="O904" s="173">
        <f t="shared" si="93"/>
        <v>91.177464788732394</v>
      </c>
      <c r="P904" s="173">
        <v>125</v>
      </c>
    </row>
    <row r="905" spans="1:16" hidden="1" x14ac:dyDescent="0.35">
      <c r="A905"/>
      <c r="C905" s="233" t="s">
        <v>1353</v>
      </c>
      <c r="E905">
        <v>28</v>
      </c>
      <c r="G905" s="435" t="s">
        <v>1352</v>
      </c>
      <c r="H905" s="435"/>
      <c r="I905" s="173">
        <v>25</v>
      </c>
      <c r="J905">
        <v>3550</v>
      </c>
      <c r="K905" s="173">
        <v>5698</v>
      </c>
      <c r="L905" s="402">
        <f t="shared" si="91"/>
        <v>40.12676056338028</v>
      </c>
      <c r="M905" s="173">
        <f t="shared" si="92"/>
        <v>65.126760563380287</v>
      </c>
      <c r="N905" s="174"/>
      <c r="O905" s="173">
        <f t="shared" si="93"/>
        <v>91.177464788732394</v>
      </c>
      <c r="P905" s="173">
        <v>125</v>
      </c>
    </row>
    <row r="906" spans="1:16" hidden="1" x14ac:dyDescent="0.35">
      <c r="A906"/>
      <c r="C906" s="233" t="s">
        <v>561</v>
      </c>
      <c r="E906">
        <v>29</v>
      </c>
      <c r="F906" s="366" t="s">
        <v>408</v>
      </c>
      <c r="G906" s="371" t="s">
        <v>1368</v>
      </c>
      <c r="H906" s="371"/>
      <c r="I906" s="146">
        <v>23.571428571428573</v>
      </c>
      <c r="J906">
        <v>3550</v>
      </c>
      <c r="K906" s="173">
        <v>5698</v>
      </c>
      <c r="L906" s="402">
        <f t="shared" si="91"/>
        <v>37.833802816901411</v>
      </c>
      <c r="M906" s="173">
        <f t="shared" si="92"/>
        <v>61.40523138832998</v>
      </c>
      <c r="N906" s="174"/>
      <c r="O906" s="173">
        <f t="shared" si="93"/>
        <v>85.967323943661967</v>
      </c>
      <c r="P906" s="173">
        <v>110</v>
      </c>
    </row>
    <row r="907" spans="1:16" hidden="1" x14ac:dyDescent="0.35">
      <c r="A907"/>
      <c r="C907" s="233" t="s">
        <v>561</v>
      </c>
      <c r="E907">
        <v>30</v>
      </c>
      <c r="F907" s="366" t="s">
        <v>407</v>
      </c>
      <c r="G907" s="371" t="s">
        <v>1368</v>
      </c>
      <c r="H907" s="371"/>
      <c r="I907" s="146">
        <v>23.571428571428573</v>
      </c>
      <c r="J907">
        <v>3550</v>
      </c>
      <c r="K907" s="173">
        <v>5698</v>
      </c>
      <c r="L907" s="402">
        <f t="shared" si="91"/>
        <v>37.833802816901411</v>
      </c>
      <c r="M907" s="173">
        <f t="shared" si="92"/>
        <v>61.40523138832998</v>
      </c>
      <c r="N907" s="174"/>
      <c r="O907" s="173">
        <f t="shared" si="93"/>
        <v>85.967323943661967</v>
      </c>
      <c r="P907" s="173">
        <v>110</v>
      </c>
    </row>
    <row r="908" spans="1:16" hidden="1" x14ac:dyDescent="0.35">
      <c r="A908"/>
      <c r="C908" s="233" t="s">
        <v>561</v>
      </c>
      <c r="E908">
        <v>31</v>
      </c>
      <c r="G908" s="435" t="s">
        <v>1368</v>
      </c>
      <c r="H908" s="435"/>
      <c r="I908" s="146">
        <v>23.571428571428573</v>
      </c>
      <c r="J908">
        <v>3550</v>
      </c>
      <c r="K908" s="173">
        <v>5698</v>
      </c>
      <c r="L908" s="402">
        <f t="shared" si="91"/>
        <v>37.833802816901411</v>
      </c>
      <c r="M908" s="173">
        <f t="shared" si="92"/>
        <v>61.40523138832998</v>
      </c>
      <c r="N908" s="174"/>
      <c r="O908" s="173">
        <f t="shared" si="93"/>
        <v>85.967323943661967</v>
      </c>
      <c r="P908" s="173">
        <v>110</v>
      </c>
    </row>
    <row r="909" spans="1:16" hidden="1" x14ac:dyDescent="0.35">
      <c r="A909"/>
      <c r="C909" s="233" t="s">
        <v>561</v>
      </c>
      <c r="E909">
        <v>32</v>
      </c>
      <c r="G909" s="435" t="s">
        <v>1368</v>
      </c>
      <c r="H909" s="435"/>
      <c r="I909" s="146">
        <v>23.571428571428573</v>
      </c>
      <c r="J909">
        <v>3550</v>
      </c>
      <c r="K909" s="173">
        <v>5698</v>
      </c>
      <c r="L909" s="402">
        <f t="shared" si="91"/>
        <v>37.833802816901411</v>
      </c>
      <c r="M909" s="173">
        <f t="shared" si="92"/>
        <v>61.40523138832998</v>
      </c>
      <c r="N909" s="174"/>
      <c r="O909" s="173">
        <f t="shared" si="93"/>
        <v>85.967323943661967</v>
      </c>
      <c r="P909" s="173">
        <v>110</v>
      </c>
    </row>
    <row r="910" spans="1:16" hidden="1" x14ac:dyDescent="0.35">
      <c r="A910"/>
      <c r="C910" s="233" t="s">
        <v>561</v>
      </c>
      <c r="E910">
        <v>33</v>
      </c>
      <c r="G910" s="435" t="s">
        <v>1368</v>
      </c>
      <c r="H910" s="435"/>
      <c r="I910" s="146">
        <v>23.571428571428573</v>
      </c>
      <c r="J910">
        <v>3550</v>
      </c>
      <c r="K910" s="173">
        <v>5698</v>
      </c>
      <c r="L910" s="402">
        <f t="shared" ref="L910:L941" si="94">+I910/J910*K910</f>
        <v>37.833802816901411</v>
      </c>
      <c r="M910" s="173">
        <f t="shared" ref="M910:M941" si="95">+I910+L910</f>
        <v>61.40523138832998</v>
      </c>
      <c r="N910" s="174"/>
      <c r="O910" s="173">
        <f t="shared" ref="O910:O941" si="96">+M910*1.4</f>
        <v>85.967323943661967</v>
      </c>
      <c r="P910" s="173">
        <v>110</v>
      </c>
    </row>
    <row r="911" spans="1:16" hidden="1" x14ac:dyDescent="0.35">
      <c r="A911"/>
      <c r="C911" s="233" t="s">
        <v>561</v>
      </c>
      <c r="E911">
        <v>34</v>
      </c>
      <c r="G911" s="435" t="s">
        <v>1415</v>
      </c>
      <c r="H911" s="435"/>
      <c r="I911" s="146">
        <v>23.571428571428573</v>
      </c>
      <c r="J911">
        <v>3550</v>
      </c>
      <c r="K911" s="173">
        <v>5698</v>
      </c>
      <c r="L911" s="402">
        <f t="shared" si="94"/>
        <v>37.833802816901411</v>
      </c>
      <c r="M911" s="173">
        <f t="shared" si="95"/>
        <v>61.40523138832998</v>
      </c>
      <c r="N911" s="174"/>
      <c r="O911" s="173">
        <f t="shared" si="96"/>
        <v>85.967323943661967</v>
      </c>
      <c r="P911" s="173">
        <v>110</v>
      </c>
    </row>
    <row r="912" spans="1:16" hidden="1" x14ac:dyDescent="0.35">
      <c r="A912"/>
      <c r="C912" s="233" t="s">
        <v>561</v>
      </c>
      <c r="E912">
        <v>35</v>
      </c>
      <c r="F912" s="366" t="s">
        <v>411</v>
      </c>
      <c r="G912" s="371" t="s">
        <v>1369</v>
      </c>
      <c r="H912" s="371"/>
      <c r="I912" s="146">
        <v>22.857142857142858</v>
      </c>
      <c r="J912">
        <v>3550</v>
      </c>
      <c r="K912" s="173">
        <v>5698</v>
      </c>
      <c r="L912" s="402">
        <f t="shared" si="94"/>
        <v>36.687323943661973</v>
      </c>
      <c r="M912" s="173">
        <f t="shared" si="95"/>
        <v>59.544466800804827</v>
      </c>
      <c r="N912" s="174"/>
      <c r="O912" s="173">
        <f t="shared" si="96"/>
        <v>83.362253521126746</v>
      </c>
      <c r="P912" s="173">
        <v>110</v>
      </c>
    </row>
    <row r="913" spans="1:16" hidden="1" x14ac:dyDescent="0.35">
      <c r="A913"/>
      <c r="C913" s="233" t="s">
        <v>561</v>
      </c>
      <c r="E913">
        <v>36</v>
      </c>
      <c r="F913" s="366" t="s">
        <v>588</v>
      </c>
      <c r="G913" s="371" t="s">
        <v>1369</v>
      </c>
      <c r="H913" s="371"/>
      <c r="I913" s="146">
        <v>22.857142857142858</v>
      </c>
      <c r="J913">
        <v>3550</v>
      </c>
      <c r="K913" s="173">
        <v>5698</v>
      </c>
      <c r="L913" s="402">
        <f t="shared" si="94"/>
        <v>36.687323943661973</v>
      </c>
      <c r="M913" s="173">
        <f t="shared" si="95"/>
        <v>59.544466800804827</v>
      </c>
      <c r="N913" s="174"/>
      <c r="O913" s="173">
        <f t="shared" si="96"/>
        <v>83.362253521126746</v>
      </c>
      <c r="P913" s="173">
        <v>110</v>
      </c>
    </row>
    <row r="914" spans="1:16" hidden="1" x14ac:dyDescent="0.35">
      <c r="A914"/>
      <c r="C914" s="233" t="s">
        <v>1363</v>
      </c>
      <c r="E914">
        <v>37</v>
      </c>
      <c r="F914" s="366" t="s">
        <v>588</v>
      </c>
      <c r="G914" s="371" t="s">
        <v>1354</v>
      </c>
      <c r="H914" s="371"/>
      <c r="I914" s="146">
        <v>27.857142857142858</v>
      </c>
      <c r="J914">
        <v>3550</v>
      </c>
      <c r="K914" s="173">
        <v>5698</v>
      </c>
      <c r="L914" s="402">
        <f t="shared" si="94"/>
        <v>44.712676056338026</v>
      </c>
      <c r="M914" s="173">
        <f t="shared" si="95"/>
        <v>72.569818913480887</v>
      </c>
      <c r="N914" s="174"/>
      <c r="O914" s="173">
        <f t="shared" si="96"/>
        <v>101.59774647887323</v>
      </c>
      <c r="P914" s="173">
        <v>150</v>
      </c>
    </row>
    <row r="915" spans="1:16" hidden="1" x14ac:dyDescent="0.35">
      <c r="A915"/>
      <c r="C915" s="233" t="s">
        <v>1363</v>
      </c>
      <c r="E915">
        <v>38</v>
      </c>
      <c r="F915" s="366" t="s">
        <v>405</v>
      </c>
      <c r="G915" s="371" t="s">
        <v>1354</v>
      </c>
      <c r="H915" s="371"/>
      <c r="I915" s="146">
        <v>27.857142857142858</v>
      </c>
      <c r="J915">
        <v>3550</v>
      </c>
      <c r="K915" s="173">
        <v>5698</v>
      </c>
      <c r="L915" s="402">
        <f t="shared" si="94"/>
        <v>44.712676056338026</v>
      </c>
      <c r="M915" s="173">
        <f t="shared" si="95"/>
        <v>72.569818913480887</v>
      </c>
      <c r="N915" s="174"/>
      <c r="O915" s="173">
        <f t="shared" si="96"/>
        <v>101.59774647887323</v>
      </c>
      <c r="P915" s="173">
        <v>150</v>
      </c>
    </row>
    <row r="916" spans="1:16" hidden="1" x14ac:dyDescent="0.35">
      <c r="A916"/>
      <c r="C916" s="233" t="s">
        <v>1363</v>
      </c>
      <c r="E916">
        <v>39</v>
      </c>
      <c r="F916" s="366" t="s">
        <v>627</v>
      </c>
      <c r="G916" s="371" t="s">
        <v>1354</v>
      </c>
      <c r="H916" s="371"/>
      <c r="I916" s="146">
        <v>27.857142857142858</v>
      </c>
      <c r="J916">
        <v>3550</v>
      </c>
      <c r="K916" s="173">
        <v>5698</v>
      </c>
      <c r="L916" s="402">
        <f t="shared" si="94"/>
        <v>44.712676056338026</v>
      </c>
      <c r="M916" s="173">
        <f t="shared" si="95"/>
        <v>72.569818913480887</v>
      </c>
      <c r="N916" s="174"/>
      <c r="O916" s="173">
        <f t="shared" si="96"/>
        <v>101.59774647887323</v>
      </c>
      <c r="P916" s="173">
        <v>150</v>
      </c>
    </row>
    <row r="917" spans="1:16" hidden="1" x14ac:dyDescent="0.35">
      <c r="A917"/>
      <c r="C917" s="233" t="s">
        <v>1363</v>
      </c>
      <c r="E917">
        <v>40</v>
      </c>
      <c r="F917" s="366" t="s">
        <v>628</v>
      </c>
      <c r="G917" s="371" t="s">
        <v>1354</v>
      </c>
      <c r="H917" s="371"/>
      <c r="I917" s="146">
        <v>27.857142857142858</v>
      </c>
      <c r="J917">
        <v>3550</v>
      </c>
      <c r="K917" s="173">
        <v>5698</v>
      </c>
      <c r="L917" s="402">
        <f t="shared" si="94"/>
        <v>44.712676056338026</v>
      </c>
      <c r="M917" s="173">
        <f t="shared" si="95"/>
        <v>72.569818913480887</v>
      </c>
      <c r="N917" s="174"/>
      <c r="O917" s="173">
        <f t="shared" si="96"/>
        <v>101.59774647887323</v>
      </c>
      <c r="P917" s="173">
        <v>150</v>
      </c>
    </row>
    <row r="918" spans="1:16" hidden="1" x14ac:dyDescent="0.35">
      <c r="A918"/>
      <c r="C918" s="233" t="s">
        <v>1394</v>
      </c>
      <c r="E918">
        <v>41</v>
      </c>
      <c r="F918" s="366" t="s">
        <v>485</v>
      </c>
      <c r="G918" s="371" t="s">
        <v>1370</v>
      </c>
      <c r="H918" s="371"/>
      <c r="I918" s="145">
        <v>13.571428571428571</v>
      </c>
      <c r="J918">
        <v>3550</v>
      </c>
      <c r="K918" s="173">
        <v>5698</v>
      </c>
      <c r="L918" s="402">
        <f t="shared" si="94"/>
        <v>21.783098591549294</v>
      </c>
      <c r="M918" s="173">
        <f t="shared" si="95"/>
        <v>35.354527162977867</v>
      </c>
      <c r="N918" s="174"/>
      <c r="O918" s="173">
        <f t="shared" si="96"/>
        <v>49.496338028169014</v>
      </c>
      <c r="P918" s="173">
        <v>90</v>
      </c>
    </row>
    <row r="919" spans="1:16" hidden="1" x14ac:dyDescent="0.35">
      <c r="A919"/>
      <c r="C919" s="233" t="s">
        <v>1394</v>
      </c>
      <c r="E919">
        <v>42</v>
      </c>
      <c r="F919" s="366" t="s">
        <v>411</v>
      </c>
      <c r="G919" s="371" t="s">
        <v>1370</v>
      </c>
      <c r="H919" s="371"/>
      <c r="I919" s="145">
        <v>13.571428571428571</v>
      </c>
      <c r="J919">
        <v>3550</v>
      </c>
      <c r="K919" s="173">
        <v>5698</v>
      </c>
      <c r="L919" s="402">
        <f t="shared" si="94"/>
        <v>21.783098591549294</v>
      </c>
      <c r="M919" s="173">
        <f t="shared" si="95"/>
        <v>35.354527162977867</v>
      </c>
      <c r="N919" s="174"/>
      <c r="O919" s="173">
        <f t="shared" si="96"/>
        <v>49.496338028169014</v>
      </c>
      <c r="P919" s="173">
        <v>90</v>
      </c>
    </row>
    <row r="920" spans="1:16" hidden="1" x14ac:dyDescent="0.35">
      <c r="A920"/>
      <c r="C920" s="233" t="s">
        <v>1394</v>
      </c>
      <c r="E920">
        <v>43</v>
      </c>
      <c r="F920" s="366" t="s">
        <v>588</v>
      </c>
      <c r="G920" s="371" t="s">
        <v>1370</v>
      </c>
      <c r="H920" s="371"/>
      <c r="I920" s="145">
        <v>13.571428571428571</v>
      </c>
      <c r="J920">
        <v>3550</v>
      </c>
      <c r="K920" s="173">
        <v>5698</v>
      </c>
      <c r="L920" s="402">
        <f t="shared" si="94"/>
        <v>21.783098591549294</v>
      </c>
      <c r="M920" s="173">
        <f t="shared" si="95"/>
        <v>35.354527162977867</v>
      </c>
      <c r="N920" s="174"/>
      <c r="O920" s="173">
        <f t="shared" si="96"/>
        <v>49.496338028169014</v>
      </c>
      <c r="P920" s="173">
        <v>90</v>
      </c>
    </row>
    <row r="921" spans="1:16" hidden="1" x14ac:dyDescent="0.35">
      <c r="A921"/>
      <c r="C921" s="233" t="s">
        <v>1355</v>
      </c>
      <c r="E921">
        <v>44</v>
      </c>
      <c r="F921" s="366" t="s">
        <v>411</v>
      </c>
      <c r="G921" s="371" t="s">
        <v>1356</v>
      </c>
      <c r="H921" s="371"/>
      <c r="I921" s="145">
        <v>26.428571428571427</v>
      </c>
      <c r="J921">
        <v>3550</v>
      </c>
      <c r="K921" s="173">
        <v>5698</v>
      </c>
      <c r="L921" s="402">
        <f t="shared" si="94"/>
        <v>42.419718309859149</v>
      </c>
      <c r="M921" s="173">
        <f t="shared" si="95"/>
        <v>68.84828973843058</v>
      </c>
      <c r="N921" s="174"/>
      <c r="O921" s="173">
        <f t="shared" si="96"/>
        <v>96.387605633802806</v>
      </c>
      <c r="P921" s="173">
        <v>125</v>
      </c>
    </row>
    <row r="922" spans="1:16" hidden="1" x14ac:dyDescent="0.35">
      <c r="A922"/>
      <c r="C922" s="233" t="s">
        <v>1357</v>
      </c>
      <c r="E922">
        <v>45</v>
      </c>
      <c r="F922" s="366" t="s">
        <v>408</v>
      </c>
      <c r="G922" s="371" t="s">
        <v>1356</v>
      </c>
      <c r="H922" s="371"/>
      <c r="I922" s="145">
        <v>26.428571428571427</v>
      </c>
      <c r="J922">
        <v>3550</v>
      </c>
      <c r="K922" s="173">
        <v>5698</v>
      </c>
      <c r="L922" s="402">
        <f t="shared" si="94"/>
        <v>42.419718309859149</v>
      </c>
      <c r="M922" s="173">
        <f t="shared" si="95"/>
        <v>68.84828973843058</v>
      </c>
      <c r="N922" s="174"/>
      <c r="O922" s="173">
        <f t="shared" si="96"/>
        <v>96.387605633802806</v>
      </c>
      <c r="P922" s="173">
        <v>125</v>
      </c>
    </row>
    <row r="923" spans="1:16" hidden="1" x14ac:dyDescent="0.35">
      <c r="A923"/>
      <c r="C923" s="233" t="s">
        <v>1357</v>
      </c>
      <c r="E923">
        <v>46</v>
      </c>
      <c r="F923" s="366" t="s">
        <v>409</v>
      </c>
      <c r="G923" s="371" t="s">
        <v>1356</v>
      </c>
      <c r="H923" s="371"/>
      <c r="I923" s="145">
        <v>26.428571428571427</v>
      </c>
      <c r="J923">
        <v>3550</v>
      </c>
      <c r="K923" s="173">
        <v>5698</v>
      </c>
      <c r="L923" s="402">
        <f t="shared" si="94"/>
        <v>42.419718309859149</v>
      </c>
      <c r="M923" s="173">
        <f t="shared" si="95"/>
        <v>68.84828973843058</v>
      </c>
      <c r="N923" s="174"/>
      <c r="O923" s="173">
        <f t="shared" si="96"/>
        <v>96.387605633802806</v>
      </c>
      <c r="P923" s="173">
        <v>125</v>
      </c>
    </row>
    <row r="924" spans="1:16" hidden="1" x14ac:dyDescent="0.35">
      <c r="A924"/>
      <c r="C924" s="233" t="s">
        <v>1357</v>
      </c>
      <c r="E924">
        <v>47</v>
      </c>
      <c r="G924" s="435" t="s">
        <v>1356</v>
      </c>
      <c r="H924" s="435"/>
      <c r="I924" s="145">
        <v>26.428571428571427</v>
      </c>
      <c r="J924">
        <v>3550</v>
      </c>
      <c r="K924" s="173">
        <v>5698</v>
      </c>
      <c r="L924" s="402">
        <f t="shared" si="94"/>
        <v>42.419718309859149</v>
      </c>
      <c r="M924" s="173">
        <f t="shared" si="95"/>
        <v>68.84828973843058</v>
      </c>
      <c r="N924" s="174"/>
      <c r="O924" s="173">
        <f t="shared" si="96"/>
        <v>96.387605633802806</v>
      </c>
      <c r="P924" s="173">
        <v>125</v>
      </c>
    </row>
    <row r="925" spans="1:16" hidden="1" x14ac:dyDescent="0.35">
      <c r="A925"/>
      <c r="C925" s="233" t="s">
        <v>1357</v>
      </c>
      <c r="E925">
        <v>48</v>
      </c>
      <c r="G925" s="435" t="s">
        <v>1356</v>
      </c>
      <c r="H925" s="435"/>
      <c r="I925" s="145">
        <v>26.428571428571427</v>
      </c>
      <c r="J925">
        <v>3550</v>
      </c>
      <c r="K925" s="173">
        <v>5698</v>
      </c>
      <c r="L925" s="402">
        <f t="shared" si="94"/>
        <v>42.419718309859149</v>
      </c>
      <c r="M925" s="173">
        <f t="shared" si="95"/>
        <v>68.84828973843058</v>
      </c>
      <c r="N925" s="174"/>
      <c r="O925" s="173">
        <f t="shared" si="96"/>
        <v>96.387605633802806</v>
      </c>
      <c r="P925" s="173">
        <v>125</v>
      </c>
    </row>
    <row r="926" spans="1:16" hidden="1" x14ac:dyDescent="0.35">
      <c r="A926"/>
      <c r="C926" s="233" t="s">
        <v>1357</v>
      </c>
      <c r="E926">
        <v>49</v>
      </c>
      <c r="G926" s="435" t="s">
        <v>1356</v>
      </c>
      <c r="H926" s="435"/>
      <c r="I926" s="145">
        <v>26.428571428571427</v>
      </c>
      <c r="J926">
        <v>3550</v>
      </c>
      <c r="K926" s="173">
        <v>5698</v>
      </c>
      <c r="L926" s="402">
        <f t="shared" si="94"/>
        <v>42.419718309859149</v>
      </c>
      <c r="M926" s="173">
        <f t="shared" si="95"/>
        <v>68.84828973843058</v>
      </c>
      <c r="N926" s="174"/>
      <c r="O926" s="173">
        <f t="shared" si="96"/>
        <v>96.387605633802806</v>
      </c>
      <c r="P926" s="173">
        <v>125</v>
      </c>
    </row>
    <row r="927" spans="1:16" hidden="1" x14ac:dyDescent="0.35">
      <c r="A927"/>
      <c r="C927" s="233" t="s">
        <v>1357</v>
      </c>
      <c r="E927">
        <v>50</v>
      </c>
      <c r="G927" s="435" t="s">
        <v>1356</v>
      </c>
      <c r="H927" s="435"/>
      <c r="I927" s="145">
        <v>26.428571428571427</v>
      </c>
      <c r="J927">
        <v>3550</v>
      </c>
      <c r="K927" s="173">
        <v>5698</v>
      </c>
      <c r="L927" s="402">
        <f t="shared" si="94"/>
        <v>42.419718309859149</v>
      </c>
      <c r="M927" s="173">
        <f t="shared" si="95"/>
        <v>68.84828973843058</v>
      </c>
      <c r="N927" s="174"/>
      <c r="O927" s="173">
        <f t="shared" si="96"/>
        <v>96.387605633802806</v>
      </c>
      <c r="P927" s="173">
        <v>125</v>
      </c>
    </row>
    <row r="928" spans="1:16" hidden="1" x14ac:dyDescent="0.35">
      <c r="A928"/>
      <c r="C928" s="233" t="s">
        <v>1357</v>
      </c>
      <c r="E928">
        <v>51</v>
      </c>
      <c r="G928" s="435" t="s">
        <v>1356</v>
      </c>
      <c r="H928" s="435"/>
      <c r="I928" s="145">
        <v>26.428571428571427</v>
      </c>
      <c r="J928">
        <v>3550</v>
      </c>
      <c r="K928" s="173">
        <v>5698</v>
      </c>
      <c r="L928" s="402">
        <f t="shared" si="94"/>
        <v>42.419718309859149</v>
      </c>
      <c r="M928" s="173">
        <f t="shared" si="95"/>
        <v>68.84828973843058</v>
      </c>
      <c r="N928" s="174"/>
      <c r="O928" s="173">
        <f t="shared" si="96"/>
        <v>96.387605633802806</v>
      </c>
      <c r="P928" s="173">
        <v>125</v>
      </c>
    </row>
    <row r="929" spans="1:16" hidden="1" x14ac:dyDescent="0.35">
      <c r="A929"/>
      <c r="C929" s="233" t="s">
        <v>1357</v>
      </c>
      <c r="E929">
        <v>52</v>
      </c>
      <c r="F929" s="366" t="s">
        <v>407</v>
      </c>
      <c r="G929" s="371" t="s">
        <v>1358</v>
      </c>
      <c r="H929" s="371"/>
      <c r="I929" s="145">
        <v>25</v>
      </c>
      <c r="J929">
        <v>3550</v>
      </c>
      <c r="K929" s="173">
        <v>5698</v>
      </c>
      <c r="L929" s="402">
        <f t="shared" si="94"/>
        <v>40.12676056338028</v>
      </c>
      <c r="M929" s="173">
        <f t="shared" si="95"/>
        <v>65.126760563380287</v>
      </c>
      <c r="N929" s="174"/>
      <c r="O929" s="173">
        <f t="shared" si="96"/>
        <v>91.177464788732394</v>
      </c>
      <c r="P929" s="173">
        <v>125</v>
      </c>
    </row>
    <row r="930" spans="1:16" hidden="1" x14ac:dyDescent="0.35">
      <c r="A930"/>
      <c r="C930" s="233" t="s">
        <v>1357</v>
      </c>
      <c r="E930">
        <v>53</v>
      </c>
      <c r="F930" s="366" t="s">
        <v>409</v>
      </c>
      <c r="G930" s="371" t="s">
        <v>1358</v>
      </c>
      <c r="H930" s="371"/>
      <c r="I930" s="145">
        <v>25</v>
      </c>
      <c r="J930">
        <v>3550</v>
      </c>
      <c r="K930" s="173">
        <v>5698</v>
      </c>
      <c r="L930" s="402">
        <f t="shared" si="94"/>
        <v>40.12676056338028</v>
      </c>
      <c r="M930" s="173">
        <f t="shared" si="95"/>
        <v>65.126760563380287</v>
      </c>
      <c r="N930" s="174"/>
      <c r="O930" s="173">
        <f t="shared" si="96"/>
        <v>91.177464788732394</v>
      </c>
      <c r="P930" s="173">
        <v>125</v>
      </c>
    </row>
    <row r="931" spans="1:16" hidden="1" x14ac:dyDescent="0.35">
      <c r="A931"/>
      <c r="C931" s="233" t="s">
        <v>1357</v>
      </c>
      <c r="E931">
        <v>54</v>
      </c>
      <c r="F931" s="366" t="s">
        <v>410</v>
      </c>
      <c r="G931" s="371" t="s">
        <v>1358</v>
      </c>
      <c r="H931" s="371"/>
      <c r="I931" s="145">
        <v>25</v>
      </c>
      <c r="J931">
        <v>3550</v>
      </c>
      <c r="K931" s="173">
        <v>5698</v>
      </c>
      <c r="L931" s="402">
        <f t="shared" si="94"/>
        <v>40.12676056338028</v>
      </c>
      <c r="M931" s="173">
        <f t="shared" si="95"/>
        <v>65.126760563380287</v>
      </c>
      <c r="N931" s="174"/>
      <c r="O931" s="173">
        <f t="shared" si="96"/>
        <v>91.177464788732394</v>
      </c>
      <c r="P931" s="173">
        <v>125</v>
      </c>
    </row>
    <row r="932" spans="1:16" hidden="1" x14ac:dyDescent="0.35">
      <c r="A932"/>
      <c r="C932" s="233" t="s">
        <v>1357</v>
      </c>
      <c r="E932">
        <v>55</v>
      </c>
      <c r="G932" s="435" t="s">
        <v>1358</v>
      </c>
      <c r="H932" s="435"/>
      <c r="I932" s="145">
        <v>25</v>
      </c>
      <c r="J932">
        <v>3550</v>
      </c>
      <c r="K932" s="173">
        <v>5698</v>
      </c>
      <c r="L932" s="402">
        <f t="shared" si="94"/>
        <v>40.12676056338028</v>
      </c>
      <c r="M932" s="173">
        <f t="shared" si="95"/>
        <v>65.126760563380287</v>
      </c>
      <c r="N932" s="174"/>
      <c r="O932" s="173">
        <f t="shared" si="96"/>
        <v>91.177464788732394</v>
      </c>
      <c r="P932" s="173">
        <v>125</v>
      </c>
    </row>
    <row r="933" spans="1:16" hidden="1" x14ac:dyDescent="0.35">
      <c r="A933"/>
      <c r="C933" s="233" t="s">
        <v>1359</v>
      </c>
      <c r="E933">
        <v>56</v>
      </c>
      <c r="G933" s="371" t="s">
        <v>1391</v>
      </c>
      <c r="H933" s="371"/>
      <c r="I933" s="145">
        <v>10</v>
      </c>
      <c r="J933">
        <v>3550</v>
      </c>
      <c r="K933" s="173">
        <v>5698</v>
      </c>
      <c r="L933" s="402">
        <f t="shared" si="94"/>
        <v>16.050704225352113</v>
      </c>
      <c r="M933" s="173">
        <f t="shared" si="95"/>
        <v>26.050704225352113</v>
      </c>
      <c r="N933" s="174"/>
      <c r="O933" s="173">
        <f t="shared" si="96"/>
        <v>36.470985915492953</v>
      </c>
      <c r="P933" s="344">
        <v>55</v>
      </c>
    </row>
    <row r="934" spans="1:16" hidden="1" x14ac:dyDescent="0.35">
      <c r="A934"/>
      <c r="C934" s="233" t="s">
        <v>1359</v>
      </c>
      <c r="E934">
        <v>57</v>
      </c>
      <c r="G934" s="371" t="s">
        <v>1400</v>
      </c>
      <c r="H934" s="371"/>
      <c r="I934" s="145">
        <v>10</v>
      </c>
      <c r="J934">
        <v>3550</v>
      </c>
      <c r="K934" s="173">
        <v>5698</v>
      </c>
      <c r="L934" s="402">
        <f t="shared" si="94"/>
        <v>16.050704225352113</v>
      </c>
      <c r="M934" s="173">
        <f t="shared" si="95"/>
        <v>26.050704225352113</v>
      </c>
      <c r="N934" s="174"/>
      <c r="O934" s="173">
        <f t="shared" si="96"/>
        <v>36.470985915492953</v>
      </c>
      <c r="P934" s="173">
        <v>55</v>
      </c>
    </row>
    <row r="935" spans="1:16" hidden="1" x14ac:dyDescent="0.35">
      <c r="A935"/>
      <c r="C935" s="233" t="s">
        <v>1359</v>
      </c>
      <c r="E935">
        <v>58</v>
      </c>
      <c r="G935" s="371" t="s">
        <v>1361</v>
      </c>
      <c r="H935" s="371"/>
      <c r="I935" s="145">
        <v>6.8571428571428568</v>
      </c>
      <c r="J935">
        <v>3550</v>
      </c>
      <c r="K935" s="173">
        <v>5698</v>
      </c>
      <c r="L935" s="402">
        <f t="shared" si="94"/>
        <v>11.006197183098591</v>
      </c>
      <c r="M935" s="173">
        <f t="shared" si="95"/>
        <v>17.863340040241447</v>
      </c>
      <c r="N935" s="174"/>
      <c r="O935" s="173">
        <f t="shared" si="96"/>
        <v>25.008676056338025</v>
      </c>
      <c r="P935" s="173">
        <v>55</v>
      </c>
    </row>
    <row r="936" spans="1:16" hidden="1" x14ac:dyDescent="0.35">
      <c r="A936"/>
      <c r="C936" s="233" t="s">
        <v>561</v>
      </c>
      <c r="E936">
        <v>59</v>
      </c>
      <c r="G936" s="371" t="s">
        <v>1360</v>
      </c>
      <c r="H936" s="371"/>
      <c r="I936" s="145">
        <v>6.8571428571428568</v>
      </c>
      <c r="J936">
        <v>3550</v>
      </c>
      <c r="K936" s="173">
        <v>5698</v>
      </c>
      <c r="L936" s="402">
        <f t="shared" si="94"/>
        <v>11.006197183098591</v>
      </c>
      <c r="M936" s="173">
        <f t="shared" si="95"/>
        <v>17.863340040241447</v>
      </c>
      <c r="N936" s="174"/>
      <c r="O936" s="173">
        <f t="shared" si="96"/>
        <v>25.008676056338025</v>
      </c>
      <c r="P936" s="173">
        <v>55</v>
      </c>
    </row>
    <row r="937" spans="1:16" hidden="1" x14ac:dyDescent="0.35">
      <c r="A937"/>
      <c r="C937" s="233" t="s">
        <v>561</v>
      </c>
      <c r="E937">
        <v>60</v>
      </c>
      <c r="G937" s="371" t="s">
        <v>1362</v>
      </c>
      <c r="H937" s="371"/>
      <c r="I937" s="145">
        <v>6.8571428571428568</v>
      </c>
      <c r="J937">
        <v>3550</v>
      </c>
      <c r="K937" s="173">
        <v>5698</v>
      </c>
      <c r="L937" s="402">
        <f t="shared" si="94"/>
        <v>11.006197183098591</v>
      </c>
      <c r="M937" s="173">
        <f t="shared" si="95"/>
        <v>17.863340040241447</v>
      </c>
      <c r="N937" s="174"/>
      <c r="O937" s="173">
        <f t="shared" si="96"/>
        <v>25.008676056338025</v>
      </c>
      <c r="P937" s="173">
        <v>55</v>
      </c>
    </row>
    <row r="938" spans="1:16" hidden="1" x14ac:dyDescent="0.35">
      <c r="A938"/>
      <c r="C938" s="233" t="s">
        <v>561</v>
      </c>
      <c r="E938">
        <v>61</v>
      </c>
      <c r="G938" s="371" t="s">
        <v>1402</v>
      </c>
      <c r="H938" s="371"/>
      <c r="I938" s="145">
        <v>10</v>
      </c>
      <c r="J938">
        <v>3550</v>
      </c>
      <c r="K938" s="173">
        <v>5698</v>
      </c>
      <c r="L938" s="402">
        <f t="shared" si="94"/>
        <v>16.050704225352113</v>
      </c>
      <c r="M938" s="173">
        <f t="shared" si="95"/>
        <v>26.050704225352113</v>
      </c>
      <c r="N938" s="174"/>
      <c r="O938" s="173">
        <f t="shared" si="96"/>
        <v>36.470985915492953</v>
      </c>
      <c r="P938" s="173">
        <v>55</v>
      </c>
    </row>
    <row r="939" spans="1:16" hidden="1" x14ac:dyDescent="0.35">
      <c r="A939"/>
      <c r="C939" s="233" t="s">
        <v>1359</v>
      </c>
      <c r="E939">
        <v>62</v>
      </c>
      <c r="G939" s="371" t="s">
        <v>1392</v>
      </c>
      <c r="H939" s="371"/>
      <c r="I939" s="145">
        <v>10</v>
      </c>
      <c r="J939">
        <v>3550</v>
      </c>
      <c r="K939" s="173">
        <v>5698</v>
      </c>
      <c r="L939" s="402">
        <f t="shared" si="94"/>
        <v>16.050704225352113</v>
      </c>
      <c r="M939" s="173">
        <f t="shared" si="95"/>
        <v>26.050704225352113</v>
      </c>
      <c r="N939" s="174"/>
      <c r="O939" s="173">
        <f t="shared" si="96"/>
        <v>36.470985915492953</v>
      </c>
      <c r="P939" s="173">
        <v>55</v>
      </c>
    </row>
    <row r="940" spans="1:16" hidden="1" x14ac:dyDescent="0.35">
      <c r="A940"/>
      <c r="C940" s="233" t="s">
        <v>1348</v>
      </c>
      <c r="E940">
        <v>63</v>
      </c>
      <c r="G940" s="371" t="s">
        <v>1419</v>
      </c>
      <c r="H940" s="371"/>
      <c r="I940" s="145">
        <v>10</v>
      </c>
      <c r="J940">
        <v>3550</v>
      </c>
      <c r="K940" s="173">
        <v>5698</v>
      </c>
      <c r="L940" s="402">
        <f t="shared" si="94"/>
        <v>16.050704225352113</v>
      </c>
      <c r="M940" s="173">
        <f t="shared" si="95"/>
        <v>26.050704225352113</v>
      </c>
      <c r="N940" s="174"/>
      <c r="O940" s="173">
        <f t="shared" si="96"/>
        <v>36.470985915492953</v>
      </c>
      <c r="P940" s="173">
        <v>55</v>
      </c>
    </row>
    <row r="941" spans="1:16" hidden="1" x14ac:dyDescent="0.35">
      <c r="A941"/>
      <c r="C941" s="233" t="s">
        <v>1348</v>
      </c>
      <c r="E941">
        <v>64</v>
      </c>
      <c r="G941" s="371" t="s">
        <v>1420</v>
      </c>
      <c r="H941" s="371"/>
      <c r="I941" s="145">
        <v>10</v>
      </c>
      <c r="J941">
        <v>3550</v>
      </c>
      <c r="K941" s="173">
        <v>5698</v>
      </c>
      <c r="L941" s="402">
        <f t="shared" si="94"/>
        <v>16.050704225352113</v>
      </c>
      <c r="M941" s="173">
        <f t="shared" si="95"/>
        <v>26.050704225352113</v>
      </c>
      <c r="N941" s="174"/>
      <c r="O941" s="173">
        <f t="shared" si="96"/>
        <v>36.470985915492953</v>
      </c>
      <c r="P941" s="173">
        <v>55</v>
      </c>
    </row>
    <row r="942" spans="1:16" hidden="1" x14ac:dyDescent="0.35">
      <c r="A942"/>
      <c r="C942" s="233" t="s">
        <v>1348</v>
      </c>
      <c r="E942">
        <v>65</v>
      </c>
      <c r="G942" s="371" t="s">
        <v>1419</v>
      </c>
      <c r="H942" s="371"/>
      <c r="I942" s="145">
        <v>10</v>
      </c>
      <c r="J942">
        <v>3550</v>
      </c>
      <c r="K942" s="173">
        <v>5698</v>
      </c>
      <c r="L942" s="402">
        <f t="shared" ref="L942:L973" si="97">+I942/J942*K942</f>
        <v>16.050704225352113</v>
      </c>
      <c r="M942" s="173">
        <f t="shared" ref="M942:M973" si="98">+I942+L942</f>
        <v>26.050704225352113</v>
      </c>
      <c r="N942" s="174"/>
      <c r="O942" s="173">
        <f t="shared" ref="O942:O973" si="99">+M942*1.4</f>
        <v>36.470985915492953</v>
      </c>
      <c r="P942" s="173">
        <v>55</v>
      </c>
    </row>
    <row r="943" spans="1:16" hidden="1" x14ac:dyDescent="0.35">
      <c r="A943"/>
      <c r="C943" s="233" t="s">
        <v>1348</v>
      </c>
      <c r="E943">
        <v>66</v>
      </c>
      <c r="G943" s="435" t="s">
        <v>1419</v>
      </c>
      <c r="H943" s="435"/>
      <c r="I943" s="145">
        <v>10</v>
      </c>
      <c r="J943">
        <v>3550</v>
      </c>
      <c r="K943" s="173">
        <v>5698</v>
      </c>
      <c r="L943" s="402">
        <f t="shared" si="97"/>
        <v>16.050704225352113</v>
      </c>
      <c r="M943" s="173">
        <f t="shared" si="98"/>
        <v>26.050704225352113</v>
      </c>
      <c r="N943" s="174"/>
      <c r="O943" s="173">
        <f t="shared" si="99"/>
        <v>36.470985915492953</v>
      </c>
      <c r="P943" s="173">
        <v>55</v>
      </c>
    </row>
    <row r="944" spans="1:16" hidden="1" x14ac:dyDescent="0.35">
      <c r="A944"/>
      <c r="C944" s="233" t="s">
        <v>1348</v>
      </c>
      <c r="E944">
        <v>67</v>
      </c>
      <c r="G944" s="435" t="s">
        <v>1419</v>
      </c>
      <c r="H944" s="435"/>
      <c r="I944" s="145">
        <v>10</v>
      </c>
      <c r="J944">
        <v>3550</v>
      </c>
      <c r="K944" s="173">
        <v>5698</v>
      </c>
      <c r="L944" s="402">
        <f t="shared" si="97"/>
        <v>16.050704225352113</v>
      </c>
      <c r="M944" s="173">
        <f t="shared" si="98"/>
        <v>26.050704225352113</v>
      </c>
      <c r="N944" s="174"/>
      <c r="O944" s="173">
        <f t="shared" si="99"/>
        <v>36.470985915492953</v>
      </c>
      <c r="P944" s="173">
        <v>55</v>
      </c>
    </row>
    <row r="945" spans="1:16" hidden="1" x14ac:dyDescent="0.35">
      <c r="A945"/>
      <c r="C945" s="233" t="s">
        <v>1348</v>
      </c>
      <c r="E945">
        <v>68</v>
      </c>
      <c r="G945" s="435" t="s">
        <v>1419</v>
      </c>
      <c r="H945" s="435"/>
      <c r="I945" s="145">
        <v>10</v>
      </c>
      <c r="J945">
        <v>3550</v>
      </c>
      <c r="K945" s="173">
        <v>5698</v>
      </c>
      <c r="L945" s="402">
        <f t="shared" si="97"/>
        <v>16.050704225352113</v>
      </c>
      <c r="M945" s="173">
        <f t="shared" si="98"/>
        <v>26.050704225352113</v>
      </c>
      <c r="N945" s="174"/>
      <c r="O945" s="173">
        <f t="shared" si="99"/>
        <v>36.470985915492953</v>
      </c>
      <c r="P945" s="173">
        <v>55</v>
      </c>
    </row>
    <row r="946" spans="1:16" hidden="1" x14ac:dyDescent="0.35">
      <c r="A946"/>
      <c r="C946" s="233" t="s">
        <v>1348</v>
      </c>
      <c r="E946">
        <v>69</v>
      </c>
      <c r="G946" s="483" t="s">
        <v>1396</v>
      </c>
      <c r="H946" s="483"/>
      <c r="I946" s="146">
        <v>26.857142857142858</v>
      </c>
      <c r="J946">
        <v>3550</v>
      </c>
      <c r="K946" s="173">
        <v>5698</v>
      </c>
      <c r="L946" s="402">
        <f t="shared" si="97"/>
        <v>43.10760563380282</v>
      </c>
      <c r="M946" s="173">
        <f t="shared" si="98"/>
        <v>69.964748490945681</v>
      </c>
      <c r="N946" s="174"/>
      <c r="O946" s="173">
        <f t="shared" si="99"/>
        <v>97.950647887323953</v>
      </c>
      <c r="P946" s="173">
        <v>125</v>
      </c>
    </row>
    <row r="947" spans="1:16" hidden="1" x14ac:dyDescent="0.35">
      <c r="A947"/>
      <c r="C947" s="233" t="s">
        <v>1348</v>
      </c>
      <c r="E947">
        <v>70</v>
      </c>
      <c r="F947"/>
      <c r="G947" s="483" t="s">
        <v>1401</v>
      </c>
      <c r="H947" s="483"/>
      <c r="I947" s="146">
        <v>26.857142857142858</v>
      </c>
      <c r="J947">
        <v>3550</v>
      </c>
      <c r="K947" s="173">
        <v>5698</v>
      </c>
      <c r="L947" s="402">
        <f t="shared" si="97"/>
        <v>43.10760563380282</v>
      </c>
      <c r="M947" s="173">
        <f t="shared" si="98"/>
        <v>69.964748490945681</v>
      </c>
      <c r="N947" s="174"/>
      <c r="O947" s="173">
        <f t="shared" si="99"/>
        <v>97.950647887323953</v>
      </c>
      <c r="P947" s="173">
        <v>125</v>
      </c>
    </row>
    <row r="948" spans="1:16" hidden="1" x14ac:dyDescent="0.35">
      <c r="A948"/>
      <c r="C948" s="233" t="s">
        <v>1348</v>
      </c>
      <c r="E948">
        <v>71</v>
      </c>
      <c r="F948" s="366" t="s">
        <v>588</v>
      </c>
      <c r="G948" s="483" t="s">
        <v>1365</v>
      </c>
      <c r="H948" s="483"/>
      <c r="I948" s="145">
        <v>23.571428571428573</v>
      </c>
      <c r="J948">
        <v>3550</v>
      </c>
      <c r="K948" s="173">
        <v>5698</v>
      </c>
      <c r="L948" s="402">
        <f t="shared" si="97"/>
        <v>37.833802816901411</v>
      </c>
      <c r="M948" s="173">
        <f t="shared" si="98"/>
        <v>61.40523138832998</v>
      </c>
      <c r="N948" s="174"/>
      <c r="O948" s="173">
        <f t="shared" si="99"/>
        <v>85.967323943661967</v>
      </c>
      <c r="P948" s="173">
        <v>125</v>
      </c>
    </row>
    <row r="949" spans="1:16" hidden="1" x14ac:dyDescent="0.35">
      <c r="A949"/>
      <c r="C949" s="233" t="s">
        <v>1348</v>
      </c>
      <c r="E949">
        <v>72</v>
      </c>
      <c r="G949" s="567" t="s">
        <v>1365</v>
      </c>
      <c r="H949" s="567"/>
      <c r="I949" s="145">
        <v>23.571428571428573</v>
      </c>
      <c r="J949">
        <v>3550</v>
      </c>
      <c r="K949" s="173">
        <v>5698</v>
      </c>
      <c r="L949" s="402">
        <f t="shared" si="97"/>
        <v>37.833802816901411</v>
      </c>
      <c r="M949" s="173">
        <f t="shared" si="98"/>
        <v>61.40523138832998</v>
      </c>
      <c r="N949" s="174"/>
      <c r="O949" s="173">
        <f t="shared" si="99"/>
        <v>85.967323943661967</v>
      </c>
      <c r="P949" s="173">
        <v>125</v>
      </c>
    </row>
    <row r="950" spans="1:16" hidden="1" x14ac:dyDescent="0.35">
      <c r="A950"/>
      <c r="C950" s="233" t="s">
        <v>1348</v>
      </c>
      <c r="E950">
        <v>73</v>
      </c>
      <c r="G950" s="567" t="s">
        <v>1365</v>
      </c>
      <c r="H950" s="567"/>
      <c r="I950" s="145">
        <v>23.571428571428573</v>
      </c>
      <c r="J950">
        <v>3550</v>
      </c>
      <c r="K950" s="173">
        <v>5698</v>
      </c>
      <c r="L950" s="402">
        <f t="shared" si="97"/>
        <v>37.833802816901411</v>
      </c>
      <c r="M950" s="173">
        <f t="shared" si="98"/>
        <v>61.40523138832998</v>
      </c>
      <c r="N950" s="174"/>
      <c r="O950" s="173">
        <f t="shared" si="99"/>
        <v>85.967323943661967</v>
      </c>
      <c r="P950" s="173">
        <v>125</v>
      </c>
    </row>
    <row r="951" spans="1:16" hidden="1" x14ac:dyDescent="0.35">
      <c r="A951"/>
      <c r="C951" s="233" t="s">
        <v>1348</v>
      </c>
      <c r="E951">
        <v>74</v>
      </c>
      <c r="G951" s="567" t="s">
        <v>1365</v>
      </c>
      <c r="H951" s="567"/>
      <c r="I951" s="145">
        <v>23.571428571428573</v>
      </c>
      <c r="J951">
        <v>3550</v>
      </c>
      <c r="K951" s="173">
        <v>5698</v>
      </c>
      <c r="L951" s="402">
        <f t="shared" si="97"/>
        <v>37.833802816901411</v>
      </c>
      <c r="M951" s="173">
        <f t="shared" si="98"/>
        <v>61.40523138832998</v>
      </c>
      <c r="N951" s="174"/>
      <c r="O951" s="173">
        <f t="shared" si="99"/>
        <v>85.967323943661967</v>
      </c>
      <c r="P951" s="173">
        <v>125</v>
      </c>
    </row>
    <row r="952" spans="1:16" hidden="1" x14ac:dyDescent="0.35">
      <c r="A952"/>
      <c r="C952" s="233" t="s">
        <v>1348</v>
      </c>
      <c r="E952">
        <v>75</v>
      </c>
      <c r="F952" s="366" t="s">
        <v>408</v>
      </c>
      <c r="G952" s="483" t="s">
        <v>1395</v>
      </c>
      <c r="H952" s="483"/>
      <c r="I952" s="145">
        <v>23.571428571428573</v>
      </c>
      <c r="J952">
        <v>3550</v>
      </c>
      <c r="K952" s="173">
        <v>5698</v>
      </c>
      <c r="L952" s="402">
        <f t="shared" si="97"/>
        <v>37.833802816901411</v>
      </c>
      <c r="M952" s="173">
        <f t="shared" si="98"/>
        <v>61.40523138832998</v>
      </c>
      <c r="N952" s="174"/>
      <c r="O952" s="173">
        <f t="shared" si="99"/>
        <v>85.967323943661967</v>
      </c>
      <c r="P952" s="173">
        <v>125</v>
      </c>
    </row>
    <row r="953" spans="1:16" hidden="1" x14ac:dyDescent="0.35">
      <c r="A953"/>
      <c r="C953" s="233" t="s">
        <v>1348</v>
      </c>
      <c r="E953">
        <v>76</v>
      </c>
      <c r="F953" s="366" t="s">
        <v>407</v>
      </c>
      <c r="G953" s="483" t="s">
        <v>1395</v>
      </c>
      <c r="H953" s="483"/>
      <c r="I953" s="145">
        <v>23.571428571428573</v>
      </c>
      <c r="J953">
        <v>3550</v>
      </c>
      <c r="K953" s="173">
        <v>5698</v>
      </c>
      <c r="L953" s="402">
        <f t="shared" si="97"/>
        <v>37.833802816901411</v>
      </c>
      <c r="M953" s="173">
        <f t="shared" si="98"/>
        <v>61.40523138832998</v>
      </c>
      <c r="N953" s="174"/>
      <c r="O953" s="173">
        <f t="shared" si="99"/>
        <v>85.967323943661967</v>
      </c>
      <c r="P953" s="173">
        <v>125</v>
      </c>
    </row>
    <row r="954" spans="1:16" hidden="1" x14ac:dyDescent="0.35">
      <c r="A954"/>
      <c r="C954" s="233" t="s">
        <v>1348</v>
      </c>
      <c r="E954">
        <v>77</v>
      </c>
      <c r="F954" s="366" t="s">
        <v>410</v>
      </c>
      <c r="G954" s="483" t="s">
        <v>1395</v>
      </c>
      <c r="H954" s="483"/>
      <c r="I954" s="145">
        <v>23.571428571428573</v>
      </c>
      <c r="J954">
        <v>3550</v>
      </c>
      <c r="K954" s="173">
        <v>5698</v>
      </c>
      <c r="L954" s="402">
        <f t="shared" si="97"/>
        <v>37.833802816901411</v>
      </c>
      <c r="M954" s="173">
        <f t="shared" si="98"/>
        <v>61.40523138832998</v>
      </c>
      <c r="N954" s="174"/>
      <c r="O954" s="173">
        <f t="shared" si="99"/>
        <v>85.967323943661967</v>
      </c>
      <c r="P954" s="173">
        <v>125</v>
      </c>
    </row>
    <row r="955" spans="1:16" hidden="1" x14ac:dyDescent="0.35">
      <c r="A955"/>
      <c r="C955" s="233" t="s">
        <v>1348</v>
      </c>
      <c r="E955">
        <v>78</v>
      </c>
      <c r="G955" s="567" t="s">
        <v>1395</v>
      </c>
      <c r="H955" s="567"/>
      <c r="I955" s="145">
        <v>23.571428571428573</v>
      </c>
      <c r="J955">
        <v>3550</v>
      </c>
      <c r="K955" s="173">
        <v>5698</v>
      </c>
      <c r="L955" s="402">
        <f t="shared" si="97"/>
        <v>37.833802816901411</v>
      </c>
      <c r="M955" s="173">
        <f t="shared" si="98"/>
        <v>61.40523138832998</v>
      </c>
      <c r="N955" s="174"/>
      <c r="O955" s="173">
        <f t="shared" si="99"/>
        <v>85.967323943661967</v>
      </c>
      <c r="P955" s="173">
        <v>125</v>
      </c>
    </row>
    <row r="956" spans="1:16" hidden="1" x14ac:dyDescent="0.35">
      <c r="A956"/>
      <c r="C956" s="233" t="s">
        <v>1348</v>
      </c>
      <c r="E956">
        <v>79</v>
      </c>
      <c r="G956" s="371" t="s">
        <v>1393</v>
      </c>
      <c r="H956" s="371"/>
      <c r="I956" s="145">
        <v>26.857142857142858</v>
      </c>
      <c r="J956">
        <v>3550</v>
      </c>
      <c r="K956" s="173">
        <v>5698</v>
      </c>
      <c r="L956" s="402">
        <f t="shared" si="97"/>
        <v>43.10760563380282</v>
      </c>
      <c r="M956" s="173">
        <f t="shared" si="98"/>
        <v>69.964748490945681</v>
      </c>
      <c r="N956" s="174"/>
      <c r="O956" s="173">
        <f t="shared" si="99"/>
        <v>97.950647887323953</v>
      </c>
      <c r="P956" s="173">
        <v>125</v>
      </c>
    </row>
    <row r="957" spans="1:16" hidden="1" x14ac:dyDescent="0.35">
      <c r="A957"/>
      <c r="C957" s="233" t="s">
        <v>1348</v>
      </c>
      <c r="E957">
        <v>80</v>
      </c>
      <c r="G957" s="371" t="s">
        <v>1397</v>
      </c>
      <c r="H957" s="371"/>
      <c r="I957" s="145">
        <v>26.857142857142858</v>
      </c>
      <c r="J957">
        <v>3550</v>
      </c>
      <c r="K957" s="173">
        <v>5698</v>
      </c>
      <c r="L957" s="402">
        <f t="shared" si="97"/>
        <v>43.10760563380282</v>
      </c>
      <c r="M957" s="173">
        <f t="shared" si="98"/>
        <v>69.964748490945681</v>
      </c>
      <c r="N957" s="174"/>
      <c r="O957" s="173">
        <f t="shared" si="99"/>
        <v>97.950647887323953</v>
      </c>
      <c r="P957" s="173">
        <v>125</v>
      </c>
    </row>
    <row r="958" spans="1:16" hidden="1" x14ac:dyDescent="0.35">
      <c r="A958"/>
      <c r="C958" s="233" t="s">
        <v>1348</v>
      </c>
      <c r="E958">
        <v>81</v>
      </c>
      <c r="G958" s="371" t="s">
        <v>1398</v>
      </c>
      <c r="H958" s="371"/>
      <c r="I958" s="145">
        <v>26.857142857142858</v>
      </c>
      <c r="J958">
        <v>3550</v>
      </c>
      <c r="K958" s="173">
        <v>5698</v>
      </c>
      <c r="L958" s="402">
        <f t="shared" si="97"/>
        <v>43.10760563380282</v>
      </c>
      <c r="M958" s="173">
        <f t="shared" si="98"/>
        <v>69.964748490945681</v>
      </c>
      <c r="N958" s="174"/>
      <c r="O958" s="173">
        <f t="shared" si="99"/>
        <v>97.950647887323953</v>
      </c>
      <c r="P958" s="173">
        <v>125</v>
      </c>
    </row>
    <row r="959" spans="1:16" hidden="1" x14ac:dyDescent="0.35">
      <c r="A959"/>
      <c r="C959" s="233" t="s">
        <v>1348</v>
      </c>
      <c r="E959">
        <v>82</v>
      </c>
      <c r="G959" s="371" t="s">
        <v>1399</v>
      </c>
      <c r="H959" s="371"/>
      <c r="I959" s="145">
        <v>26.857142857142858</v>
      </c>
      <c r="J959">
        <v>3550</v>
      </c>
      <c r="K959" s="173">
        <v>5698</v>
      </c>
      <c r="L959" s="402">
        <f t="shared" si="97"/>
        <v>43.10760563380282</v>
      </c>
      <c r="M959" s="173">
        <f t="shared" si="98"/>
        <v>69.964748490945681</v>
      </c>
      <c r="N959" s="174"/>
      <c r="O959" s="173">
        <f t="shared" si="99"/>
        <v>97.950647887323953</v>
      </c>
      <c r="P959" s="173">
        <v>125</v>
      </c>
    </row>
    <row r="960" spans="1:16" hidden="1" x14ac:dyDescent="0.35">
      <c r="A960"/>
      <c r="C960" s="233" t="s">
        <v>1357</v>
      </c>
      <c r="E960">
        <v>83</v>
      </c>
      <c r="F960" s="366" t="s">
        <v>411</v>
      </c>
      <c r="G960" s="371" t="s">
        <v>1371</v>
      </c>
      <c r="H960" s="371"/>
      <c r="I960" s="145">
        <v>36.428571428571431</v>
      </c>
      <c r="J960">
        <v>3550</v>
      </c>
      <c r="K960" s="173">
        <v>5698</v>
      </c>
      <c r="L960" s="402">
        <f t="shared" si="97"/>
        <v>58.47042253521127</v>
      </c>
      <c r="M960" s="173">
        <f t="shared" si="98"/>
        <v>94.898993963782701</v>
      </c>
      <c r="N960" s="174"/>
      <c r="O960" s="173">
        <f t="shared" si="99"/>
        <v>132.85859154929577</v>
      </c>
      <c r="P960" s="173">
        <v>150</v>
      </c>
    </row>
    <row r="961" spans="1:16" hidden="1" x14ac:dyDescent="0.35">
      <c r="A961"/>
      <c r="C961" s="233" t="s">
        <v>1357</v>
      </c>
      <c r="E961">
        <v>84</v>
      </c>
      <c r="F961" s="366" t="s">
        <v>588</v>
      </c>
      <c r="G961" s="371" t="s">
        <v>1371</v>
      </c>
      <c r="H961" s="371"/>
      <c r="I961" s="145">
        <v>36.428571428571431</v>
      </c>
      <c r="J961">
        <v>3550</v>
      </c>
      <c r="K961" s="173">
        <v>5698</v>
      </c>
      <c r="L961" s="402">
        <f t="shared" si="97"/>
        <v>58.47042253521127</v>
      </c>
      <c r="M961" s="173">
        <f t="shared" si="98"/>
        <v>94.898993963782701</v>
      </c>
      <c r="N961" s="174"/>
      <c r="O961" s="173">
        <f t="shared" si="99"/>
        <v>132.85859154929577</v>
      </c>
      <c r="P961" s="173">
        <v>150</v>
      </c>
    </row>
    <row r="962" spans="1:16" hidden="1" x14ac:dyDescent="0.35">
      <c r="A962"/>
      <c r="C962" s="233" t="s">
        <v>1357</v>
      </c>
      <c r="E962">
        <v>85</v>
      </c>
      <c r="F962" s="366" t="s">
        <v>405</v>
      </c>
      <c r="G962" s="371" t="s">
        <v>1371</v>
      </c>
      <c r="H962" s="371"/>
      <c r="I962" s="145">
        <v>36.428571428571431</v>
      </c>
      <c r="J962">
        <v>3550</v>
      </c>
      <c r="K962" s="173">
        <v>5698</v>
      </c>
      <c r="L962" s="402">
        <f t="shared" si="97"/>
        <v>58.47042253521127</v>
      </c>
      <c r="M962" s="173">
        <f t="shared" si="98"/>
        <v>94.898993963782701</v>
      </c>
      <c r="N962" s="174"/>
      <c r="O962" s="173">
        <f t="shared" si="99"/>
        <v>132.85859154929577</v>
      </c>
      <c r="P962" s="173">
        <v>150</v>
      </c>
    </row>
    <row r="963" spans="1:16" hidden="1" x14ac:dyDescent="0.35">
      <c r="A963"/>
      <c r="C963" s="233" t="s">
        <v>1372</v>
      </c>
      <c r="E963">
        <v>86</v>
      </c>
      <c r="G963" s="371" t="s">
        <v>1373</v>
      </c>
      <c r="H963" s="371"/>
      <c r="I963" s="173">
        <v>25.714285714285715</v>
      </c>
      <c r="J963">
        <v>3550</v>
      </c>
      <c r="K963" s="173">
        <v>5698</v>
      </c>
      <c r="L963" s="402">
        <f t="shared" si="97"/>
        <v>41.273239436619718</v>
      </c>
      <c r="M963" s="173">
        <f t="shared" si="98"/>
        <v>66.987525150905441</v>
      </c>
      <c r="N963" s="174"/>
      <c r="O963" s="173">
        <f t="shared" si="99"/>
        <v>93.782535211267614</v>
      </c>
      <c r="P963" s="173">
        <v>150</v>
      </c>
    </row>
    <row r="964" spans="1:16" hidden="1" x14ac:dyDescent="0.35">
      <c r="A964"/>
      <c r="C964" s="233" t="s">
        <v>1372</v>
      </c>
      <c r="E964">
        <v>87</v>
      </c>
      <c r="G964" s="435" t="s">
        <v>1373</v>
      </c>
      <c r="H964" s="435"/>
      <c r="I964" s="173">
        <v>25.714285714285715</v>
      </c>
      <c r="J964">
        <v>3550</v>
      </c>
      <c r="K964" s="173">
        <v>5698</v>
      </c>
      <c r="L964" s="402">
        <f t="shared" si="97"/>
        <v>41.273239436619718</v>
      </c>
      <c r="M964" s="173">
        <f t="shared" si="98"/>
        <v>66.987525150905441</v>
      </c>
      <c r="N964" s="174"/>
      <c r="O964" s="173">
        <f t="shared" si="99"/>
        <v>93.782535211267614</v>
      </c>
      <c r="P964" s="173">
        <v>150</v>
      </c>
    </row>
    <row r="965" spans="1:16" hidden="1" x14ac:dyDescent="0.35">
      <c r="A965"/>
      <c r="C965" s="233" t="s">
        <v>1372</v>
      </c>
      <c r="E965">
        <v>88</v>
      </c>
      <c r="G965" s="371" t="s">
        <v>1374</v>
      </c>
      <c r="H965" s="371"/>
      <c r="I965" s="173">
        <v>25.714285714285715</v>
      </c>
      <c r="J965">
        <v>3550</v>
      </c>
      <c r="K965" s="173">
        <v>5698</v>
      </c>
      <c r="L965" s="402">
        <f t="shared" si="97"/>
        <v>41.273239436619718</v>
      </c>
      <c r="M965" s="173">
        <f t="shared" si="98"/>
        <v>66.987525150905441</v>
      </c>
      <c r="N965" s="174"/>
      <c r="O965" s="173">
        <f t="shared" si="99"/>
        <v>93.782535211267614</v>
      </c>
      <c r="P965" s="173">
        <v>150</v>
      </c>
    </row>
    <row r="966" spans="1:16" hidden="1" x14ac:dyDescent="0.35">
      <c r="A966"/>
      <c r="C966" s="233" t="s">
        <v>1372</v>
      </c>
      <c r="E966">
        <v>89</v>
      </c>
      <c r="G966" s="371" t="s">
        <v>1374</v>
      </c>
      <c r="H966" s="371"/>
      <c r="I966" s="173">
        <v>25.714285714285715</v>
      </c>
      <c r="J966">
        <v>3550</v>
      </c>
      <c r="K966" s="173">
        <v>5698</v>
      </c>
      <c r="L966" s="402">
        <f t="shared" si="97"/>
        <v>41.273239436619718</v>
      </c>
      <c r="M966" s="173">
        <f t="shared" si="98"/>
        <v>66.987525150905441</v>
      </c>
      <c r="N966" s="174"/>
      <c r="O966" s="173">
        <f t="shared" si="99"/>
        <v>93.782535211267614</v>
      </c>
      <c r="P966" s="173">
        <v>150</v>
      </c>
    </row>
    <row r="967" spans="1:16" hidden="1" x14ac:dyDescent="0.35">
      <c r="A967"/>
      <c r="C967" s="233" t="s">
        <v>1372</v>
      </c>
      <c r="E967">
        <v>90</v>
      </c>
      <c r="G967" s="435" t="s">
        <v>1374</v>
      </c>
      <c r="H967" s="435"/>
      <c r="I967" s="173">
        <v>25.714285714285715</v>
      </c>
      <c r="J967">
        <v>3550</v>
      </c>
      <c r="K967" s="173">
        <v>5698</v>
      </c>
      <c r="L967" s="402">
        <f t="shared" si="97"/>
        <v>41.273239436619718</v>
      </c>
      <c r="M967" s="173">
        <f t="shared" si="98"/>
        <v>66.987525150905441</v>
      </c>
      <c r="N967" s="174"/>
      <c r="O967" s="173">
        <f t="shared" si="99"/>
        <v>93.782535211267614</v>
      </c>
      <c r="P967" s="173">
        <v>150</v>
      </c>
    </row>
    <row r="968" spans="1:16" hidden="1" x14ac:dyDescent="0.35">
      <c r="A968"/>
      <c r="C968" s="233" t="s">
        <v>561</v>
      </c>
      <c r="E968">
        <v>91</v>
      </c>
      <c r="G968" s="371" t="s">
        <v>1375</v>
      </c>
      <c r="H968" s="371"/>
      <c r="I968" s="173">
        <v>21.428571428571427</v>
      </c>
      <c r="J968">
        <v>3550</v>
      </c>
      <c r="K968" s="173">
        <v>5698</v>
      </c>
      <c r="L968" s="402">
        <f t="shared" si="97"/>
        <v>34.394366197183096</v>
      </c>
      <c r="M968" s="173">
        <f t="shared" si="98"/>
        <v>55.82293762575452</v>
      </c>
      <c r="N968" s="174"/>
      <c r="O968" s="173">
        <f t="shared" si="99"/>
        <v>78.152112676056319</v>
      </c>
      <c r="P968" s="173">
        <v>90</v>
      </c>
    </row>
    <row r="969" spans="1:16" hidden="1" x14ac:dyDescent="0.35">
      <c r="A969"/>
      <c r="C969" s="233" t="s">
        <v>561</v>
      </c>
      <c r="E969">
        <v>92</v>
      </c>
      <c r="G969" s="371" t="s">
        <v>1375</v>
      </c>
      <c r="H969" s="371"/>
      <c r="I969" s="173">
        <v>21.428571428571427</v>
      </c>
      <c r="J969">
        <v>3550</v>
      </c>
      <c r="K969" s="173">
        <v>5698</v>
      </c>
      <c r="L969" s="402">
        <f t="shared" si="97"/>
        <v>34.394366197183096</v>
      </c>
      <c r="M969" s="173">
        <f t="shared" si="98"/>
        <v>55.82293762575452</v>
      </c>
      <c r="N969" s="174"/>
      <c r="O969" s="173">
        <f t="shared" si="99"/>
        <v>78.152112676056319</v>
      </c>
      <c r="P969" s="173">
        <v>90</v>
      </c>
    </row>
    <row r="970" spans="1:16" hidden="1" x14ac:dyDescent="0.35">
      <c r="A970"/>
      <c r="C970" s="233" t="s">
        <v>561</v>
      </c>
      <c r="E970">
        <v>93</v>
      </c>
      <c r="G970" s="435" t="s">
        <v>1375</v>
      </c>
      <c r="H970" s="435"/>
      <c r="I970" s="173">
        <v>21.428571428571427</v>
      </c>
      <c r="J970">
        <v>3550</v>
      </c>
      <c r="K970" s="173">
        <v>5698</v>
      </c>
      <c r="L970" s="402">
        <f t="shared" si="97"/>
        <v>34.394366197183096</v>
      </c>
      <c r="M970" s="173">
        <f t="shared" si="98"/>
        <v>55.82293762575452</v>
      </c>
      <c r="N970" s="174"/>
      <c r="O970" s="173">
        <f t="shared" si="99"/>
        <v>78.152112676056319</v>
      </c>
      <c r="P970" s="173">
        <v>90</v>
      </c>
    </row>
    <row r="971" spans="1:16" hidden="1" x14ac:dyDescent="0.35">
      <c r="A971"/>
      <c r="C971" s="233" t="s">
        <v>561</v>
      </c>
      <c r="E971">
        <v>94</v>
      </c>
      <c r="G971" s="435" t="s">
        <v>1375</v>
      </c>
      <c r="H971" s="435"/>
      <c r="I971" s="173">
        <v>21.428571428571427</v>
      </c>
      <c r="J971">
        <v>3550</v>
      </c>
      <c r="K971" s="173">
        <v>5698</v>
      </c>
      <c r="L971" s="402">
        <f t="shared" si="97"/>
        <v>34.394366197183096</v>
      </c>
      <c r="M971" s="173">
        <f t="shared" si="98"/>
        <v>55.82293762575452</v>
      </c>
      <c r="N971" s="174"/>
      <c r="O971" s="173">
        <f t="shared" si="99"/>
        <v>78.152112676056319</v>
      </c>
      <c r="P971" s="173">
        <v>90</v>
      </c>
    </row>
    <row r="972" spans="1:16" hidden="1" x14ac:dyDescent="0.35">
      <c r="A972"/>
      <c r="C972" s="233" t="s">
        <v>561</v>
      </c>
      <c r="E972">
        <v>95</v>
      </c>
      <c r="G972" s="435" t="s">
        <v>1375</v>
      </c>
      <c r="H972" s="435"/>
      <c r="I972" s="173">
        <v>21.428571428571427</v>
      </c>
      <c r="J972">
        <v>3550</v>
      </c>
      <c r="K972" s="173">
        <v>5698</v>
      </c>
      <c r="L972" s="402">
        <f t="shared" si="97"/>
        <v>34.394366197183096</v>
      </c>
      <c r="M972" s="173">
        <f t="shared" si="98"/>
        <v>55.82293762575452</v>
      </c>
      <c r="N972" s="174"/>
      <c r="O972" s="173">
        <f t="shared" si="99"/>
        <v>78.152112676056319</v>
      </c>
      <c r="P972" s="173">
        <v>90</v>
      </c>
    </row>
    <row r="973" spans="1:16" hidden="1" x14ac:dyDescent="0.35">
      <c r="A973"/>
      <c r="C973" s="233" t="s">
        <v>1357</v>
      </c>
      <c r="E973">
        <v>96</v>
      </c>
      <c r="G973" s="371" t="s">
        <v>1376</v>
      </c>
      <c r="H973" s="371"/>
      <c r="I973" s="173">
        <v>22.142857142857142</v>
      </c>
      <c r="J973">
        <v>3550</v>
      </c>
      <c r="K973" s="173">
        <v>5698</v>
      </c>
      <c r="L973" s="402">
        <f t="shared" si="97"/>
        <v>35.540845070422534</v>
      </c>
      <c r="M973" s="173">
        <f t="shared" si="98"/>
        <v>57.683702213279673</v>
      </c>
      <c r="N973" s="174"/>
      <c r="O973" s="173">
        <f t="shared" si="99"/>
        <v>80.75718309859154</v>
      </c>
      <c r="P973" s="173">
        <v>110</v>
      </c>
    </row>
    <row r="974" spans="1:16" hidden="1" x14ac:dyDescent="0.35">
      <c r="A974"/>
      <c r="C974" s="233" t="s">
        <v>1357</v>
      </c>
      <c r="E974">
        <v>97</v>
      </c>
      <c r="G974" s="435" t="s">
        <v>1376</v>
      </c>
      <c r="H974" s="435"/>
      <c r="I974" s="173">
        <v>22.142857142857142</v>
      </c>
      <c r="J974">
        <v>3550</v>
      </c>
      <c r="K974" s="173">
        <v>5698</v>
      </c>
      <c r="L974" s="402">
        <f t="shared" ref="L974:L991" si="100">+I974/J974*K974</f>
        <v>35.540845070422534</v>
      </c>
      <c r="M974" s="173">
        <f t="shared" ref="M974:M991" si="101">+I974+L974</f>
        <v>57.683702213279673</v>
      </c>
      <c r="N974" s="174"/>
      <c r="O974" s="173">
        <f t="shared" ref="O974:O991" si="102">+M974*1.4</f>
        <v>80.75718309859154</v>
      </c>
      <c r="P974" s="173">
        <v>110</v>
      </c>
    </row>
    <row r="975" spans="1:16" hidden="1" x14ac:dyDescent="0.35">
      <c r="A975"/>
      <c r="C975" s="233" t="s">
        <v>1357</v>
      </c>
      <c r="E975">
        <v>98</v>
      </c>
      <c r="G975" s="435" t="s">
        <v>1376</v>
      </c>
      <c r="H975" s="435"/>
      <c r="I975" s="173">
        <v>22.142857142857142</v>
      </c>
      <c r="J975">
        <v>3550</v>
      </c>
      <c r="K975" s="173">
        <v>5698</v>
      </c>
      <c r="L975" s="402">
        <f t="shared" si="100"/>
        <v>35.540845070422534</v>
      </c>
      <c r="M975" s="173">
        <f t="shared" si="101"/>
        <v>57.683702213279673</v>
      </c>
      <c r="N975" s="174"/>
      <c r="O975" s="173">
        <f t="shared" si="102"/>
        <v>80.75718309859154</v>
      </c>
      <c r="P975" s="173">
        <v>110</v>
      </c>
    </row>
    <row r="976" spans="1:16" hidden="1" x14ac:dyDescent="0.35">
      <c r="A976"/>
      <c r="C976" s="233" t="s">
        <v>1357</v>
      </c>
      <c r="E976">
        <v>99</v>
      </c>
      <c r="G976" s="435" t="s">
        <v>1376</v>
      </c>
      <c r="H976" s="435"/>
      <c r="I976" s="173">
        <v>22.142857142857142</v>
      </c>
      <c r="J976">
        <v>3550</v>
      </c>
      <c r="K976" s="173">
        <v>5698</v>
      </c>
      <c r="L976" s="402">
        <f t="shared" si="100"/>
        <v>35.540845070422534</v>
      </c>
      <c r="M976" s="173">
        <f t="shared" si="101"/>
        <v>57.683702213279673</v>
      </c>
      <c r="N976" s="174"/>
      <c r="O976" s="173">
        <f t="shared" si="102"/>
        <v>80.75718309859154</v>
      </c>
      <c r="P976" s="173">
        <v>110</v>
      </c>
    </row>
    <row r="977" spans="1:16" hidden="1" x14ac:dyDescent="0.35">
      <c r="A977"/>
      <c r="C977" s="233" t="s">
        <v>561</v>
      </c>
      <c r="E977">
        <v>100</v>
      </c>
      <c r="F977" s="366" t="s">
        <v>409</v>
      </c>
      <c r="G977" s="371" t="s">
        <v>1403</v>
      </c>
      <c r="H977" s="371"/>
      <c r="I977" s="173">
        <v>29.571428571428573</v>
      </c>
      <c r="J977">
        <v>3550</v>
      </c>
      <c r="K977" s="173">
        <v>5698</v>
      </c>
      <c r="L977" s="402">
        <f t="shared" si="100"/>
        <v>47.46422535211267</v>
      </c>
      <c r="M977" s="173">
        <f t="shared" si="101"/>
        <v>77.035653923541247</v>
      </c>
      <c r="N977" s="174"/>
      <c r="O977" s="173">
        <f t="shared" si="102"/>
        <v>107.84991549295773</v>
      </c>
      <c r="P977" s="173">
        <v>150</v>
      </c>
    </row>
    <row r="978" spans="1:16" hidden="1" x14ac:dyDescent="0.35">
      <c r="A978"/>
      <c r="C978" s="233" t="s">
        <v>561</v>
      </c>
      <c r="E978">
        <v>101</v>
      </c>
      <c r="F978" s="366" t="s">
        <v>410</v>
      </c>
      <c r="G978" s="371" t="s">
        <v>1403</v>
      </c>
      <c r="H978" s="371"/>
      <c r="I978" s="173">
        <v>29.571428571428573</v>
      </c>
      <c r="J978">
        <v>3550</v>
      </c>
      <c r="K978" s="173">
        <v>5698</v>
      </c>
      <c r="L978" s="402">
        <f t="shared" si="100"/>
        <v>47.46422535211267</v>
      </c>
      <c r="M978" s="173">
        <f t="shared" si="101"/>
        <v>77.035653923541247</v>
      </c>
      <c r="N978" s="174"/>
      <c r="O978" s="173">
        <f t="shared" si="102"/>
        <v>107.84991549295773</v>
      </c>
      <c r="P978" s="173">
        <v>150</v>
      </c>
    </row>
    <row r="979" spans="1:16" hidden="1" x14ac:dyDescent="0.35">
      <c r="A979"/>
      <c r="C979" s="233" t="s">
        <v>561</v>
      </c>
      <c r="E979">
        <v>102</v>
      </c>
      <c r="F979" s="366" t="s">
        <v>407</v>
      </c>
      <c r="G979" s="371" t="s">
        <v>1404</v>
      </c>
      <c r="H979" s="371"/>
      <c r="I979" s="173">
        <v>29.571428571428573</v>
      </c>
      <c r="J979">
        <v>3550</v>
      </c>
      <c r="K979" s="173">
        <v>5698</v>
      </c>
      <c r="L979" s="402">
        <f t="shared" si="100"/>
        <v>47.46422535211267</v>
      </c>
      <c r="M979" s="173">
        <f t="shared" si="101"/>
        <v>77.035653923541247</v>
      </c>
      <c r="N979" s="174"/>
      <c r="O979" s="173">
        <f t="shared" si="102"/>
        <v>107.84991549295773</v>
      </c>
      <c r="P979" s="173">
        <v>150</v>
      </c>
    </row>
    <row r="980" spans="1:16" hidden="1" x14ac:dyDescent="0.35">
      <c r="A980"/>
      <c r="C980" s="233" t="s">
        <v>561</v>
      </c>
      <c r="E980">
        <v>103</v>
      </c>
      <c r="F980" s="366" t="s">
        <v>409</v>
      </c>
      <c r="G980" s="371" t="s">
        <v>1404</v>
      </c>
      <c r="H980" s="371"/>
      <c r="I980" s="173">
        <v>29.571428571428573</v>
      </c>
      <c r="J980">
        <v>3550</v>
      </c>
      <c r="K980" s="173">
        <v>5698</v>
      </c>
      <c r="L980" s="402">
        <f t="shared" si="100"/>
        <v>47.46422535211267</v>
      </c>
      <c r="M980" s="173">
        <f t="shared" si="101"/>
        <v>77.035653923541247</v>
      </c>
      <c r="N980" s="174"/>
      <c r="O980" s="173">
        <f t="shared" si="102"/>
        <v>107.84991549295773</v>
      </c>
      <c r="P980" s="173">
        <v>150</v>
      </c>
    </row>
    <row r="981" spans="1:16" hidden="1" x14ac:dyDescent="0.35">
      <c r="A981"/>
      <c r="C981" s="233" t="s">
        <v>561</v>
      </c>
      <c r="E981">
        <v>104</v>
      </c>
      <c r="F981" s="366" t="s">
        <v>410</v>
      </c>
      <c r="G981" s="371" t="s">
        <v>1404</v>
      </c>
      <c r="H981" s="371"/>
      <c r="I981" s="173">
        <v>29.571428571428573</v>
      </c>
      <c r="J981">
        <v>3550</v>
      </c>
      <c r="K981" s="173">
        <v>5698</v>
      </c>
      <c r="L981" s="402">
        <f t="shared" si="100"/>
        <v>47.46422535211267</v>
      </c>
      <c r="M981" s="173">
        <f t="shared" si="101"/>
        <v>77.035653923541247</v>
      </c>
      <c r="N981" s="174"/>
      <c r="O981" s="173">
        <f t="shared" si="102"/>
        <v>107.84991549295773</v>
      </c>
      <c r="P981" s="173">
        <v>150</v>
      </c>
    </row>
    <row r="982" spans="1:16" hidden="1" x14ac:dyDescent="0.35">
      <c r="A982"/>
      <c r="C982" s="233" t="s">
        <v>561</v>
      </c>
      <c r="E982">
        <v>105</v>
      </c>
      <c r="G982" s="245" t="s">
        <v>1418</v>
      </c>
      <c r="I982" s="173">
        <v>7.8571428571428568</v>
      </c>
      <c r="J982">
        <v>3550</v>
      </c>
      <c r="K982" s="173">
        <v>5698</v>
      </c>
      <c r="L982" s="402">
        <f t="shared" si="100"/>
        <v>12.611267605633802</v>
      </c>
      <c r="M982" s="173">
        <f t="shared" si="101"/>
        <v>20.46841046277666</v>
      </c>
      <c r="N982" s="174"/>
      <c r="O982" s="173">
        <f t="shared" si="102"/>
        <v>28.655774647887323</v>
      </c>
      <c r="P982" s="173">
        <v>110</v>
      </c>
    </row>
    <row r="983" spans="1:16" hidden="1" x14ac:dyDescent="0.35">
      <c r="A983"/>
      <c r="C983" s="233" t="s">
        <v>561</v>
      </c>
      <c r="E983">
        <v>106</v>
      </c>
      <c r="G983" s="245" t="s">
        <v>1418</v>
      </c>
      <c r="I983" s="173">
        <v>7.8571428571428568</v>
      </c>
      <c r="J983">
        <v>3550</v>
      </c>
      <c r="K983" s="173">
        <v>5698</v>
      </c>
      <c r="L983" s="402">
        <f t="shared" si="100"/>
        <v>12.611267605633802</v>
      </c>
      <c r="M983" s="173">
        <f t="shared" si="101"/>
        <v>20.46841046277666</v>
      </c>
      <c r="N983" s="174"/>
      <c r="O983" s="173">
        <f t="shared" si="102"/>
        <v>28.655774647887323</v>
      </c>
      <c r="P983" s="173">
        <v>110</v>
      </c>
    </row>
    <row r="984" spans="1:16" hidden="1" x14ac:dyDescent="0.35">
      <c r="A984"/>
      <c r="C984" s="233" t="s">
        <v>561</v>
      </c>
      <c r="E984">
        <v>107</v>
      </c>
      <c r="G984" s="245" t="s">
        <v>1418</v>
      </c>
      <c r="I984" s="173">
        <v>7.8571428571428568</v>
      </c>
      <c r="J984">
        <v>3550</v>
      </c>
      <c r="K984" s="173">
        <v>5698</v>
      </c>
      <c r="L984" s="402">
        <f t="shared" si="100"/>
        <v>12.611267605633802</v>
      </c>
      <c r="M984" s="173">
        <f t="shared" si="101"/>
        <v>20.46841046277666</v>
      </c>
      <c r="N984" s="174"/>
      <c r="O984" s="173">
        <f t="shared" si="102"/>
        <v>28.655774647887323</v>
      </c>
      <c r="P984" s="173">
        <v>110</v>
      </c>
    </row>
    <row r="985" spans="1:16" hidden="1" x14ac:dyDescent="0.35">
      <c r="A985"/>
      <c r="C985" s="233" t="s">
        <v>561</v>
      </c>
      <c r="E985">
        <v>108</v>
      </c>
      <c r="G985" s="245" t="s">
        <v>1418</v>
      </c>
      <c r="I985" s="173">
        <v>7.8571428571428568</v>
      </c>
      <c r="J985">
        <v>3550</v>
      </c>
      <c r="K985" s="173">
        <v>5698</v>
      </c>
      <c r="L985" s="402">
        <f t="shared" si="100"/>
        <v>12.611267605633802</v>
      </c>
      <c r="M985" s="173">
        <f t="shared" si="101"/>
        <v>20.46841046277666</v>
      </c>
      <c r="N985" s="174"/>
      <c r="O985" s="173">
        <f t="shared" si="102"/>
        <v>28.655774647887323</v>
      </c>
      <c r="P985" s="173">
        <v>110</v>
      </c>
    </row>
    <row r="986" spans="1:16" hidden="1" x14ac:dyDescent="0.35">
      <c r="A986"/>
      <c r="C986" s="233" t="s">
        <v>561</v>
      </c>
      <c r="E986">
        <v>109</v>
      </c>
      <c r="G986" s="245" t="s">
        <v>1418</v>
      </c>
      <c r="I986" s="173">
        <v>7.8571428571428568</v>
      </c>
      <c r="J986">
        <v>3550</v>
      </c>
      <c r="K986" s="173">
        <v>5698</v>
      </c>
      <c r="L986" s="402">
        <f t="shared" si="100"/>
        <v>12.611267605633802</v>
      </c>
      <c r="M986" s="173">
        <f t="shared" si="101"/>
        <v>20.46841046277666</v>
      </c>
      <c r="N986" s="174"/>
      <c r="O986" s="173">
        <f t="shared" si="102"/>
        <v>28.655774647887323</v>
      </c>
      <c r="P986" s="173">
        <v>110</v>
      </c>
    </row>
    <row r="987" spans="1:16" hidden="1" x14ac:dyDescent="0.35">
      <c r="A987"/>
      <c r="C987" s="233" t="s">
        <v>561</v>
      </c>
      <c r="E987">
        <v>110</v>
      </c>
      <c r="G987" s="245" t="s">
        <v>1417</v>
      </c>
      <c r="I987" s="173">
        <v>7.8571428571428568</v>
      </c>
      <c r="J987">
        <v>3550</v>
      </c>
      <c r="K987" s="173">
        <v>5698</v>
      </c>
      <c r="L987" s="402">
        <f t="shared" si="100"/>
        <v>12.611267605633802</v>
      </c>
      <c r="M987" s="173">
        <f t="shared" si="101"/>
        <v>20.46841046277666</v>
      </c>
      <c r="N987" s="174"/>
      <c r="O987" s="173">
        <f t="shared" si="102"/>
        <v>28.655774647887323</v>
      </c>
      <c r="P987" s="173">
        <v>110</v>
      </c>
    </row>
    <row r="988" spans="1:16" hidden="1" x14ac:dyDescent="0.35">
      <c r="A988"/>
      <c r="C988" s="233" t="s">
        <v>561</v>
      </c>
      <c r="E988">
        <v>111</v>
      </c>
      <c r="G988" s="245" t="s">
        <v>1417</v>
      </c>
      <c r="I988" s="173">
        <v>7.8571428571428568</v>
      </c>
      <c r="J988">
        <v>3550</v>
      </c>
      <c r="K988" s="173">
        <v>5698</v>
      </c>
      <c r="L988" s="402">
        <f t="shared" si="100"/>
        <v>12.611267605633802</v>
      </c>
      <c r="M988" s="173">
        <f t="shared" si="101"/>
        <v>20.46841046277666</v>
      </c>
      <c r="N988" s="174"/>
      <c r="O988" s="173">
        <f t="shared" si="102"/>
        <v>28.655774647887323</v>
      </c>
      <c r="P988" s="173">
        <v>110</v>
      </c>
    </row>
    <row r="989" spans="1:16" hidden="1" x14ac:dyDescent="0.35">
      <c r="A989"/>
      <c r="C989" s="233" t="s">
        <v>561</v>
      </c>
      <c r="E989">
        <v>112</v>
      </c>
      <c r="G989" s="245" t="s">
        <v>1417</v>
      </c>
      <c r="I989" s="173">
        <v>7.8571428571428568</v>
      </c>
      <c r="J989">
        <v>3550</v>
      </c>
      <c r="K989" s="173">
        <v>5698</v>
      </c>
      <c r="L989" s="402">
        <f t="shared" si="100"/>
        <v>12.611267605633802</v>
      </c>
      <c r="M989" s="173">
        <f t="shared" si="101"/>
        <v>20.46841046277666</v>
      </c>
      <c r="N989" s="174"/>
      <c r="O989" s="173">
        <f t="shared" si="102"/>
        <v>28.655774647887323</v>
      </c>
      <c r="P989" s="173">
        <v>110</v>
      </c>
    </row>
    <row r="990" spans="1:16" hidden="1" x14ac:dyDescent="0.35">
      <c r="A990"/>
      <c r="C990" s="233" t="s">
        <v>561</v>
      </c>
      <c r="E990">
        <v>113</v>
      </c>
      <c r="G990" s="245" t="s">
        <v>1417</v>
      </c>
      <c r="I990" s="173">
        <v>7.8571428571428568</v>
      </c>
      <c r="J990">
        <v>3550</v>
      </c>
      <c r="K990" s="173">
        <v>5698</v>
      </c>
      <c r="L990" s="402">
        <f t="shared" si="100"/>
        <v>12.611267605633802</v>
      </c>
      <c r="M990" s="173">
        <f t="shared" si="101"/>
        <v>20.46841046277666</v>
      </c>
      <c r="N990" s="174"/>
      <c r="O990" s="173">
        <f t="shared" si="102"/>
        <v>28.655774647887323</v>
      </c>
      <c r="P990" s="173">
        <v>110</v>
      </c>
    </row>
    <row r="991" spans="1:16" hidden="1" x14ac:dyDescent="0.35">
      <c r="A991"/>
      <c r="C991" s="233" t="s">
        <v>561</v>
      </c>
      <c r="E991">
        <v>114</v>
      </c>
      <c r="G991" s="245" t="s">
        <v>1417</v>
      </c>
      <c r="I991" s="173">
        <v>7.8571428571428568</v>
      </c>
      <c r="J991">
        <v>3550</v>
      </c>
      <c r="K991" s="173">
        <v>5698</v>
      </c>
      <c r="L991" s="402">
        <f t="shared" si="100"/>
        <v>12.611267605633802</v>
      </c>
      <c r="M991" s="173">
        <f t="shared" si="101"/>
        <v>20.46841046277666</v>
      </c>
      <c r="N991" s="174"/>
      <c r="O991" s="173">
        <f t="shared" si="102"/>
        <v>28.655774647887323</v>
      </c>
      <c r="P991" s="173">
        <v>110</v>
      </c>
    </row>
    <row r="992" spans="1:16" hidden="1" x14ac:dyDescent="0.35">
      <c r="A992"/>
      <c r="L992" s="402"/>
      <c r="N992" s="174"/>
    </row>
    <row r="993" spans="1:16" hidden="1" x14ac:dyDescent="0.35">
      <c r="A993"/>
      <c r="L993" s="402"/>
      <c r="N993" s="174"/>
    </row>
    <row r="994" spans="1:16" s="3" customFormat="1" hidden="1" x14ac:dyDescent="0.35">
      <c r="C994" s="232"/>
      <c r="D994" s="232"/>
      <c r="F994" s="340"/>
      <c r="G994" s="256" t="s">
        <v>1377</v>
      </c>
      <c r="H994" s="256"/>
      <c r="I994" s="146"/>
      <c r="J994"/>
      <c r="K994" s="173"/>
      <c r="L994" s="402"/>
      <c r="M994" s="173"/>
      <c r="N994" s="174"/>
      <c r="O994" s="173"/>
      <c r="P994" s="173"/>
    </row>
    <row r="995" spans="1:16" hidden="1" x14ac:dyDescent="0.35">
      <c r="A995"/>
      <c r="C995" s="233" t="s">
        <v>1378</v>
      </c>
      <c r="E995">
        <v>1</v>
      </c>
      <c r="F995" s="366" t="s">
        <v>408</v>
      </c>
      <c r="G995" s="245" t="s">
        <v>1379</v>
      </c>
      <c r="I995" s="173">
        <v>4</v>
      </c>
      <c r="J995">
        <v>3550</v>
      </c>
      <c r="K995" s="173">
        <v>5698</v>
      </c>
      <c r="L995" s="402">
        <f t="shared" ref="L995:L1026" si="103">+I995/J995*K995</f>
        <v>6.420281690140845</v>
      </c>
      <c r="M995" s="173">
        <f t="shared" ref="M995:M1026" si="104">+I995+L995</f>
        <v>10.420281690140845</v>
      </c>
      <c r="N995" s="174"/>
      <c r="O995" s="173">
        <f t="shared" ref="O995:O1026" si="105">+M995*1.4</f>
        <v>14.588394366197182</v>
      </c>
      <c r="P995" s="173">
        <v>35</v>
      </c>
    </row>
    <row r="996" spans="1:16" hidden="1" x14ac:dyDescent="0.35">
      <c r="A996"/>
      <c r="C996" s="233" t="s">
        <v>1378</v>
      </c>
      <c r="E996">
        <v>2</v>
      </c>
      <c r="F996" s="366" t="s">
        <v>407</v>
      </c>
      <c r="G996" s="245" t="s">
        <v>1379</v>
      </c>
      <c r="I996" s="173">
        <v>4</v>
      </c>
      <c r="J996">
        <v>3550</v>
      </c>
      <c r="K996" s="173">
        <v>5698</v>
      </c>
      <c r="L996" s="402">
        <f t="shared" si="103"/>
        <v>6.420281690140845</v>
      </c>
      <c r="M996" s="173">
        <f t="shared" si="104"/>
        <v>10.420281690140845</v>
      </c>
      <c r="N996" s="174"/>
      <c r="O996" s="173">
        <f t="shared" si="105"/>
        <v>14.588394366197182</v>
      </c>
      <c r="P996" s="173">
        <v>35</v>
      </c>
    </row>
    <row r="997" spans="1:16" hidden="1" x14ac:dyDescent="0.35">
      <c r="A997"/>
      <c r="C997" s="233" t="s">
        <v>1378</v>
      </c>
      <c r="E997">
        <v>3</v>
      </c>
      <c r="F997" s="366" t="s">
        <v>407</v>
      </c>
      <c r="G997" s="245" t="s">
        <v>1379</v>
      </c>
      <c r="I997" s="173">
        <v>4</v>
      </c>
      <c r="J997">
        <v>3550</v>
      </c>
      <c r="K997" s="173">
        <v>5698</v>
      </c>
      <c r="L997" s="402">
        <f t="shared" si="103"/>
        <v>6.420281690140845</v>
      </c>
      <c r="M997" s="173">
        <f t="shared" si="104"/>
        <v>10.420281690140845</v>
      </c>
      <c r="N997" s="174"/>
      <c r="O997" s="173">
        <f t="shared" si="105"/>
        <v>14.588394366197182</v>
      </c>
      <c r="P997" s="173">
        <v>35</v>
      </c>
    </row>
    <row r="998" spans="1:16" hidden="1" x14ac:dyDescent="0.35">
      <c r="A998"/>
      <c r="C998" s="233" t="s">
        <v>1378</v>
      </c>
      <c r="E998">
        <v>4</v>
      </c>
      <c r="F998" s="366" t="s">
        <v>409</v>
      </c>
      <c r="G998" s="245" t="s">
        <v>1379</v>
      </c>
      <c r="I998" s="173">
        <v>4</v>
      </c>
      <c r="J998">
        <v>3550</v>
      </c>
      <c r="K998" s="173">
        <v>5698</v>
      </c>
      <c r="L998" s="402">
        <f t="shared" si="103"/>
        <v>6.420281690140845</v>
      </c>
      <c r="M998" s="173">
        <f t="shared" si="104"/>
        <v>10.420281690140845</v>
      </c>
      <c r="N998" s="174"/>
      <c r="O998" s="173">
        <f t="shared" si="105"/>
        <v>14.588394366197182</v>
      </c>
      <c r="P998" s="173">
        <v>35</v>
      </c>
    </row>
    <row r="999" spans="1:16" hidden="1" x14ac:dyDescent="0.35">
      <c r="A999"/>
      <c r="C999" s="233" t="s">
        <v>1378</v>
      </c>
      <c r="E999">
        <v>5</v>
      </c>
      <c r="F999" s="366" t="s">
        <v>410</v>
      </c>
      <c r="G999" s="245" t="s">
        <v>1379</v>
      </c>
      <c r="I999" s="173">
        <v>4</v>
      </c>
      <c r="J999">
        <v>3550</v>
      </c>
      <c r="K999" s="173">
        <v>5698</v>
      </c>
      <c r="L999" s="402">
        <f t="shared" si="103"/>
        <v>6.420281690140845</v>
      </c>
      <c r="M999" s="173">
        <f t="shared" si="104"/>
        <v>10.420281690140845</v>
      </c>
      <c r="N999" s="174"/>
      <c r="O999" s="173">
        <f t="shared" si="105"/>
        <v>14.588394366197182</v>
      </c>
      <c r="P999" s="173">
        <v>35</v>
      </c>
    </row>
    <row r="1000" spans="1:16" hidden="1" x14ac:dyDescent="0.35">
      <c r="A1000"/>
      <c r="E1000">
        <v>6</v>
      </c>
      <c r="F1000" s="366" t="s">
        <v>408</v>
      </c>
      <c r="G1000" s="245" t="s">
        <v>1388</v>
      </c>
      <c r="I1000" s="173">
        <v>4</v>
      </c>
      <c r="J1000">
        <v>3550</v>
      </c>
      <c r="K1000" s="173">
        <v>5698</v>
      </c>
      <c r="L1000" s="402">
        <f t="shared" si="103"/>
        <v>6.420281690140845</v>
      </c>
      <c r="M1000" s="173">
        <f t="shared" si="104"/>
        <v>10.420281690140845</v>
      </c>
      <c r="N1000" s="174"/>
      <c r="O1000" s="173">
        <f t="shared" si="105"/>
        <v>14.588394366197182</v>
      </c>
      <c r="P1000" s="173">
        <v>35</v>
      </c>
    </row>
    <row r="1001" spans="1:16" hidden="1" x14ac:dyDescent="0.35">
      <c r="A1001"/>
      <c r="E1001">
        <v>7</v>
      </c>
      <c r="F1001" s="366" t="s">
        <v>407</v>
      </c>
      <c r="G1001" s="245" t="s">
        <v>1388</v>
      </c>
      <c r="I1001" s="173">
        <v>4</v>
      </c>
      <c r="J1001">
        <v>3550</v>
      </c>
      <c r="K1001" s="173">
        <v>5698</v>
      </c>
      <c r="L1001" s="402">
        <f t="shared" si="103"/>
        <v>6.420281690140845</v>
      </c>
      <c r="M1001" s="173">
        <f t="shared" si="104"/>
        <v>10.420281690140845</v>
      </c>
      <c r="N1001" s="174"/>
      <c r="O1001" s="173">
        <f t="shared" si="105"/>
        <v>14.588394366197182</v>
      </c>
      <c r="P1001" s="173">
        <v>35</v>
      </c>
    </row>
    <row r="1002" spans="1:16" hidden="1" x14ac:dyDescent="0.35">
      <c r="A1002"/>
      <c r="E1002">
        <v>8</v>
      </c>
      <c r="F1002" s="366" t="s">
        <v>409</v>
      </c>
      <c r="G1002" s="245" t="s">
        <v>1388</v>
      </c>
      <c r="I1002" s="173">
        <v>4</v>
      </c>
      <c r="J1002">
        <v>3550</v>
      </c>
      <c r="K1002" s="173">
        <v>5698</v>
      </c>
      <c r="L1002" s="402">
        <f t="shared" si="103"/>
        <v>6.420281690140845</v>
      </c>
      <c r="M1002" s="173">
        <f t="shared" si="104"/>
        <v>10.420281690140845</v>
      </c>
      <c r="N1002" s="174"/>
      <c r="O1002" s="173">
        <f t="shared" si="105"/>
        <v>14.588394366197182</v>
      </c>
      <c r="P1002" s="173">
        <v>35</v>
      </c>
    </row>
    <row r="1003" spans="1:16" hidden="1" x14ac:dyDescent="0.35">
      <c r="A1003"/>
      <c r="E1003">
        <v>9</v>
      </c>
      <c r="F1003" s="366" t="s">
        <v>409</v>
      </c>
      <c r="G1003" s="245" t="s">
        <v>1388</v>
      </c>
      <c r="I1003" s="173">
        <v>4</v>
      </c>
      <c r="J1003">
        <v>3550</v>
      </c>
      <c r="K1003" s="173">
        <v>5698</v>
      </c>
      <c r="L1003" s="402">
        <f t="shared" si="103"/>
        <v>6.420281690140845</v>
      </c>
      <c r="M1003" s="173">
        <f t="shared" si="104"/>
        <v>10.420281690140845</v>
      </c>
      <c r="N1003" s="174"/>
      <c r="O1003" s="173">
        <f t="shared" si="105"/>
        <v>14.588394366197182</v>
      </c>
      <c r="P1003" s="173">
        <v>35</v>
      </c>
    </row>
    <row r="1004" spans="1:16" hidden="1" x14ac:dyDescent="0.35">
      <c r="A1004"/>
      <c r="E1004">
        <v>10</v>
      </c>
      <c r="F1004" s="366" t="s">
        <v>410</v>
      </c>
      <c r="G1004" s="245" t="s">
        <v>1388</v>
      </c>
      <c r="I1004" s="173">
        <v>4</v>
      </c>
      <c r="J1004">
        <v>3550</v>
      </c>
      <c r="K1004" s="173">
        <v>5698</v>
      </c>
      <c r="L1004" s="402">
        <f t="shared" si="103"/>
        <v>6.420281690140845</v>
      </c>
      <c r="M1004" s="173">
        <f t="shared" si="104"/>
        <v>10.420281690140845</v>
      </c>
      <c r="N1004" s="174"/>
      <c r="O1004" s="173">
        <f t="shared" si="105"/>
        <v>14.588394366197182</v>
      </c>
      <c r="P1004" s="173">
        <v>35</v>
      </c>
    </row>
    <row r="1005" spans="1:16" hidden="1" x14ac:dyDescent="0.35">
      <c r="A1005"/>
      <c r="C1005" s="233" t="s">
        <v>1380</v>
      </c>
      <c r="E1005">
        <v>11</v>
      </c>
      <c r="F1005" s="366" t="s">
        <v>408</v>
      </c>
      <c r="G1005" s="245" t="s">
        <v>1381</v>
      </c>
      <c r="I1005" s="173">
        <v>4</v>
      </c>
      <c r="J1005">
        <v>3550</v>
      </c>
      <c r="K1005" s="173">
        <v>5698</v>
      </c>
      <c r="L1005" s="402">
        <f t="shared" si="103"/>
        <v>6.420281690140845</v>
      </c>
      <c r="M1005" s="173">
        <f t="shared" si="104"/>
        <v>10.420281690140845</v>
      </c>
      <c r="N1005" s="174"/>
      <c r="O1005" s="173">
        <f t="shared" si="105"/>
        <v>14.588394366197182</v>
      </c>
      <c r="P1005" s="173">
        <v>35</v>
      </c>
    </row>
    <row r="1006" spans="1:16" hidden="1" x14ac:dyDescent="0.35">
      <c r="A1006"/>
      <c r="C1006" s="233" t="s">
        <v>1380</v>
      </c>
      <c r="E1006">
        <v>12</v>
      </c>
      <c r="F1006" s="366" t="s">
        <v>407</v>
      </c>
      <c r="G1006" s="245" t="s">
        <v>1381</v>
      </c>
      <c r="I1006" s="173">
        <v>4</v>
      </c>
      <c r="J1006">
        <v>3550</v>
      </c>
      <c r="K1006" s="173">
        <v>5698</v>
      </c>
      <c r="L1006" s="402">
        <f t="shared" si="103"/>
        <v>6.420281690140845</v>
      </c>
      <c r="M1006" s="173">
        <f t="shared" si="104"/>
        <v>10.420281690140845</v>
      </c>
      <c r="N1006" s="174"/>
      <c r="O1006" s="173">
        <f t="shared" si="105"/>
        <v>14.588394366197182</v>
      </c>
      <c r="P1006" s="173">
        <v>35</v>
      </c>
    </row>
    <row r="1007" spans="1:16" hidden="1" x14ac:dyDescent="0.35">
      <c r="C1007" s="233" t="s">
        <v>1380</v>
      </c>
      <c r="E1007">
        <v>13</v>
      </c>
      <c r="F1007" s="366" t="s">
        <v>409</v>
      </c>
      <c r="G1007" s="245" t="s">
        <v>1381</v>
      </c>
      <c r="I1007" s="173">
        <v>4</v>
      </c>
      <c r="J1007">
        <v>3550</v>
      </c>
      <c r="K1007" s="173">
        <v>5698</v>
      </c>
      <c r="L1007" s="402">
        <f t="shared" si="103"/>
        <v>6.420281690140845</v>
      </c>
      <c r="M1007" s="173">
        <f t="shared" si="104"/>
        <v>10.420281690140845</v>
      </c>
      <c r="N1007" s="174"/>
      <c r="O1007" s="173">
        <f t="shared" si="105"/>
        <v>14.588394366197182</v>
      </c>
      <c r="P1007" s="173">
        <v>35</v>
      </c>
    </row>
    <row r="1008" spans="1:16" hidden="1" x14ac:dyDescent="0.35">
      <c r="A1008"/>
      <c r="C1008" s="233" t="s">
        <v>1380</v>
      </c>
      <c r="E1008">
        <v>14</v>
      </c>
      <c r="F1008" s="366" t="s">
        <v>410</v>
      </c>
      <c r="G1008" s="245" t="s">
        <v>1381</v>
      </c>
      <c r="I1008" s="173">
        <v>4</v>
      </c>
      <c r="J1008">
        <v>3550</v>
      </c>
      <c r="K1008" s="173">
        <v>5698</v>
      </c>
      <c r="L1008" s="402">
        <f t="shared" si="103"/>
        <v>6.420281690140845</v>
      </c>
      <c r="M1008" s="173">
        <f t="shared" si="104"/>
        <v>10.420281690140845</v>
      </c>
      <c r="N1008" s="174"/>
      <c r="O1008" s="173">
        <f t="shared" si="105"/>
        <v>14.588394366197182</v>
      </c>
      <c r="P1008" s="173">
        <v>35</v>
      </c>
    </row>
    <row r="1009" spans="1:16" hidden="1" x14ac:dyDescent="0.35">
      <c r="A1009"/>
      <c r="C1009" s="233" t="s">
        <v>1380</v>
      </c>
      <c r="E1009">
        <v>15</v>
      </c>
      <c r="F1009" s="366" t="s">
        <v>1382</v>
      </c>
      <c r="G1009" s="245" t="s">
        <v>1381</v>
      </c>
      <c r="I1009" s="173">
        <v>4</v>
      </c>
      <c r="J1009">
        <v>3550</v>
      </c>
      <c r="K1009" s="173">
        <v>5698</v>
      </c>
      <c r="L1009" s="402">
        <f t="shared" si="103"/>
        <v>6.420281690140845</v>
      </c>
      <c r="M1009" s="173">
        <f t="shared" si="104"/>
        <v>10.420281690140845</v>
      </c>
      <c r="N1009" s="174"/>
      <c r="O1009" s="173">
        <f t="shared" si="105"/>
        <v>14.588394366197182</v>
      </c>
      <c r="P1009" s="173">
        <v>35</v>
      </c>
    </row>
    <row r="1010" spans="1:16" hidden="1" x14ac:dyDescent="0.35">
      <c r="A1010"/>
      <c r="E1010">
        <v>16</v>
      </c>
      <c r="F1010" s="366" t="s">
        <v>408</v>
      </c>
      <c r="G1010" s="245" t="s">
        <v>1385</v>
      </c>
      <c r="I1010" s="173">
        <v>4</v>
      </c>
      <c r="J1010">
        <v>3550</v>
      </c>
      <c r="K1010" s="173">
        <v>5698</v>
      </c>
      <c r="L1010" s="402">
        <f t="shared" si="103"/>
        <v>6.420281690140845</v>
      </c>
      <c r="M1010" s="173">
        <f t="shared" si="104"/>
        <v>10.420281690140845</v>
      </c>
      <c r="N1010" s="174"/>
      <c r="O1010" s="173">
        <f t="shared" si="105"/>
        <v>14.588394366197182</v>
      </c>
      <c r="P1010" s="173">
        <v>35</v>
      </c>
    </row>
    <row r="1011" spans="1:16" hidden="1" x14ac:dyDescent="0.35">
      <c r="A1011"/>
      <c r="E1011">
        <v>17</v>
      </c>
      <c r="F1011" s="366" t="s">
        <v>407</v>
      </c>
      <c r="G1011" s="245" t="s">
        <v>1385</v>
      </c>
      <c r="I1011" s="173">
        <v>4</v>
      </c>
      <c r="J1011">
        <v>3550</v>
      </c>
      <c r="K1011" s="173">
        <v>5698</v>
      </c>
      <c r="L1011" s="402">
        <f t="shared" si="103"/>
        <v>6.420281690140845</v>
      </c>
      <c r="M1011" s="173">
        <f t="shared" si="104"/>
        <v>10.420281690140845</v>
      </c>
      <c r="N1011" s="174"/>
      <c r="O1011" s="173">
        <f t="shared" si="105"/>
        <v>14.588394366197182</v>
      </c>
      <c r="P1011" s="173">
        <v>35</v>
      </c>
    </row>
    <row r="1012" spans="1:16" hidden="1" x14ac:dyDescent="0.35">
      <c r="A1012"/>
      <c r="E1012">
        <v>18</v>
      </c>
      <c r="F1012" s="366" t="s">
        <v>409</v>
      </c>
      <c r="G1012" s="245" t="s">
        <v>1385</v>
      </c>
      <c r="I1012" s="173">
        <v>4</v>
      </c>
      <c r="J1012">
        <v>3550</v>
      </c>
      <c r="K1012" s="173">
        <v>5698</v>
      </c>
      <c r="L1012" s="402">
        <f t="shared" si="103"/>
        <v>6.420281690140845</v>
      </c>
      <c r="M1012" s="173">
        <f t="shared" si="104"/>
        <v>10.420281690140845</v>
      </c>
      <c r="N1012" s="174"/>
      <c r="O1012" s="173">
        <f t="shared" si="105"/>
        <v>14.588394366197182</v>
      </c>
      <c r="P1012" s="173">
        <v>35</v>
      </c>
    </row>
    <row r="1013" spans="1:16" hidden="1" x14ac:dyDescent="0.35">
      <c r="A1013"/>
      <c r="E1013">
        <v>19</v>
      </c>
      <c r="F1013" s="366" t="s">
        <v>410</v>
      </c>
      <c r="G1013" s="245" t="s">
        <v>1385</v>
      </c>
      <c r="I1013" s="173">
        <v>4</v>
      </c>
      <c r="J1013">
        <v>3550</v>
      </c>
      <c r="K1013" s="173">
        <v>5698</v>
      </c>
      <c r="L1013" s="402">
        <f t="shared" si="103"/>
        <v>6.420281690140845</v>
      </c>
      <c r="M1013" s="173">
        <f t="shared" si="104"/>
        <v>10.420281690140845</v>
      </c>
      <c r="N1013" s="174"/>
      <c r="O1013" s="173">
        <f t="shared" si="105"/>
        <v>14.588394366197182</v>
      </c>
      <c r="P1013" s="173">
        <v>35</v>
      </c>
    </row>
    <row r="1014" spans="1:16" hidden="1" x14ac:dyDescent="0.35">
      <c r="A1014"/>
      <c r="E1014">
        <v>20</v>
      </c>
      <c r="F1014" s="366" t="s">
        <v>760</v>
      </c>
      <c r="G1014" s="245" t="s">
        <v>1385</v>
      </c>
      <c r="I1014" s="173">
        <v>4</v>
      </c>
      <c r="J1014">
        <v>3550</v>
      </c>
      <c r="K1014" s="173">
        <v>5698</v>
      </c>
      <c r="L1014" s="402">
        <f t="shared" si="103"/>
        <v>6.420281690140845</v>
      </c>
      <c r="M1014" s="173">
        <f t="shared" si="104"/>
        <v>10.420281690140845</v>
      </c>
      <c r="N1014" s="174"/>
      <c r="O1014" s="173">
        <f t="shared" si="105"/>
        <v>14.588394366197182</v>
      </c>
      <c r="P1014" s="173">
        <v>35</v>
      </c>
    </row>
    <row r="1015" spans="1:16" hidden="1" x14ac:dyDescent="0.35">
      <c r="A1015"/>
      <c r="C1015" s="233" t="s">
        <v>1383</v>
      </c>
      <c r="E1015">
        <v>21</v>
      </c>
      <c r="F1015" s="366" t="s">
        <v>407</v>
      </c>
      <c r="G1015" s="245" t="s">
        <v>1384</v>
      </c>
      <c r="I1015" s="173">
        <v>4</v>
      </c>
      <c r="J1015">
        <v>3550</v>
      </c>
      <c r="K1015" s="173">
        <v>5698</v>
      </c>
      <c r="L1015" s="402">
        <f t="shared" si="103"/>
        <v>6.420281690140845</v>
      </c>
      <c r="M1015" s="173">
        <f t="shared" si="104"/>
        <v>10.420281690140845</v>
      </c>
      <c r="N1015" s="174"/>
      <c r="O1015" s="173">
        <f t="shared" si="105"/>
        <v>14.588394366197182</v>
      </c>
      <c r="P1015" s="173">
        <v>35</v>
      </c>
    </row>
    <row r="1016" spans="1:16" hidden="1" x14ac:dyDescent="0.35">
      <c r="A1016"/>
      <c r="C1016" s="233" t="s">
        <v>1383</v>
      </c>
      <c r="E1016">
        <v>22</v>
      </c>
      <c r="F1016" s="366" t="s">
        <v>407</v>
      </c>
      <c r="G1016" s="245" t="s">
        <v>1384</v>
      </c>
      <c r="I1016" s="173">
        <v>4</v>
      </c>
      <c r="J1016">
        <v>3550</v>
      </c>
      <c r="K1016" s="173">
        <v>5698</v>
      </c>
      <c r="L1016" s="402">
        <f t="shared" si="103"/>
        <v>6.420281690140845</v>
      </c>
      <c r="M1016" s="173">
        <f t="shared" si="104"/>
        <v>10.420281690140845</v>
      </c>
      <c r="N1016" s="174"/>
      <c r="O1016" s="173">
        <f t="shared" si="105"/>
        <v>14.588394366197182</v>
      </c>
      <c r="P1016" s="173">
        <v>35</v>
      </c>
    </row>
    <row r="1017" spans="1:16" hidden="1" x14ac:dyDescent="0.35">
      <c r="A1017"/>
      <c r="C1017" s="233" t="s">
        <v>1383</v>
      </c>
      <c r="E1017">
        <v>23</v>
      </c>
      <c r="F1017" s="366" t="s">
        <v>409</v>
      </c>
      <c r="G1017" s="245" t="s">
        <v>1384</v>
      </c>
      <c r="I1017" s="173">
        <v>4</v>
      </c>
      <c r="J1017">
        <v>3550</v>
      </c>
      <c r="K1017" s="173">
        <v>5698</v>
      </c>
      <c r="L1017" s="402">
        <f t="shared" si="103"/>
        <v>6.420281690140845</v>
      </c>
      <c r="M1017" s="173">
        <f t="shared" si="104"/>
        <v>10.420281690140845</v>
      </c>
      <c r="N1017" s="174"/>
      <c r="O1017" s="173">
        <f t="shared" si="105"/>
        <v>14.588394366197182</v>
      </c>
      <c r="P1017" s="173">
        <v>35</v>
      </c>
    </row>
    <row r="1018" spans="1:16" hidden="1" x14ac:dyDescent="0.35">
      <c r="A1018"/>
      <c r="C1018" s="233" t="s">
        <v>1383</v>
      </c>
      <c r="E1018">
        <v>24</v>
      </c>
      <c r="F1018" s="366" t="s">
        <v>409</v>
      </c>
      <c r="G1018" s="245" t="s">
        <v>1384</v>
      </c>
      <c r="I1018" s="173">
        <v>4</v>
      </c>
      <c r="J1018">
        <v>3550</v>
      </c>
      <c r="K1018" s="173">
        <v>5698</v>
      </c>
      <c r="L1018" s="402">
        <f t="shared" si="103"/>
        <v>6.420281690140845</v>
      </c>
      <c r="M1018" s="173">
        <f t="shared" si="104"/>
        <v>10.420281690140845</v>
      </c>
      <c r="N1018" s="174"/>
      <c r="O1018" s="173">
        <f t="shared" si="105"/>
        <v>14.588394366197182</v>
      </c>
      <c r="P1018" s="173">
        <v>35</v>
      </c>
    </row>
    <row r="1019" spans="1:16" hidden="1" x14ac:dyDescent="0.35">
      <c r="A1019"/>
      <c r="C1019" s="233" t="s">
        <v>1383</v>
      </c>
      <c r="E1019">
        <v>25</v>
      </c>
      <c r="F1019" s="366" t="s">
        <v>410</v>
      </c>
      <c r="G1019" s="245" t="s">
        <v>1384</v>
      </c>
      <c r="I1019" s="173">
        <v>4</v>
      </c>
      <c r="J1019">
        <v>3550</v>
      </c>
      <c r="K1019" s="173">
        <v>5698</v>
      </c>
      <c r="L1019" s="402">
        <f t="shared" si="103"/>
        <v>6.420281690140845</v>
      </c>
      <c r="M1019" s="173">
        <f t="shared" si="104"/>
        <v>10.420281690140845</v>
      </c>
      <c r="N1019" s="174"/>
      <c r="O1019" s="173">
        <f t="shared" si="105"/>
        <v>14.588394366197182</v>
      </c>
      <c r="P1019" s="173">
        <v>35</v>
      </c>
    </row>
    <row r="1020" spans="1:16" hidden="1" x14ac:dyDescent="0.35">
      <c r="A1020"/>
      <c r="E1020">
        <v>26</v>
      </c>
      <c r="F1020" s="366" t="s">
        <v>409</v>
      </c>
      <c r="G1020" s="245" t="s">
        <v>1386</v>
      </c>
      <c r="I1020" s="173">
        <v>4</v>
      </c>
      <c r="J1020">
        <v>3550</v>
      </c>
      <c r="K1020" s="173">
        <v>5698</v>
      </c>
      <c r="L1020" s="402">
        <f t="shared" si="103"/>
        <v>6.420281690140845</v>
      </c>
      <c r="M1020" s="173">
        <f t="shared" si="104"/>
        <v>10.420281690140845</v>
      </c>
      <c r="N1020" s="174"/>
      <c r="O1020" s="173">
        <f t="shared" si="105"/>
        <v>14.588394366197182</v>
      </c>
      <c r="P1020" s="173">
        <v>35</v>
      </c>
    </row>
    <row r="1021" spans="1:16" hidden="1" x14ac:dyDescent="0.35">
      <c r="E1021">
        <v>27</v>
      </c>
      <c r="F1021" s="366" t="s">
        <v>410</v>
      </c>
      <c r="G1021" s="245" t="s">
        <v>1386</v>
      </c>
      <c r="I1021" s="173">
        <v>4</v>
      </c>
      <c r="J1021">
        <v>3550</v>
      </c>
      <c r="K1021" s="173">
        <v>5698</v>
      </c>
      <c r="L1021" s="402">
        <f t="shared" si="103"/>
        <v>6.420281690140845</v>
      </c>
      <c r="M1021" s="173">
        <f t="shared" si="104"/>
        <v>10.420281690140845</v>
      </c>
      <c r="N1021" s="174"/>
      <c r="O1021" s="173">
        <f t="shared" si="105"/>
        <v>14.588394366197182</v>
      </c>
      <c r="P1021" s="173">
        <v>35</v>
      </c>
    </row>
    <row r="1022" spans="1:16" hidden="1" x14ac:dyDescent="0.35">
      <c r="E1022">
        <v>28</v>
      </c>
      <c r="F1022" s="366" t="s">
        <v>410</v>
      </c>
      <c r="G1022" s="245" t="s">
        <v>1386</v>
      </c>
      <c r="I1022" s="173">
        <v>4</v>
      </c>
      <c r="J1022">
        <v>3550</v>
      </c>
      <c r="K1022" s="173">
        <v>5698</v>
      </c>
      <c r="L1022" s="402">
        <f t="shared" si="103"/>
        <v>6.420281690140845</v>
      </c>
      <c r="M1022" s="173">
        <f t="shared" si="104"/>
        <v>10.420281690140845</v>
      </c>
      <c r="N1022" s="174"/>
      <c r="O1022" s="173">
        <f t="shared" si="105"/>
        <v>14.588394366197182</v>
      </c>
      <c r="P1022" s="173">
        <v>35</v>
      </c>
    </row>
    <row r="1023" spans="1:16" hidden="1" x14ac:dyDescent="0.35">
      <c r="E1023">
        <v>29</v>
      </c>
      <c r="F1023" s="366" t="s">
        <v>760</v>
      </c>
      <c r="G1023" s="245" t="s">
        <v>1386</v>
      </c>
      <c r="I1023" s="173">
        <v>4</v>
      </c>
      <c r="J1023">
        <v>3550</v>
      </c>
      <c r="K1023" s="173">
        <v>5698</v>
      </c>
      <c r="L1023" s="402">
        <f t="shared" si="103"/>
        <v>6.420281690140845</v>
      </c>
      <c r="M1023" s="173">
        <f t="shared" si="104"/>
        <v>10.420281690140845</v>
      </c>
      <c r="N1023" s="174"/>
      <c r="O1023" s="173">
        <f t="shared" si="105"/>
        <v>14.588394366197182</v>
      </c>
      <c r="P1023" s="173">
        <v>35</v>
      </c>
    </row>
    <row r="1024" spans="1:16" hidden="1" x14ac:dyDescent="0.35">
      <c r="E1024">
        <v>30</v>
      </c>
      <c r="F1024" s="366" t="s">
        <v>597</v>
      </c>
      <c r="G1024" s="245" t="s">
        <v>1386</v>
      </c>
      <c r="I1024" s="173">
        <v>4</v>
      </c>
      <c r="J1024">
        <v>3550</v>
      </c>
      <c r="K1024" s="173">
        <v>5698</v>
      </c>
      <c r="L1024" s="402">
        <f t="shared" si="103"/>
        <v>6.420281690140845</v>
      </c>
      <c r="M1024" s="173">
        <f t="shared" si="104"/>
        <v>10.420281690140845</v>
      </c>
      <c r="N1024" s="174"/>
      <c r="O1024" s="173">
        <f t="shared" si="105"/>
        <v>14.588394366197182</v>
      </c>
      <c r="P1024" s="173">
        <v>35</v>
      </c>
    </row>
    <row r="1025" spans="5:16" hidden="1" x14ac:dyDescent="0.35">
      <c r="E1025">
        <v>31</v>
      </c>
      <c r="F1025" s="366" t="s">
        <v>409</v>
      </c>
      <c r="G1025" s="245" t="s">
        <v>1387</v>
      </c>
      <c r="I1025" s="173">
        <v>4</v>
      </c>
      <c r="J1025">
        <v>3550</v>
      </c>
      <c r="K1025" s="173">
        <v>5698</v>
      </c>
      <c r="L1025" s="402">
        <f t="shared" si="103"/>
        <v>6.420281690140845</v>
      </c>
      <c r="M1025" s="173">
        <f t="shared" si="104"/>
        <v>10.420281690140845</v>
      </c>
      <c r="N1025" s="174"/>
      <c r="O1025" s="173">
        <f t="shared" si="105"/>
        <v>14.588394366197182</v>
      </c>
      <c r="P1025" s="173">
        <v>35</v>
      </c>
    </row>
    <row r="1026" spans="5:16" hidden="1" x14ac:dyDescent="0.35">
      <c r="E1026">
        <v>32</v>
      </c>
      <c r="F1026" s="366" t="s">
        <v>410</v>
      </c>
      <c r="G1026" s="245" t="s">
        <v>1387</v>
      </c>
      <c r="I1026" s="173">
        <v>4</v>
      </c>
      <c r="J1026">
        <v>3550</v>
      </c>
      <c r="K1026" s="173">
        <v>5698</v>
      </c>
      <c r="L1026" s="402">
        <f t="shared" si="103"/>
        <v>6.420281690140845</v>
      </c>
      <c r="M1026" s="173">
        <f t="shared" si="104"/>
        <v>10.420281690140845</v>
      </c>
      <c r="N1026" s="174"/>
      <c r="O1026" s="173">
        <f t="shared" si="105"/>
        <v>14.588394366197182</v>
      </c>
      <c r="P1026" s="173">
        <v>35</v>
      </c>
    </row>
    <row r="1027" spans="5:16" hidden="1" x14ac:dyDescent="0.35">
      <c r="E1027">
        <v>33</v>
      </c>
      <c r="F1027" s="366" t="s">
        <v>760</v>
      </c>
      <c r="G1027" s="245" t="s">
        <v>1387</v>
      </c>
      <c r="I1027" s="173">
        <v>4</v>
      </c>
      <c r="J1027">
        <v>3550</v>
      </c>
      <c r="K1027" s="173">
        <v>5698</v>
      </c>
      <c r="L1027" s="402">
        <f t="shared" ref="L1027:L1044" si="106">+I1027/J1027*K1027</f>
        <v>6.420281690140845</v>
      </c>
      <c r="M1027" s="173">
        <f t="shared" ref="M1027:M1044" si="107">+I1027+L1027</f>
        <v>10.420281690140845</v>
      </c>
      <c r="N1027" s="174"/>
      <c r="O1027" s="173">
        <f t="shared" ref="O1027:O1044" si="108">+M1027*1.4</f>
        <v>14.588394366197182</v>
      </c>
      <c r="P1027" s="173">
        <v>35</v>
      </c>
    </row>
    <row r="1028" spans="5:16" hidden="1" x14ac:dyDescent="0.35">
      <c r="E1028">
        <v>34</v>
      </c>
      <c r="F1028" s="366" t="s">
        <v>409</v>
      </c>
      <c r="G1028" s="245" t="s">
        <v>1389</v>
      </c>
      <c r="I1028" s="173">
        <v>4</v>
      </c>
      <c r="J1028">
        <v>3550</v>
      </c>
      <c r="K1028" s="173">
        <v>5698</v>
      </c>
      <c r="L1028" s="402">
        <f t="shared" si="106"/>
        <v>6.420281690140845</v>
      </c>
      <c r="M1028" s="173">
        <f t="shared" si="107"/>
        <v>10.420281690140845</v>
      </c>
      <c r="N1028" s="174"/>
      <c r="O1028" s="173">
        <f t="shared" si="108"/>
        <v>14.588394366197182</v>
      </c>
      <c r="P1028" s="173">
        <v>35</v>
      </c>
    </row>
    <row r="1029" spans="5:16" hidden="1" x14ac:dyDescent="0.35">
      <c r="E1029">
        <v>35</v>
      </c>
      <c r="F1029" s="366" t="s">
        <v>410</v>
      </c>
      <c r="G1029" s="245" t="s">
        <v>1389</v>
      </c>
      <c r="I1029" s="173">
        <v>4</v>
      </c>
      <c r="J1029">
        <v>3550</v>
      </c>
      <c r="K1029" s="173">
        <v>5698</v>
      </c>
      <c r="L1029" s="402">
        <f t="shared" si="106"/>
        <v>6.420281690140845</v>
      </c>
      <c r="M1029" s="173">
        <f t="shared" si="107"/>
        <v>10.420281690140845</v>
      </c>
      <c r="N1029" s="174"/>
      <c r="O1029" s="173">
        <f t="shared" si="108"/>
        <v>14.588394366197182</v>
      </c>
      <c r="P1029" s="173">
        <v>35</v>
      </c>
    </row>
    <row r="1030" spans="5:16" hidden="1" x14ac:dyDescent="0.35">
      <c r="E1030">
        <v>36</v>
      </c>
      <c r="F1030" s="366" t="s">
        <v>760</v>
      </c>
      <c r="G1030" s="245" t="s">
        <v>1389</v>
      </c>
      <c r="I1030" s="173">
        <v>4</v>
      </c>
      <c r="J1030">
        <v>3550</v>
      </c>
      <c r="K1030" s="173">
        <v>5698</v>
      </c>
      <c r="L1030" s="402">
        <f t="shared" si="106"/>
        <v>6.420281690140845</v>
      </c>
      <c r="M1030" s="173">
        <f t="shared" si="107"/>
        <v>10.420281690140845</v>
      </c>
      <c r="N1030" s="174"/>
      <c r="O1030" s="173">
        <f t="shared" si="108"/>
        <v>14.588394366197182</v>
      </c>
      <c r="P1030" s="173">
        <v>35</v>
      </c>
    </row>
    <row r="1031" spans="5:16" hidden="1" x14ac:dyDescent="0.35">
      <c r="E1031">
        <v>37</v>
      </c>
      <c r="F1031" s="366" t="s">
        <v>589</v>
      </c>
      <c r="G1031" s="245" t="s">
        <v>1389</v>
      </c>
      <c r="I1031" s="173">
        <v>4</v>
      </c>
      <c r="J1031">
        <v>3550</v>
      </c>
      <c r="K1031" s="173">
        <v>5698</v>
      </c>
      <c r="L1031" s="402">
        <f t="shared" si="106"/>
        <v>6.420281690140845</v>
      </c>
      <c r="M1031" s="173">
        <f t="shared" si="107"/>
        <v>10.420281690140845</v>
      </c>
      <c r="N1031" s="174"/>
      <c r="O1031" s="173">
        <f t="shared" si="108"/>
        <v>14.588394366197182</v>
      </c>
      <c r="P1031" s="173">
        <v>35</v>
      </c>
    </row>
    <row r="1032" spans="5:16" hidden="1" x14ac:dyDescent="0.35">
      <c r="E1032">
        <v>38</v>
      </c>
      <c r="F1032" s="366" t="s">
        <v>411</v>
      </c>
      <c r="G1032" s="245" t="s">
        <v>1390</v>
      </c>
      <c r="I1032" s="173">
        <v>4</v>
      </c>
      <c r="J1032">
        <v>3550</v>
      </c>
      <c r="K1032" s="173">
        <v>5698</v>
      </c>
      <c r="L1032" s="402">
        <f t="shared" si="106"/>
        <v>6.420281690140845</v>
      </c>
      <c r="M1032" s="173">
        <f t="shared" si="107"/>
        <v>10.420281690140845</v>
      </c>
      <c r="N1032" s="174"/>
      <c r="O1032" s="173">
        <f t="shared" si="108"/>
        <v>14.588394366197182</v>
      </c>
      <c r="P1032" s="173">
        <v>35</v>
      </c>
    </row>
    <row r="1033" spans="5:16" hidden="1" x14ac:dyDescent="0.35">
      <c r="E1033">
        <v>39</v>
      </c>
      <c r="F1033" s="366" t="s">
        <v>588</v>
      </c>
      <c r="G1033" s="245" t="s">
        <v>1390</v>
      </c>
      <c r="I1033" s="173">
        <v>4</v>
      </c>
      <c r="J1033">
        <v>3550</v>
      </c>
      <c r="K1033" s="173">
        <v>5698</v>
      </c>
      <c r="L1033" s="402">
        <f t="shared" si="106"/>
        <v>6.420281690140845</v>
      </c>
      <c r="M1033" s="173">
        <f t="shared" si="107"/>
        <v>10.420281690140845</v>
      </c>
      <c r="N1033" s="174"/>
      <c r="O1033" s="173">
        <f t="shared" si="108"/>
        <v>14.588394366197182</v>
      </c>
      <c r="P1033" s="173">
        <v>35</v>
      </c>
    </row>
    <row r="1034" spans="5:16" hidden="1" x14ac:dyDescent="0.35">
      <c r="E1034">
        <v>40</v>
      </c>
      <c r="F1034" s="366" t="s">
        <v>760</v>
      </c>
      <c r="G1034" s="245" t="s">
        <v>1390</v>
      </c>
      <c r="I1034" s="173">
        <v>4</v>
      </c>
      <c r="J1034">
        <v>3550</v>
      </c>
      <c r="K1034" s="173">
        <v>5698</v>
      </c>
      <c r="L1034" s="402">
        <f t="shared" si="106"/>
        <v>6.420281690140845</v>
      </c>
      <c r="M1034" s="173">
        <f t="shared" si="107"/>
        <v>10.420281690140845</v>
      </c>
      <c r="N1034" s="174"/>
      <c r="O1034" s="173">
        <f t="shared" si="108"/>
        <v>14.588394366197182</v>
      </c>
      <c r="P1034" s="173">
        <v>35</v>
      </c>
    </row>
    <row r="1035" spans="5:16" hidden="1" x14ac:dyDescent="0.35">
      <c r="E1035">
        <v>41</v>
      </c>
      <c r="F1035" s="366" t="s">
        <v>597</v>
      </c>
      <c r="G1035" s="245" t="s">
        <v>1390</v>
      </c>
      <c r="I1035" s="173">
        <v>4</v>
      </c>
      <c r="J1035">
        <v>3550</v>
      </c>
      <c r="K1035" s="173">
        <v>5698</v>
      </c>
      <c r="L1035" s="402">
        <f t="shared" si="106"/>
        <v>6.420281690140845</v>
      </c>
      <c r="M1035" s="173">
        <f t="shared" si="107"/>
        <v>10.420281690140845</v>
      </c>
      <c r="N1035" s="174"/>
      <c r="O1035" s="173">
        <f t="shared" si="108"/>
        <v>14.588394366197182</v>
      </c>
      <c r="P1035" s="173">
        <v>35</v>
      </c>
    </row>
    <row r="1036" spans="5:16" hidden="1" x14ac:dyDescent="0.35">
      <c r="E1036">
        <v>42</v>
      </c>
      <c r="F1036" s="366" t="s">
        <v>408</v>
      </c>
      <c r="G1036" s="245" t="s">
        <v>1406</v>
      </c>
      <c r="I1036" s="173">
        <v>4</v>
      </c>
      <c r="J1036">
        <v>3550</v>
      </c>
      <c r="K1036" s="173">
        <v>5698</v>
      </c>
      <c r="L1036" s="402">
        <f t="shared" si="106"/>
        <v>6.420281690140845</v>
      </c>
      <c r="M1036" s="173">
        <f t="shared" si="107"/>
        <v>10.420281690140845</v>
      </c>
      <c r="N1036" s="174"/>
      <c r="O1036" s="173">
        <f t="shared" si="108"/>
        <v>14.588394366197182</v>
      </c>
      <c r="P1036" s="173">
        <v>35</v>
      </c>
    </row>
    <row r="1037" spans="5:16" hidden="1" x14ac:dyDescent="0.35">
      <c r="E1037">
        <v>43</v>
      </c>
      <c r="F1037" s="366" t="s">
        <v>408</v>
      </c>
      <c r="G1037" s="245" t="s">
        <v>1406</v>
      </c>
      <c r="I1037" s="173">
        <v>4</v>
      </c>
      <c r="J1037">
        <v>3550</v>
      </c>
      <c r="K1037" s="173">
        <v>5698</v>
      </c>
      <c r="L1037" s="402">
        <f t="shared" si="106"/>
        <v>6.420281690140845</v>
      </c>
      <c r="M1037" s="173">
        <f t="shared" si="107"/>
        <v>10.420281690140845</v>
      </c>
      <c r="N1037" s="174"/>
      <c r="O1037" s="173">
        <f t="shared" si="108"/>
        <v>14.588394366197182</v>
      </c>
      <c r="P1037" s="173">
        <v>35</v>
      </c>
    </row>
    <row r="1038" spans="5:16" hidden="1" x14ac:dyDescent="0.35">
      <c r="E1038">
        <v>44</v>
      </c>
      <c r="F1038" s="366" t="s">
        <v>407</v>
      </c>
      <c r="G1038" s="245" t="s">
        <v>1406</v>
      </c>
      <c r="I1038" s="173">
        <v>4</v>
      </c>
      <c r="J1038">
        <v>3550</v>
      </c>
      <c r="K1038" s="173">
        <v>5698</v>
      </c>
      <c r="L1038" s="402">
        <f t="shared" si="106"/>
        <v>6.420281690140845</v>
      </c>
      <c r="M1038" s="173">
        <f t="shared" si="107"/>
        <v>10.420281690140845</v>
      </c>
      <c r="N1038" s="174"/>
      <c r="O1038" s="173">
        <f t="shared" si="108"/>
        <v>14.588394366197182</v>
      </c>
      <c r="P1038" s="173">
        <v>35</v>
      </c>
    </row>
    <row r="1039" spans="5:16" hidden="1" x14ac:dyDescent="0.35">
      <c r="E1039">
        <v>45</v>
      </c>
      <c r="F1039" s="366" t="s">
        <v>407</v>
      </c>
      <c r="G1039" s="245" t="s">
        <v>1406</v>
      </c>
      <c r="I1039" s="173">
        <v>4</v>
      </c>
      <c r="J1039">
        <v>3550</v>
      </c>
      <c r="K1039" s="173">
        <v>5698</v>
      </c>
      <c r="L1039" s="402">
        <f t="shared" si="106"/>
        <v>6.420281690140845</v>
      </c>
      <c r="M1039" s="173">
        <f t="shared" si="107"/>
        <v>10.420281690140845</v>
      </c>
      <c r="N1039" s="174"/>
      <c r="O1039" s="173">
        <f t="shared" si="108"/>
        <v>14.588394366197182</v>
      </c>
      <c r="P1039" s="173">
        <v>35</v>
      </c>
    </row>
    <row r="1040" spans="5:16" hidden="1" x14ac:dyDescent="0.35">
      <c r="E1040">
        <v>46</v>
      </c>
      <c r="F1040" s="366" t="s">
        <v>409</v>
      </c>
      <c r="G1040" s="245" t="s">
        <v>1406</v>
      </c>
      <c r="I1040" s="173">
        <v>4</v>
      </c>
      <c r="J1040">
        <v>3550</v>
      </c>
      <c r="K1040" s="173">
        <v>5698</v>
      </c>
      <c r="L1040" s="402">
        <f t="shared" si="106"/>
        <v>6.420281690140845</v>
      </c>
      <c r="M1040" s="173">
        <f t="shared" si="107"/>
        <v>10.420281690140845</v>
      </c>
      <c r="N1040" s="174"/>
      <c r="O1040" s="173">
        <f t="shared" si="108"/>
        <v>14.588394366197182</v>
      </c>
      <c r="P1040" s="173">
        <v>35</v>
      </c>
    </row>
    <row r="1041" spans="3:20" hidden="1" x14ac:dyDescent="0.35">
      <c r="E1041">
        <v>47</v>
      </c>
      <c r="F1041" s="366" t="s">
        <v>409</v>
      </c>
      <c r="G1041" s="245" t="s">
        <v>1406</v>
      </c>
      <c r="I1041" s="173">
        <v>4</v>
      </c>
      <c r="J1041">
        <v>3550</v>
      </c>
      <c r="K1041" s="173">
        <v>5698</v>
      </c>
      <c r="L1041" s="402">
        <f t="shared" si="106"/>
        <v>6.420281690140845</v>
      </c>
      <c r="M1041" s="173">
        <f t="shared" si="107"/>
        <v>10.420281690140845</v>
      </c>
      <c r="N1041" s="174"/>
      <c r="O1041" s="173">
        <f t="shared" si="108"/>
        <v>14.588394366197182</v>
      </c>
      <c r="P1041" s="173">
        <v>35</v>
      </c>
    </row>
    <row r="1042" spans="3:20" hidden="1" x14ac:dyDescent="0.35">
      <c r="E1042">
        <v>48</v>
      </c>
      <c r="F1042" s="366" t="s">
        <v>412</v>
      </c>
      <c r="G1042" s="245" t="s">
        <v>1406</v>
      </c>
      <c r="I1042" s="173">
        <v>4</v>
      </c>
      <c r="J1042">
        <v>3550</v>
      </c>
      <c r="K1042" s="173">
        <v>5698</v>
      </c>
      <c r="L1042" s="402">
        <f t="shared" si="106"/>
        <v>6.420281690140845</v>
      </c>
      <c r="M1042" s="173">
        <f t="shared" si="107"/>
        <v>10.420281690140845</v>
      </c>
      <c r="N1042" s="174"/>
      <c r="O1042" s="173">
        <f t="shared" si="108"/>
        <v>14.588394366197182</v>
      </c>
      <c r="P1042" s="173">
        <v>35</v>
      </c>
    </row>
    <row r="1043" spans="3:20" hidden="1" x14ac:dyDescent="0.35">
      <c r="E1043">
        <v>49</v>
      </c>
      <c r="F1043" s="366" t="s">
        <v>412</v>
      </c>
      <c r="G1043" s="245" t="s">
        <v>1406</v>
      </c>
      <c r="I1043" s="173">
        <v>4</v>
      </c>
      <c r="J1043">
        <v>3550</v>
      </c>
      <c r="K1043" s="173">
        <v>5698</v>
      </c>
      <c r="L1043" s="402">
        <f t="shared" si="106"/>
        <v>6.420281690140845</v>
      </c>
      <c r="M1043" s="173">
        <f t="shared" si="107"/>
        <v>10.420281690140845</v>
      </c>
      <c r="N1043" s="174"/>
      <c r="O1043" s="173">
        <f t="shared" si="108"/>
        <v>14.588394366197182</v>
      </c>
      <c r="P1043" s="173">
        <v>35</v>
      </c>
    </row>
    <row r="1044" spans="3:20" hidden="1" x14ac:dyDescent="0.35">
      <c r="E1044">
        <v>50</v>
      </c>
      <c r="G1044" s="245" t="s">
        <v>1414</v>
      </c>
      <c r="I1044" s="173">
        <v>13</v>
      </c>
      <c r="J1044">
        <v>3550</v>
      </c>
      <c r="K1044" s="173">
        <v>5698</v>
      </c>
      <c r="L1044" s="402">
        <f t="shared" si="106"/>
        <v>20.865915492957747</v>
      </c>
      <c r="M1044" s="173">
        <f t="shared" si="107"/>
        <v>33.865915492957747</v>
      </c>
      <c r="N1044" s="174"/>
      <c r="O1044" s="173">
        <f t="shared" si="108"/>
        <v>47.412281690140844</v>
      </c>
      <c r="P1044" s="173">
        <v>35</v>
      </c>
    </row>
    <row r="1045" spans="3:20" hidden="1" x14ac:dyDescent="0.35">
      <c r="L1045" s="402"/>
      <c r="N1045" s="174"/>
    </row>
    <row r="1046" spans="3:20" hidden="1" x14ac:dyDescent="0.35">
      <c r="G1046" s="387" t="s">
        <v>15</v>
      </c>
      <c r="H1046" s="387"/>
      <c r="L1046" s="402"/>
      <c r="N1046" s="174"/>
    </row>
    <row r="1047" spans="3:20" hidden="1" x14ac:dyDescent="0.35">
      <c r="C1047" s="233" t="s">
        <v>1510</v>
      </c>
      <c r="E1047">
        <v>1</v>
      </c>
      <c r="F1047" s="366">
        <v>7</v>
      </c>
      <c r="G1047" s="245" t="s">
        <v>1502</v>
      </c>
      <c r="I1047" s="173">
        <v>6.8571428571428568</v>
      </c>
      <c r="J1047">
        <v>3550</v>
      </c>
      <c r="K1047" s="173">
        <v>5698</v>
      </c>
      <c r="L1047" s="402">
        <f t="shared" ref="L1047:L1088" si="109">+I1047/J1047*K1047</f>
        <v>11.006197183098591</v>
      </c>
      <c r="M1047" s="173">
        <f t="shared" ref="M1047:M1088" si="110">+I1047+L1047</f>
        <v>17.863340040241447</v>
      </c>
      <c r="N1047" s="174"/>
      <c r="O1047" s="173">
        <f t="shared" ref="O1047:O1088" si="111">+M1047*1.4</f>
        <v>25.008676056338025</v>
      </c>
      <c r="P1047" s="173">
        <v>40</v>
      </c>
    </row>
    <row r="1048" spans="3:20" hidden="1" x14ac:dyDescent="0.35">
      <c r="C1048" s="233" t="s">
        <v>1510</v>
      </c>
      <c r="E1048">
        <v>2</v>
      </c>
      <c r="F1048" s="366">
        <v>8</v>
      </c>
      <c r="G1048" s="245" t="s">
        <v>1502</v>
      </c>
      <c r="I1048" s="173">
        <v>6.8571428571428568</v>
      </c>
      <c r="J1048">
        <v>3550</v>
      </c>
      <c r="K1048" s="173">
        <v>5698</v>
      </c>
      <c r="L1048" s="402">
        <f t="shared" si="109"/>
        <v>11.006197183098591</v>
      </c>
      <c r="M1048" s="173">
        <f t="shared" si="110"/>
        <v>17.863340040241447</v>
      </c>
      <c r="N1048" s="174"/>
      <c r="O1048" s="173">
        <f t="shared" si="111"/>
        <v>25.008676056338025</v>
      </c>
      <c r="P1048" s="173">
        <v>40</v>
      </c>
    </row>
    <row r="1049" spans="3:20" hidden="1" x14ac:dyDescent="0.35">
      <c r="C1049" s="233" t="s">
        <v>1510</v>
      </c>
      <c r="E1049">
        <v>3</v>
      </c>
      <c r="F1049" s="366">
        <v>9</v>
      </c>
      <c r="G1049" s="245" t="s">
        <v>1502</v>
      </c>
      <c r="I1049" s="173">
        <v>6.8571428571428568</v>
      </c>
      <c r="J1049">
        <v>3550</v>
      </c>
      <c r="K1049" s="173">
        <v>5698</v>
      </c>
      <c r="L1049" s="402">
        <f t="shared" si="109"/>
        <v>11.006197183098591</v>
      </c>
      <c r="M1049" s="173">
        <f t="shared" si="110"/>
        <v>17.863340040241447</v>
      </c>
      <c r="N1049" s="174"/>
      <c r="O1049" s="173">
        <f t="shared" si="111"/>
        <v>25.008676056338025</v>
      </c>
      <c r="P1049" s="173">
        <v>40</v>
      </c>
    </row>
    <row r="1050" spans="3:20" hidden="1" x14ac:dyDescent="0.35">
      <c r="C1050" s="233" t="s">
        <v>1510</v>
      </c>
      <c r="E1050">
        <v>4</v>
      </c>
      <c r="F1050" s="366">
        <v>10</v>
      </c>
      <c r="G1050" s="245" t="s">
        <v>1502</v>
      </c>
      <c r="I1050" s="173">
        <v>6.8571428571428568</v>
      </c>
      <c r="J1050">
        <v>3550</v>
      </c>
      <c r="K1050" s="173">
        <v>5698</v>
      </c>
      <c r="L1050" s="402">
        <f t="shared" si="109"/>
        <v>11.006197183098591</v>
      </c>
      <c r="M1050" s="173">
        <f t="shared" si="110"/>
        <v>17.863340040241447</v>
      </c>
      <c r="N1050" s="174"/>
      <c r="O1050" s="173">
        <f t="shared" si="111"/>
        <v>25.008676056338025</v>
      </c>
      <c r="P1050" s="173">
        <v>40</v>
      </c>
    </row>
    <row r="1051" spans="3:20" hidden="1" x14ac:dyDescent="0.35">
      <c r="C1051" s="233" t="s">
        <v>1510</v>
      </c>
      <c r="E1051">
        <v>5</v>
      </c>
      <c r="F1051" s="366">
        <v>11</v>
      </c>
      <c r="G1051" s="245" t="s">
        <v>1502</v>
      </c>
      <c r="I1051" s="173">
        <v>6.8571428571428568</v>
      </c>
      <c r="J1051">
        <v>3550</v>
      </c>
      <c r="K1051" s="173">
        <v>5698</v>
      </c>
      <c r="L1051" s="402">
        <f t="shared" si="109"/>
        <v>11.006197183098591</v>
      </c>
      <c r="M1051" s="173">
        <f t="shared" si="110"/>
        <v>17.863340040241447</v>
      </c>
      <c r="N1051" s="174"/>
      <c r="O1051" s="173">
        <f t="shared" si="111"/>
        <v>25.008676056338025</v>
      </c>
      <c r="P1051" s="173">
        <v>40</v>
      </c>
    </row>
    <row r="1052" spans="3:20" hidden="1" x14ac:dyDescent="0.35">
      <c r="C1052" s="233" t="s">
        <v>1510</v>
      </c>
      <c r="E1052">
        <v>6</v>
      </c>
      <c r="F1052" s="366">
        <v>12</v>
      </c>
      <c r="G1052" s="245" t="s">
        <v>1502</v>
      </c>
      <c r="I1052" s="173">
        <v>6.8571428571428568</v>
      </c>
      <c r="J1052">
        <v>3550</v>
      </c>
      <c r="K1052" s="173">
        <v>5698</v>
      </c>
      <c r="L1052" s="402">
        <f t="shared" si="109"/>
        <v>11.006197183098591</v>
      </c>
      <c r="M1052" s="173">
        <f t="shared" si="110"/>
        <v>17.863340040241447</v>
      </c>
      <c r="N1052" s="174"/>
      <c r="O1052" s="173">
        <f t="shared" si="111"/>
        <v>25.008676056338025</v>
      </c>
      <c r="P1052" s="173">
        <v>40</v>
      </c>
    </row>
    <row r="1053" spans="3:20" hidden="1" x14ac:dyDescent="0.35">
      <c r="C1053" s="233" t="s">
        <v>1510</v>
      </c>
      <c r="E1053">
        <v>7</v>
      </c>
      <c r="F1053" s="366">
        <v>7</v>
      </c>
      <c r="G1053" s="371" t="s">
        <v>1501</v>
      </c>
      <c r="H1053" s="371"/>
      <c r="I1053" s="176">
        <v>6.8571428571428568</v>
      </c>
      <c r="J1053" s="12">
        <v>3550</v>
      </c>
      <c r="K1053" s="176">
        <v>5698</v>
      </c>
      <c r="L1053" s="410">
        <f t="shared" si="109"/>
        <v>11.006197183098591</v>
      </c>
      <c r="M1053" s="176">
        <f t="shared" si="110"/>
        <v>17.863340040241447</v>
      </c>
      <c r="N1053" s="411"/>
      <c r="O1053" s="176">
        <f t="shared" si="111"/>
        <v>25.008676056338025</v>
      </c>
      <c r="P1053" s="176">
        <v>40</v>
      </c>
      <c r="S1053" t="s">
        <v>1513</v>
      </c>
      <c r="T1053" s="6">
        <v>45700</v>
      </c>
    </row>
    <row r="1054" spans="3:20" hidden="1" x14ac:dyDescent="0.35">
      <c r="C1054" s="233" t="s">
        <v>1510</v>
      </c>
      <c r="E1054">
        <v>8</v>
      </c>
      <c r="F1054" s="366">
        <v>8</v>
      </c>
      <c r="G1054" s="245" t="s">
        <v>1501</v>
      </c>
      <c r="I1054" s="173">
        <v>6.8571428571428568</v>
      </c>
      <c r="J1054">
        <v>3550</v>
      </c>
      <c r="K1054" s="173">
        <v>5698</v>
      </c>
      <c r="L1054" s="402">
        <f t="shared" si="109"/>
        <v>11.006197183098591</v>
      </c>
      <c r="M1054" s="173">
        <f t="shared" si="110"/>
        <v>17.863340040241447</v>
      </c>
      <c r="N1054" s="174"/>
      <c r="O1054" s="173">
        <f t="shared" si="111"/>
        <v>25.008676056338025</v>
      </c>
      <c r="P1054" s="173">
        <v>40</v>
      </c>
    </row>
    <row r="1055" spans="3:20" hidden="1" x14ac:dyDescent="0.35">
      <c r="C1055" s="233" t="s">
        <v>1510</v>
      </c>
      <c r="E1055">
        <v>9</v>
      </c>
      <c r="F1055" s="366">
        <v>9</v>
      </c>
      <c r="G1055" s="245" t="s">
        <v>1501</v>
      </c>
      <c r="I1055" s="173">
        <v>6.8571428571428568</v>
      </c>
      <c r="J1055">
        <v>3550</v>
      </c>
      <c r="K1055" s="173">
        <v>5698</v>
      </c>
      <c r="L1055" s="402">
        <f t="shared" si="109"/>
        <v>11.006197183098591</v>
      </c>
      <c r="M1055" s="173">
        <f t="shared" si="110"/>
        <v>17.863340040241447</v>
      </c>
      <c r="N1055" s="174"/>
      <c r="O1055" s="173">
        <f t="shared" si="111"/>
        <v>25.008676056338025</v>
      </c>
      <c r="P1055" s="173">
        <v>40</v>
      </c>
    </row>
    <row r="1056" spans="3:20" hidden="1" x14ac:dyDescent="0.35">
      <c r="C1056" s="233" t="s">
        <v>1510</v>
      </c>
      <c r="E1056">
        <v>10</v>
      </c>
      <c r="F1056" s="366">
        <v>10</v>
      </c>
      <c r="G1056" s="245" t="s">
        <v>1501</v>
      </c>
      <c r="I1056" s="173">
        <v>6.8571428571428568</v>
      </c>
      <c r="J1056">
        <v>3550</v>
      </c>
      <c r="K1056" s="173">
        <v>5698</v>
      </c>
      <c r="L1056" s="402">
        <f t="shared" si="109"/>
        <v>11.006197183098591</v>
      </c>
      <c r="M1056" s="173">
        <f t="shared" si="110"/>
        <v>17.863340040241447</v>
      </c>
      <c r="N1056" s="174"/>
      <c r="O1056" s="173">
        <f t="shared" si="111"/>
        <v>25.008676056338025</v>
      </c>
      <c r="P1056" s="173">
        <v>40</v>
      </c>
    </row>
    <row r="1057" spans="3:20" hidden="1" x14ac:dyDescent="0.35">
      <c r="C1057" s="233" t="s">
        <v>1510</v>
      </c>
      <c r="E1057">
        <v>11</v>
      </c>
      <c r="F1057" s="366">
        <v>11</v>
      </c>
      <c r="G1057" s="245" t="s">
        <v>1501</v>
      </c>
      <c r="I1057" s="173">
        <v>6.8571428571428568</v>
      </c>
      <c r="J1057">
        <v>3550</v>
      </c>
      <c r="K1057" s="173">
        <v>5698</v>
      </c>
      <c r="L1057" s="402">
        <f t="shared" si="109"/>
        <v>11.006197183098591</v>
      </c>
      <c r="M1057" s="173">
        <f t="shared" si="110"/>
        <v>17.863340040241447</v>
      </c>
      <c r="N1057" s="174"/>
      <c r="O1057" s="173">
        <f t="shared" si="111"/>
        <v>25.008676056338025</v>
      </c>
      <c r="P1057" s="173">
        <v>40</v>
      </c>
    </row>
    <row r="1058" spans="3:20" hidden="1" x14ac:dyDescent="0.35">
      <c r="C1058" s="233" t="s">
        <v>1510</v>
      </c>
      <c r="E1058">
        <v>12</v>
      </c>
      <c r="F1058" s="366">
        <v>12</v>
      </c>
      <c r="G1058" s="245" t="s">
        <v>1501</v>
      </c>
      <c r="I1058" s="173">
        <v>6.8571428571428568</v>
      </c>
      <c r="J1058">
        <v>3550</v>
      </c>
      <c r="K1058" s="173">
        <v>5698</v>
      </c>
      <c r="L1058" s="402">
        <f t="shared" si="109"/>
        <v>11.006197183098591</v>
      </c>
      <c r="M1058" s="173">
        <f t="shared" si="110"/>
        <v>17.863340040241447</v>
      </c>
      <c r="N1058" s="174"/>
      <c r="O1058" s="173">
        <f t="shared" si="111"/>
        <v>25.008676056338025</v>
      </c>
      <c r="P1058" s="173">
        <v>40</v>
      </c>
    </row>
    <row r="1059" spans="3:20" hidden="1" x14ac:dyDescent="0.35">
      <c r="C1059" s="233" t="s">
        <v>1510</v>
      </c>
      <c r="E1059">
        <v>13</v>
      </c>
      <c r="F1059" s="366">
        <v>7</v>
      </c>
      <c r="G1059" s="245" t="s">
        <v>1507</v>
      </c>
      <c r="I1059" s="173">
        <v>6.8571428571428568</v>
      </c>
      <c r="J1059">
        <v>3550</v>
      </c>
      <c r="K1059" s="173">
        <v>5698</v>
      </c>
      <c r="L1059" s="402">
        <f t="shared" si="109"/>
        <v>11.006197183098591</v>
      </c>
      <c r="M1059" s="173">
        <f t="shared" si="110"/>
        <v>17.863340040241447</v>
      </c>
      <c r="N1059" s="174"/>
      <c r="O1059" s="173">
        <f t="shared" si="111"/>
        <v>25.008676056338025</v>
      </c>
      <c r="P1059" s="173">
        <v>40</v>
      </c>
    </row>
    <row r="1060" spans="3:20" hidden="1" x14ac:dyDescent="0.35">
      <c r="C1060" s="233" t="s">
        <v>1510</v>
      </c>
      <c r="E1060">
        <v>14</v>
      </c>
      <c r="F1060" s="366">
        <v>8</v>
      </c>
      <c r="G1060" s="245" t="s">
        <v>1508</v>
      </c>
      <c r="I1060" s="173">
        <v>6.8571428571428568</v>
      </c>
      <c r="J1060">
        <v>3550</v>
      </c>
      <c r="K1060" s="173">
        <v>5698</v>
      </c>
      <c r="L1060" s="402">
        <f t="shared" si="109"/>
        <v>11.006197183098591</v>
      </c>
      <c r="M1060" s="173">
        <f t="shared" si="110"/>
        <v>17.863340040241447</v>
      </c>
      <c r="N1060" s="174"/>
      <c r="O1060" s="173">
        <f t="shared" si="111"/>
        <v>25.008676056338025</v>
      </c>
      <c r="P1060" s="173">
        <v>40</v>
      </c>
    </row>
    <row r="1061" spans="3:20" hidden="1" x14ac:dyDescent="0.35">
      <c r="C1061" s="233" t="s">
        <v>1510</v>
      </c>
      <c r="E1061">
        <v>15</v>
      </c>
      <c r="F1061" s="366">
        <v>9</v>
      </c>
      <c r="G1061" s="245" t="s">
        <v>1508</v>
      </c>
      <c r="I1061" s="173">
        <v>6.8571428571428568</v>
      </c>
      <c r="J1061">
        <v>3550</v>
      </c>
      <c r="K1061" s="173">
        <v>5698</v>
      </c>
      <c r="L1061" s="402">
        <f t="shared" si="109"/>
        <v>11.006197183098591</v>
      </c>
      <c r="M1061" s="173">
        <f t="shared" si="110"/>
        <v>17.863340040241447</v>
      </c>
      <c r="N1061" s="174"/>
      <c r="O1061" s="173">
        <f t="shared" si="111"/>
        <v>25.008676056338025</v>
      </c>
      <c r="P1061" s="173">
        <v>40</v>
      </c>
    </row>
    <row r="1062" spans="3:20" hidden="1" x14ac:dyDescent="0.35">
      <c r="C1062" s="233" t="s">
        <v>1510</v>
      </c>
      <c r="E1062">
        <v>16</v>
      </c>
      <c r="F1062" s="366">
        <v>10</v>
      </c>
      <c r="G1062" s="245" t="s">
        <v>1508</v>
      </c>
      <c r="I1062" s="173">
        <v>6.8571428571428568</v>
      </c>
      <c r="J1062">
        <v>3550</v>
      </c>
      <c r="K1062" s="173">
        <v>5698</v>
      </c>
      <c r="L1062" s="402">
        <f t="shared" si="109"/>
        <v>11.006197183098591</v>
      </c>
      <c r="M1062" s="173">
        <f t="shared" si="110"/>
        <v>17.863340040241447</v>
      </c>
      <c r="N1062" s="174"/>
      <c r="O1062" s="173">
        <f t="shared" si="111"/>
        <v>25.008676056338025</v>
      </c>
      <c r="P1062" s="173">
        <v>40</v>
      </c>
    </row>
    <row r="1063" spans="3:20" hidden="1" x14ac:dyDescent="0.35">
      <c r="C1063" s="233" t="s">
        <v>1510</v>
      </c>
      <c r="E1063">
        <v>17</v>
      </c>
      <c r="F1063" s="366">
        <v>11</v>
      </c>
      <c r="G1063" s="245" t="s">
        <v>1508</v>
      </c>
      <c r="I1063" s="173">
        <v>6.8571428571428568</v>
      </c>
      <c r="J1063">
        <v>3550</v>
      </c>
      <c r="K1063" s="173">
        <v>5698</v>
      </c>
      <c r="L1063" s="402">
        <f t="shared" si="109"/>
        <v>11.006197183098591</v>
      </c>
      <c r="M1063" s="173">
        <f t="shared" si="110"/>
        <v>17.863340040241447</v>
      </c>
      <c r="N1063" s="174"/>
      <c r="O1063" s="173">
        <f t="shared" si="111"/>
        <v>25.008676056338025</v>
      </c>
      <c r="P1063" s="173">
        <v>40</v>
      </c>
    </row>
    <row r="1064" spans="3:20" hidden="1" x14ac:dyDescent="0.35">
      <c r="C1064" s="233" t="s">
        <v>1510</v>
      </c>
      <c r="E1064">
        <v>18</v>
      </c>
      <c r="F1064" s="366">
        <v>12</v>
      </c>
      <c r="G1064" s="245" t="s">
        <v>1508</v>
      </c>
      <c r="I1064" s="173">
        <v>6.8571428571428568</v>
      </c>
      <c r="J1064">
        <v>3550</v>
      </c>
      <c r="K1064" s="173">
        <v>5698</v>
      </c>
      <c r="L1064" s="402">
        <f t="shared" si="109"/>
        <v>11.006197183098591</v>
      </c>
      <c r="M1064" s="173">
        <f t="shared" si="110"/>
        <v>17.863340040241447</v>
      </c>
      <c r="N1064" s="174"/>
      <c r="O1064" s="173">
        <f t="shared" si="111"/>
        <v>25.008676056338025</v>
      </c>
      <c r="P1064" s="173">
        <v>40</v>
      </c>
    </row>
    <row r="1065" spans="3:20" hidden="1" x14ac:dyDescent="0.35">
      <c r="C1065" s="233" t="s">
        <v>1510</v>
      </c>
      <c r="E1065">
        <v>19</v>
      </c>
      <c r="F1065" s="366">
        <v>7</v>
      </c>
      <c r="G1065" s="245" t="s">
        <v>1503</v>
      </c>
      <c r="I1065" s="173">
        <v>6.8571428571428568</v>
      </c>
      <c r="J1065">
        <v>3550</v>
      </c>
      <c r="K1065" s="173">
        <v>5698</v>
      </c>
      <c r="L1065" s="402">
        <f t="shared" si="109"/>
        <v>11.006197183098591</v>
      </c>
      <c r="M1065" s="173">
        <f t="shared" si="110"/>
        <v>17.863340040241447</v>
      </c>
      <c r="N1065" s="174"/>
      <c r="O1065" s="173">
        <f t="shared" si="111"/>
        <v>25.008676056338025</v>
      </c>
      <c r="P1065" s="173">
        <v>40</v>
      </c>
    </row>
    <row r="1066" spans="3:20" hidden="1" x14ac:dyDescent="0.35">
      <c r="C1066" s="233" t="s">
        <v>1510</v>
      </c>
      <c r="E1066">
        <v>20</v>
      </c>
      <c r="F1066" s="366">
        <v>8</v>
      </c>
      <c r="G1066" s="245" t="s">
        <v>1503</v>
      </c>
      <c r="I1066" s="173">
        <v>6.8571428571428568</v>
      </c>
      <c r="J1066">
        <v>3550</v>
      </c>
      <c r="K1066" s="173">
        <v>5698</v>
      </c>
      <c r="L1066" s="402">
        <f t="shared" si="109"/>
        <v>11.006197183098591</v>
      </c>
      <c r="M1066" s="173">
        <f t="shared" si="110"/>
        <v>17.863340040241447</v>
      </c>
      <c r="N1066" s="174"/>
      <c r="O1066" s="173">
        <f t="shared" si="111"/>
        <v>25.008676056338025</v>
      </c>
      <c r="P1066" s="173">
        <v>40</v>
      </c>
    </row>
    <row r="1067" spans="3:20" hidden="1" x14ac:dyDescent="0.35">
      <c r="C1067" s="233" t="s">
        <v>1510</v>
      </c>
      <c r="E1067">
        <v>21</v>
      </c>
      <c r="F1067" s="366">
        <v>9</v>
      </c>
      <c r="G1067" s="245" t="s">
        <v>1503</v>
      </c>
      <c r="I1067" s="173">
        <v>6.8571428571428568</v>
      </c>
      <c r="J1067">
        <v>3550</v>
      </c>
      <c r="K1067" s="173">
        <v>5698</v>
      </c>
      <c r="L1067" s="402">
        <f t="shared" si="109"/>
        <v>11.006197183098591</v>
      </c>
      <c r="M1067" s="173">
        <f t="shared" si="110"/>
        <v>17.863340040241447</v>
      </c>
      <c r="N1067" s="174"/>
      <c r="O1067" s="173">
        <f t="shared" si="111"/>
        <v>25.008676056338025</v>
      </c>
      <c r="P1067" s="173">
        <v>40</v>
      </c>
    </row>
    <row r="1068" spans="3:20" hidden="1" x14ac:dyDescent="0.35">
      <c r="C1068" s="233" t="s">
        <v>1510</v>
      </c>
      <c r="E1068">
        <v>22</v>
      </c>
      <c r="F1068" s="366">
        <v>10</v>
      </c>
      <c r="G1068" s="245" t="s">
        <v>1503</v>
      </c>
      <c r="I1068" s="173">
        <v>6.8571428571428568</v>
      </c>
      <c r="J1068">
        <v>3550</v>
      </c>
      <c r="K1068" s="173">
        <v>5698</v>
      </c>
      <c r="L1068" s="402">
        <f t="shared" si="109"/>
        <v>11.006197183098591</v>
      </c>
      <c r="M1068" s="173">
        <f t="shared" si="110"/>
        <v>17.863340040241447</v>
      </c>
      <c r="N1068" s="174"/>
      <c r="O1068" s="173">
        <f t="shared" si="111"/>
        <v>25.008676056338025</v>
      </c>
      <c r="P1068" s="173">
        <v>40</v>
      </c>
    </row>
    <row r="1069" spans="3:20" hidden="1" x14ac:dyDescent="0.35">
      <c r="C1069" s="233" t="s">
        <v>1510</v>
      </c>
      <c r="E1069">
        <v>23</v>
      </c>
      <c r="F1069" s="366">
        <v>11</v>
      </c>
      <c r="G1069" s="245" t="s">
        <v>1503</v>
      </c>
      <c r="I1069" s="173">
        <v>6.8571428571428568</v>
      </c>
      <c r="J1069">
        <v>3550</v>
      </c>
      <c r="K1069" s="173">
        <v>5698</v>
      </c>
      <c r="L1069" s="402">
        <f t="shared" si="109"/>
        <v>11.006197183098591</v>
      </c>
      <c r="M1069" s="173">
        <f t="shared" si="110"/>
        <v>17.863340040241447</v>
      </c>
      <c r="N1069" s="174"/>
      <c r="O1069" s="173">
        <f t="shared" si="111"/>
        <v>25.008676056338025</v>
      </c>
      <c r="P1069" s="173">
        <v>40</v>
      </c>
    </row>
    <row r="1070" spans="3:20" hidden="1" x14ac:dyDescent="0.35">
      <c r="C1070" s="233" t="s">
        <v>1510</v>
      </c>
      <c r="E1070">
        <v>24</v>
      </c>
      <c r="F1070" s="366">
        <v>12</v>
      </c>
      <c r="G1070" s="245" t="s">
        <v>1503</v>
      </c>
      <c r="I1070" s="173">
        <v>6.8571428571428568</v>
      </c>
      <c r="J1070">
        <v>3550</v>
      </c>
      <c r="K1070" s="173">
        <v>5698</v>
      </c>
      <c r="L1070" s="402">
        <f t="shared" si="109"/>
        <v>11.006197183098591</v>
      </c>
      <c r="M1070" s="173">
        <f t="shared" si="110"/>
        <v>17.863340040241447</v>
      </c>
      <c r="N1070" s="174"/>
      <c r="O1070" s="173">
        <f t="shared" si="111"/>
        <v>25.008676056338025</v>
      </c>
      <c r="P1070" s="173">
        <v>40</v>
      </c>
    </row>
    <row r="1071" spans="3:20" hidden="1" x14ac:dyDescent="0.35">
      <c r="C1071" s="233" t="s">
        <v>1510</v>
      </c>
      <c r="E1071">
        <v>25</v>
      </c>
      <c r="F1071" s="366">
        <v>7</v>
      </c>
      <c r="G1071" s="371" t="s">
        <v>1504</v>
      </c>
      <c r="H1071" s="371"/>
      <c r="I1071" s="176">
        <v>6.8571428571428568</v>
      </c>
      <c r="J1071" s="12">
        <v>3550</v>
      </c>
      <c r="K1071" s="176">
        <v>5698</v>
      </c>
      <c r="L1071" s="410">
        <f t="shared" si="109"/>
        <v>11.006197183098591</v>
      </c>
      <c r="M1071" s="176">
        <f t="shared" si="110"/>
        <v>17.863340040241447</v>
      </c>
      <c r="N1071" s="411"/>
      <c r="O1071" s="176">
        <f t="shared" si="111"/>
        <v>25.008676056338025</v>
      </c>
      <c r="P1071" s="176">
        <v>40</v>
      </c>
      <c r="S1071" t="s">
        <v>1514</v>
      </c>
      <c r="T1071" s="6">
        <v>45701</v>
      </c>
    </row>
    <row r="1072" spans="3:20" hidden="1" x14ac:dyDescent="0.35">
      <c r="C1072" s="233" t="s">
        <v>1510</v>
      </c>
      <c r="E1072">
        <v>26</v>
      </c>
      <c r="F1072" s="366">
        <v>8</v>
      </c>
      <c r="G1072" s="245" t="s">
        <v>1504</v>
      </c>
      <c r="I1072" s="173">
        <v>6.8571428571428568</v>
      </c>
      <c r="J1072">
        <v>3550</v>
      </c>
      <c r="K1072" s="173">
        <v>5698</v>
      </c>
      <c r="L1072" s="402">
        <f t="shared" si="109"/>
        <v>11.006197183098591</v>
      </c>
      <c r="M1072" s="173">
        <f t="shared" si="110"/>
        <v>17.863340040241447</v>
      </c>
      <c r="N1072" s="174"/>
      <c r="O1072" s="173">
        <f t="shared" si="111"/>
        <v>25.008676056338025</v>
      </c>
      <c r="P1072" s="173">
        <v>40</v>
      </c>
    </row>
    <row r="1073" spans="3:20" hidden="1" x14ac:dyDescent="0.35">
      <c r="C1073" s="233" t="s">
        <v>1510</v>
      </c>
      <c r="E1073">
        <v>27</v>
      </c>
      <c r="F1073" s="366">
        <v>9</v>
      </c>
      <c r="G1073" s="245" t="s">
        <v>1504</v>
      </c>
      <c r="I1073" s="173">
        <v>6.8571428571428568</v>
      </c>
      <c r="J1073">
        <v>3550</v>
      </c>
      <c r="K1073" s="173">
        <v>5698</v>
      </c>
      <c r="L1073" s="402">
        <f t="shared" si="109"/>
        <v>11.006197183098591</v>
      </c>
      <c r="M1073" s="173">
        <f t="shared" si="110"/>
        <v>17.863340040241447</v>
      </c>
      <c r="N1073" s="174"/>
      <c r="O1073" s="173">
        <f t="shared" si="111"/>
        <v>25.008676056338025</v>
      </c>
      <c r="P1073" s="173">
        <v>40</v>
      </c>
    </row>
    <row r="1074" spans="3:20" hidden="1" x14ac:dyDescent="0.35">
      <c r="C1074" s="233" t="s">
        <v>1510</v>
      </c>
      <c r="E1074">
        <v>28</v>
      </c>
      <c r="F1074" s="366">
        <v>10</v>
      </c>
      <c r="G1074" s="245" t="s">
        <v>1504</v>
      </c>
      <c r="I1074" s="173">
        <v>6.8571428571428568</v>
      </c>
      <c r="J1074">
        <v>3550</v>
      </c>
      <c r="K1074" s="173">
        <v>5698</v>
      </c>
      <c r="L1074" s="402">
        <f t="shared" si="109"/>
        <v>11.006197183098591</v>
      </c>
      <c r="M1074" s="173">
        <f t="shared" si="110"/>
        <v>17.863340040241447</v>
      </c>
      <c r="N1074" s="174"/>
      <c r="O1074" s="173">
        <f t="shared" si="111"/>
        <v>25.008676056338025</v>
      </c>
      <c r="P1074" s="173">
        <v>40</v>
      </c>
    </row>
    <row r="1075" spans="3:20" hidden="1" x14ac:dyDescent="0.35">
      <c r="C1075" s="233" t="s">
        <v>1510</v>
      </c>
      <c r="E1075">
        <v>29</v>
      </c>
      <c r="F1075" s="366">
        <v>11</v>
      </c>
      <c r="G1075" s="371" t="s">
        <v>1504</v>
      </c>
      <c r="H1075" s="371"/>
      <c r="I1075" s="176">
        <v>6.8571428571428568</v>
      </c>
      <c r="J1075" s="12">
        <v>3550</v>
      </c>
      <c r="K1075" s="176">
        <v>5698</v>
      </c>
      <c r="L1075" s="410">
        <f t="shared" si="109"/>
        <v>11.006197183098591</v>
      </c>
      <c r="M1075" s="176">
        <f t="shared" si="110"/>
        <v>17.863340040241447</v>
      </c>
      <c r="N1075" s="411"/>
      <c r="O1075" s="176">
        <f t="shared" si="111"/>
        <v>25.008676056338025</v>
      </c>
      <c r="P1075" s="173">
        <v>40</v>
      </c>
      <c r="S1075" t="s">
        <v>1511</v>
      </c>
      <c r="T1075" s="6">
        <v>45703</v>
      </c>
    </row>
    <row r="1076" spans="3:20" hidden="1" x14ac:dyDescent="0.35">
      <c r="C1076" s="233" t="s">
        <v>1510</v>
      </c>
      <c r="E1076">
        <v>30</v>
      </c>
      <c r="F1076" s="366">
        <v>12</v>
      </c>
      <c r="G1076" s="245" t="s">
        <v>1504</v>
      </c>
      <c r="I1076" s="173">
        <v>6.8571428571428568</v>
      </c>
      <c r="J1076">
        <v>3550</v>
      </c>
      <c r="K1076" s="173">
        <v>5698</v>
      </c>
      <c r="L1076" s="402">
        <f t="shared" si="109"/>
        <v>11.006197183098591</v>
      </c>
      <c r="M1076" s="173">
        <f t="shared" si="110"/>
        <v>17.863340040241447</v>
      </c>
      <c r="N1076" s="174"/>
      <c r="O1076" s="173">
        <f t="shared" si="111"/>
        <v>25.008676056338025</v>
      </c>
      <c r="P1076" s="173">
        <v>40</v>
      </c>
    </row>
    <row r="1077" spans="3:20" hidden="1" x14ac:dyDescent="0.35">
      <c r="C1077" s="233" t="s">
        <v>1510</v>
      </c>
      <c r="E1077">
        <v>31</v>
      </c>
      <c r="F1077" s="366">
        <v>7</v>
      </c>
      <c r="G1077" s="245" t="s">
        <v>1505</v>
      </c>
      <c r="I1077" s="173">
        <v>6.8571428571428568</v>
      </c>
      <c r="J1077">
        <v>3550</v>
      </c>
      <c r="K1077" s="173">
        <v>5698</v>
      </c>
      <c r="L1077" s="402">
        <f t="shared" si="109"/>
        <v>11.006197183098591</v>
      </c>
      <c r="M1077" s="173">
        <f t="shared" si="110"/>
        <v>17.863340040241447</v>
      </c>
      <c r="N1077" s="174"/>
      <c r="O1077" s="173">
        <f t="shared" si="111"/>
        <v>25.008676056338025</v>
      </c>
      <c r="P1077" s="173">
        <v>30</v>
      </c>
    </row>
    <row r="1078" spans="3:20" hidden="1" x14ac:dyDescent="0.35">
      <c r="C1078" s="233" t="s">
        <v>1510</v>
      </c>
      <c r="E1078">
        <v>32</v>
      </c>
      <c r="F1078" s="366">
        <v>8</v>
      </c>
      <c r="G1078" s="245" t="s">
        <v>1505</v>
      </c>
      <c r="I1078" s="173">
        <v>6.8571428571428568</v>
      </c>
      <c r="J1078">
        <v>3550</v>
      </c>
      <c r="K1078" s="173">
        <v>5698</v>
      </c>
      <c r="L1078" s="402">
        <f t="shared" si="109"/>
        <v>11.006197183098591</v>
      </c>
      <c r="M1078" s="173">
        <f t="shared" si="110"/>
        <v>17.863340040241447</v>
      </c>
      <c r="N1078" s="174"/>
      <c r="O1078" s="173">
        <f t="shared" si="111"/>
        <v>25.008676056338025</v>
      </c>
      <c r="P1078" s="173">
        <v>30</v>
      </c>
    </row>
    <row r="1079" spans="3:20" hidden="1" x14ac:dyDescent="0.35">
      <c r="C1079" s="233" t="s">
        <v>1510</v>
      </c>
      <c r="E1079">
        <v>33</v>
      </c>
      <c r="F1079" s="366">
        <v>9</v>
      </c>
      <c r="G1079" s="245" t="s">
        <v>1505</v>
      </c>
      <c r="I1079" s="173">
        <v>6.8571428571428568</v>
      </c>
      <c r="J1079">
        <v>3550</v>
      </c>
      <c r="K1079" s="173">
        <v>5698</v>
      </c>
      <c r="L1079" s="402">
        <f t="shared" si="109"/>
        <v>11.006197183098591</v>
      </c>
      <c r="M1079" s="173">
        <f t="shared" si="110"/>
        <v>17.863340040241447</v>
      </c>
      <c r="N1079" s="174"/>
      <c r="O1079" s="173">
        <f t="shared" si="111"/>
        <v>25.008676056338025</v>
      </c>
      <c r="P1079" s="173">
        <v>30</v>
      </c>
    </row>
    <row r="1080" spans="3:20" hidden="1" x14ac:dyDescent="0.35">
      <c r="C1080" s="233" t="s">
        <v>1510</v>
      </c>
      <c r="E1080">
        <v>34</v>
      </c>
      <c r="F1080" s="366">
        <v>10</v>
      </c>
      <c r="G1080" s="245" t="s">
        <v>1505</v>
      </c>
      <c r="I1080" s="173">
        <v>6.8571428571428568</v>
      </c>
      <c r="J1080">
        <v>3550</v>
      </c>
      <c r="K1080" s="173">
        <v>5698</v>
      </c>
      <c r="L1080" s="402">
        <f t="shared" si="109"/>
        <v>11.006197183098591</v>
      </c>
      <c r="M1080" s="173">
        <f t="shared" si="110"/>
        <v>17.863340040241447</v>
      </c>
      <c r="N1080" s="174"/>
      <c r="O1080" s="173">
        <f t="shared" si="111"/>
        <v>25.008676056338025</v>
      </c>
      <c r="P1080" s="173">
        <v>30</v>
      </c>
    </row>
    <row r="1081" spans="3:20" hidden="1" x14ac:dyDescent="0.35">
      <c r="C1081" s="233" t="s">
        <v>1510</v>
      </c>
      <c r="E1081">
        <v>35</v>
      </c>
      <c r="F1081" s="366">
        <v>11</v>
      </c>
      <c r="G1081" s="245" t="s">
        <v>1505</v>
      </c>
      <c r="I1081" s="173">
        <v>6.8571428571428568</v>
      </c>
      <c r="J1081">
        <v>3550</v>
      </c>
      <c r="K1081" s="173">
        <v>5698</v>
      </c>
      <c r="L1081" s="402">
        <f t="shared" si="109"/>
        <v>11.006197183098591</v>
      </c>
      <c r="M1081" s="173">
        <f t="shared" si="110"/>
        <v>17.863340040241447</v>
      </c>
      <c r="N1081" s="174"/>
      <c r="O1081" s="173">
        <f t="shared" si="111"/>
        <v>25.008676056338025</v>
      </c>
      <c r="P1081" s="173">
        <v>30</v>
      </c>
    </row>
    <row r="1082" spans="3:20" hidden="1" x14ac:dyDescent="0.35">
      <c r="C1082" s="233" t="s">
        <v>1510</v>
      </c>
      <c r="E1082">
        <v>36</v>
      </c>
      <c r="F1082" s="366">
        <v>12</v>
      </c>
      <c r="G1082" s="245" t="s">
        <v>1505</v>
      </c>
      <c r="I1082" s="173">
        <v>6.8571428571428568</v>
      </c>
      <c r="J1082">
        <v>3550</v>
      </c>
      <c r="K1082" s="173">
        <v>5698</v>
      </c>
      <c r="L1082" s="402">
        <f t="shared" si="109"/>
        <v>11.006197183098591</v>
      </c>
      <c r="M1082" s="173">
        <f t="shared" si="110"/>
        <v>17.863340040241447</v>
      </c>
      <c r="N1082" s="174"/>
      <c r="O1082" s="173">
        <f t="shared" si="111"/>
        <v>25.008676056338025</v>
      </c>
      <c r="P1082" s="173">
        <v>30</v>
      </c>
    </row>
    <row r="1083" spans="3:20" hidden="1" x14ac:dyDescent="0.35">
      <c r="C1083" s="233" t="s">
        <v>1510</v>
      </c>
      <c r="E1083">
        <v>37</v>
      </c>
      <c r="F1083" s="366">
        <v>7</v>
      </c>
      <c r="G1083" s="245" t="s">
        <v>1506</v>
      </c>
      <c r="I1083" s="173">
        <v>6.8571428571428568</v>
      </c>
      <c r="J1083">
        <v>3550</v>
      </c>
      <c r="K1083" s="173">
        <v>5698</v>
      </c>
      <c r="L1083" s="402">
        <f t="shared" si="109"/>
        <v>11.006197183098591</v>
      </c>
      <c r="M1083" s="173">
        <f t="shared" si="110"/>
        <v>17.863340040241447</v>
      </c>
      <c r="N1083" s="174"/>
      <c r="O1083" s="173">
        <f t="shared" si="111"/>
        <v>25.008676056338025</v>
      </c>
      <c r="P1083" s="173">
        <v>30</v>
      </c>
    </row>
    <row r="1084" spans="3:20" hidden="1" x14ac:dyDescent="0.35">
      <c r="C1084" s="233" t="s">
        <v>1510</v>
      </c>
      <c r="E1084">
        <v>38</v>
      </c>
      <c r="F1084" s="366">
        <v>8</v>
      </c>
      <c r="G1084" s="245" t="s">
        <v>1506</v>
      </c>
      <c r="I1084" s="173">
        <v>6.8571428571428568</v>
      </c>
      <c r="J1084">
        <v>3550</v>
      </c>
      <c r="K1084" s="173">
        <v>5698</v>
      </c>
      <c r="L1084" s="402">
        <f t="shared" si="109"/>
        <v>11.006197183098591</v>
      </c>
      <c r="M1084" s="173">
        <f t="shared" si="110"/>
        <v>17.863340040241447</v>
      </c>
      <c r="N1084" s="174"/>
      <c r="O1084" s="173">
        <f t="shared" si="111"/>
        <v>25.008676056338025</v>
      </c>
      <c r="P1084" s="173">
        <v>30</v>
      </c>
    </row>
    <row r="1085" spans="3:20" hidden="1" x14ac:dyDescent="0.35">
      <c r="C1085" s="233" t="s">
        <v>1510</v>
      </c>
      <c r="E1085">
        <v>39</v>
      </c>
      <c r="F1085" s="366">
        <v>9</v>
      </c>
      <c r="G1085" s="245" t="s">
        <v>1506</v>
      </c>
      <c r="I1085" s="173">
        <v>6.8571428571428568</v>
      </c>
      <c r="J1085">
        <v>3550</v>
      </c>
      <c r="K1085" s="173">
        <v>5698</v>
      </c>
      <c r="L1085" s="402">
        <f t="shared" si="109"/>
        <v>11.006197183098591</v>
      </c>
      <c r="M1085" s="173">
        <f t="shared" si="110"/>
        <v>17.863340040241447</v>
      </c>
      <c r="N1085" s="174"/>
      <c r="O1085" s="173">
        <f t="shared" si="111"/>
        <v>25.008676056338025</v>
      </c>
      <c r="P1085" s="173">
        <v>30</v>
      </c>
    </row>
    <row r="1086" spans="3:20" hidden="1" x14ac:dyDescent="0.35">
      <c r="C1086" s="233" t="s">
        <v>1510</v>
      </c>
      <c r="E1086">
        <v>40</v>
      </c>
      <c r="F1086" s="366">
        <v>10</v>
      </c>
      <c r="G1086" s="245" t="s">
        <v>1506</v>
      </c>
      <c r="I1086" s="173">
        <v>6.8571428571428568</v>
      </c>
      <c r="J1086">
        <v>3550</v>
      </c>
      <c r="K1086" s="173">
        <v>5698</v>
      </c>
      <c r="L1086" s="402">
        <f t="shared" si="109"/>
        <v>11.006197183098591</v>
      </c>
      <c r="M1086" s="173">
        <f t="shared" si="110"/>
        <v>17.863340040241447</v>
      </c>
      <c r="N1086" s="174"/>
      <c r="O1086" s="173">
        <f t="shared" si="111"/>
        <v>25.008676056338025</v>
      </c>
      <c r="P1086" s="173">
        <v>30</v>
      </c>
    </row>
    <row r="1087" spans="3:20" hidden="1" x14ac:dyDescent="0.35">
      <c r="C1087" s="233" t="s">
        <v>1510</v>
      </c>
      <c r="E1087">
        <v>41</v>
      </c>
      <c r="F1087" s="366">
        <v>11</v>
      </c>
      <c r="G1087" s="245" t="s">
        <v>1506</v>
      </c>
      <c r="I1087" s="173">
        <v>6.8571428571428568</v>
      </c>
      <c r="J1087">
        <v>3550</v>
      </c>
      <c r="K1087" s="173">
        <v>5698</v>
      </c>
      <c r="L1087" s="402">
        <f t="shared" si="109"/>
        <v>11.006197183098591</v>
      </c>
      <c r="M1087" s="173">
        <f t="shared" si="110"/>
        <v>17.863340040241447</v>
      </c>
      <c r="N1087" s="174"/>
      <c r="O1087" s="173">
        <f t="shared" si="111"/>
        <v>25.008676056338025</v>
      </c>
      <c r="P1087" s="173">
        <v>30</v>
      </c>
    </row>
    <row r="1088" spans="3:20" hidden="1" x14ac:dyDescent="0.35">
      <c r="C1088" s="233" t="s">
        <v>1510</v>
      </c>
      <c r="E1088">
        <v>42</v>
      </c>
      <c r="F1088" s="366">
        <v>12</v>
      </c>
      <c r="G1088" s="245" t="s">
        <v>1506</v>
      </c>
      <c r="I1088" s="173">
        <v>6.8571428571428568</v>
      </c>
      <c r="J1088">
        <v>3550</v>
      </c>
      <c r="K1088" s="173">
        <v>5698</v>
      </c>
      <c r="L1088" s="402">
        <f t="shared" si="109"/>
        <v>11.006197183098591</v>
      </c>
      <c r="M1088" s="173">
        <f t="shared" si="110"/>
        <v>17.863340040241447</v>
      </c>
      <c r="N1088" s="174"/>
      <c r="O1088" s="173">
        <f t="shared" si="111"/>
        <v>25.008676056338025</v>
      </c>
      <c r="P1088" s="173">
        <v>30</v>
      </c>
    </row>
    <row r="1089" spans="1:20" hidden="1" x14ac:dyDescent="0.35">
      <c r="L1089" s="402"/>
      <c r="N1089" s="174"/>
    </row>
    <row r="1090" spans="1:20" hidden="1" x14ac:dyDescent="0.35">
      <c r="G1090" s="387" t="s">
        <v>232</v>
      </c>
      <c r="H1090" s="387"/>
      <c r="L1090" s="402"/>
      <c r="N1090" s="174"/>
    </row>
    <row r="1091" spans="1:20" hidden="1" x14ac:dyDescent="0.35">
      <c r="G1091" s="371" t="s">
        <v>1405</v>
      </c>
      <c r="H1091" s="371"/>
      <c r="I1091" s="176">
        <v>12</v>
      </c>
      <c r="J1091" s="12">
        <v>3550</v>
      </c>
      <c r="K1091" s="176">
        <v>5698</v>
      </c>
      <c r="L1091" s="410">
        <f t="shared" ref="L1091:L1107" si="112">+I1091/J1091*K1091</f>
        <v>19.260845070422537</v>
      </c>
      <c r="M1091" s="176">
        <f t="shared" ref="M1091:M1107" si="113">+I1091+L1091</f>
        <v>31.260845070422537</v>
      </c>
      <c r="N1091" s="411"/>
      <c r="O1091" s="176">
        <f t="shared" ref="O1091:O1107" si="114">+M1091*1.4</f>
        <v>43.76518309859155</v>
      </c>
      <c r="P1091" s="176">
        <v>45</v>
      </c>
      <c r="S1091" t="s">
        <v>1453</v>
      </c>
      <c r="T1091" s="6">
        <v>45672</v>
      </c>
    </row>
    <row r="1092" spans="1:20" hidden="1" x14ac:dyDescent="0.35">
      <c r="G1092" s="245" t="s">
        <v>1409</v>
      </c>
      <c r="I1092" s="173">
        <v>12</v>
      </c>
      <c r="J1092">
        <v>3550</v>
      </c>
      <c r="K1092" s="173">
        <v>5698</v>
      </c>
      <c r="L1092" s="402">
        <f t="shared" si="112"/>
        <v>19.260845070422537</v>
      </c>
      <c r="M1092" s="173">
        <f t="shared" si="113"/>
        <v>31.260845070422537</v>
      </c>
      <c r="N1092" s="174"/>
      <c r="O1092" s="173">
        <f t="shared" si="114"/>
        <v>43.76518309859155</v>
      </c>
      <c r="P1092" s="173">
        <v>55</v>
      </c>
    </row>
    <row r="1093" spans="1:20" hidden="1" x14ac:dyDescent="0.35">
      <c r="C1093" s="233" t="s">
        <v>1473</v>
      </c>
      <c r="G1093" s="483" t="s">
        <v>1446</v>
      </c>
      <c r="H1093" s="483"/>
      <c r="I1093" s="176">
        <v>12</v>
      </c>
      <c r="J1093" s="12">
        <v>3550</v>
      </c>
      <c r="K1093" s="176">
        <v>5698</v>
      </c>
      <c r="L1093" s="410">
        <f t="shared" si="112"/>
        <v>19.260845070422537</v>
      </c>
      <c r="M1093" s="176">
        <f t="shared" si="113"/>
        <v>31.260845070422537</v>
      </c>
      <c r="N1093" s="411"/>
      <c r="O1093" s="176">
        <f t="shared" si="114"/>
        <v>43.76518309859155</v>
      </c>
      <c r="P1093" s="176">
        <v>55</v>
      </c>
      <c r="S1093" t="s">
        <v>1449</v>
      </c>
      <c r="T1093" s="6">
        <v>45689</v>
      </c>
    </row>
    <row r="1094" spans="1:20" hidden="1" x14ac:dyDescent="0.35">
      <c r="C1094" s="233" t="s">
        <v>1413</v>
      </c>
      <c r="G1094" s="256" t="s">
        <v>1451</v>
      </c>
      <c r="H1094" s="256"/>
      <c r="I1094" s="173">
        <v>12</v>
      </c>
      <c r="J1094">
        <v>3550</v>
      </c>
      <c r="K1094" s="173">
        <v>5698</v>
      </c>
      <c r="L1094" s="402">
        <f t="shared" si="112"/>
        <v>19.260845070422537</v>
      </c>
      <c r="M1094" s="173">
        <f t="shared" si="113"/>
        <v>31.260845070422537</v>
      </c>
      <c r="N1094" s="174"/>
      <c r="O1094" s="173">
        <f t="shared" si="114"/>
        <v>43.76518309859155</v>
      </c>
      <c r="P1094" s="173">
        <v>45</v>
      </c>
      <c r="S1094" t="s">
        <v>1450</v>
      </c>
      <c r="T1094" s="6">
        <v>45672</v>
      </c>
    </row>
    <row r="1095" spans="1:20" hidden="1" x14ac:dyDescent="0.35">
      <c r="C1095" s="233" t="s">
        <v>1413</v>
      </c>
      <c r="G1095" s="256" t="s">
        <v>1452</v>
      </c>
      <c r="H1095" s="256"/>
      <c r="I1095" s="173">
        <v>12</v>
      </c>
      <c r="J1095">
        <v>3550</v>
      </c>
      <c r="K1095" s="173">
        <v>5698</v>
      </c>
      <c r="L1095" s="402">
        <f t="shared" si="112"/>
        <v>19.260845070422537</v>
      </c>
      <c r="M1095" s="173">
        <f t="shared" si="113"/>
        <v>31.260845070422537</v>
      </c>
      <c r="N1095" s="174"/>
      <c r="O1095" s="173">
        <f t="shared" si="114"/>
        <v>43.76518309859155</v>
      </c>
      <c r="P1095" s="173">
        <v>50</v>
      </c>
    </row>
    <row r="1096" spans="1:20" hidden="1" x14ac:dyDescent="0.35">
      <c r="G1096" s="371" t="s">
        <v>1407</v>
      </c>
      <c r="H1096" s="371"/>
      <c r="I1096" s="176">
        <v>12</v>
      </c>
      <c r="J1096" s="12">
        <v>3550</v>
      </c>
      <c r="K1096" s="176">
        <v>5698</v>
      </c>
      <c r="L1096" s="410">
        <f t="shared" si="112"/>
        <v>19.260845070422537</v>
      </c>
      <c r="M1096" s="176">
        <f t="shared" si="113"/>
        <v>31.260845070422537</v>
      </c>
      <c r="N1096" s="411"/>
      <c r="O1096" s="176">
        <f t="shared" si="114"/>
        <v>43.76518309859155</v>
      </c>
      <c r="P1096" s="176">
        <v>45</v>
      </c>
      <c r="S1096" t="s">
        <v>1450</v>
      </c>
      <c r="T1096" s="6">
        <v>45672</v>
      </c>
    </row>
    <row r="1097" spans="1:20" hidden="1" x14ac:dyDescent="0.35">
      <c r="G1097" s="371" t="s">
        <v>1408</v>
      </c>
      <c r="H1097" s="371"/>
      <c r="I1097" s="176">
        <v>10</v>
      </c>
      <c r="J1097" s="12">
        <v>3550</v>
      </c>
      <c r="K1097" s="176">
        <v>5698</v>
      </c>
      <c r="L1097" s="410">
        <f t="shared" si="112"/>
        <v>16.050704225352113</v>
      </c>
      <c r="M1097" s="176">
        <f t="shared" si="113"/>
        <v>26.050704225352113</v>
      </c>
      <c r="N1097" s="411"/>
      <c r="O1097" s="176">
        <f t="shared" si="114"/>
        <v>36.470985915492953</v>
      </c>
      <c r="P1097" s="176">
        <v>45</v>
      </c>
      <c r="S1097" t="s">
        <v>12</v>
      </c>
      <c r="T1097" s="6">
        <v>45671</v>
      </c>
    </row>
    <row r="1098" spans="1:20" hidden="1" x14ac:dyDescent="0.35">
      <c r="G1098" s="245" t="s">
        <v>1408</v>
      </c>
      <c r="I1098" s="173">
        <v>12</v>
      </c>
      <c r="J1098">
        <v>3550</v>
      </c>
      <c r="K1098" s="173">
        <v>5698</v>
      </c>
      <c r="L1098" s="402">
        <f t="shared" si="112"/>
        <v>19.260845070422537</v>
      </c>
      <c r="M1098" s="173">
        <f t="shared" si="113"/>
        <v>31.260845070422537</v>
      </c>
      <c r="N1098" s="174"/>
      <c r="O1098" s="173">
        <f t="shared" si="114"/>
        <v>43.76518309859155</v>
      </c>
      <c r="P1098" s="173">
        <v>45</v>
      </c>
    </row>
    <row r="1099" spans="1:20" hidden="1" x14ac:dyDescent="0.35">
      <c r="C1099" s="233" t="s">
        <v>1412</v>
      </c>
      <c r="G1099" s="245" t="s">
        <v>1495</v>
      </c>
      <c r="I1099" s="173">
        <v>12</v>
      </c>
      <c r="J1099">
        <v>3550</v>
      </c>
      <c r="K1099" s="173">
        <v>5698</v>
      </c>
      <c r="L1099" s="402">
        <f t="shared" si="112"/>
        <v>19.260845070422537</v>
      </c>
      <c r="M1099" s="173">
        <f t="shared" si="113"/>
        <v>31.260845070422537</v>
      </c>
      <c r="N1099" s="174"/>
      <c r="O1099" s="173">
        <f t="shared" si="114"/>
        <v>43.76518309859155</v>
      </c>
      <c r="P1099" s="173">
        <v>45</v>
      </c>
    </row>
    <row r="1100" spans="1:20" hidden="1" x14ac:dyDescent="0.35">
      <c r="C1100" s="233" t="s">
        <v>1412</v>
      </c>
      <c r="G1100" s="371" t="s">
        <v>1495</v>
      </c>
      <c r="H1100" s="371"/>
      <c r="I1100" s="176">
        <v>12</v>
      </c>
      <c r="J1100" s="12">
        <v>3550</v>
      </c>
      <c r="K1100" s="176">
        <v>5698</v>
      </c>
      <c r="L1100" s="410">
        <f t="shared" si="112"/>
        <v>19.260845070422537</v>
      </c>
      <c r="M1100" s="176">
        <f t="shared" si="113"/>
        <v>31.260845070422537</v>
      </c>
      <c r="N1100" s="411"/>
      <c r="O1100" s="176">
        <f t="shared" si="114"/>
        <v>43.76518309859155</v>
      </c>
      <c r="P1100" s="176">
        <v>45</v>
      </c>
      <c r="S1100" t="s">
        <v>12</v>
      </c>
      <c r="T1100" s="6">
        <v>45694</v>
      </c>
    </row>
    <row r="1101" spans="1:20" hidden="1" x14ac:dyDescent="0.35">
      <c r="C1101" s="233" t="s">
        <v>1412</v>
      </c>
      <c r="G1101" s="245" t="s">
        <v>1495</v>
      </c>
      <c r="I1101" s="173">
        <v>12</v>
      </c>
      <c r="J1101">
        <v>3550</v>
      </c>
      <c r="K1101" s="173">
        <v>5698</v>
      </c>
      <c r="L1101" s="402">
        <f t="shared" si="112"/>
        <v>19.260845070422537</v>
      </c>
      <c r="M1101" s="173">
        <f t="shared" si="113"/>
        <v>31.260845070422537</v>
      </c>
      <c r="N1101" s="174"/>
      <c r="O1101" s="173">
        <f t="shared" si="114"/>
        <v>43.76518309859155</v>
      </c>
      <c r="P1101" s="173">
        <v>45</v>
      </c>
    </row>
    <row r="1102" spans="1:20" hidden="1" x14ac:dyDescent="0.35">
      <c r="A1102"/>
      <c r="C1102" s="233" t="s">
        <v>1410</v>
      </c>
      <c r="G1102" s="245" t="s">
        <v>1411</v>
      </c>
      <c r="I1102" s="173">
        <v>12</v>
      </c>
      <c r="J1102">
        <v>3550</v>
      </c>
      <c r="K1102" s="173">
        <v>5698</v>
      </c>
      <c r="L1102" s="402">
        <f t="shared" si="112"/>
        <v>19.260845070422537</v>
      </c>
      <c r="M1102" s="173">
        <f t="shared" si="113"/>
        <v>31.260845070422537</v>
      </c>
      <c r="N1102" s="174"/>
      <c r="O1102" s="173">
        <f t="shared" si="114"/>
        <v>43.76518309859155</v>
      </c>
      <c r="P1102" s="173">
        <v>45</v>
      </c>
    </row>
    <row r="1103" spans="1:20" hidden="1" x14ac:dyDescent="0.35">
      <c r="A1103"/>
      <c r="C1103" s="233" t="s">
        <v>1410</v>
      </c>
      <c r="G1103" s="245" t="s">
        <v>1411</v>
      </c>
      <c r="I1103" s="173">
        <v>12</v>
      </c>
      <c r="J1103">
        <v>3550</v>
      </c>
      <c r="K1103" s="173">
        <v>5698</v>
      </c>
      <c r="L1103" s="402">
        <f t="shared" si="112"/>
        <v>19.260845070422537</v>
      </c>
      <c r="M1103" s="173">
        <f t="shared" si="113"/>
        <v>31.260845070422537</v>
      </c>
      <c r="N1103" s="174"/>
      <c r="O1103" s="173">
        <f t="shared" si="114"/>
        <v>43.76518309859155</v>
      </c>
      <c r="P1103" s="173">
        <v>45</v>
      </c>
    </row>
    <row r="1104" spans="1:20" hidden="1" x14ac:dyDescent="0.35">
      <c r="A1104"/>
      <c r="C1104" s="233" t="s">
        <v>1410</v>
      </c>
      <c r="G1104" s="245" t="s">
        <v>1411</v>
      </c>
      <c r="I1104" s="173">
        <v>12</v>
      </c>
      <c r="J1104">
        <v>3550</v>
      </c>
      <c r="K1104" s="173">
        <v>5698</v>
      </c>
      <c r="L1104" s="402">
        <f t="shared" si="112"/>
        <v>19.260845070422537</v>
      </c>
      <c r="M1104" s="173">
        <f t="shared" si="113"/>
        <v>31.260845070422537</v>
      </c>
      <c r="N1104" s="174"/>
      <c r="O1104" s="173">
        <f t="shared" si="114"/>
        <v>43.76518309859155</v>
      </c>
      <c r="P1104" s="173">
        <v>45</v>
      </c>
    </row>
    <row r="1105" spans="1:20" hidden="1" x14ac:dyDescent="0.35">
      <c r="A1105"/>
      <c r="C1105" s="233" t="s">
        <v>1412</v>
      </c>
      <c r="G1105" s="371" t="s">
        <v>1445</v>
      </c>
      <c r="H1105" s="371"/>
      <c r="I1105" s="176">
        <v>12</v>
      </c>
      <c r="J1105" s="12">
        <v>3550</v>
      </c>
      <c r="K1105" s="176">
        <v>5698</v>
      </c>
      <c r="L1105" s="410">
        <f t="shared" si="112"/>
        <v>19.260845070422537</v>
      </c>
      <c r="M1105" s="176">
        <f t="shared" si="113"/>
        <v>31.260845070422537</v>
      </c>
      <c r="N1105" s="411"/>
      <c r="O1105" s="176">
        <f t="shared" si="114"/>
        <v>43.76518309859155</v>
      </c>
      <c r="P1105" s="176">
        <v>60</v>
      </c>
      <c r="S1105" t="s">
        <v>1509</v>
      </c>
      <c r="T1105" s="6">
        <v>45700</v>
      </c>
    </row>
    <row r="1106" spans="1:20" hidden="1" x14ac:dyDescent="0.35">
      <c r="A1106"/>
      <c r="C1106" s="233" t="s">
        <v>1412</v>
      </c>
      <c r="G1106" s="371" t="s">
        <v>1445</v>
      </c>
      <c r="H1106" s="371"/>
      <c r="I1106" s="176">
        <v>12</v>
      </c>
      <c r="J1106" s="12">
        <v>3550</v>
      </c>
      <c r="K1106" s="176">
        <v>5698</v>
      </c>
      <c r="L1106" s="410">
        <f t="shared" si="112"/>
        <v>19.260845070422537</v>
      </c>
      <c r="M1106" s="176">
        <f t="shared" si="113"/>
        <v>31.260845070422537</v>
      </c>
      <c r="N1106" s="411"/>
      <c r="O1106" s="176">
        <f t="shared" si="114"/>
        <v>43.76518309859155</v>
      </c>
      <c r="P1106" s="176">
        <v>60</v>
      </c>
      <c r="S1106" t="s">
        <v>1075</v>
      </c>
      <c r="T1106" s="6">
        <v>45701</v>
      </c>
    </row>
    <row r="1107" spans="1:20" hidden="1" x14ac:dyDescent="0.35">
      <c r="A1107"/>
      <c r="C1107" s="233" t="s">
        <v>1412</v>
      </c>
      <c r="G1107" s="245" t="s">
        <v>1445</v>
      </c>
      <c r="I1107" s="173">
        <v>12</v>
      </c>
      <c r="J1107">
        <v>3550</v>
      </c>
      <c r="K1107" s="173">
        <v>5698</v>
      </c>
      <c r="L1107" s="402">
        <f t="shared" si="112"/>
        <v>19.260845070422537</v>
      </c>
      <c r="M1107" s="173">
        <f t="shared" si="113"/>
        <v>31.260845070422537</v>
      </c>
      <c r="N1107" s="174"/>
      <c r="O1107" s="173">
        <f t="shared" si="114"/>
        <v>43.76518309859155</v>
      </c>
      <c r="P1107" s="173">
        <v>60</v>
      </c>
      <c r="T1107" s="6"/>
    </row>
    <row r="1108" spans="1:20" hidden="1" x14ac:dyDescent="0.35">
      <c r="A1108"/>
      <c r="C1108" s="233" t="s">
        <v>1467</v>
      </c>
      <c r="G1108" s="245" t="s">
        <v>1468</v>
      </c>
      <c r="I1108" s="173">
        <v>5.7142857142857144</v>
      </c>
      <c r="L1108" s="402"/>
      <c r="N1108" s="174"/>
    </row>
    <row r="1109" spans="1:20" hidden="1" x14ac:dyDescent="0.35">
      <c r="A1109"/>
      <c r="G1109" s="245" t="s">
        <v>1468</v>
      </c>
      <c r="L1109" s="402"/>
      <c r="N1109" s="174"/>
    </row>
    <row r="1110" spans="1:20" hidden="1" x14ac:dyDescent="0.35">
      <c r="A1110"/>
      <c r="G1110" s="371" t="s">
        <v>1469</v>
      </c>
      <c r="H1110" s="371"/>
      <c r="I1110" s="176">
        <v>6</v>
      </c>
      <c r="J1110" s="12">
        <v>3550</v>
      </c>
      <c r="K1110" s="176">
        <v>5698</v>
      </c>
      <c r="L1110" s="410">
        <f t="shared" ref="L1110:L1137" si="115">+I1110/J1110*K1110</f>
        <v>9.6304225352112685</v>
      </c>
      <c r="M1110" s="176">
        <f t="shared" ref="M1110:M1137" si="116">+I1110+L1110</f>
        <v>15.630422535211268</v>
      </c>
      <c r="N1110" s="411"/>
      <c r="O1110" s="176">
        <f t="shared" ref="O1110:O1137" si="117">+M1110*1.4</f>
        <v>21.882591549295775</v>
      </c>
      <c r="P1110" s="176">
        <v>35</v>
      </c>
      <c r="S1110" t="s">
        <v>12</v>
      </c>
      <c r="T1110" s="6">
        <v>45703</v>
      </c>
    </row>
    <row r="1111" spans="1:20" hidden="1" x14ac:dyDescent="0.35">
      <c r="A1111"/>
      <c r="G1111" s="371" t="s">
        <v>1478</v>
      </c>
      <c r="H1111" s="371"/>
      <c r="I1111" s="176">
        <v>6</v>
      </c>
      <c r="J1111" s="12">
        <v>3550</v>
      </c>
      <c r="K1111" s="176">
        <v>5698</v>
      </c>
      <c r="L1111" s="410">
        <f t="shared" si="115"/>
        <v>9.6304225352112685</v>
      </c>
      <c r="M1111" s="176">
        <f t="shared" si="116"/>
        <v>15.630422535211268</v>
      </c>
      <c r="N1111" s="411"/>
      <c r="O1111" s="176">
        <f t="shared" si="117"/>
        <v>21.882591549295775</v>
      </c>
      <c r="P1111" s="176">
        <v>35</v>
      </c>
      <c r="S1111" t="s">
        <v>12</v>
      </c>
      <c r="T1111" s="6">
        <v>45700</v>
      </c>
    </row>
    <row r="1112" spans="1:20" hidden="1" x14ac:dyDescent="0.35">
      <c r="A1112"/>
      <c r="G1112" s="245" t="s">
        <v>1500</v>
      </c>
      <c r="I1112" s="173">
        <v>6</v>
      </c>
      <c r="J1112">
        <v>3550</v>
      </c>
      <c r="K1112" s="173">
        <v>5698</v>
      </c>
      <c r="L1112" s="402">
        <f t="shared" si="115"/>
        <v>9.6304225352112685</v>
      </c>
      <c r="M1112" s="173">
        <f t="shared" si="116"/>
        <v>15.630422535211268</v>
      </c>
      <c r="N1112" s="174"/>
      <c r="O1112" s="173">
        <f t="shared" si="117"/>
        <v>21.882591549295775</v>
      </c>
      <c r="P1112" s="173">
        <v>35</v>
      </c>
    </row>
    <row r="1113" spans="1:20" hidden="1" x14ac:dyDescent="0.35">
      <c r="A1113"/>
      <c r="G1113" s="245" t="s">
        <v>1470</v>
      </c>
      <c r="I1113" s="173">
        <v>6</v>
      </c>
      <c r="J1113">
        <v>3550</v>
      </c>
      <c r="K1113" s="173">
        <v>5698</v>
      </c>
      <c r="L1113" s="402">
        <f t="shared" si="115"/>
        <v>9.6304225352112685</v>
      </c>
      <c r="M1113" s="173">
        <f t="shared" si="116"/>
        <v>15.630422535211268</v>
      </c>
      <c r="N1113" s="174"/>
      <c r="O1113" s="173">
        <f t="shared" si="117"/>
        <v>21.882591549295775</v>
      </c>
      <c r="P1113" s="173">
        <v>35</v>
      </c>
    </row>
    <row r="1114" spans="1:20" hidden="1" x14ac:dyDescent="0.35">
      <c r="A1114"/>
      <c r="G1114" s="245" t="s">
        <v>1470</v>
      </c>
      <c r="I1114" s="173">
        <v>6</v>
      </c>
      <c r="J1114">
        <v>3550</v>
      </c>
      <c r="K1114" s="173">
        <v>5698</v>
      </c>
      <c r="L1114" s="402">
        <f t="shared" si="115"/>
        <v>9.6304225352112685</v>
      </c>
      <c r="M1114" s="173">
        <f t="shared" si="116"/>
        <v>15.630422535211268</v>
      </c>
      <c r="N1114" s="174"/>
      <c r="O1114" s="173">
        <f t="shared" si="117"/>
        <v>21.882591549295775</v>
      </c>
      <c r="P1114" s="173">
        <v>35</v>
      </c>
    </row>
    <row r="1115" spans="1:20" hidden="1" x14ac:dyDescent="0.35">
      <c r="A1115"/>
      <c r="G1115" s="245" t="s">
        <v>1488</v>
      </c>
      <c r="I1115" s="173">
        <v>6</v>
      </c>
      <c r="J1115">
        <v>3550</v>
      </c>
      <c r="K1115" s="173">
        <v>5698</v>
      </c>
      <c r="L1115" s="402">
        <f t="shared" si="115"/>
        <v>9.6304225352112685</v>
      </c>
      <c r="M1115" s="173">
        <f t="shared" si="116"/>
        <v>15.630422535211268</v>
      </c>
      <c r="N1115" s="174"/>
      <c r="O1115" s="173">
        <f t="shared" si="117"/>
        <v>21.882591549295775</v>
      </c>
      <c r="P1115" s="173">
        <v>35</v>
      </c>
    </row>
    <row r="1116" spans="1:20" hidden="1" x14ac:dyDescent="0.35">
      <c r="A1116"/>
      <c r="G1116" s="245" t="s">
        <v>1488</v>
      </c>
      <c r="I1116" s="173">
        <v>6</v>
      </c>
      <c r="J1116">
        <v>3550</v>
      </c>
      <c r="K1116" s="173">
        <v>5698</v>
      </c>
      <c r="L1116" s="402">
        <f t="shared" si="115"/>
        <v>9.6304225352112685</v>
      </c>
      <c r="M1116" s="173">
        <f t="shared" si="116"/>
        <v>15.630422535211268</v>
      </c>
      <c r="N1116" s="174"/>
      <c r="O1116" s="173">
        <f t="shared" si="117"/>
        <v>21.882591549295775</v>
      </c>
      <c r="P1116" s="173">
        <v>35</v>
      </c>
    </row>
    <row r="1117" spans="1:20" hidden="1" x14ac:dyDescent="0.35">
      <c r="A1117"/>
      <c r="G1117" s="245" t="s">
        <v>1161</v>
      </c>
      <c r="I1117" s="173">
        <v>6</v>
      </c>
      <c r="J1117">
        <v>3550</v>
      </c>
      <c r="K1117" s="173">
        <v>5698</v>
      </c>
      <c r="L1117" s="402">
        <f t="shared" si="115"/>
        <v>9.6304225352112685</v>
      </c>
      <c r="M1117" s="173">
        <f t="shared" si="116"/>
        <v>15.630422535211268</v>
      </c>
      <c r="N1117" s="174"/>
      <c r="O1117" s="173">
        <f t="shared" si="117"/>
        <v>21.882591549295775</v>
      </c>
      <c r="P1117" s="173">
        <v>35</v>
      </c>
    </row>
    <row r="1118" spans="1:20" hidden="1" x14ac:dyDescent="0.35">
      <c r="A1118"/>
      <c r="G1118" s="245" t="s">
        <v>1482</v>
      </c>
      <c r="I1118" s="173">
        <v>6</v>
      </c>
      <c r="J1118">
        <v>3550</v>
      </c>
      <c r="K1118" s="173">
        <v>5698</v>
      </c>
      <c r="L1118" s="402">
        <f t="shared" si="115"/>
        <v>9.6304225352112685</v>
      </c>
      <c r="M1118" s="173">
        <f t="shared" si="116"/>
        <v>15.630422535211268</v>
      </c>
      <c r="N1118" s="174"/>
      <c r="O1118" s="173">
        <f t="shared" si="117"/>
        <v>21.882591549295775</v>
      </c>
      <c r="P1118" s="173">
        <v>35</v>
      </c>
    </row>
    <row r="1119" spans="1:20" hidden="1" x14ac:dyDescent="0.35">
      <c r="A1119"/>
      <c r="G1119" s="245" t="s">
        <v>1483</v>
      </c>
      <c r="I1119" s="173">
        <v>6</v>
      </c>
      <c r="J1119">
        <v>3550</v>
      </c>
      <c r="K1119" s="173">
        <v>5698</v>
      </c>
      <c r="L1119" s="402">
        <f t="shared" si="115"/>
        <v>9.6304225352112685</v>
      </c>
      <c r="M1119" s="173">
        <f t="shared" si="116"/>
        <v>15.630422535211268</v>
      </c>
      <c r="N1119" s="174"/>
      <c r="O1119" s="173">
        <f t="shared" si="117"/>
        <v>21.882591549295775</v>
      </c>
      <c r="P1119" s="173">
        <v>35</v>
      </c>
    </row>
    <row r="1120" spans="1:20" hidden="1" x14ac:dyDescent="0.35">
      <c r="A1120"/>
      <c r="G1120" s="245" t="s">
        <v>1483</v>
      </c>
      <c r="I1120" s="173">
        <v>6</v>
      </c>
      <c r="J1120">
        <v>3550</v>
      </c>
      <c r="K1120" s="173">
        <v>5698</v>
      </c>
      <c r="L1120" s="402">
        <f t="shared" si="115"/>
        <v>9.6304225352112685</v>
      </c>
      <c r="M1120" s="173">
        <f t="shared" si="116"/>
        <v>15.630422535211268</v>
      </c>
      <c r="N1120" s="174"/>
      <c r="O1120" s="173">
        <f t="shared" si="117"/>
        <v>21.882591549295775</v>
      </c>
      <c r="P1120" s="173">
        <v>35</v>
      </c>
    </row>
    <row r="1121" spans="1:20" hidden="1" x14ac:dyDescent="0.35">
      <c r="A1121"/>
      <c r="G1121" s="245" t="s">
        <v>1484</v>
      </c>
      <c r="I1121" s="173">
        <v>6</v>
      </c>
      <c r="J1121">
        <v>3550</v>
      </c>
      <c r="K1121" s="173">
        <v>5698</v>
      </c>
      <c r="L1121" s="402">
        <f t="shared" si="115"/>
        <v>9.6304225352112685</v>
      </c>
      <c r="M1121" s="173">
        <f t="shared" si="116"/>
        <v>15.630422535211268</v>
      </c>
      <c r="N1121" s="174"/>
      <c r="O1121" s="173">
        <f t="shared" si="117"/>
        <v>21.882591549295775</v>
      </c>
      <c r="P1121" s="173">
        <v>35</v>
      </c>
    </row>
    <row r="1122" spans="1:20" hidden="1" x14ac:dyDescent="0.35">
      <c r="A1122"/>
      <c r="G1122" s="245" t="s">
        <v>1471</v>
      </c>
      <c r="I1122" s="173">
        <v>6</v>
      </c>
      <c r="J1122">
        <v>3550</v>
      </c>
      <c r="K1122" s="173">
        <v>5698</v>
      </c>
      <c r="L1122" s="402">
        <f t="shared" si="115"/>
        <v>9.6304225352112685</v>
      </c>
      <c r="M1122" s="173">
        <f t="shared" si="116"/>
        <v>15.630422535211268</v>
      </c>
      <c r="N1122" s="174"/>
      <c r="O1122" s="173">
        <f t="shared" si="117"/>
        <v>21.882591549295775</v>
      </c>
      <c r="P1122" s="173">
        <v>35</v>
      </c>
    </row>
    <row r="1123" spans="1:20" hidden="1" x14ac:dyDescent="0.35">
      <c r="A1123"/>
      <c r="G1123" s="245" t="s">
        <v>1475</v>
      </c>
      <c r="I1123" s="173">
        <v>6</v>
      </c>
      <c r="J1123">
        <v>3550</v>
      </c>
      <c r="K1123" s="173">
        <v>5698</v>
      </c>
      <c r="L1123" s="402">
        <f t="shared" si="115"/>
        <v>9.6304225352112685</v>
      </c>
      <c r="M1123" s="173">
        <f t="shared" si="116"/>
        <v>15.630422535211268</v>
      </c>
      <c r="N1123" s="174"/>
      <c r="O1123" s="173">
        <f t="shared" si="117"/>
        <v>21.882591549295775</v>
      </c>
      <c r="P1123" s="173">
        <v>35</v>
      </c>
    </row>
    <row r="1124" spans="1:20" hidden="1" x14ac:dyDescent="0.35">
      <c r="A1124"/>
      <c r="G1124" s="245" t="s">
        <v>1485</v>
      </c>
      <c r="I1124" s="173">
        <v>6</v>
      </c>
      <c r="J1124">
        <v>3550</v>
      </c>
      <c r="K1124" s="173">
        <v>5698</v>
      </c>
      <c r="L1124" s="402">
        <f t="shared" si="115"/>
        <v>9.6304225352112685</v>
      </c>
      <c r="M1124" s="173">
        <f t="shared" si="116"/>
        <v>15.630422535211268</v>
      </c>
      <c r="N1124" s="174"/>
      <c r="O1124" s="173">
        <f t="shared" si="117"/>
        <v>21.882591549295775</v>
      </c>
      <c r="P1124" s="173">
        <v>35</v>
      </c>
    </row>
    <row r="1125" spans="1:20" hidden="1" x14ac:dyDescent="0.35">
      <c r="A1125"/>
      <c r="G1125" s="245" t="s">
        <v>1479</v>
      </c>
      <c r="I1125" s="173">
        <v>6</v>
      </c>
      <c r="J1125">
        <v>3550</v>
      </c>
      <c r="K1125" s="173">
        <v>5698</v>
      </c>
      <c r="L1125" s="402">
        <f t="shared" si="115"/>
        <v>9.6304225352112685</v>
      </c>
      <c r="M1125" s="173">
        <f t="shared" si="116"/>
        <v>15.630422535211268</v>
      </c>
      <c r="N1125" s="174"/>
      <c r="O1125" s="173">
        <f t="shared" si="117"/>
        <v>21.882591549295775</v>
      </c>
      <c r="P1125" s="173">
        <v>35</v>
      </c>
    </row>
    <row r="1126" spans="1:20" hidden="1" x14ac:dyDescent="0.35">
      <c r="A1126"/>
      <c r="G1126" s="245" t="s">
        <v>1487</v>
      </c>
      <c r="I1126" s="173">
        <v>6</v>
      </c>
      <c r="J1126">
        <v>3550</v>
      </c>
      <c r="K1126" s="173">
        <v>5698</v>
      </c>
      <c r="L1126" s="402">
        <f t="shared" si="115"/>
        <v>9.6304225352112685</v>
      </c>
      <c r="M1126" s="173">
        <f t="shared" si="116"/>
        <v>15.630422535211268</v>
      </c>
      <c r="N1126" s="174"/>
      <c r="O1126" s="173">
        <f t="shared" si="117"/>
        <v>21.882591549295775</v>
      </c>
      <c r="P1126" s="173">
        <v>35</v>
      </c>
    </row>
    <row r="1127" spans="1:20" hidden="1" x14ac:dyDescent="0.35">
      <c r="A1127"/>
      <c r="C1127" s="233" t="s">
        <v>1473</v>
      </c>
      <c r="G1127" s="245" t="s">
        <v>1474</v>
      </c>
      <c r="I1127" s="173">
        <v>6</v>
      </c>
      <c r="J1127">
        <v>3550</v>
      </c>
      <c r="K1127" s="173">
        <v>5698</v>
      </c>
      <c r="L1127" s="402">
        <f t="shared" si="115"/>
        <v>9.6304225352112685</v>
      </c>
      <c r="M1127" s="173">
        <f t="shared" si="116"/>
        <v>15.630422535211268</v>
      </c>
      <c r="N1127" s="174"/>
      <c r="O1127" s="173">
        <f t="shared" si="117"/>
        <v>21.882591549295775</v>
      </c>
      <c r="P1127" s="173">
        <v>35</v>
      </c>
    </row>
    <row r="1128" spans="1:20" hidden="1" x14ac:dyDescent="0.35">
      <c r="A1128"/>
      <c r="C1128" s="233" t="s">
        <v>1473</v>
      </c>
      <c r="G1128" s="371" t="s">
        <v>1476</v>
      </c>
      <c r="H1128" s="371"/>
      <c r="I1128" s="176">
        <v>6</v>
      </c>
      <c r="J1128" s="12">
        <v>3550</v>
      </c>
      <c r="K1128" s="176">
        <v>5698</v>
      </c>
      <c r="L1128" s="410">
        <f t="shared" si="115"/>
        <v>9.6304225352112685</v>
      </c>
      <c r="M1128" s="176">
        <f t="shared" si="116"/>
        <v>15.630422535211268</v>
      </c>
      <c r="N1128" s="411"/>
      <c r="O1128" s="176">
        <f t="shared" si="117"/>
        <v>21.882591549295775</v>
      </c>
      <c r="P1128" s="176">
        <v>35</v>
      </c>
      <c r="S1128" t="s">
        <v>12</v>
      </c>
      <c r="T1128" s="6">
        <v>45703</v>
      </c>
    </row>
    <row r="1129" spans="1:20" hidden="1" x14ac:dyDescent="0.35">
      <c r="A1129"/>
      <c r="C1129" s="233" t="s">
        <v>1473</v>
      </c>
      <c r="G1129" s="245" t="s">
        <v>1489</v>
      </c>
      <c r="I1129" s="173">
        <v>6</v>
      </c>
      <c r="J1129">
        <v>3550</v>
      </c>
      <c r="K1129" s="173">
        <v>5698</v>
      </c>
      <c r="L1129" s="402">
        <f t="shared" si="115"/>
        <v>9.6304225352112685</v>
      </c>
      <c r="M1129" s="173">
        <f t="shared" si="116"/>
        <v>15.630422535211268</v>
      </c>
      <c r="N1129" s="174"/>
      <c r="O1129" s="173">
        <f t="shared" si="117"/>
        <v>21.882591549295775</v>
      </c>
      <c r="P1129" s="173">
        <v>35</v>
      </c>
    </row>
    <row r="1130" spans="1:20" hidden="1" x14ac:dyDescent="0.35">
      <c r="A1130"/>
      <c r="C1130" s="233" t="s">
        <v>1473</v>
      </c>
      <c r="G1130" s="245" t="s">
        <v>1512</v>
      </c>
      <c r="I1130" s="173">
        <v>6</v>
      </c>
      <c r="J1130">
        <v>3550</v>
      </c>
      <c r="K1130" s="173">
        <v>5698</v>
      </c>
      <c r="L1130" s="402">
        <f t="shared" si="115"/>
        <v>9.6304225352112685</v>
      </c>
      <c r="M1130" s="173">
        <f t="shared" si="116"/>
        <v>15.630422535211268</v>
      </c>
      <c r="N1130" s="174"/>
      <c r="O1130" s="173">
        <f t="shared" si="117"/>
        <v>21.882591549295775</v>
      </c>
      <c r="P1130" s="173">
        <v>35</v>
      </c>
    </row>
    <row r="1131" spans="1:20" hidden="1" x14ac:dyDescent="0.35">
      <c r="A1131"/>
      <c r="G1131" s="245" t="s">
        <v>1436</v>
      </c>
      <c r="I1131" s="173">
        <v>12</v>
      </c>
      <c r="J1131">
        <v>3550</v>
      </c>
      <c r="K1131" s="173">
        <v>5698</v>
      </c>
      <c r="L1131" s="402">
        <f t="shared" si="115"/>
        <v>19.260845070422537</v>
      </c>
      <c r="M1131" s="173">
        <f t="shared" si="116"/>
        <v>31.260845070422537</v>
      </c>
      <c r="N1131" s="174"/>
      <c r="O1131" s="173">
        <f t="shared" si="117"/>
        <v>43.76518309859155</v>
      </c>
      <c r="P1131" s="173">
        <v>45</v>
      </c>
    </row>
    <row r="1132" spans="1:20" hidden="1" x14ac:dyDescent="0.35">
      <c r="A1132"/>
      <c r="G1132" s="245" t="s">
        <v>1480</v>
      </c>
      <c r="I1132" s="173">
        <v>12</v>
      </c>
      <c r="J1132">
        <v>3550</v>
      </c>
      <c r="K1132" s="173">
        <v>5698</v>
      </c>
      <c r="L1132" s="402">
        <f t="shared" si="115"/>
        <v>19.260845070422537</v>
      </c>
      <c r="M1132" s="173">
        <f t="shared" si="116"/>
        <v>31.260845070422537</v>
      </c>
      <c r="N1132" s="174"/>
      <c r="O1132" s="173">
        <f t="shared" si="117"/>
        <v>43.76518309859155</v>
      </c>
      <c r="P1132" s="173">
        <v>45</v>
      </c>
    </row>
    <row r="1133" spans="1:20" hidden="1" x14ac:dyDescent="0.35">
      <c r="A1133"/>
      <c r="G1133" s="245" t="s">
        <v>1480</v>
      </c>
      <c r="I1133" s="173">
        <v>12</v>
      </c>
      <c r="J1133">
        <v>3550</v>
      </c>
      <c r="K1133" s="173">
        <v>5698</v>
      </c>
      <c r="L1133" s="402">
        <f t="shared" si="115"/>
        <v>19.260845070422537</v>
      </c>
      <c r="M1133" s="173">
        <f t="shared" si="116"/>
        <v>31.260845070422537</v>
      </c>
      <c r="N1133" s="174"/>
      <c r="O1133" s="173">
        <f t="shared" si="117"/>
        <v>43.76518309859155</v>
      </c>
      <c r="P1133" s="173">
        <v>45</v>
      </c>
    </row>
    <row r="1134" spans="1:20" hidden="1" x14ac:dyDescent="0.35">
      <c r="A1134"/>
      <c r="G1134" s="245" t="s">
        <v>1486</v>
      </c>
      <c r="I1134" s="173">
        <v>12</v>
      </c>
      <c r="J1134">
        <v>3550</v>
      </c>
      <c r="K1134" s="173">
        <v>5698</v>
      </c>
      <c r="L1134" s="402">
        <f t="shared" si="115"/>
        <v>19.260845070422537</v>
      </c>
      <c r="M1134" s="173">
        <f t="shared" si="116"/>
        <v>31.260845070422537</v>
      </c>
      <c r="N1134" s="174"/>
      <c r="O1134" s="173">
        <f t="shared" si="117"/>
        <v>43.76518309859155</v>
      </c>
      <c r="P1134" s="173">
        <v>45</v>
      </c>
    </row>
    <row r="1135" spans="1:20" hidden="1" x14ac:dyDescent="0.35">
      <c r="A1135"/>
      <c r="C1135" s="233" t="s">
        <v>1499</v>
      </c>
      <c r="G1135" s="245" t="s">
        <v>1496</v>
      </c>
      <c r="I1135" s="173">
        <v>12</v>
      </c>
      <c r="J1135">
        <v>3550</v>
      </c>
      <c r="K1135" s="173">
        <v>5698</v>
      </c>
      <c r="L1135" s="402">
        <f t="shared" si="115"/>
        <v>19.260845070422537</v>
      </c>
      <c r="M1135" s="173">
        <f t="shared" si="116"/>
        <v>31.260845070422537</v>
      </c>
      <c r="N1135" s="174"/>
      <c r="O1135" s="173">
        <f t="shared" si="117"/>
        <v>43.76518309859155</v>
      </c>
      <c r="P1135" s="173">
        <v>45</v>
      </c>
    </row>
    <row r="1136" spans="1:20" hidden="1" x14ac:dyDescent="0.35">
      <c r="A1136"/>
      <c r="C1136" s="233" t="s">
        <v>1499</v>
      </c>
      <c r="G1136" s="245" t="s">
        <v>1497</v>
      </c>
      <c r="I1136" s="173">
        <v>12</v>
      </c>
      <c r="J1136">
        <v>3550</v>
      </c>
      <c r="K1136" s="173">
        <v>5698</v>
      </c>
      <c r="L1136" s="402">
        <f t="shared" si="115"/>
        <v>19.260845070422537</v>
      </c>
      <c r="M1136" s="173">
        <f t="shared" si="116"/>
        <v>31.260845070422537</v>
      </c>
      <c r="N1136" s="174"/>
      <c r="O1136" s="173">
        <f t="shared" si="117"/>
        <v>43.76518309859155</v>
      </c>
      <c r="P1136" s="173">
        <v>45</v>
      </c>
    </row>
    <row r="1137" spans="1:18" hidden="1" x14ac:dyDescent="0.35">
      <c r="A1137"/>
      <c r="C1137" s="233" t="s">
        <v>1499</v>
      </c>
      <c r="G1137" s="245" t="s">
        <v>1498</v>
      </c>
      <c r="I1137" s="173">
        <v>12</v>
      </c>
      <c r="J1137">
        <v>3550</v>
      </c>
      <c r="K1137" s="173">
        <v>5698</v>
      </c>
      <c r="L1137" s="402">
        <f t="shared" si="115"/>
        <v>19.260845070422537</v>
      </c>
      <c r="M1137" s="173">
        <f t="shared" si="116"/>
        <v>31.260845070422537</v>
      </c>
      <c r="N1137" s="174"/>
      <c r="O1137" s="173">
        <f t="shared" si="117"/>
        <v>43.76518309859155</v>
      </c>
      <c r="P1137" s="173">
        <v>45</v>
      </c>
      <c r="R1137" s="583"/>
    </row>
    <row r="1138" spans="1:18" hidden="1" x14ac:dyDescent="0.35">
      <c r="A1138"/>
      <c r="L1138" s="402"/>
      <c r="N1138" s="174"/>
      <c r="R1138" s="583"/>
    </row>
    <row r="1139" spans="1:18" hidden="1" x14ac:dyDescent="0.35">
      <c r="A1139"/>
      <c r="G1139" s="256" t="s">
        <v>1423</v>
      </c>
      <c r="H1139" s="256"/>
      <c r="L1139" s="402"/>
      <c r="N1139" s="174"/>
    </row>
    <row r="1140" spans="1:18" hidden="1" x14ac:dyDescent="0.35">
      <c r="A1140"/>
      <c r="G1140" s="245" t="s">
        <v>1421</v>
      </c>
      <c r="I1140" s="173">
        <v>5.4285714285714288</v>
      </c>
      <c r="J1140">
        <v>3550</v>
      </c>
      <c r="K1140" s="173">
        <v>5698</v>
      </c>
      <c r="L1140" s="402">
        <f t="shared" ref="L1140:L1150" si="118">+I1140/J1140*K1140</f>
        <v>8.7132394366197179</v>
      </c>
      <c r="M1140" s="173">
        <f t="shared" ref="M1140:M1150" si="119">+I1140+L1140</f>
        <v>14.141810865191147</v>
      </c>
      <c r="N1140" s="174"/>
      <c r="O1140" s="173">
        <f t="shared" ref="O1140:O1150" si="120">+M1140*1.4</f>
        <v>19.798535211267605</v>
      </c>
      <c r="P1140" s="173">
        <v>30</v>
      </c>
    </row>
    <row r="1141" spans="1:18" hidden="1" x14ac:dyDescent="0.35">
      <c r="A1141"/>
      <c r="G1141" s="245" t="s">
        <v>1422</v>
      </c>
      <c r="I1141" s="173">
        <v>5.4285714285714288</v>
      </c>
      <c r="J1141">
        <v>3550</v>
      </c>
      <c r="K1141" s="173">
        <v>5698</v>
      </c>
      <c r="L1141" s="402">
        <f t="shared" si="118"/>
        <v>8.7132394366197179</v>
      </c>
      <c r="M1141" s="173">
        <f t="shared" si="119"/>
        <v>14.141810865191147</v>
      </c>
      <c r="N1141" s="174"/>
      <c r="O1141" s="173">
        <f t="shared" si="120"/>
        <v>19.798535211267605</v>
      </c>
      <c r="P1141" s="173">
        <v>30</v>
      </c>
    </row>
    <row r="1142" spans="1:18" hidden="1" x14ac:dyDescent="0.35">
      <c r="A1142"/>
      <c r="G1142" s="371" t="s">
        <v>1422</v>
      </c>
      <c r="H1142" s="371"/>
      <c r="I1142" s="173">
        <v>5.4285714285714288</v>
      </c>
      <c r="J1142">
        <v>3550</v>
      </c>
      <c r="K1142" s="173">
        <v>5698</v>
      </c>
      <c r="L1142" s="402">
        <f t="shared" si="118"/>
        <v>8.7132394366197179</v>
      </c>
      <c r="M1142" s="173">
        <f t="shared" si="119"/>
        <v>14.141810865191147</v>
      </c>
      <c r="N1142" s="174"/>
      <c r="O1142" s="173">
        <f t="shared" si="120"/>
        <v>19.798535211267605</v>
      </c>
      <c r="P1142" s="173">
        <v>30</v>
      </c>
    </row>
    <row r="1143" spans="1:18" hidden="1" x14ac:dyDescent="0.35">
      <c r="A1143"/>
      <c r="G1143" s="371" t="s">
        <v>1472</v>
      </c>
      <c r="H1143" s="371"/>
      <c r="I1143" s="173">
        <v>5.4285714285714288</v>
      </c>
      <c r="J1143">
        <v>3550</v>
      </c>
      <c r="K1143" s="173">
        <v>5698</v>
      </c>
      <c r="L1143" s="402">
        <f t="shared" si="118"/>
        <v>8.7132394366197179</v>
      </c>
      <c r="M1143" s="173">
        <f t="shared" si="119"/>
        <v>14.141810865191147</v>
      </c>
      <c r="N1143" s="174"/>
      <c r="O1143" s="173">
        <f t="shared" si="120"/>
        <v>19.798535211267605</v>
      </c>
      <c r="P1143" s="173">
        <v>30</v>
      </c>
    </row>
    <row r="1144" spans="1:18" hidden="1" x14ac:dyDescent="0.35">
      <c r="A1144"/>
      <c r="G1144" s="371" t="s">
        <v>1477</v>
      </c>
      <c r="H1144" s="371"/>
      <c r="I1144" s="173">
        <v>5.4285714285714288</v>
      </c>
      <c r="J1144">
        <v>3550</v>
      </c>
      <c r="K1144" s="173">
        <v>5698</v>
      </c>
      <c r="L1144" s="402">
        <f t="shared" si="118"/>
        <v>8.7132394366197179</v>
      </c>
      <c r="M1144" s="173">
        <f t="shared" si="119"/>
        <v>14.141810865191147</v>
      </c>
      <c r="N1144" s="174"/>
      <c r="O1144" s="173">
        <f t="shared" si="120"/>
        <v>19.798535211267605</v>
      </c>
      <c r="P1144" s="173">
        <v>30</v>
      </c>
    </row>
    <row r="1145" spans="1:18" hidden="1" x14ac:dyDescent="0.35">
      <c r="A1145"/>
      <c r="G1145" s="371" t="s">
        <v>1481</v>
      </c>
      <c r="H1145" s="371"/>
      <c r="I1145" s="173">
        <v>5.4285714285714288</v>
      </c>
      <c r="J1145">
        <v>3550</v>
      </c>
      <c r="K1145" s="173">
        <v>5698</v>
      </c>
      <c r="L1145" s="402">
        <f t="shared" si="118"/>
        <v>8.7132394366197179</v>
      </c>
      <c r="M1145" s="173">
        <f t="shared" si="119"/>
        <v>14.141810865191147</v>
      </c>
      <c r="N1145" s="174"/>
      <c r="O1145" s="173">
        <f t="shared" si="120"/>
        <v>19.798535211267605</v>
      </c>
      <c r="P1145" s="173">
        <v>30</v>
      </c>
    </row>
    <row r="1146" spans="1:18" hidden="1" x14ac:dyDescent="0.35">
      <c r="A1146"/>
      <c r="G1146" s="371" t="s">
        <v>1490</v>
      </c>
      <c r="H1146" s="371"/>
      <c r="I1146" s="173">
        <v>5.4285714285714288</v>
      </c>
      <c r="J1146">
        <v>3550</v>
      </c>
      <c r="K1146" s="173">
        <v>5698</v>
      </c>
      <c r="L1146" s="402">
        <f t="shared" si="118"/>
        <v>8.7132394366197179</v>
      </c>
      <c r="M1146" s="173">
        <f t="shared" si="119"/>
        <v>14.141810865191147</v>
      </c>
      <c r="N1146" s="174"/>
      <c r="O1146" s="173">
        <f t="shared" si="120"/>
        <v>19.798535211267605</v>
      </c>
      <c r="P1146" s="173">
        <v>30</v>
      </c>
    </row>
    <row r="1147" spans="1:18" hidden="1" x14ac:dyDescent="0.35">
      <c r="A1147"/>
      <c r="G1147" s="371" t="s">
        <v>1491</v>
      </c>
      <c r="H1147" s="371"/>
      <c r="I1147" s="173">
        <v>5.4285714285714288</v>
      </c>
      <c r="J1147">
        <v>3550</v>
      </c>
      <c r="K1147" s="173">
        <v>5698</v>
      </c>
      <c r="L1147" s="402">
        <f t="shared" si="118"/>
        <v>8.7132394366197179</v>
      </c>
      <c r="M1147" s="173">
        <f t="shared" si="119"/>
        <v>14.141810865191147</v>
      </c>
      <c r="N1147" s="174"/>
      <c r="O1147" s="173">
        <f t="shared" si="120"/>
        <v>19.798535211267605</v>
      </c>
      <c r="P1147" s="173">
        <v>30</v>
      </c>
    </row>
    <row r="1148" spans="1:18" hidden="1" x14ac:dyDescent="0.35">
      <c r="A1148"/>
      <c r="G1148" s="371" t="s">
        <v>1492</v>
      </c>
      <c r="H1148" s="371"/>
      <c r="I1148" s="173">
        <v>5.4285714285714288</v>
      </c>
      <c r="J1148">
        <v>3550</v>
      </c>
      <c r="K1148" s="173">
        <v>5698</v>
      </c>
      <c r="L1148" s="402">
        <f t="shared" si="118"/>
        <v>8.7132394366197179</v>
      </c>
      <c r="M1148" s="173">
        <f t="shared" si="119"/>
        <v>14.141810865191147</v>
      </c>
      <c r="N1148" s="174"/>
      <c r="O1148" s="173">
        <f t="shared" si="120"/>
        <v>19.798535211267605</v>
      </c>
      <c r="P1148" s="173">
        <v>30</v>
      </c>
    </row>
    <row r="1149" spans="1:18" hidden="1" x14ac:dyDescent="0.35">
      <c r="A1149"/>
      <c r="G1149" s="371" t="s">
        <v>1493</v>
      </c>
      <c r="H1149" s="371"/>
      <c r="I1149" s="173">
        <v>5.4285714285714288</v>
      </c>
      <c r="J1149">
        <v>3550</v>
      </c>
      <c r="K1149" s="173">
        <v>5698</v>
      </c>
      <c r="L1149" s="402">
        <f t="shared" si="118"/>
        <v>8.7132394366197179</v>
      </c>
      <c r="M1149" s="173">
        <f t="shared" si="119"/>
        <v>14.141810865191147</v>
      </c>
      <c r="N1149" s="174"/>
      <c r="O1149" s="173">
        <f t="shared" si="120"/>
        <v>19.798535211267605</v>
      </c>
      <c r="P1149" s="173">
        <v>30</v>
      </c>
    </row>
    <row r="1150" spans="1:18" hidden="1" x14ac:dyDescent="0.35">
      <c r="A1150"/>
      <c r="G1150" s="371" t="s">
        <v>1481</v>
      </c>
      <c r="H1150" s="371"/>
      <c r="I1150" s="173">
        <v>5.4285714285714288</v>
      </c>
      <c r="J1150">
        <v>3550</v>
      </c>
      <c r="K1150" s="173">
        <v>5698</v>
      </c>
      <c r="L1150" s="402">
        <f t="shared" si="118"/>
        <v>8.7132394366197179</v>
      </c>
      <c r="M1150" s="173">
        <f t="shared" si="119"/>
        <v>14.141810865191147</v>
      </c>
      <c r="N1150" s="174"/>
      <c r="O1150" s="173">
        <f t="shared" si="120"/>
        <v>19.798535211267605</v>
      </c>
      <c r="P1150" s="173">
        <v>30</v>
      </c>
    </row>
    <row r="1151" spans="1:18" hidden="1" x14ac:dyDescent="0.35"/>
    <row r="1152" spans="1:18" hidden="1" x14ac:dyDescent="0.35">
      <c r="L1152" s="402"/>
      <c r="N1152" s="174"/>
    </row>
    <row r="1153" spans="1:16" hidden="1" x14ac:dyDescent="0.35">
      <c r="G1153" s="387" t="s">
        <v>143</v>
      </c>
      <c r="H1153" s="387"/>
      <c r="L1153" s="402"/>
      <c r="N1153" s="174"/>
    </row>
    <row r="1154" spans="1:16" hidden="1" x14ac:dyDescent="0.35">
      <c r="G1154" s="371" t="s">
        <v>1424</v>
      </c>
      <c r="H1154" s="371"/>
      <c r="I1154" s="173">
        <v>11.428571428571429</v>
      </c>
      <c r="J1154">
        <v>3550</v>
      </c>
      <c r="K1154" s="173">
        <v>5698</v>
      </c>
      <c r="L1154" s="402">
        <f>+I1154/J1154*K1154</f>
        <v>18.343661971830986</v>
      </c>
      <c r="M1154" s="173">
        <f>+I1154+L1154</f>
        <v>29.772233400402413</v>
      </c>
      <c r="N1154" s="174"/>
      <c r="O1154" s="173">
        <f>+M1154*1.4</f>
        <v>41.681126760563373</v>
      </c>
      <c r="P1154" s="173">
        <v>35</v>
      </c>
    </row>
    <row r="1155" spans="1:16" hidden="1" x14ac:dyDescent="0.35">
      <c r="G1155" s="371" t="s">
        <v>1424</v>
      </c>
      <c r="H1155" s="371"/>
      <c r="I1155" s="173">
        <v>11.428571428571429</v>
      </c>
      <c r="J1155">
        <v>3550</v>
      </c>
      <c r="K1155" s="173">
        <v>5698</v>
      </c>
      <c r="L1155" s="402">
        <f>+I1155/J1155*K1155</f>
        <v>18.343661971830986</v>
      </c>
      <c r="M1155" s="173">
        <f>+I1155+L1155</f>
        <v>29.772233400402413</v>
      </c>
      <c r="N1155" s="174"/>
      <c r="O1155" s="173">
        <f>+M1155*1.4</f>
        <v>41.681126760563373</v>
      </c>
      <c r="P1155" s="173">
        <v>35</v>
      </c>
    </row>
    <row r="1156" spans="1:16" hidden="1" x14ac:dyDescent="0.35">
      <c r="G1156" s="371" t="s">
        <v>1424</v>
      </c>
      <c r="H1156" s="371"/>
      <c r="I1156" s="173">
        <v>11.428571428571429</v>
      </c>
      <c r="J1156">
        <v>3550</v>
      </c>
      <c r="K1156" s="173">
        <v>5698</v>
      </c>
      <c r="L1156" s="402">
        <f>+I1156/J1156*K1156</f>
        <v>18.343661971830986</v>
      </c>
      <c r="M1156" s="173">
        <f>+I1156+L1156</f>
        <v>29.772233400402413</v>
      </c>
      <c r="N1156" s="174"/>
      <c r="O1156" s="173">
        <f>+M1156*1.4</f>
        <v>41.681126760563373</v>
      </c>
      <c r="P1156" s="173">
        <v>35</v>
      </c>
    </row>
    <row r="1157" spans="1:16" hidden="1" x14ac:dyDescent="0.35">
      <c r="N1157" s="174"/>
    </row>
    <row r="1158" spans="1:16" hidden="1" x14ac:dyDescent="0.35">
      <c r="G1158" s="245" t="s">
        <v>1425</v>
      </c>
      <c r="I1158" s="173">
        <f>SUM(I878:I1157)</f>
        <v>3538.2857142857074</v>
      </c>
      <c r="J1158" s="173"/>
      <c r="N1158" s="173"/>
      <c r="O1158" s="173">
        <f>SUM(O878:O1157)</f>
        <v>12883.63628169014</v>
      </c>
      <c r="P1158" s="173">
        <f>SUM(P878:P1157)</f>
        <v>19015</v>
      </c>
    </row>
    <row r="1159" spans="1:16" hidden="1" x14ac:dyDescent="0.35">
      <c r="N1159" s="174"/>
      <c r="O1159" s="173">
        <f>+O1158/I1158</f>
        <v>3.6412085744440872</v>
      </c>
      <c r="P1159" s="173">
        <f>+P1158/I1158</f>
        <v>5.3740713824289514</v>
      </c>
    </row>
    <row r="1160" spans="1:16" hidden="1" x14ac:dyDescent="0.35">
      <c r="G1160" s="245" t="s">
        <v>1465</v>
      </c>
      <c r="N1160" s="174"/>
    </row>
    <row r="1161" spans="1:16" hidden="1" x14ac:dyDescent="0.35">
      <c r="C1161" s="233" t="s">
        <v>1517</v>
      </c>
      <c r="G1161" s="245" t="s">
        <v>1518</v>
      </c>
      <c r="I1161" s="173">
        <v>27</v>
      </c>
      <c r="J1161">
        <f>252*1.04</f>
        <v>262.08</v>
      </c>
      <c r="K1161" s="173">
        <v>180</v>
      </c>
      <c r="L1161" s="402">
        <f t="shared" ref="L1161:L1168" si="121">+I1161/J1161*K1161</f>
        <v>18.543956043956044</v>
      </c>
      <c r="M1161" s="173">
        <f t="shared" ref="M1161:M1168" si="122">+I1161+L1161</f>
        <v>45.543956043956044</v>
      </c>
      <c r="N1161" s="174"/>
      <c r="O1161" s="173">
        <f t="shared" ref="O1161:O1168" si="123">+M1161*1.4</f>
        <v>63.761538461538457</v>
      </c>
      <c r="P1161" s="173">
        <v>85</v>
      </c>
    </row>
    <row r="1162" spans="1:16" hidden="1" x14ac:dyDescent="0.35">
      <c r="C1162" s="233" t="s">
        <v>1517</v>
      </c>
      <c r="G1162" s="245" t="s">
        <v>1518</v>
      </c>
      <c r="I1162" s="173">
        <v>27</v>
      </c>
      <c r="J1162">
        <v>262</v>
      </c>
      <c r="K1162" s="173">
        <v>200</v>
      </c>
      <c r="L1162" s="402">
        <f t="shared" si="121"/>
        <v>20.610687022900763</v>
      </c>
      <c r="M1162" s="173">
        <f t="shared" si="122"/>
        <v>47.610687022900763</v>
      </c>
      <c r="N1162" s="174"/>
      <c r="O1162" s="173">
        <f t="shared" si="123"/>
        <v>66.654961832061062</v>
      </c>
      <c r="P1162" s="173">
        <v>85</v>
      </c>
    </row>
    <row r="1163" spans="1:16" hidden="1" x14ac:dyDescent="0.35">
      <c r="C1163" s="233" t="s">
        <v>1517</v>
      </c>
      <c r="G1163" s="245" t="s">
        <v>1518</v>
      </c>
      <c r="I1163" s="173">
        <v>27</v>
      </c>
      <c r="J1163">
        <v>262</v>
      </c>
      <c r="K1163" s="173">
        <v>200</v>
      </c>
      <c r="L1163" s="402">
        <f t="shared" si="121"/>
        <v>20.610687022900763</v>
      </c>
      <c r="M1163" s="173">
        <f t="shared" si="122"/>
        <v>47.610687022900763</v>
      </c>
      <c r="N1163" s="174"/>
      <c r="O1163" s="173">
        <f t="shared" si="123"/>
        <v>66.654961832061062</v>
      </c>
      <c r="P1163" s="173">
        <v>85</v>
      </c>
    </row>
    <row r="1164" spans="1:16" hidden="1" x14ac:dyDescent="0.35">
      <c r="C1164" s="233" t="s">
        <v>1517</v>
      </c>
      <c r="G1164" s="245" t="s">
        <v>1518</v>
      </c>
      <c r="I1164" s="173">
        <v>27</v>
      </c>
      <c r="J1164">
        <v>262</v>
      </c>
      <c r="K1164" s="173">
        <v>200</v>
      </c>
      <c r="L1164" s="402">
        <f t="shared" si="121"/>
        <v>20.610687022900763</v>
      </c>
      <c r="M1164" s="173">
        <f t="shared" si="122"/>
        <v>47.610687022900763</v>
      </c>
      <c r="N1164" s="174"/>
      <c r="O1164" s="173">
        <f t="shared" si="123"/>
        <v>66.654961832061062</v>
      </c>
      <c r="P1164" s="173">
        <v>85</v>
      </c>
    </row>
    <row r="1165" spans="1:16" hidden="1" x14ac:dyDescent="0.35">
      <c r="C1165" s="233" t="s">
        <v>1517</v>
      </c>
      <c r="G1165" s="245" t="s">
        <v>1519</v>
      </c>
      <c r="I1165" s="173">
        <v>36</v>
      </c>
      <c r="J1165">
        <v>262</v>
      </c>
      <c r="K1165" s="173">
        <v>200</v>
      </c>
      <c r="L1165" s="402">
        <f t="shared" si="121"/>
        <v>27.480916030534353</v>
      </c>
      <c r="M1165" s="173">
        <f t="shared" si="122"/>
        <v>63.480916030534353</v>
      </c>
      <c r="N1165" s="174"/>
      <c r="O1165" s="173">
        <f t="shared" si="123"/>
        <v>88.873282442748092</v>
      </c>
      <c r="P1165" s="173">
        <v>100</v>
      </c>
    </row>
    <row r="1166" spans="1:16" hidden="1" x14ac:dyDescent="0.35">
      <c r="C1166" s="233" t="s">
        <v>1517</v>
      </c>
      <c r="G1166" s="245" t="s">
        <v>1519</v>
      </c>
      <c r="I1166" s="173">
        <v>36</v>
      </c>
      <c r="J1166">
        <v>262</v>
      </c>
      <c r="K1166" s="173">
        <v>200</v>
      </c>
      <c r="L1166" s="402">
        <f t="shared" si="121"/>
        <v>27.480916030534353</v>
      </c>
      <c r="M1166" s="173">
        <f t="shared" si="122"/>
        <v>63.480916030534353</v>
      </c>
      <c r="N1166" s="174"/>
      <c r="O1166" s="173">
        <f t="shared" si="123"/>
        <v>88.873282442748092</v>
      </c>
      <c r="P1166" s="173">
        <v>100</v>
      </c>
    </row>
    <row r="1167" spans="1:16" hidden="1" x14ac:dyDescent="0.35">
      <c r="C1167" s="233" t="s">
        <v>1517</v>
      </c>
      <c r="G1167" s="245" t="s">
        <v>1519</v>
      </c>
      <c r="I1167" s="173">
        <v>36</v>
      </c>
      <c r="J1167">
        <v>262</v>
      </c>
      <c r="K1167" s="173">
        <v>200</v>
      </c>
      <c r="L1167" s="402">
        <f t="shared" si="121"/>
        <v>27.480916030534353</v>
      </c>
      <c r="M1167" s="173">
        <f t="shared" si="122"/>
        <v>63.480916030534353</v>
      </c>
      <c r="N1167" s="174"/>
      <c r="O1167" s="173">
        <f t="shared" si="123"/>
        <v>88.873282442748092</v>
      </c>
      <c r="P1167" s="173">
        <v>100</v>
      </c>
    </row>
    <row r="1168" spans="1:16" hidden="1" x14ac:dyDescent="0.35">
      <c r="A1168"/>
      <c r="C1168" s="233" t="s">
        <v>1517</v>
      </c>
      <c r="G1168" s="245" t="s">
        <v>1519</v>
      </c>
      <c r="I1168" s="173">
        <v>36</v>
      </c>
      <c r="J1168">
        <v>262</v>
      </c>
      <c r="K1168" s="173">
        <v>200</v>
      </c>
      <c r="L1168" s="402">
        <f t="shared" si="121"/>
        <v>27.480916030534353</v>
      </c>
      <c r="M1168" s="173">
        <f t="shared" si="122"/>
        <v>63.480916030534353</v>
      </c>
      <c r="N1168" s="174"/>
      <c r="O1168" s="173">
        <f t="shared" si="123"/>
        <v>88.873282442748092</v>
      </c>
      <c r="P1168" s="173">
        <v>100</v>
      </c>
    </row>
    <row r="1169" spans="1:16" hidden="1" x14ac:dyDescent="0.35">
      <c r="A1169"/>
      <c r="I1169" s="173">
        <f>SUM(I1161:I1168)</f>
        <v>252</v>
      </c>
      <c r="N1169" s="174"/>
    </row>
    <row r="1170" spans="1:16" hidden="1" x14ac:dyDescent="0.35">
      <c r="A1170"/>
      <c r="G1170" s="245" t="s">
        <v>1292</v>
      </c>
      <c r="I1170" s="173">
        <f>+I1169</f>
        <v>252</v>
      </c>
      <c r="N1170" s="174"/>
    </row>
    <row r="1171" spans="1:16" hidden="1" x14ac:dyDescent="0.35">
      <c r="A1171"/>
      <c r="N1171" s="174"/>
    </row>
    <row r="1172" spans="1:16" hidden="1" x14ac:dyDescent="0.35">
      <c r="A1172"/>
      <c r="G1172" s="245" t="s">
        <v>797</v>
      </c>
      <c r="N1172" s="174"/>
    </row>
    <row r="1173" spans="1:16" hidden="1" x14ac:dyDescent="0.35">
      <c r="A1173"/>
      <c r="C1173" s="233" t="s">
        <v>1523</v>
      </c>
      <c r="F1173" s="366">
        <v>7</v>
      </c>
      <c r="G1173" s="245" t="s">
        <v>1524</v>
      </c>
      <c r="I1173" s="173">
        <v>7.6</v>
      </c>
      <c r="J1173">
        <v>354</v>
      </c>
      <c r="K1173" s="173">
        <v>500</v>
      </c>
      <c r="L1173" s="402">
        <f t="shared" ref="L1173:L1220" si="124">+I1173/J1173*K1173</f>
        <v>10.734463276836157</v>
      </c>
      <c r="M1173" s="173">
        <f t="shared" ref="M1173:M1220" si="125">+I1173+L1173</f>
        <v>18.334463276836157</v>
      </c>
      <c r="N1173" s="174"/>
      <c r="O1173" s="173">
        <f t="shared" ref="O1173:O1220" si="126">+M1173*1.4</f>
        <v>25.66824858757062</v>
      </c>
      <c r="P1173" s="173">
        <v>40</v>
      </c>
    </row>
    <row r="1174" spans="1:16" hidden="1" x14ac:dyDescent="0.35">
      <c r="A1174"/>
      <c r="F1174" s="366">
        <v>8</v>
      </c>
      <c r="G1174" s="245" t="s">
        <v>1524</v>
      </c>
      <c r="I1174" s="173">
        <v>7.6</v>
      </c>
      <c r="J1174">
        <v>354</v>
      </c>
      <c r="K1174" s="173">
        <v>500</v>
      </c>
      <c r="L1174" s="402">
        <f t="shared" si="124"/>
        <v>10.734463276836157</v>
      </c>
      <c r="M1174" s="173">
        <f t="shared" si="125"/>
        <v>18.334463276836157</v>
      </c>
      <c r="N1174" s="174"/>
      <c r="O1174" s="173">
        <f t="shared" si="126"/>
        <v>25.66824858757062</v>
      </c>
      <c r="P1174" s="173">
        <v>40</v>
      </c>
    </row>
    <row r="1175" spans="1:16" hidden="1" x14ac:dyDescent="0.35">
      <c r="A1175"/>
      <c r="F1175" s="366">
        <v>9</v>
      </c>
      <c r="G1175" s="245" t="s">
        <v>1524</v>
      </c>
      <c r="I1175" s="173">
        <v>7.6</v>
      </c>
      <c r="J1175">
        <v>354</v>
      </c>
      <c r="K1175" s="173">
        <v>500</v>
      </c>
      <c r="L1175" s="402">
        <f t="shared" si="124"/>
        <v>10.734463276836157</v>
      </c>
      <c r="M1175" s="173">
        <f t="shared" si="125"/>
        <v>18.334463276836157</v>
      </c>
      <c r="N1175" s="174"/>
      <c r="O1175" s="173">
        <f t="shared" si="126"/>
        <v>25.66824858757062</v>
      </c>
      <c r="P1175" s="173">
        <v>40</v>
      </c>
    </row>
    <row r="1176" spans="1:16" hidden="1" x14ac:dyDescent="0.35">
      <c r="A1176"/>
      <c r="F1176" s="366">
        <v>10</v>
      </c>
      <c r="G1176" s="245" t="s">
        <v>1524</v>
      </c>
      <c r="I1176" s="173">
        <v>7.6</v>
      </c>
      <c r="J1176">
        <v>354</v>
      </c>
      <c r="K1176" s="173">
        <v>500</v>
      </c>
      <c r="L1176" s="402">
        <f t="shared" si="124"/>
        <v>10.734463276836157</v>
      </c>
      <c r="M1176" s="173">
        <f t="shared" si="125"/>
        <v>18.334463276836157</v>
      </c>
      <c r="N1176" s="174"/>
      <c r="O1176" s="173">
        <f t="shared" si="126"/>
        <v>25.66824858757062</v>
      </c>
      <c r="P1176" s="173">
        <v>40</v>
      </c>
    </row>
    <row r="1177" spans="1:16" hidden="1" x14ac:dyDescent="0.35">
      <c r="A1177"/>
      <c r="F1177" s="366">
        <v>11</v>
      </c>
      <c r="G1177" s="245" t="s">
        <v>1524</v>
      </c>
      <c r="I1177" s="173">
        <v>7.6</v>
      </c>
      <c r="J1177">
        <v>354</v>
      </c>
      <c r="K1177" s="173">
        <v>500</v>
      </c>
      <c r="L1177" s="402">
        <f t="shared" si="124"/>
        <v>10.734463276836157</v>
      </c>
      <c r="M1177" s="173">
        <f t="shared" si="125"/>
        <v>18.334463276836157</v>
      </c>
      <c r="N1177" s="174"/>
      <c r="O1177" s="173">
        <f t="shared" si="126"/>
        <v>25.66824858757062</v>
      </c>
      <c r="P1177" s="173">
        <v>40</v>
      </c>
    </row>
    <row r="1178" spans="1:16" hidden="1" x14ac:dyDescent="0.35">
      <c r="A1178"/>
      <c r="F1178" s="366">
        <v>12</v>
      </c>
      <c r="G1178" s="245" t="s">
        <v>1524</v>
      </c>
      <c r="I1178" s="173">
        <v>7.6</v>
      </c>
      <c r="J1178">
        <v>354</v>
      </c>
      <c r="K1178" s="173">
        <v>500</v>
      </c>
      <c r="L1178" s="402">
        <f t="shared" si="124"/>
        <v>10.734463276836157</v>
      </c>
      <c r="M1178" s="173">
        <f t="shared" si="125"/>
        <v>18.334463276836157</v>
      </c>
      <c r="N1178" s="174"/>
      <c r="O1178" s="173">
        <f t="shared" si="126"/>
        <v>25.66824858757062</v>
      </c>
      <c r="P1178" s="173">
        <v>40</v>
      </c>
    </row>
    <row r="1179" spans="1:16" hidden="1" x14ac:dyDescent="0.35">
      <c r="A1179"/>
      <c r="F1179" s="366">
        <v>7</v>
      </c>
      <c r="G1179" s="245" t="s">
        <v>1524</v>
      </c>
      <c r="I1179" s="173">
        <v>7.6</v>
      </c>
      <c r="J1179">
        <v>354</v>
      </c>
      <c r="K1179" s="173">
        <v>500</v>
      </c>
      <c r="L1179" s="402">
        <f t="shared" si="124"/>
        <v>10.734463276836157</v>
      </c>
      <c r="M1179" s="173">
        <f t="shared" si="125"/>
        <v>18.334463276836157</v>
      </c>
      <c r="N1179" s="174"/>
      <c r="O1179" s="173">
        <f t="shared" si="126"/>
        <v>25.66824858757062</v>
      </c>
      <c r="P1179" s="173">
        <v>40</v>
      </c>
    </row>
    <row r="1180" spans="1:16" hidden="1" x14ac:dyDescent="0.35">
      <c r="A1180"/>
      <c r="F1180" s="366">
        <v>8</v>
      </c>
      <c r="G1180" s="245" t="s">
        <v>1524</v>
      </c>
      <c r="I1180" s="173">
        <v>7.6</v>
      </c>
      <c r="J1180">
        <v>354</v>
      </c>
      <c r="K1180" s="173">
        <v>500</v>
      </c>
      <c r="L1180" s="402">
        <f t="shared" si="124"/>
        <v>10.734463276836157</v>
      </c>
      <c r="M1180" s="173">
        <f t="shared" si="125"/>
        <v>18.334463276836157</v>
      </c>
      <c r="N1180" s="174"/>
      <c r="O1180" s="173">
        <f t="shared" si="126"/>
        <v>25.66824858757062</v>
      </c>
      <c r="P1180" s="173">
        <v>40</v>
      </c>
    </row>
    <row r="1181" spans="1:16" hidden="1" x14ac:dyDescent="0.35">
      <c r="A1181"/>
      <c r="F1181" s="366">
        <v>9</v>
      </c>
      <c r="G1181" s="245" t="s">
        <v>1524</v>
      </c>
      <c r="I1181" s="173">
        <v>7.6</v>
      </c>
      <c r="J1181">
        <v>354</v>
      </c>
      <c r="K1181" s="173">
        <v>500</v>
      </c>
      <c r="L1181" s="402">
        <f t="shared" si="124"/>
        <v>10.734463276836157</v>
      </c>
      <c r="M1181" s="173">
        <f t="shared" si="125"/>
        <v>18.334463276836157</v>
      </c>
      <c r="N1181" s="174"/>
      <c r="O1181" s="173">
        <f t="shared" si="126"/>
        <v>25.66824858757062</v>
      </c>
      <c r="P1181" s="173">
        <v>40</v>
      </c>
    </row>
    <row r="1182" spans="1:16" hidden="1" x14ac:dyDescent="0.35">
      <c r="A1182"/>
      <c r="F1182" s="366">
        <v>10</v>
      </c>
      <c r="G1182" s="245" t="s">
        <v>1524</v>
      </c>
      <c r="I1182" s="173">
        <v>7.6</v>
      </c>
      <c r="J1182">
        <v>354</v>
      </c>
      <c r="K1182" s="173">
        <v>500</v>
      </c>
      <c r="L1182" s="402">
        <f t="shared" si="124"/>
        <v>10.734463276836157</v>
      </c>
      <c r="M1182" s="173">
        <f t="shared" si="125"/>
        <v>18.334463276836157</v>
      </c>
      <c r="N1182" s="174"/>
      <c r="O1182" s="173">
        <f t="shared" si="126"/>
        <v>25.66824858757062</v>
      </c>
      <c r="P1182" s="173">
        <v>40</v>
      </c>
    </row>
    <row r="1183" spans="1:16" hidden="1" x14ac:dyDescent="0.35">
      <c r="A1183"/>
      <c r="F1183" s="366">
        <v>11</v>
      </c>
      <c r="G1183" s="245" t="s">
        <v>1524</v>
      </c>
      <c r="I1183" s="173">
        <v>7.6</v>
      </c>
      <c r="J1183">
        <v>354</v>
      </c>
      <c r="K1183" s="173">
        <v>500</v>
      </c>
      <c r="L1183" s="402">
        <f t="shared" si="124"/>
        <v>10.734463276836157</v>
      </c>
      <c r="M1183" s="173">
        <f t="shared" si="125"/>
        <v>18.334463276836157</v>
      </c>
      <c r="N1183" s="174"/>
      <c r="O1183" s="173">
        <f t="shared" si="126"/>
        <v>25.66824858757062</v>
      </c>
      <c r="P1183" s="173">
        <v>40</v>
      </c>
    </row>
    <row r="1184" spans="1:16" hidden="1" x14ac:dyDescent="0.35">
      <c r="A1184"/>
      <c r="F1184" s="366">
        <v>12</v>
      </c>
      <c r="G1184" s="245" t="s">
        <v>1524</v>
      </c>
      <c r="I1184" s="173">
        <v>7.6</v>
      </c>
      <c r="J1184">
        <v>354</v>
      </c>
      <c r="K1184" s="173">
        <v>500</v>
      </c>
      <c r="L1184" s="402">
        <f t="shared" si="124"/>
        <v>10.734463276836157</v>
      </c>
      <c r="M1184" s="173">
        <f t="shared" si="125"/>
        <v>18.334463276836157</v>
      </c>
      <c r="N1184" s="174"/>
      <c r="O1184" s="173">
        <f t="shared" si="126"/>
        <v>25.66824858757062</v>
      </c>
      <c r="P1184" s="173">
        <v>40</v>
      </c>
    </row>
    <row r="1185" spans="1:16" hidden="1" x14ac:dyDescent="0.35">
      <c r="A1185"/>
      <c r="F1185" s="366">
        <v>7</v>
      </c>
      <c r="G1185" s="245" t="s">
        <v>1525</v>
      </c>
      <c r="I1185" s="173">
        <v>7.6</v>
      </c>
      <c r="J1185">
        <v>354</v>
      </c>
      <c r="K1185" s="173">
        <v>500</v>
      </c>
      <c r="L1185" s="402">
        <f t="shared" si="124"/>
        <v>10.734463276836157</v>
      </c>
      <c r="M1185" s="173">
        <f t="shared" si="125"/>
        <v>18.334463276836157</v>
      </c>
      <c r="N1185" s="174"/>
      <c r="O1185" s="173">
        <f t="shared" si="126"/>
        <v>25.66824858757062</v>
      </c>
      <c r="P1185" s="173">
        <v>40</v>
      </c>
    </row>
    <row r="1186" spans="1:16" hidden="1" x14ac:dyDescent="0.35">
      <c r="A1186"/>
      <c r="F1186" s="366">
        <v>8</v>
      </c>
      <c r="G1186" s="245" t="s">
        <v>1525</v>
      </c>
      <c r="I1186" s="173">
        <v>7.6</v>
      </c>
      <c r="J1186">
        <v>354</v>
      </c>
      <c r="K1186" s="173">
        <v>500</v>
      </c>
      <c r="L1186" s="402">
        <f t="shared" si="124"/>
        <v>10.734463276836157</v>
      </c>
      <c r="M1186" s="173">
        <f t="shared" si="125"/>
        <v>18.334463276836157</v>
      </c>
      <c r="N1186" s="174"/>
      <c r="O1186" s="173">
        <f t="shared" si="126"/>
        <v>25.66824858757062</v>
      </c>
      <c r="P1186" s="173">
        <v>40</v>
      </c>
    </row>
    <row r="1187" spans="1:16" hidden="1" x14ac:dyDescent="0.35">
      <c r="A1187"/>
      <c r="F1187" s="366">
        <v>9</v>
      </c>
      <c r="G1187" s="245" t="s">
        <v>1525</v>
      </c>
      <c r="I1187" s="173">
        <v>7.6</v>
      </c>
      <c r="J1187">
        <v>354</v>
      </c>
      <c r="K1187" s="173">
        <v>500</v>
      </c>
      <c r="L1187" s="402">
        <f t="shared" si="124"/>
        <v>10.734463276836157</v>
      </c>
      <c r="M1187" s="173">
        <f t="shared" si="125"/>
        <v>18.334463276836157</v>
      </c>
      <c r="N1187" s="174"/>
      <c r="O1187" s="173">
        <f t="shared" si="126"/>
        <v>25.66824858757062</v>
      </c>
      <c r="P1187" s="173">
        <v>40</v>
      </c>
    </row>
    <row r="1188" spans="1:16" hidden="1" x14ac:dyDescent="0.35">
      <c r="A1188"/>
      <c r="F1188" s="366">
        <v>10</v>
      </c>
      <c r="G1188" s="245" t="s">
        <v>1525</v>
      </c>
      <c r="I1188" s="173">
        <v>7.6</v>
      </c>
      <c r="J1188">
        <v>354</v>
      </c>
      <c r="K1188" s="173">
        <v>500</v>
      </c>
      <c r="L1188" s="402">
        <f t="shared" si="124"/>
        <v>10.734463276836157</v>
      </c>
      <c r="M1188" s="173">
        <f t="shared" si="125"/>
        <v>18.334463276836157</v>
      </c>
      <c r="N1188" s="174"/>
      <c r="O1188" s="173">
        <f t="shared" si="126"/>
        <v>25.66824858757062</v>
      </c>
      <c r="P1188" s="173">
        <v>40</v>
      </c>
    </row>
    <row r="1189" spans="1:16" hidden="1" x14ac:dyDescent="0.35">
      <c r="A1189"/>
      <c r="F1189" s="366">
        <v>11</v>
      </c>
      <c r="G1189" s="245" t="s">
        <v>1525</v>
      </c>
      <c r="I1189" s="173">
        <v>7.6</v>
      </c>
      <c r="J1189">
        <v>354</v>
      </c>
      <c r="K1189" s="173">
        <v>500</v>
      </c>
      <c r="L1189" s="402">
        <f t="shared" si="124"/>
        <v>10.734463276836157</v>
      </c>
      <c r="M1189" s="173">
        <f t="shared" si="125"/>
        <v>18.334463276836157</v>
      </c>
      <c r="N1189" s="174"/>
      <c r="O1189" s="173">
        <f t="shared" si="126"/>
        <v>25.66824858757062</v>
      </c>
      <c r="P1189" s="173">
        <v>40</v>
      </c>
    </row>
    <row r="1190" spans="1:16" hidden="1" x14ac:dyDescent="0.35">
      <c r="A1190"/>
      <c r="F1190" s="366">
        <v>12</v>
      </c>
      <c r="G1190" s="245" t="s">
        <v>1525</v>
      </c>
      <c r="I1190" s="173">
        <v>7.6</v>
      </c>
      <c r="J1190">
        <v>354</v>
      </c>
      <c r="K1190" s="173">
        <v>500</v>
      </c>
      <c r="L1190" s="402">
        <f t="shared" si="124"/>
        <v>10.734463276836157</v>
      </c>
      <c r="M1190" s="173">
        <f t="shared" si="125"/>
        <v>18.334463276836157</v>
      </c>
      <c r="N1190" s="174"/>
      <c r="O1190" s="173">
        <f t="shared" si="126"/>
        <v>25.66824858757062</v>
      </c>
      <c r="P1190" s="173">
        <v>40</v>
      </c>
    </row>
    <row r="1191" spans="1:16" hidden="1" x14ac:dyDescent="0.35">
      <c r="A1191"/>
      <c r="F1191" s="366">
        <v>7</v>
      </c>
      <c r="G1191" s="245" t="s">
        <v>1526</v>
      </c>
      <c r="I1191" s="173">
        <v>7.6</v>
      </c>
      <c r="J1191">
        <v>354</v>
      </c>
      <c r="K1191" s="173">
        <v>500</v>
      </c>
      <c r="L1191" s="402">
        <f t="shared" si="124"/>
        <v>10.734463276836157</v>
      </c>
      <c r="M1191" s="173">
        <f t="shared" si="125"/>
        <v>18.334463276836157</v>
      </c>
      <c r="N1191" s="174"/>
      <c r="O1191" s="173">
        <f t="shared" si="126"/>
        <v>25.66824858757062</v>
      </c>
      <c r="P1191" s="173">
        <v>40</v>
      </c>
    </row>
    <row r="1192" spans="1:16" hidden="1" x14ac:dyDescent="0.35">
      <c r="A1192"/>
      <c r="F1192" s="366">
        <v>8</v>
      </c>
      <c r="G1192" s="245" t="s">
        <v>1526</v>
      </c>
      <c r="I1192" s="173">
        <v>7.6</v>
      </c>
      <c r="J1192">
        <v>354</v>
      </c>
      <c r="K1192" s="173">
        <v>500</v>
      </c>
      <c r="L1192" s="402">
        <f t="shared" si="124"/>
        <v>10.734463276836157</v>
      </c>
      <c r="M1192" s="173">
        <f t="shared" si="125"/>
        <v>18.334463276836157</v>
      </c>
      <c r="N1192" s="174"/>
      <c r="O1192" s="173">
        <f t="shared" si="126"/>
        <v>25.66824858757062</v>
      </c>
      <c r="P1192" s="173">
        <v>40</v>
      </c>
    </row>
    <row r="1193" spans="1:16" hidden="1" x14ac:dyDescent="0.35">
      <c r="A1193"/>
      <c r="F1193" s="366">
        <v>9</v>
      </c>
      <c r="G1193" s="245" t="s">
        <v>1526</v>
      </c>
      <c r="I1193" s="173">
        <v>7.6</v>
      </c>
      <c r="J1193">
        <v>354</v>
      </c>
      <c r="K1193" s="173">
        <v>500</v>
      </c>
      <c r="L1193" s="402">
        <f t="shared" si="124"/>
        <v>10.734463276836157</v>
      </c>
      <c r="M1193" s="173">
        <f t="shared" si="125"/>
        <v>18.334463276836157</v>
      </c>
      <c r="N1193" s="174"/>
      <c r="O1193" s="173">
        <f t="shared" si="126"/>
        <v>25.66824858757062</v>
      </c>
      <c r="P1193" s="173">
        <v>40</v>
      </c>
    </row>
    <row r="1194" spans="1:16" hidden="1" x14ac:dyDescent="0.35">
      <c r="A1194"/>
      <c r="F1194" s="366">
        <v>10</v>
      </c>
      <c r="G1194" s="245" t="s">
        <v>1526</v>
      </c>
      <c r="I1194" s="173">
        <v>7.6</v>
      </c>
      <c r="J1194">
        <v>354</v>
      </c>
      <c r="K1194" s="173">
        <v>500</v>
      </c>
      <c r="L1194" s="402">
        <f t="shared" si="124"/>
        <v>10.734463276836157</v>
      </c>
      <c r="M1194" s="173">
        <f t="shared" si="125"/>
        <v>18.334463276836157</v>
      </c>
      <c r="N1194" s="174"/>
      <c r="O1194" s="173">
        <f t="shared" si="126"/>
        <v>25.66824858757062</v>
      </c>
      <c r="P1194" s="173">
        <v>40</v>
      </c>
    </row>
    <row r="1195" spans="1:16" hidden="1" x14ac:dyDescent="0.35">
      <c r="A1195"/>
      <c r="F1195" s="366">
        <v>11</v>
      </c>
      <c r="G1195" s="245" t="s">
        <v>1526</v>
      </c>
      <c r="I1195" s="173">
        <v>7.6</v>
      </c>
      <c r="J1195">
        <v>354</v>
      </c>
      <c r="K1195" s="173">
        <v>500</v>
      </c>
      <c r="L1195" s="402">
        <f t="shared" si="124"/>
        <v>10.734463276836157</v>
      </c>
      <c r="M1195" s="173">
        <f t="shared" si="125"/>
        <v>18.334463276836157</v>
      </c>
      <c r="N1195" s="174"/>
      <c r="O1195" s="173">
        <f t="shared" si="126"/>
        <v>25.66824858757062</v>
      </c>
      <c r="P1195" s="173">
        <v>40</v>
      </c>
    </row>
    <row r="1196" spans="1:16" hidden="1" x14ac:dyDescent="0.35">
      <c r="A1196"/>
      <c r="F1196" s="366">
        <v>12</v>
      </c>
      <c r="G1196" s="245" t="s">
        <v>1526</v>
      </c>
      <c r="I1196" s="173">
        <v>7.6</v>
      </c>
      <c r="J1196">
        <v>354</v>
      </c>
      <c r="K1196" s="173">
        <v>500</v>
      </c>
      <c r="L1196" s="402">
        <f t="shared" si="124"/>
        <v>10.734463276836157</v>
      </c>
      <c r="M1196" s="173">
        <f t="shared" si="125"/>
        <v>18.334463276836157</v>
      </c>
      <c r="N1196" s="174"/>
      <c r="O1196" s="173">
        <f t="shared" si="126"/>
        <v>25.66824858757062</v>
      </c>
      <c r="P1196" s="173">
        <v>40</v>
      </c>
    </row>
    <row r="1197" spans="1:16" hidden="1" x14ac:dyDescent="0.35">
      <c r="A1197"/>
      <c r="F1197" s="366">
        <v>7</v>
      </c>
      <c r="G1197" s="245" t="s">
        <v>1526</v>
      </c>
      <c r="I1197" s="173">
        <v>7.6</v>
      </c>
      <c r="J1197">
        <v>354</v>
      </c>
      <c r="K1197" s="173">
        <v>500</v>
      </c>
      <c r="L1197" s="402">
        <f t="shared" si="124"/>
        <v>10.734463276836157</v>
      </c>
      <c r="M1197" s="173">
        <f t="shared" si="125"/>
        <v>18.334463276836157</v>
      </c>
      <c r="N1197" s="174"/>
      <c r="O1197" s="173">
        <f t="shared" si="126"/>
        <v>25.66824858757062</v>
      </c>
      <c r="P1197" s="173">
        <v>40</v>
      </c>
    </row>
    <row r="1198" spans="1:16" hidden="1" x14ac:dyDescent="0.35">
      <c r="A1198"/>
      <c r="F1198" s="366">
        <v>8</v>
      </c>
      <c r="G1198" s="245" t="s">
        <v>1526</v>
      </c>
      <c r="I1198" s="173">
        <v>7.6</v>
      </c>
      <c r="J1198">
        <v>354</v>
      </c>
      <c r="K1198" s="173">
        <v>500</v>
      </c>
      <c r="L1198" s="402">
        <f t="shared" si="124"/>
        <v>10.734463276836157</v>
      </c>
      <c r="M1198" s="173">
        <f t="shared" si="125"/>
        <v>18.334463276836157</v>
      </c>
      <c r="N1198" s="174"/>
      <c r="O1198" s="173">
        <f t="shared" si="126"/>
        <v>25.66824858757062</v>
      </c>
      <c r="P1198" s="173">
        <v>40</v>
      </c>
    </row>
    <row r="1199" spans="1:16" hidden="1" x14ac:dyDescent="0.35">
      <c r="A1199"/>
      <c r="F1199" s="366">
        <v>9</v>
      </c>
      <c r="G1199" s="245" t="s">
        <v>1526</v>
      </c>
      <c r="I1199" s="173">
        <v>7.6</v>
      </c>
      <c r="J1199">
        <v>354</v>
      </c>
      <c r="K1199" s="173">
        <v>500</v>
      </c>
      <c r="L1199" s="402">
        <f t="shared" si="124"/>
        <v>10.734463276836157</v>
      </c>
      <c r="M1199" s="173">
        <f t="shared" si="125"/>
        <v>18.334463276836157</v>
      </c>
      <c r="N1199" s="174"/>
      <c r="O1199" s="173">
        <f t="shared" si="126"/>
        <v>25.66824858757062</v>
      </c>
      <c r="P1199" s="173">
        <v>40</v>
      </c>
    </row>
    <row r="1200" spans="1:16" hidden="1" x14ac:dyDescent="0.35">
      <c r="A1200"/>
      <c r="F1200" s="366">
        <v>10</v>
      </c>
      <c r="G1200" s="245" t="s">
        <v>1526</v>
      </c>
      <c r="I1200" s="173">
        <v>7.6</v>
      </c>
      <c r="J1200">
        <v>354</v>
      </c>
      <c r="K1200" s="173">
        <v>500</v>
      </c>
      <c r="L1200" s="402">
        <f t="shared" si="124"/>
        <v>10.734463276836157</v>
      </c>
      <c r="M1200" s="173">
        <f t="shared" si="125"/>
        <v>18.334463276836157</v>
      </c>
      <c r="N1200" s="174"/>
      <c r="O1200" s="173">
        <f t="shared" si="126"/>
        <v>25.66824858757062</v>
      </c>
      <c r="P1200" s="173">
        <v>40</v>
      </c>
    </row>
    <row r="1201" spans="1:16" hidden="1" x14ac:dyDescent="0.35">
      <c r="A1201"/>
      <c r="F1201" s="366">
        <v>11</v>
      </c>
      <c r="G1201" s="245" t="s">
        <v>1526</v>
      </c>
      <c r="I1201" s="173">
        <v>7.6</v>
      </c>
      <c r="J1201">
        <v>354</v>
      </c>
      <c r="K1201" s="173">
        <v>500</v>
      </c>
      <c r="L1201" s="402">
        <f t="shared" si="124"/>
        <v>10.734463276836157</v>
      </c>
      <c r="M1201" s="173">
        <f t="shared" si="125"/>
        <v>18.334463276836157</v>
      </c>
      <c r="N1201" s="174"/>
      <c r="O1201" s="173">
        <f t="shared" si="126"/>
        <v>25.66824858757062</v>
      </c>
      <c r="P1201" s="173">
        <v>40</v>
      </c>
    </row>
    <row r="1202" spans="1:16" hidden="1" x14ac:dyDescent="0.35">
      <c r="A1202"/>
      <c r="F1202" s="366">
        <v>12</v>
      </c>
      <c r="G1202" s="245" t="s">
        <v>1526</v>
      </c>
      <c r="I1202" s="173">
        <v>7.6</v>
      </c>
      <c r="J1202">
        <v>354</v>
      </c>
      <c r="K1202" s="173">
        <v>500</v>
      </c>
      <c r="L1202" s="402">
        <f t="shared" si="124"/>
        <v>10.734463276836157</v>
      </c>
      <c r="M1202" s="173">
        <f t="shared" si="125"/>
        <v>18.334463276836157</v>
      </c>
      <c r="N1202" s="174"/>
      <c r="O1202" s="173">
        <f t="shared" si="126"/>
        <v>25.66824858757062</v>
      </c>
      <c r="P1202" s="173">
        <v>40</v>
      </c>
    </row>
    <row r="1203" spans="1:16" hidden="1" x14ac:dyDescent="0.35">
      <c r="A1203"/>
      <c r="F1203" s="366">
        <v>7</v>
      </c>
      <c r="G1203" s="245" t="s">
        <v>1527</v>
      </c>
      <c r="I1203" s="173">
        <v>7.6</v>
      </c>
      <c r="J1203">
        <v>354</v>
      </c>
      <c r="K1203" s="173">
        <v>500</v>
      </c>
      <c r="L1203" s="402">
        <f t="shared" si="124"/>
        <v>10.734463276836157</v>
      </c>
      <c r="M1203" s="173">
        <f t="shared" si="125"/>
        <v>18.334463276836157</v>
      </c>
      <c r="N1203" s="174"/>
      <c r="O1203" s="173">
        <f t="shared" si="126"/>
        <v>25.66824858757062</v>
      </c>
      <c r="P1203" s="173">
        <v>40</v>
      </c>
    </row>
    <row r="1204" spans="1:16" hidden="1" x14ac:dyDescent="0.35">
      <c r="A1204"/>
      <c r="F1204" s="366">
        <v>8</v>
      </c>
      <c r="G1204" s="245" t="s">
        <v>1527</v>
      </c>
      <c r="I1204" s="173">
        <v>7.6</v>
      </c>
      <c r="J1204">
        <v>354</v>
      </c>
      <c r="K1204" s="173">
        <v>500</v>
      </c>
      <c r="L1204" s="402">
        <f t="shared" si="124"/>
        <v>10.734463276836157</v>
      </c>
      <c r="M1204" s="173">
        <f t="shared" si="125"/>
        <v>18.334463276836157</v>
      </c>
      <c r="N1204" s="174"/>
      <c r="O1204" s="173">
        <f t="shared" si="126"/>
        <v>25.66824858757062</v>
      </c>
      <c r="P1204" s="173">
        <v>40</v>
      </c>
    </row>
    <row r="1205" spans="1:16" hidden="1" x14ac:dyDescent="0.35">
      <c r="A1205"/>
      <c r="F1205" s="366">
        <v>9</v>
      </c>
      <c r="G1205" s="245" t="s">
        <v>1527</v>
      </c>
      <c r="I1205" s="173">
        <v>7.6</v>
      </c>
      <c r="J1205">
        <v>354</v>
      </c>
      <c r="K1205" s="173">
        <v>500</v>
      </c>
      <c r="L1205" s="402">
        <f t="shared" si="124"/>
        <v>10.734463276836157</v>
      </c>
      <c r="M1205" s="173">
        <f t="shared" si="125"/>
        <v>18.334463276836157</v>
      </c>
      <c r="N1205" s="174"/>
      <c r="O1205" s="173">
        <f t="shared" si="126"/>
        <v>25.66824858757062</v>
      </c>
      <c r="P1205" s="173">
        <v>40</v>
      </c>
    </row>
    <row r="1206" spans="1:16" hidden="1" x14ac:dyDescent="0.35">
      <c r="A1206"/>
      <c r="F1206" s="366">
        <v>10</v>
      </c>
      <c r="G1206" s="245" t="s">
        <v>1527</v>
      </c>
      <c r="I1206" s="173">
        <v>7.6</v>
      </c>
      <c r="J1206">
        <v>354</v>
      </c>
      <c r="K1206" s="173">
        <v>500</v>
      </c>
      <c r="L1206" s="402">
        <f t="shared" si="124"/>
        <v>10.734463276836157</v>
      </c>
      <c r="M1206" s="173">
        <f t="shared" si="125"/>
        <v>18.334463276836157</v>
      </c>
      <c r="N1206" s="174"/>
      <c r="O1206" s="173">
        <f t="shared" si="126"/>
        <v>25.66824858757062</v>
      </c>
      <c r="P1206" s="173">
        <v>40</v>
      </c>
    </row>
    <row r="1207" spans="1:16" hidden="1" x14ac:dyDescent="0.35">
      <c r="A1207"/>
      <c r="F1207" s="366">
        <v>11</v>
      </c>
      <c r="G1207" s="245" t="s">
        <v>1527</v>
      </c>
      <c r="I1207" s="173">
        <v>7.6</v>
      </c>
      <c r="J1207">
        <v>354</v>
      </c>
      <c r="K1207" s="173">
        <v>500</v>
      </c>
      <c r="L1207" s="402">
        <f t="shared" si="124"/>
        <v>10.734463276836157</v>
      </c>
      <c r="M1207" s="173">
        <f t="shared" si="125"/>
        <v>18.334463276836157</v>
      </c>
      <c r="N1207" s="174"/>
      <c r="O1207" s="173">
        <f t="shared" si="126"/>
        <v>25.66824858757062</v>
      </c>
      <c r="P1207" s="173">
        <v>40</v>
      </c>
    </row>
    <row r="1208" spans="1:16" hidden="1" x14ac:dyDescent="0.35">
      <c r="A1208"/>
      <c r="F1208" s="366">
        <v>12</v>
      </c>
      <c r="G1208" s="245" t="s">
        <v>1527</v>
      </c>
      <c r="I1208" s="173">
        <v>7.6</v>
      </c>
      <c r="J1208">
        <v>354</v>
      </c>
      <c r="K1208" s="173">
        <v>500</v>
      </c>
      <c r="L1208" s="402">
        <f t="shared" si="124"/>
        <v>10.734463276836157</v>
      </c>
      <c r="M1208" s="173">
        <f t="shared" si="125"/>
        <v>18.334463276836157</v>
      </c>
      <c r="N1208" s="174"/>
      <c r="O1208" s="173">
        <f t="shared" si="126"/>
        <v>25.66824858757062</v>
      </c>
      <c r="P1208" s="173">
        <v>40</v>
      </c>
    </row>
    <row r="1209" spans="1:16" hidden="1" x14ac:dyDescent="0.35">
      <c r="A1209"/>
      <c r="F1209" s="366">
        <v>7</v>
      </c>
      <c r="G1209" s="245" t="s">
        <v>1528</v>
      </c>
      <c r="I1209" s="173">
        <v>7.6</v>
      </c>
      <c r="J1209">
        <v>354</v>
      </c>
      <c r="K1209" s="173">
        <v>500</v>
      </c>
      <c r="L1209" s="402">
        <f t="shared" si="124"/>
        <v>10.734463276836157</v>
      </c>
      <c r="M1209" s="173">
        <f t="shared" si="125"/>
        <v>18.334463276836157</v>
      </c>
      <c r="N1209" s="174"/>
      <c r="O1209" s="173">
        <f t="shared" si="126"/>
        <v>25.66824858757062</v>
      </c>
      <c r="P1209" s="173">
        <v>40</v>
      </c>
    </row>
    <row r="1210" spans="1:16" hidden="1" x14ac:dyDescent="0.35">
      <c r="A1210"/>
      <c r="F1210" s="366">
        <v>8</v>
      </c>
      <c r="G1210" s="245" t="s">
        <v>1528</v>
      </c>
      <c r="I1210" s="173">
        <v>7.6</v>
      </c>
      <c r="J1210">
        <v>354</v>
      </c>
      <c r="K1210" s="173">
        <v>500</v>
      </c>
      <c r="L1210" s="402">
        <f t="shared" si="124"/>
        <v>10.734463276836157</v>
      </c>
      <c r="M1210" s="173">
        <f t="shared" si="125"/>
        <v>18.334463276836157</v>
      </c>
      <c r="N1210" s="174"/>
      <c r="O1210" s="173">
        <f t="shared" si="126"/>
        <v>25.66824858757062</v>
      </c>
      <c r="P1210" s="173">
        <v>40</v>
      </c>
    </row>
    <row r="1211" spans="1:16" hidden="1" x14ac:dyDescent="0.35">
      <c r="A1211"/>
      <c r="F1211" s="366">
        <v>9</v>
      </c>
      <c r="G1211" s="245" t="s">
        <v>1528</v>
      </c>
      <c r="I1211" s="173">
        <v>7.6</v>
      </c>
      <c r="J1211">
        <v>354</v>
      </c>
      <c r="K1211" s="173">
        <v>500</v>
      </c>
      <c r="L1211" s="402">
        <f t="shared" si="124"/>
        <v>10.734463276836157</v>
      </c>
      <c r="M1211" s="173">
        <f t="shared" si="125"/>
        <v>18.334463276836157</v>
      </c>
      <c r="N1211" s="174"/>
      <c r="O1211" s="173">
        <f t="shared" si="126"/>
        <v>25.66824858757062</v>
      </c>
      <c r="P1211" s="173">
        <v>40</v>
      </c>
    </row>
    <row r="1212" spans="1:16" hidden="1" x14ac:dyDescent="0.35">
      <c r="A1212"/>
      <c r="F1212" s="366">
        <v>10</v>
      </c>
      <c r="G1212" s="245" t="s">
        <v>1528</v>
      </c>
      <c r="I1212" s="173">
        <v>7.6</v>
      </c>
      <c r="J1212">
        <v>354</v>
      </c>
      <c r="K1212" s="173">
        <v>500</v>
      </c>
      <c r="L1212" s="402">
        <f t="shared" si="124"/>
        <v>10.734463276836157</v>
      </c>
      <c r="M1212" s="173">
        <f t="shared" si="125"/>
        <v>18.334463276836157</v>
      </c>
      <c r="N1212" s="174"/>
      <c r="O1212" s="173">
        <f t="shared" si="126"/>
        <v>25.66824858757062</v>
      </c>
      <c r="P1212" s="173">
        <v>40</v>
      </c>
    </row>
    <row r="1213" spans="1:16" hidden="1" x14ac:dyDescent="0.35">
      <c r="A1213"/>
      <c r="F1213" s="366">
        <v>11</v>
      </c>
      <c r="G1213" s="245" t="s">
        <v>1528</v>
      </c>
      <c r="I1213" s="173">
        <v>7.6</v>
      </c>
      <c r="J1213">
        <v>354</v>
      </c>
      <c r="K1213" s="173">
        <v>500</v>
      </c>
      <c r="L1213" s="402">
        <f t="shared" si="124"/>
        <v>10.734463276836157</v>
      </c>
      <c r="M1213" s="173">
        <f t="shared" si="125"/>
        <v>18.334463276836157</v>
      </c>
      <c r="N1213" s="174"/>
      <c r="O1213" s="173">
        <f t="shared" si="126"/>
        <v>25.66824858757062</v>
      </c>
      <c r="P1213" s="173">
        <v>40</v>
      </c>
    </row>
    <row r="1214" spans="1:16" hidden="1" x14ac:dyDescent="0.35">
      <c r="A1214"/>
      <c r="F1214" s="366">
        <v>12</v>
      </c>
      <c r="G1214" s="245" t="s">
        <v>1528</v>
      </c>
      <c r="I1214" s="173">
        <v>7.6</v>
      </c>
      <c r="J1214">
        <v>354</v>
      </c>
      <c r="K1214" s="173">
        <v>500</v>
      </c>
      <c r="L1214" s="402">
        <f t="shared" si="124"/>
        <v>10.734463276836157</v>
      </c>
      <c r="M1214" s="173">
        <f t="shared" si="125"/>
        <v>18.334463276836157</v>
      </c>
      <c r="N1214" s="174"/>
      <c r="O1214" s="173">
        <f t="shared" si="126"/>
        <v>25.66824858757062</v>
      </c>
      <c r="P1214" s="173">
        <v>40</v>
      </c>
    </row>
    <row r="1215" spans="1:16" hidden="1" x14ac:dyDescent="0.35">
      <c r="A1215"/>
      <c r="F1215" s="366">
        <v>7</v>
      </c>
      <c r="G1215" s="245" t="s">
        <v>1529</v>
      </c>
      <c r="I1215" s="173">
        <v>7.6</v>
      </c>
      <c r="J1215">
        <v>354</v>
      </c>
      <c r="K1215" s="173">
        <v>500</v>
      </c>
      <c r="L1215" s="402">
        <f t="shared" si="124"/>
        <v>10.734463276836157</v>
      </c>
      <c r="M1215" s="173">
        <f t="shared" si="125"/>
        <v>18.334463276836157</v>
      </c>
      <c r="N1215" s="174"/>
      <c r="O1215" s="173">
        <f t="shared" si="126"/>
        <v>25.66824858757062</v>
      </c>
      <c r="P1215" s="173">
        <v>40</v>
      </c>
    </row>
    <row r="1216" spans="1:16" hidden="1" x14ac:dyDescent="0.35">
      <c r="A1216"/>
      <c r="F1216" s="366">
        <v>8</v>
      </c>
      <c r="G1216" s="245" t="s">
        <v>1529</v>
      </c>
      <c r="I1216" s="173">
        <v>7.6</v>
      </c>
      <c r="J1216">
        <v>354</v>
      </c>
      <c r="K1216" s="173">
        <v>500</v>
      </c>
      <c r="L1216" s="402">
        <f t="shared" si="124"/>
        <v>10.734463276836157</v>
      </c>
      <c r="M1216" s="173">
        <f t="shared" si="125"/>
        <v>18.334463276836157</v>
      </c>
      <c r="N1216" s="174"/>
      <c r="O1216" s="173">
        <f t="shared" si="126"/>
        <v>25.66824858757062</v>
      </c>
      <c r="P1216" s="173">
        <v>40</v>
      </c>
    </row>
    <row r="1217" spans="1:16" hidden="1" x14ac:dyDescent="0.35">
      <c r="F1217" s="366">
        <v>9</v>
      </c>
      <c r="G1217" s="245" t="s">
        <v>1529</v>
      </c>
      <c r="I1217" s="173">
        <v>7.6</v>
      </c>
      <c r="J1217">
        <v>354</v>
      </c>
      <c r="K1217" s="173">
        <v>500</v>
      </c>
      <c r="L1217" s="402">
        <f t="shared" si="124"/>
        <v>10.734463276836157</v>
      </c>
      <c r="M1217" s="173">
        <f t="shared" si="125"/>
        <v>18.334463276836157</v>
      </c>
      <c r="N1217" s="174"/>
      <c r="O1217" s="173">
        <f t="shared" si="126"/>
        <v>25.66824858757062</v>
      </c>
      <c r="P1217" s="173">
        <v>40</v>
      </c>
    </row>
    <row r="1218" spans="1:16" hidden="1" x14ac:dyDescent="0.35">
      <c r="F1218" s="366">
        <v>10</v>
      </c>
      <c r="G1218" s="245" t="s">
        <v>1529</v>
      </c>
      <c r="I1218" s="173">
        <v>7.6</v>
      </c>
      <c r="J1218">
        <v>354</v>
      </c>
      <c r="K1218" s="173">
        <v>500</v>
      </c>
      <c r="L1218" s="402">
        <f t="shared" si="124"/>
        <v>10.734463276836157</v>
      </c>
      <c r="M1218" s="173">
        <f t="shared" si="125"/>
        <v>18.334463276836157</v>
      </c>
      <c r="N1218" s="174"/>
      <c r="O1218" s="173">
        <f t="shared" si="126"/>
        <v>25.66824858757062</v>
      </c>
      <c r="P1218" s="173">
        <v>40</v>
      </c>
    </row>
    <row r="1219" spans="1:16" hidden="1" x14ac:dyDescent="0.35">
      <c r="F1219" s="366">
        <v>11</v>
      </c>
      <c r="G1219" s="245" t="s">
        <v>1529</v>
      </c>
      <c r="I1219" s="173">
        <v>7.6</v>
      </c>
      <c r="J1219">
        <v>354</v>
      </c>
      <c r="K1219" s="173">
        <v>500</v>
      </c>
      <c r="L1219" s="402">
        <f t="shared" si="124"/>
        <v>10.734463276836157</v>
      </c>
      <c r="M1219" s="173">
        <f t="shared" si="125"/>
        <v>18.334463276836157</v>
      </c>
      <c r="N1219" s="174"/>
      <c r="O1219" s="173">
        <f t="shared" si="126"/>
        <v>25.66824858757062</v>
      </c>
      <c r="P1219" s="173">
        <v>40</v>
      </c>
    </row>
    <row r="1220" spans="1:16" hidden="1" x14ac:dyDescent="0.35">
      <c r="F1220" s="366">
        <v>12</v>
      </c>
      <c r="G1220" s="245" t="s">
        <v>1529</v>
      </c>
      <c r="I1220" s="173">
        <v>7.6</v>
      </c>
      <c r="J1220">
        <v>354</v>
      </c>
      <c r="K1220" s="173">
        <v>500</v>
      </c>
      <c r="L1220" s="402">
        <f t="shared" si="124"/>
        <v>10.734463276836157</v>
      </c>
      <c r="M1220" s="173">
        <f t="shared" si="125"/>
        <v>18.334463276836157</v>
      </c>
      <c r="N1220" s="174"/>
      <c r="O1220" s="173">
        <f t="shared" si="126"/>
        <v>25.66824858757062</v>
      </c>
      <c r="P1220" s="173">
        <v>40</v>
      </c>
    </row>
    <row r="1221" spans="1:16" hidden="1" x14ac:dyDescent="0.35">
      <c r="N1221" s="174"/>
    </row>
    <row r="1222" spans="1:16" s="5" customFormat="1" ht="18.5" hidden="1" x14ac:dyDescent="0.45">
      <c r="F1222" s="599"/>
      <c r="G1222" s="598" t="s">
        <v>1530</v>
      </c>
      <c r="H1222" s="598"/>
      <c r="I1222" s="307">
        <f>SUM(I1173:I1221)</f>
        <v>364.80000000000018</v>
      </c>
      <c r="J1222" s="307"/>
      <c r="K1222" s="307"/>
      <c r="L1222" s="307"/>
      <c r="M1222" s="307"/>
      <c r="N1222" s="307"/>
      <c r="O1222" s="307"/>
      <c r="P1222" s="307">
        <f>SUM(P1173:P1221)</f>
        <v>1920</v>
      </c>
    </row>
    <row r="1223" spans="1:16" hidden="1" x14ac:dyDescent="0.35">
      <c r="N1223" s="174"/>
    </row>
    <row r="1224" spans="1:16" ht="15.75" hidden="1" customHeight="1" x14ac:dyDescent="0.35">
      <c r="G1224" s="256" t="s">
        <v>1554</v>
      </c>
      <c r="H1224" s="256"/>
      <c r="N1224" s="174"/>
    </row>
    <row r="1225" spans="1:16" ht="15.75" hidden="1" customHeight="1" x14ac:dyDescent="0.35">
      <c r="C1225" s="233" t="s">
        <v>801</v>
      </c>
      <c r="F1225" s="366">
        <v>38</v>
      </c>
      <c r="G1225" s="245" t="s">
        <v>1545</v>
      </c>
      <c r="I1225" s="173">
        <v>46</v>
      </c>
      <c r="J1225">
        <v>477</v>
      </c>
      <c r="K1225" s="173">
        <v>188</v>
      </c>
      <c r="L1225" s="402">
        <f t="shared" ref="L1225:L1245" si="127">+I1225/J1225*K1225</f>
        <v>18.129979035639412</v>
      </c>
      <c r="M1225" s="173">
        <f t="shared" ref="M1225:M1245" si="128">+I1225+L1225</f>
        <v>64.129979035639408</v>
      </c>
      <c r="N1225" s="174"/>
      <c r="O1225" s="173">
        <f t="shared" ref="O1225:O1245" si="129">+M1225*1.4</f>
        <v>89.781970649895172</v>
      </c>
      <c r="P1225" s="173">
        <v>125</v>
      </c>
    </row>
    <row r="1226" spans="1:16" ht="15.75" hidden="1" customHeight="1" x14ac:dyDescent="0.35">
      <c r="C1226" s="233" t="s">
        <v>801</v>
      </c>
      <c r="F1226" s="366">
        <v>40</v>
      </c>
      <c r="G1226" s="245" t="s">
        <v>1545</v>
      </c>
      <c r="I1226" s="173">
        <v>46</v>
      </c>
      <c r="J1226">
        <v>477</v>
      </c>
      <c r="K1226" s="173">
        <v>188</v>
      </c>
      <c r="L1226" s="402">
        <f t="shared" si="127"/>
        <v>18.129979035639412</v>
      </c>
      <c r="M1226" s="173">
        <f t="shared" si="128"/>
        <v>64.129979035639408</v>
      </c>
      <c r="N1226" s="174"/>
      <c r="O1226" s="173">
        <f t="shared" si="129"/>
        <v>89.781970649895172</v>
      </c>
      <c r="P1226" s="173">
        <v>125</v>
      </c>
    </row>
    <row r="1227" spans="1:16" ht="15.75" hidden="1" customHeight="1" x14ac:dyDescent="0.35">
      <c r="A1227"/>
      <c r="C1227" s="233" t="s">
        <v>801</v>
      </c>
      <c r="F1227" s="366">
        <v>42</v>
      </c>
      <c r="G1227" s="245" t="s">
        <v>1545</v>
      </c>
      <c r="I1227" s="173">
        <v>46</v>
      </c>
      <c r="J1227">
        <v>477</v>
      </c>
      <c r="K1227" s="173">
        <v>188</v>
      </c>
      <c r="L1227" s="402">
        <f t="shared" si="127"/>
        <v>18.129979035639412</v>
      </c>
      <c r="M1227" s="173">
        <f t="shared" si="128"/>
        <v>64.129979035639408</v>
      </c>
      <c r="N1227" s="174"/>
      <c r="O1227" s="173">
        <f t="shared" si="129"/>
        <v>89.781970649895172</v>
      </c>
      <c r="P1227" s="173">
        <v>125</v>
      </c>
    </row>
    <row r="1228" spans="1:16" ht="15.75" hidden="1" customHeight="1" x14ac:dyDescent="0.35">
      <c r="A1228"/>
      <c r="C1228" s="233" t="s">
        <v>801</v>
      </c>
      <c r="F1228" s="366">
        <v>44</v>
      </c>
      <c r="G1228" s="245" t="s">
        <v>1545</v>
      </c>
      <c r="I1228" s="173">
        <v>46</v>
      </c>
      <c r="J1228">
        <v>477</v>
      </c>
      <c r="K1228" s="173">
        <v>188</v>
      </c>
      <c r="L1228" s="402">
        <f t="shared" si="127"/>
        <v>18.129979035639412</v>
      </c>
      <c r="M1228" s="173">
        <f t="shared" si="128"/>
        <v>64.129979035639408</v>
      </c>
      <c r="N1228" s="174"/>
      <c r="O1228" s="173">
        <f t="shared" si="129"/>
        <v>89.781970649895172</v>
      </c>
      <c r="P1228" s="173">
        <v>125</v>
      </c>
    </row>
    <row r="1229" spans="1:16" ht="15.75" hidden="1" customHeight="1" x14ac:dyDescent="0.35">
      <c r="A1229"/>
      <c r="C1229" s="233" t="s">
        <v>1547</v>
      </c>
      <c r="F1229" s="366">
        <v>50</v>
      </c>
      <c r="G1229" s="245" t="s">
        <v>1546</v>
      </c>
      <c r="I1229" s="173">
        <v>55</v>
      </c>
      <c r="J1229">
        <v>477</v>
      </c>
      <c r="K1229" s="173">
        <v>188</v>
      </c>
      <c r="L1229" s="402">
        <f t="shared" si="127"/>
        <v>21.677148846960169</v>
      </c>
      <c r="M1229" s="173">
        <f t="shared" si="128"/>
        <v>76.677148846960165</v>
      </c>
      <c r="N1229" s="174"/>
      <c r="O1229" s="173">
        <f t="shared" si="129"/>
        <v>107.34800838574422</v>
      </c>
      <c r="P1229" s="173">
        <v>150</v>
      </c>
    </row>
    <row r="1230" spans="1:16" ht="15.75" hidden="1" customHeight="1" x14ac:dyDescent="0.35">
      <c r="A1230"/>
      <c r="C1230" s="233" t="s">
        <v>1547</v>
      </c>
      <c r="F1230" s="366">
        <v>52</v>
      </c>
      <c r="G1230" s="245" t="s">
        <v>1546</v>
      </c>
      <c r="I1230" s="173">
        <v>55</v>
      </c>
      <c r="J1230">
        <v>477</v>
      </c>
      <c r="K1230" s="173">
        <v>188</v>
      </c>
      <c r="L1230" s="402">
        <f t="shared" si="127"/>
        <v>21.677148846960169</v>
      </c>
      <c r="M1230" s="173">
        <f t="shared" si="128"/>
        <v>76.677148846960165</v>
      </c>
      <c r="N1230" s="174"/>
      <c r="O1230" s="173">
        <f t="shared" si="129"/>
        <v>107.34800838574422</v>
      </c>
      <c r="P1230" s="173">
        <v>150</v>
      </c>
    </row>
    <row r="1231" spans="1:16" ht="15.75" hidden="1" customHeight="1" x14ac:dyDescent="0.35">
      <c r="A1231"/>
      <c r="C1231" s="233" t="s">
        <v>1547</v>
      </c>
      <c r="F1231" s="366">
        <v>54</v>
      </c>
      <c r="G1231" s="245" t="s">
        <v>1546</v>
      </c>
      <c r="I1231" s="173">
        <v>55</v>
      </c>
      <c r="J1231">
        <v>477</v>
      </c>
      <c r="K1231" s="173">
        <v>188</v>
      </c>
      <c r="L1231" s="402">
        <f t="shared" si="127"/>
        <v>21.677148846960169</v>
      </c>
      <c r="M1231" s="173">
        <f t="shared" si="128"/>
        <v>76.677148846960165</v>
      </c>
      <c r="N1231" s="174"/>
      <c r="O1231" s="173">
        <f t="shared" si="129"/>
        <v>107.34800838574422</v>
      </c>
      <c r="P1231" s="173">
        <v>150</v>
      </c>
    </row>
    <row r="1232" spans="1:16" ht="15.75" hidden="1" customHeight="1" x14ac:dyDescent="0.35">
      <c r="A1232"/>
      <c r="C1232" s="233" t="s">
        <v>723</v>
      </c>
      <c r="F1232" s="366">
        <v>44</v>
      </c>
      <c r="G1232" s="245" t="s">
        <v>1548</v>
      </c>
      <c r="I1232" s="173">
        <v>32</v>
      </c>
      <c r="J1232">
        <v>477</v>
      </c>
      <c r="K1232" s="173">
        <v>188</v>
      </c>
      <c r="L1232" s="402">
        <f t="shared" si="127"/>
        <v>12.612159329140463</v>
      </c>
      <c r="M1232" s="173">
        <f t="shared" si="128"/>
        <v>44.612159329140461</v>
      </c>
      <c r="N1232" s="174"/>
      <c r="O1232" s="173">
        <f t="shared" si="129"/>
        <v>62.457023060796644</v>
      </c>
      <c r="P1232" s="173">
        <v>90</v>
      </c>
    </row>
    <row r="1233" spans="1:20" ht="15.75" hidden="1" customHeight="1" x14ac:dyDescent="0.35">
      <c r="A1233"/>
      <c r="C1233" s="233" t="s">
        <v>723</v>
      </c>
      <c r="F1233" s="366">
        <v>46</v>
      </c>
      <c r="G1233" s="245" t="s">
        <v>1548</v>
      </c>
      <c r="I1233" s="173">
        <v>32</v>
      </c>
      <c r="J1233">
        <v>477</v>
      </c>
      <c r="K1233" s="173">
        <v>188</v>
      </c>
      <c r="L1233" s="402">
        <f t="shared" si="127"/>
        <v>12.612159329140463</v>
      </c>
      <c r="M1233" s="173">
        <f t="shared" si="128"/>
        <v>44.612159329140461</v>
      </c>
      <c r="N1233" s="174"/>
      <c r="O1233" s="173">
        <f t="shared" si="129"/>
        <v>62.457023060796644</v>
      </c>
      <c r="P1233" s="173">
        <v>90</v>
      </c>
    </row>
    <row r="1234" spans="1:20" ht="15.75" hidden="1" customHeight="1" x14ac:dyDescent="0.35">
      <c r="A1234"/>
      <c r="C1234" s="233" t="s">
        <v>723</v>
      </c>
      <c r="F1234" s="366">
        <v>48</v>
      </c>
      <c r="G1234" s="245" t="s">
        <v>1548</v>
      </c>
      <c r="I1234" s="173">
        <v>32</v>
      </c>
      <c r="J1234">
        <v>477</v>
      </c>
      <c r="K1234" s="173">
        <v>188</v>
      </c>
      <c r="L1234" s="402">
        <f t="shared" si="127"/>
        <v>12.612159329140463</v>
      </c>
      <c r="M1234" s="173">
        <f t="shared" si="128"/>
        <v>44.612159329140461</v>
      </c>
      <c r="N1234" s="174"/>
      <c r="O1234" s="173">
        <f t="shared" si="129"/>
        <v>62.457023060796644</v>
      </c>
      <c r="P1234" s="173">
        <v>90</v>
      </c>
    </row>
    <row r="1235" spans="1:20" ht="15.75" hidden="1" customHeight="1" x14ac:dyDescent="0.35">
      <c r="A1235"/>
      <c r="C1235" s="233" t="s">
        <v>723</v>
      </c>
      <c r="F1235" s="366">
        <v>50</v>
      </c>
      <c r="G1235" s="245" t="s">
        <v>1548</v>
      </c>
      <c r="I1235" s="173">
        <v>32</v>
      </c>
      <c r="J1235">
        <v>477</v>
      </c>
      <c r="K1235" s="173">
        <v>188</v>
      </c>
      <c r="L1235" s="402">
        <f t="shared" si="127"/>
        <v>12.612159329140463</v>
      </c>
      <c r="M1235" s="173">
        <f t="shared" si="128"/>
        <v>44.612159329140461</v>
      </c>
      <c r="N1235" s="174"/>
      <c r="O1235" s="173">
        <f t="shared" si="129"/>
        <v>62.457023060796644</v>
      </c>
      <c r="P1235" s="173">
        <v>90</v>
      </c>
    </row>
    <row r="1236" spans="1:20" ht="15.75" hidden="1" customHeight="1" x14ac:dyDescent="0.35">
      <c r="A1236"/>
      <c r="C1236" s="233" t="s">
        <v>866</v>
      </c>
      <c r="G1236" s="245" t="s">
        <v>1553</v>
      </c>
      <c r="I1236" s="173">
        <v>25</v>
      </c>
      <c r="J1236">
        <v>250</v>
      </c>
      <c r="K1236">
        <v>169</v>
      </c>
      <c r="L1236" s="402">
        <f t="shared" si="127"/>
        <v>16.900000000000002</v>
      </c>
      <c r="M1236" s="173">
        <f t="shared" si="128"/>
        <v>41.900000000000006</v>
      </c>
      <c r="N1236" s="174"/>
      <c r="O1236" s="173">
        <f t="shared" si="129"/>
        <v>58.660000000000004</v>
      </c>
      <c r="P1236" s="173">
        <v>100</v>
      </c>
    </row>
    <row r="1237" spans="1:20" ht="15.75" hidden="1" customHeight="1" x14ac:dyDescent="0.35">
      <c r="A1237"/>
      <c r="C1237" s="233" t="s">
        <v>866</v>
      </c>
      <c r="G1237" s="245" t="s">
        <v>1553</v>
      </c>
      <c r="I1237" s="173">
        <v>25</v>
      </c>
      <c r="J1237">
        <v>250</v>
      </c>
      <c r="K1237">
        <v>169</v>
      </c>
      <c r="L1237" s="402">
        <f t="shared" si="127"/>
        <v>16.900000000000002</v>
      </c>
      <c r="M1237" s="173">
        <f t="shared" si="128"/>
        <v>41.900000000000006</v>
      </c>
      <c r="N1237" s="174"/>
      <c r="O1237" s="173">
        <f t="shared" si="129"/>
        <v>58.660000000000004</v>
      </c>
      <c r="P1237" s="173">
        <v>100</v>
      </c>
    </row>
    <row r="1238" spans="1:20" ht="15.75" hidden="1" customHeight="1" x14ac:dyDescent="0.35">
      <c r="A1238"/>
      <c r="C1238" s="233" t="s">
        <v>866</v>
      </c>
      <c r="G1238" s="245" t="s">
        <v>1553</v>
      </c>
      <c r="I1238" s="173">
        <v>25</v>
      </c>
      <c r="J1238">
        <v>250</v>
      </c>
      <c r="K1238">
        <v>169</v>
      </c>
      <c r="L1238" s="402">
        <f t="shared" si="127"/>
        <v>16.900000000000002</v>
      </c>
      <c r="M1238" s="173">
        <f t="shared" si="128"/>
        <v>41.900000000000006</v>
      </c>
      <c r="N1238" s="174"/>
      <c r="O1238" s="173">
        <f t="shared" si="129"/>
        <v>58.660000000000004</v>
      </c>
      <c r="P1238" s="173">
        <v>100</v>
      </c>
    </row>
    <row r="1239" spans="1:20" ht="15.75" hidden="1" customHeight="1" x14ac:dyDescent="0.35">
      <c r="A1239"/>
      <c r="C1239" s="233" t="s">
        <v>866</v>
      </c>
      <c r="G1239" s="245" t="s">
        <v>1553</v>
      </c>
      <c r="I1239" s="173">
        <v>25</v>
      </c>
      <c r="J1239">
        <v>250</v>
      </c>
      <c r="K1239">
        <v>169</v>
      </c>
      <c r="L1239" s="402">
        <f t="shared" si="127"/>
        <v>16.900000000000002</v>
      </c>
      <c r="M1239" s="173">
        <f t="shared" si="128"/>
        <v>41.900000000000006</v>
      </c>
      <c r="N1239" s="174"/>
      <c r="O1239" s="173">
        <f t="shared" si="129"/>
        <v>58.660000000000004</v>
      </c>
      <c r="P1239" s="173">
        <v>100</v>
      </c>
    </row>
    <row r="1240" spans="1:20" ht="15.75" hidden="1" customHeight="1" x14ac:dyDescent="0.35">
      <c r="A1240"/>
      <c r="C1240" s="233" t="s">
        <v>866</v>
      </c>
      <c r="G1240" s="245" t="s">
        <v>1553</v>
      </c>
      <c r="I1240" s="173">
        <v>25</v>
      </c>
      <c r="J1240">
        <v>250</v>
      </c>
      <c r="K1240">
        <v>169</v>
      </c>
      <c r="L1240" s="402">
        <f t="shared" si="127"/>
        <v>16.900000000000002</v>
      </c>
      <c r="M1240" s="173">
        <f t="shared" si="128"/>
        <v>41.900000000000006</v>
      </c>
      <c r="N1240" s="174"/>
      <c r="O1240" s="173">
        <f t="shared" si="129"/>
        <v>58.660000000000004</v>
      </c>
      <c r="P1240" s="173">
        <v>100</v>
      </c>
    </row>
    <row r="1241" spans="1:20" ht="15.75" hidden="1" customHeight="1" x14ac:dyDescent="0.35">
      <c r="A1241"/>
      <c r="C1241" s="233" t="s">
        <v>866</v>
      </c>
      <c r="G1241" s="245" t="s">
        <v>1553</v>
      </c>
      <c r="I1241" s="173">
        <v>25</v>
      </c>
      <c r="J1241">
        <v>250</v>
      </c>
      <c r="K1241">
        <v>169</v>
      </c>
      <c r="L1241" s="402">
        <f t="shared" si="127"/>
        <v>16.900000000000002</v>
      </c>
      <c r="M1241" s="173">
        <f t="shared" si="128"/>
        <v>41.900000000000006</v>
      </c>
      <c r="N1241" s="174"/>
      <c r="O1241" s="173">
        <f t="shared" si="129"/>
        <v>58.660000000000004</v>
      </c>
      <c r="P1241" s="173">
        <v>100</v>
      </c>
    </row>
    <row r="1242" spans="1:20" ht="15.75" hidden="1" customHeight="1" x14ac:dyDescent="0.35">
      <c r="A1242"/>
      <c r="C1242" s="233" t="s">
        <v>866</v>
      </c>
      <c r="G1242" s="245" t="s">
        <v>1553</v>
      </c>
      <c r="I1242" s="173">
        <v>25</v>
      </c>
      <c r="J1242">
        <v>250</v>
      </c>
      <c r="K1242">
        <v>169</v>
      </c>
      <c r="L1242" s="402">
        <f t="shared" si="127"/>
        <v>16.900000000000002</v>
      </c>
      <c r="M1242" s="173">
        <f t="shared" si="128"/>
        <v>41.900000000000006</v>
      </c>
      <c r="N1242" s="174"/>
      <c r="O1242" s="173">
        <f t="shared" si="129"/>
        <v>58.660000000000004</v>
      </c>
      <c r="P1242" s="173">
        <v>100</v>
      </c>
    </row>
    <row r="1243" spans="1:20" ht="15.75" hidden="1" customHeight="1" x14ac:dyDescent="0.35">
      <c r="A1243"/>
      <c r="C1243" s="233" t="s">
        <v>866</v>
      </c>
      <c r="G1243" s="245" t="s">
        <v>1553</v>
      </c>
      <c r="I1243" s="173">
        <v>25</v>
      </c>
      <c r="J1243">
        <v>250</v>
      </c>
      <c r="K1243">
        <v>169</v>
      </c>
      <c r="L1243" s="402">
        <f t="shared" si="127"/>
        <v>16.900000000000002</v>
      </c>
      <c r="M1243" s="173">
        <f t="shared" si="128"/>
        <v>41.900000000000006</v>
      </c>
      <c r="N1243" s="174"/>
      <c r="O1243" s="173">
        <f t="shared" si="129"/>
        <v>58.660000000000004</v>
      </c>
      <c r="P1243" s="173">
        <v>100</v>
      </c>
    </row>
    <row r="1244" spans="1:20" ht="15.75" hidden="1" customHeight="1" x14ac:dyDescent="0.35">
      <c r="A1244"/>
      <c r="C1244" s="233" t="s">
        <v>866</v>
      </c>
      <c r="G1244" s="245" t="s">
        <v>1553</v>
      </c>
      <c r="I1244" s="173">
        <v>25</v>
      </c>
      <c r="J1244">
        <v>250</v>
      </c>
      <c r="K1244">
        <v>169</v>
      </c>
      <c r="L1244" s="402">
        <f t="shared" si="127"/>
        <v>16.900000000000002</v>
      </c>
      <c r="M1244" s="173">
        <f t="shared" si="128"/>
        <v>41.900000000000006</v>
      </c>
      <c r="N1244" s="174"/>
      <c r="O1244" s="173">
        <f t="shared" si="129"/>
        <v>58.660000000000004</v>
      </c>
      <c r="P1244" s="173">
        <v>100</v>
      </c>
    </row>
    <row r="1245" spans="1:20" ht="15.75" hidden="1" customHeight="1" x14ac:dyDescent="0.35">
      <c r="A1245"/>
      <c r="C1245" s="233" t="s">
        <v>866</v>
      </c>
      <c r="G1245" s="245" t="s">
        <v>1553</v>
      </c>
      <c r="I1245" s="173">
        <v>25</v>
      </c>
      <c r="J1245">
        <v>250</v>
      </c>
      <c r="K1245">
        <v>169</v>
      </c>
      <c r="L1245" s="402">
        <f t="shared" si="127"/>
        <v>16.900000000000002</v>
      </c>
      <c r="M1245" s="173">
        <f t="shared" si="128"/>
        <v>41.900000000000006</v>
      </c>
      <c r="N1245" s="174"/>
      <c r="O1245" s="173">
        <f t="shared" si="129"/>
        <v>58.660000000000004</v>
      </c>
      <c r="P1245" s="173">
        <v>100</v>
      </c>
    </row>
    <row r="1246" spans="1:20" ht="21" hidden="1" x14ac:dyDescent="0.5">
      <c r="C1246" s="279" t="s">
        <v>1559</v>
      </c>
      <c r="D1246" s="279"/>
      <c r="N1246" s="174"/>
    </row>
    <row r="1247" spans="1:20" hidden="1" x14ac:dyDescent="0.35">
      <c r="C1247" s="233" t="s">
        <v>1372</v>
      </c>
      <c r="G1247" s="371" t="s">
        <v>1640</v>
      </c>
      <c r="H1247" s="371"/>
      <c r="I1247" s="176">
        <v>41</v>
      </c>
      <c r="J1247" s="12">
        <v>1090</v>
      </c>
      <c r="K1247" s="176">
        <v>1099</v>
      </c>
      <c r="L1247" s="410">
        <f t="shared" ref="L1247:L1278" si="130">+I1247/J1247*K1247</f>
        <v>41.338532110091748</v>
      </c>
      <c r="M1247" s="176">
        <f t="shared" ref="M1247:M1278" si="131">+I1247+L1247</f>
        <v>82.338532110091748</v>
      </c>
      <c r="N1247" s="411"/>
      <c r="O1247" s="176">
        <f t="shared" ref="O1247:O1278" si="132">+M1247*1.4</f>
        <v>115.27394495412844</v>
      </c>
      <c r="P1247" s="176">
        <v>180</v>
      </c>
      <c r="S1247" t="s">
        <v>12</v>
      </c>
      <c r="T1247" s="6">
        <v>45777</v>
      </c>
    </row>
    <row r="1248" spans="1:20" hidden="1" x14ac:dyDescent="0.35">
      <c r="C1248" s="233" t="s">
        <v>1372</v>
      </c>
      <c r="G1248" s="245" t="s">
        <v>1640</v>
      </c>
      <c r="I1248" s="173">
        <v>41</v>
      </c>
      <c r="J1248">
        <v>1090</v>
      </c>
      <c r="K1248" s="173">
        <v>1099</v>
      </c>
      <c r="L1248" s="402">
        <f t="shared" si="130"/>
        <v>41.338532110091748</v>
      </c>
      <c r="M1248" s="173">
        <f t="shared" si="131"/>
        <v>82.338532110091748</v>
      </c>
      <c r="N1248" s="174"/>
      <c r="O1248" s="173">
        <f t="shared" si="132"/>
        <v>115.27394495412844</v>
      </c>
      <c r="P1248" s="173">
        <v>150</v>
      </c>
    </row>
    <row r="1249" spans="1:20" hidden="1" x14ac:dyDescent="0.35">
      <c r="C1249" s="233" t="s">
        <v>1372</v>
      </c>
      <c r="G1249" s="245" t="s">
        <v>1640</v>
      </c>
      <c r="I1249" s="173">
        <v>41</v>
      </c>
      <c r="J1249">
        <v>1090</v>
      </c>
      <c r="K1249" s="173">
        <v>1099</v>
      </c>
      <c r="L1249" s="402">
        <f t="shared" si="130"/>
        <v>41.338532110091748</v>
      </c>
      <c r="M1249" s="173">
        <f t="shared" si="131"/>
        <v>82.338532110091748</v>
      </c>
      <c r="N1249" s="174"/>
      <c r="O1249" s="173">
        <f t="shared" si="132"/>
        <v>115.27394495412844</v>
      </c>
      <c r="P1249" s="173">
        <v>150</v>
      </c>
    </row>
    <row r="1250" spans="1:20" hidden="1" x14ac:dyDescent="0.35">
      <c r="C1250" s="233" t="s">
        <v>1372</v>
      </c>
      <c r="G1250" s="245" t="s">
        <v>1640</v>
      </c>
      <c r="I1250" s="173">
        <v>41</v>
      </c>
      <c r="J1250">
        <v>1090</v>
      </c>
      <c r="K1250" s="173">
        <v>1099</v>
      </c>
      <c r="L1250" s="402">
        <f t="shared" si="130"/>
        <v>41.338532110091748</v>
      </c>
      <c r="M1250" s="173">
        <f t="shared" si="131"/>
        <v>82.338532110091748</v>
      </c>
      <c r="N1250" s="174"/>
      <c r="O1250" s="173">
        <f t="shared" si="132"/>
        <v>115.27394495412844</v>
      </c>
      <c r="P1250" s="173">
        <v>150</v>
      </c>
    </row>
    <row r="1251" spans="1:20" hidden="1" x14ac:dyDescent="0.35">
      <c r="C1251" s="233" t="s">
        <v>1372</v>
      </c>
      <c r="G1251" s="245" t="s">
        <v>1640</v>
      </c>
      <c r="I1251" s="173">
        <v>41</v>
      </c>
      <c r="J1251">
        <v>1090</v>
      </c>
      <c r="K1251" s="173">
        <v>1099</v>
      </c>
      <c r="L1251" s="402">
        <f t="shared" si="130"/>
        <v>41.338532110091748</v>
      </c>
      <c r="M1251" s="173">
        <f t="shared" si="131"/>
        <v>82.338532110091748</v>
      </c>
      <c r="N1251" s="174"/>
      <c r="O1251" s="173">
        <f t="shared" si="132"/>
        <v>115.27394495412844</v>
      </c>
      <c r="P1251" s="173">
        <v>150</v>
      </c>
    </row>
    <row r="1252" spans="1:20" hidden="1" x14ac:dyDescent="0.35">
      <c r="C1252" s="233" t="s">
        <v>1372</v>
      </c>
      <c r="G1252" s="245" t="s">
        <v>1560</v>
      </c>
      <c r="I1252" s="173">
        <v>41</v>
      </c>
      <c r="J1252">
        <v>1090</v>
      </c>
      <c r="K1252" s="173">
        <v>1099</v>
      </c>
      <c r="L1252" s="402">
        <f t="shared" si="130"/>
        <v>41.338532110091748</v>
      </c>
      <c r="M1252" s="173">
        <f t="shared" si="131"/>
        <v>82.338532110091748</v>
      </c>
      <c r="N1252" s="174"/>
      <c r="O1252" s="173">
        <f t="shared" si="132"/>
        <v>115.27394495412844</v>
      </c>
      <c r="P1252" s="173">
        <v>150</v>
      </c>
    </row>
    <row r="1253" spans="1:20" hidden="1" x14ac:dyDescent="0.35">
      <c r="C1253" s="233" t="s">
        <v>1372</v>
      </c>
      <c r="G1253" s="245" t="s">
        <v>1560</v>
      </c>
      <c r="I1253" s="173">
        <v>41</v>
      </c>
      <c r="J1253">
        <v>1090</v>
      </c>
      <c r="K1253" s="173">
        <v>1099</v>
      </c>
      <c r="L1253" s="402">
        <f t="shared" si="130"/>
        <v>41.338532110091748</v>
      </c>
      <c r="M1253" s="173">
        <f t="shared" si="131"/>
        <v>82.338532110091748</v>
      </c>
      <c r="N1253" s="174"/>
      <c r="O1253" s="173">
        <f t="shared" si="132"/>
        <v>115.27394495412844</v>
      </c>
      <c r="P1253" s="173">
        <v>150</v>
      </c>
    </row>
    <row r="1254" spans="1:20" hidden="1" x14ac:dyDescent="0.35">
      <c r="C1254" s="233" t="s">
        <v>1372</v>
      </c>
      <c r="G1254" s="245" t="s">
        <v>1560</v>
      </c>
      <c r="I1254" s="173">
        <v>41</v>
      </c>
      <c r="J1254">
        <v>1090</v>
      </c>
      <c r="K1254" s="173">
        <v>1099</v>
      </c>
      <c r="L1254" s="402">
        <f t="shared" si="130"/>
        <v>41.338532110091748</v>
      </c>
      <c r="M1254" s="173">
        <f t="shared" si="131"/>
        <v>82.338532110091748</v>
      </c>
      <c r="N1254" s="174"/>
      <c r="O1254" s="173">
        <f t="shared" si="132"/>
        <v>115.27394495412844</v>
      </c>
      <c r="P1254" s="173">
        <v>150</v>
      </c>
    </row>
    <row r="1255" spans="1:20" hidden="1" x14ac:dyDescent="0.35">
      <c r="C1255" s="233" t="s">
        <v>1372</v>
      </c>
      <c r="G1255" s="245" t="s">
        <v>1560</v>
      </c>
      <c r="I1255" s="173">
        <v>41</v>
      </c>
      <c r="J1255">
        <v>1090</v>
      </c>
      <c r="K1255" s="173">
        <v>1099</v>
      </c>
      <c r="L1255" s="402">
        <f t="shared" si="130"/>
        <v>41.338532110091748</v>
      </c>
      <c r="M1255" s="173">
        <f t="shared" si="131"/>
        <v>82.338532110091748</v>
      </c>
      <c r="N1255" s="174"/>
      <c r="O1255" s="173">
        <f t="shared" si="132"/>
        <v>115.27394495412844</v>
      </c>
      <c r="P1255" s="173">
        <v>150</v>
      </c>
    </row>
    <row r="1256" spans="1:20" hidden="1" x14ac:dyDescent="0.35">
      <c r="C1256" s="233" t="s">
        <v>1372</v>
      </c>
      <c r="G1256" s="245" t="s">
        <v>1560</v>
      </c>
      <c r="I1256" s="173">
        <v>41</v>
      </c>
      <c r="J1256">
        <v>1090</v>
      </c>
      <c r="K1256" s="173">
        <v>1099</v>
      </c>
      <c r="L1256" s="402">
        <f t="shared" si="130"/>
        <v>41.338532110091748</v>
      </c>
      <c r="M1256" s="173">
        <f t="shared" si="131"/>
        <v>82.338532110091748</v>
      </c>
      <c r="N1256" s="174"/>
      <c r="O1256" s="173">
        <f t="shared" si="132"/>
        <v>115.27394495412844</v>
      </c>
      <c r="P1256" s="173">
        <v>150</v>
      </c>
    </row>
    <row r="1257" spans="1:20" hidden="1" x14ac:dyDescent="0.35">
      <c r="C1257" s="233" t="s">
        <v>1372</v>
      </c>
      <c r="G1257" s="245" t="s">
        <v>1561</v>
      </c>
      <c r="I1257" s="173">
        <v>41</v>
      </c>
      <c r="J1257">
        <v>1090</v>
      </c>
      <c r="K1257" s="173">
        <v>1099</v>
      </c>
      <c r="L1257" s="402">
        <f t="shared" si="130"/>
        <v>41.338532110091748</v>
      </c>
      <c r="M1257" s="173">
        <f t="shared" si="131"/>
        <v>82.338532110091748</v>
      </c>
      <c r="N1257" s="174"/>
      <c r="O1257" s="173">
        <f t="shared" si="132"/>
        <v>115.27394495412844</v>
      </c>
      <c r="P1257" s="173">
        <v>150</v>
      </c>
    </row>
    <row r="1258" spans="1:20" hidden="1" x14ac:dyDescent="0.35">
      <c r="C1258" s="233" t="s">
        <v>1372</v>
      </c>
      <c r="G1258" s="245" t="s">
        <v>1561</v>
      </c>
      <c r="I1258" s="173">
        <v>41</v>
      </c>
      <c r="J1258">
        <v>1090</v>
      </c>
      <c r="K1258" s="173">
        <v>1099</v>
      </c>
      <c r="L1258" s="402">
        <f t="shared" si="130"/>
        <v>41.338532110091748</v>
      </c>
      <c r="M1258" s="173">
        <f t="shared" si="131"/>
        <v>82.338532110091748</v>
      </c>
      <c r="N1258" s="174"/>
      <c r="O1258" s="173">
        <f t="shared" si="132"/>
        <v>115.27394495412844</v>
      </c>
      <c r="P1258" s="173">
        <v>150</v>
      </c>
    </row>
    <row r="1259" spans="1:20" hidden="1" x14ac:dyDescent="0.35">
      <c r="A1259"/>
      <c r="C1259" s="233" t="s">
        <v>1372</v>
      </c>
      <c r="G1259" s="245" t="s">
        <v>1561</v>
      </c>
      <c r="I1259" s="173">
        <v>41</v>
      </c>
      <c r="J1259">
        <v>1090</v>
      </c>
      <c r="K1259" s="173">
        <v>1099</v>
      </c>
      <c r="L1259" s="402">
        <f t="shared" si="130"/>
        <v>41.338532110091748</v>
      </c>
      <c r="M1259" s="173">
        <f t="shared" si="131"/>
        <v>82.338532110091748</v>
      </c>
      <c r="N1259" s="174"/>
      <c r="O1259" s="173">
        <f t="shared" si="132"/>
        <v>115.27394495412844</v>
      </c>
      <c r="P1259" s="173">
        <v>150</v>
      </c>
    </row>
    <row r="1260" spans="1:20" hidden="1" x14ac:dyDescent="0.35">
      <c r="A1260"/>
      <c r="C1260" s="233" t="s">
        <v>1372</v>
      </c>
      <c r="G1260" s="245" t="s">
        <v>1561</v>
      </c>
      <c r="I1260" s="173">
        <v>41</v>
      </c>
      <c r="J1260">
        <v>1090</v>
      </c>
      <c r="K1260" s="173">
        <v>1099</v>
      </c>
      <c r="L1260" s="402">
        <f t="shared" si="130"/>
        <v>41.338532110091748</v>
      </c>
      <c r="M1260" s="173">
        <f t="shared" si="131"/>
        <v>82.338532110091748</v>
      </c>
      <c r="N1260" s="174"/>
      <c r="O1260" s="173">
        <f t="shared" si="132"/>
        <v>115.27394495412844</v>
      </c>
      <c r="P1260" s="173">
        <v>150</v>
      </c>
    </row>
    <row r="1261" spans="1:20" hidden="1" x14ac:dyDescent="0.35">
      <c r="A1261"/>
      <c r="C1261" s="233" t="s">
        <v>1372</v>
      </c>
      <c r="G1261" s="245" t="s">
        <v>1561</v>
      </c>
      <c r="I1261" s="173">
        <v>41</v>
      </c>
      <c r="J1261">
        <v>1090</v>
      </c>
      <c r="K1261" s="173">
        <v>1099</v>
      </c>
      <c r="L1261" s="402">
        <f t="shared" si="130"/>
        <v>41.338532110091748</v>
      </c>
      <c r="M1261" s="173">
        <f t="shared" si="131"/>
        <v>82.338532110091748</v>
      </c>
      <c r="N1261" s="174"/>
      <c r="O1261" s="173">
        <f t="shared" si="132"/>
        <v>115.27394495412844</v>
      </c>
      <c r="P1261" s="173">
        <v>150</v>
      </c>
    </row>
    <row r="1262" spans="1:20" hidden="1" x14ac:dyDescent="0.35">
      <c r="A1262"/>
      <c r="C1262" s="233" t="s">
        <v>1372</v>
      </c>
      <c r="G1262" s="371" t="s">
        <v>1639</v>
      </c>
      <c r="H1262" s="371"/>
      <c r="I1262" s="176">
        <v>4.3</v>
      </c>
      <c r="J1262" s="12">
        <v>1090</v>
      </c>
      <c r="K1262" s="176">
        <v>1099</v>
      </c>
      <c r="L1262" s="410">
        <f t="shared" si="130"/>
        <v>4.3355045871559632</v>
      </c>
      <c r="M1262" s="176">
        <f t="shared" si="131"/>
        <v>8.6355045871559639</v>
      </c>
      <c r="N1262" s="411"/>
      <c r="O1262" s="176">
        <f t="shared" si="132"/>
        <v>12.089706422018349</v>
      </c>
      <c r="P1262" s="176">
        <v>25</v>
      </c>
      <c r="S1262" t="s">
        <v>1638</v>
      </c>
      <c r="T1262" s="6">
        <v>45769</v>
      </c>
    </row>
    <row r="1263" spans="1:20" hidden="1" x14ac:dyDescent="0.35">
      <c r="A1263"/>
      <c r="C1263" s="233" t="s">
        <v>1372</v>
      </c>
      <c r="G1263" s="371" t="s">
        <v>1646</v>
      </c>
      <c r="H1263" s="371"/>
      <c r="I1263" s="176">
        <v>4.3</v>
      </c>
      <c r="J1263" s="12">
        <v>1090</v>
      </c>
      <c r="K1263" s="176">
        <v>1099</v>
      </c>
      <c r="L1263" s="410">
        <f t="shared" si="130"/>
        <v>4.3355045871559632</v>
      </c>
      <c r="M1263" s="176">
        <f t="shared" si="131"/>
        <v>8.6355045871559639</v>
      </c>
      <c r="N1263" s="411"/>
      <c r="O1263" s="176">
        <f t="shared" si="132"/>
        <v>12.089706422018349</v>
      </c>
      <c r="P1263" s="176">
        <v>25</v>
      </c>
      <c r="S1263" t="s">
        <v>845</v>
      </c>
      <c r="T1263" s="6">
        <v>45778</v>
      </c>
    </row>
    <row r="1264" spans="1:20" hidden="1" x14ac:dyDescent="0.35">
      <c r="A1264"/>
      <c r="C1264" s="233" t="s">
        <v>1372</v>
      </c>
      <c r="G1264" s="371" t="s">
        <v>1646</v>
      </c>
      <c r="H1264" s="371"/>
      <c r="I1264" s="176">
        <v>4.3</v>
      </c>
      <c r="J1264" s="12">
        <v>1090</v>
      </c>
      <c r="K1264" s="176">
        <v>1099</v>
      </c>
      <c r="L1264" s="410">
        <f t="shared" si="130"/>
        <v>4.3355045871559632</v>
      </c>
      <c r="M1264" s="176">
        <f t="shared" si="131"/>
        <v>8.6355045871559639</v>
      </c>
      <c r="N1264" s="411"/>
      <c r="O1264" s="176">
        <f t="shared" si="132"/>
        <v>12.089706422018349</v>
      </c>
      <c r="P1264" s="176">
        <v>25</v>
      </c>
      <c r="S1264" t="s">
        <v>12</v>
      </c>
      <c r="T1264" s="6">
        <v>45779</v>
      </c>
    </row>
    <row r="1265" spans="1:20" hidden="1" x14ac:dyDescent="0.35">
      <c r="A1265"/>
      <c r="C1265" s="233" t="s">
        <v>1372</v>
      </c>
      <c r="G1265" s="371" t="s">
        <v>1647</v>
      </c>
      <c r="H1265" s="371"/>
      <c r="I1265" s="176">
        <v>4.3</v>
      </c>
      <c r="J1265" s="12">
        <v>1090</v>
      </c>
      <c r="K1265" s="176">
        <v>1099</v>
      </c>
      <c r="L1265" s="410">
        <f t="shared" si="130"/>
        <v>4.3355045871559632</v>
      </c>
      <c r="M1265" s="176">
        <f t="shared" si="131"/>
        <v>8.6355045871559639</v>
      </c>
      <c r="N1265" s="411"/>
      <c r="O1265" s="176">
        <f t="shared" si="132"/>
        <v>12.089706422018349</v>
      </c>
      <c r="P1265" s="176">
        <v>25</v>
      </c>
      <c r="S1265" t="s">
        <v>12</v>
      </c>
      <c r="T1265" s="6">
        <v>45779</v>
      </c>
    </row>
    <row r="1266" spans="1:20" hidden="1" x14ac:dyDescent="0.35">
      <c r="A1266"/>
      <c r="C1266" s="233" t="s">
        <v>1372</v>
      </c>
      <c r="G1266" s="245" t="s">
        <v>1562</v>
      </c>
      <c r="I1266" s="173">
        <v>4.3</v>
      </c>
      <c r="J1266">
        <v>1090</v>
      </c>
      <c r="K1266" s="173">
        <v>1099</v>
      </c>
      <c r="L1266" s="402">
        <f t="shared" si="130"/>
        <v>4.3355045871559632</v>
      </c>
      <c r="M1266" s="173">
        <f t="shared" si="131"/>
        <v>8.6355045871559639</v>
      </c>
      <c r="N1266" s="174"/>
      <c r="O1266" s="173">
        <f t="shared" si="132"/>
        <v>12.089706422018349</v>
      </c>
      <c r="P1266" s="173">
        <v>25</v>
      </c>
    </row>
    <row r="1267" spans="1:20" hidden="1" x14ac:dyDescent="0.35">
      <c r="A1267"/>
      <c r="C1267" s="233" t="s">
        <v>1372</v>
      </c>
      <c r="G1267" s="245" t="s">
        <v>1562</v>
      </c>
      <c r="I1267" s="173">
        <v>4.3</v>
      </c>
      <c r="J1267">
        <v>1090</v>
      </c>
      <c r="K1267" s="173">
        <v>1099</v>
      </c>
      <c r="L1267" s="402">
        <f t="shared" si="130"/>
        <v>4.3355045871559632</v>
      </c>
      <c r="M1267" s="173">
        <f t="shared" si="131"/>
        <v>8.6355045871559639</v>
      </c>
      <c r="N1267" s="174"/>
      <c r="O1267" s="173">
        <f t="shared" si="132"/>
        <v>12.089706422018349</v>
      </c>
      <c r="P1267" s="173">
        <v>25</v>
      </c>
    </row>
    <row r="1268" spans="1:20" hidden="1" x14ac:dyDescent="0.35">
      <c r="A1268"/>
      <c r="C1268" s="233" t="s">
        <v>1372</v>
      </c>
      <c r="G1268" s="245" t="s">
        <v>1562</v>
      </c>
      <c r="I1268" s="173">
        <v>4.3</v>
      </c>
      <c r="J1268">
        <v>1090</v>
      </c>
      <c r="K1268" s="173">
        <v>1099</v>
      </c>
      <c r="L1268" s="402">
        <f t="shared" si="130"/>
        <v>4.3355045871559632</v>
      </c>
      <c r="M1268" s="173">
        <f t="shared" si="131"/>
        <v>8.6355045871559639</v>
      </c>
      <c r="N1268" s="174"/>
      <c r="O1268" s="173">
        <f t="shared" si="132"/>
        <v>12.089706422018349</v>
      </c>
      <c r="P1268" s="173">
        <v>25</v>
      </c>
    </row>
    <row r="1269" spans="1:20" hidden="1" x14ac:dyDescent="0.35">
      <c r="A1269"/>
      <c r="C1269" s="233" t="s">
        <v>1372</v>
      </c>
      <c r="G1269" s="245" t="s">
        <v>1562</v>
      </c>
      <c r="I1269" s="173">
        <v>4.3</v>
      </c>
      <c r="J1269">
        <v>1090</v>
      </c>
      <c r="K1269" s="173">
        <v>1099</v>
      </c>
      <c r="L1269" s="402">
        <f t="shared" si="130"/>
        <v>4.3355045871559632</v>
      </c>
      <c r="M1269" s="173">
        <f t="shared" si="131"/>
        <v>8.6355045871559639</v>
      </c>
      <c r="N1269" s="174"/>
      <c r="O1269" s="173">
        <f t="shared" si="132"/>
        <v>12.089706422018349</v>
      </c>
      <c r="P1269" s="173">
        <v>25</v>
      </c>
    </row>
    <row r="1270" spans="1:20" hidden="1" x14ac:dyDescent="0.35">
      <c r="A1270"/>
      <c r="C1270" s="233" t="s">
        <v>1372</v>
      </c>
      <c r="G1270" s="245" t="s">
        <v>1562</v>
      </c>
      <c r="I1270" s="173">
        <v>4.3</v>
      </c>
      <c r="J1270">
        <v>1090</v>
      </c>
      <c r="K1270" s="173">
        <v>1099</v>
      </c>
      <c r="L1270" s="402">
        <f t="shared" si="130"/>
        <v>4.3355045871559632</v>
      </c>
      <c r="M1270" s="173">
        <f t="shared" si="131"/>
        <v>8.6355045871559639</v>
      </c>
      <c r="N1270" s="174"/>
      <c r="O1270" s="173">
        <f t="shared" si="132"/>
        <v>12.089706422018349</v>
      </c>
      <c r="P1270" s="173">
        <v>25</v>
      </c>
    </row>
    <row r="1271" spans="1:20" hidden="1" x14ac:dyDescent="0.35">
      <c r="C1271" s="233" t="s">
        <v>1372</v>
      </c>
      <c r="G1271" s="245" t="s">
        <v>1562</v>
      </c>
      <c r="I1271" s="173">
        <v>4.3</v>
      </c>
      <c r="J1271">
        <v>1090</v>
      </c>
      <c r="K1271" s="173">
        <v>1099</v>
      </c>
      <c r="L1271" s="402">
        <f t="shared" si="130"/>
        <v>4.3355045871559632</v>
      </c>
      <c r="M1271" s="173">
        <f t="shared" si="131"/>
        <v>8.6355045871559639</v>
      </c>
      <c r="N1271" s="174"/>
      <c r="O1271" s="173">
        <f t="shared" si="132"/>
        <v>12.089706422018349</v>
      </c>
      <c r="P1271" s="173">
        <v>25</v>
      </c>
    </row>
    <row r="1272" spans="1:20" hidden="1" x14ac:dyDescent="0.35">
      <c r="C1272" s="233" t="s">
        <v>1372</v>
      </c>
      <c r="G1272" s="245" t="s">
        <v>1562</v>
      </c>
      <c r="I1272" s="173">
        <v>4.3</v>
      </c>
      <c r="J1272">
        <v>1090</v>
      </c>
      <c r="K1272" s="173">
        <v>1099</v>
      </c>
      <c r="L1272" s="402">
        <f t="shared" si="130"/>
        <v>4.3355045871559632</v>
      </c>
      <c r="M1272" s="173">
        <f t="shared" si="131"/>
        <v>8.6355045871559639</v>
      </c>
      <c r="N1272" s="174"/>
      <c r="O1272" s="173">
        <f t="shared" si="132"/>
        <v>12.089706422018349</v>
      </c>
      <c r="P1272" s="173">
        <v>25</v>
      </c>
    </row>
    <row r="1273" spans="1:20" hidden="1" x14ac:dyDescent="0.35">
      <c r="A1273"/>
      <c r="C1273" s="233" t="s">
        <v>1372</v>
      </c>
      <c r="G1273" s="245" t="s">
        <v>1562</v>
      </c>
      <c r="I1273" s="173">
        <v>4.3</v>
      </c>
      <c r="J1273">
        <v>1090</v>
      </c>
      <c r="K1273" s="173">
        <v>1099</v>
      </c>
      <c r="L1273" s="402">
        <f t="shared" si="130"/>
        <v>4.3355045871559632</v>
      </c>
      <c r="M1273" s="173">
        <f t="shared" si="131"/>
        <v>8.6355045871559639</v>
      </c>
      <c r="N1273" s="174"/>
      <c r="O1273" s="173">
        <f t="shared" si="132"/>
        <v>12.089706422018349</v>
      </c>
      <c r="P1273" s="173">
        <v>25</v>
      </c>
    </row>
    <row r="1274" spans="1:20" hidden="1" x14ac:dyDescent="0.35">
      <c r="A1274"/>
      <c r="C1274" s="233" t="s">
        <v>1372</v>
      </c>
      <c r="G1274" s="245" t="s">
        <v>1562</v>
      </c>
      <c r="I1274" s="173">
        <v>4.3</v>
      </c>
      <c r="J1274">
        <v>1090</v>
      </c>
      <c r="K1274" s="173">
        <v>1099</v>
      </c>
      <c r="L1274" s="402">
        <f t="shared" si="130"/>
        <v>4.3355045871559632</v>
      </c>
      <c r="M1274" s="173">
        <f t="shared" si="131"/>
        <v>8.6355045871559639</v>
      </c>
      <c r="N1274" s="174"/>
      <c r="O1274" s="173">
        <f t="shared" si="132"/>
        <v>12.089706422018349</v>
      </c>
      <c r="P1274" s="173">
        <v>25</v>
      </c>
    </row>
    <row r="1275" spans="1:20" hidden="1" x14ac:dyDescent="0.35">
      <c r="C1275" s="233" t="s">
        <v>1372</v>
      </c>
      <c r="G1275" s="245" t="s">
        <v>1562</v>
      </c>
      <c r="I1275" s="173">
        <v>4.3</v>
      </c>
      <c r="J1275">
        <v>1090</v>
      </c>
      <c r="K1275" s="173">
        <v>1099</v>
      </c>
      <c r="L1275" s="402">
        <f t="shared" si="130"/>
        <v>4.3355045871559632</v>
      </c>
      <c r="M1275" s="173">
        <f t="shared" si="131"/>
        <v>8.6355045871559639</v>
      </c>
      <c r="N1275" s="174"/>
      <c r="O1275" s="173">
        <f t="shared" si="132"/>
        <v>12.089706422018349</v>
      </c>
      <c r="P1275" s="173">
        <v>25</v>
      </c>
    </row>
    <row r="1276" spans="1:20" hidden="1" x14ac:dyDescent="0.35">
      <c r="C1276" s="233" t="s">
        <v>1372</v>
      </c>
      <c r="G1276" s="245" t="s">
        <v>1562</v>
      </c>
      <c r="I1276" s="173">
        <v>4.3</v>
      </c>
      <c r="J1276">
        <v>1090</v>
      </c>
      <c r="K1276" s="173">
        <v>1099</v>
      </c>
      <c r="L1276" s="402">
        <f t="shared" si="130"/>
        <v>4.3355045871559632</v>
      </c>
      <c r="M1276" s="173">
        <f t="shared" si="131"/>
        <v>8.6355045871559639</v>
      </c>
      <c r="N1276" s="174"/>
      <c r="O1276" s="173">
        <f t="shared" si="132"/>
        <v>12.089706422018349</v>
      </c>
      <c r="P1276" s="173">
        <v>25</v>
      </c>
    </row>
    <row r="1277" spans="1:20" hidden="1" x14ac:dyDescent="0.35">
      <c r="C1277" s="233" t="s">
        <v>1372</v>
      </c>
      <c r="G1277" s="245" t="s">
        <v>1562</v>
      </c>
      <c r="I1277" s="173">
        <v>4.3</v>
      </c>
      <c r="J1277">
        <v>1090</v>
      </c>
      <c r="K1277" s="173">
        <v>1099</v>
      </c>
      <c r="L1277" s="402">
        <f t="shared" si="130"/>
        <v>4.3355045871559632</v>
      </c>
      <c r="M1277" s="173">
        <f t="shared" si="131"/>
        <v>8.6355045871559639</v>
      </c>
      <c r="N1277" s="174"/>
      <c r="O1277" s="173">
        <f t="shared" si="132"/>
        <v>12.089706422018349</v>
      </c>
      <c r="P1277" s="173">
        <v>25</v>
      </c>
    </row>
    <row r="1278" spans="1:20" hidden="1" x14ac:dyDescent="0.35">
      <c r="C1278" s="233" t="s">
        <v>1372</v>
      </c>
      <c r="G1278" s="245" t="s">
        <v>1562</v>
      </c>
      <c r="I1278" s="173">
        <v>4.3</v>
      </c>
      <c r="J1278">
        <v>1090</v>
      </c>
      <c r="K1278" s="173">
        <v>1099</v>
      </c>
      <c r="L1278" s="402">
        <f t="shared" si="130"/>
        <v>4.3355045871559632</v>
      </c>
      <c r="M1278" s="173">
        <f t="shared" si="131"/>
        <v>8.6355045871559639</v>
      </c>
      <c r="N1278" s="174"/>
      <c r="O1278" s="173">
        <f t="shared" si="132"/>
        <v>12.089706422018349</v>
      </c>
      <c r="P1278" s="173">
        <v>25</v>
      </c>
    </row>
    <row r="1279" spans="1:20" hidden="1" x14ac:dyDescent="0.35">
      <c r="C1279" s="233" t="s">
        <v>1372</v>
      </c>
      <c r="G1279" s="245" t="s">
        <v>1562</v>
      </c>
      <c r="I1279" s="173">
        <v>4.3</v>
      </c>
      <c r="J1279">
        <v>1090</v>
      </c>
      <c r="K1279" s="173">
        <v>1099</v>
      </c>
      <c r="L1279" s="402">
        <f t="shared" ref="L1279:L1310" si="133">+I1279/J1279*K1279</f>
        <v>4.3355045871559632</v>
      </c>
      <c r="M1279" s="173">
        <f t="shared" ref="M1279:M1310" si="134">+I1279+L1279</f>
        <v>8.6355045871559639</v>
      </c>
      <c r="N1279" s="174"/>
      <c r="O1279" s="173">
        <f t="shared" ref="O1279:O1310" si="135">+M1279*1.4</f>
        <v>12.089706422018349</v>
      </c>
      <c r="P1279" s="173">
        <v>25</v>
      </c>
    </row>
    <row r="1280" spans="1:20" hidden="1" x14ac:dyDescent="0.35">
      <c r="C1280" s="233" t="s">
        <v>1372</v>
      </c>
      <c r="G1280" s="245" t="s">
        <v>1562</v>
      </c>
      <c r="I1280" s="173">
        <v>4.3</v>
      </c>
      <c r="J1280">
        <v>1090</v>
      </c>
      <c r="K1280" s="173">
        <v>1099</v>
      </c>
      <c r="L1280" s="402">
        <f t="shared" si="133"/>
        <v>4.3355045871559632</v>
      </c>
      <c r="M1280" s="173">
        <f t="shared" si="134"/>
        <v>8.6355045871559639</v>
      </c>
      <c r="N1280" s="174"/>
      <c r="O1280" s="173">
        <f t="shared" si="135"/>
        <v>12.089706422018349</v>
      </c>
      <c r="P1280" s="173">
        <v>25</v>
      </c>
    </row>
    <row r="1281" spans="3:20" hidden="1" x14ac:dyDescent="0.35">
      <c r="C1281" s="233" t="s">
        <v>1372</v>
      </c>
      <c r="G1281" s="245" t="s">
        <v>1562</v>
      </c>
      <c r="I1281" s="173">
        <v>4.3</v>
      </c>
      <c r="J1281">
        <v>1090</v>
      </c>
      <c r="K1281" s="173">
        <v>1099</v>
      </c>
      <c r="L1281" s="402">
        <f t="shared" si="133"/>
        <v>4.3355045871559632</v>
      </c>
      <c r="M1281" s="173">
        <f t="shared" si="134"/>
        <v>8.6355045871559639</v>
      </c>
      <c r="N1281" s="174"/>
      <c r="O1281" s="173">
        <f t="shared" si="135"/>
        <v>12.089706422018349</v>
      </c>
      <c r="P1281" s="173">
        <v>25</v>
      </c>
    </row>
    <row r="1282" spans="3:20" hidden="1" x14ac:dyDescent="0.35">
      <c r="C1282" s="232" t="s">
        <v>1563</v>
      </c>
      <c r="D1282" s="232"/>
      <c r="E1282" t="s">
        <v>1564</v>
      </c>
      <c r="F1282" s="366">
        <v>38</v>
      </c>
      <c r="G1282" s="600" t="s">
        <v>1565</v>
      </c>
      <c r="H1282" s="600"/>
      <c r="I1282" s="176">
        <v>7</v>
      </c>
      <c r="J1282" s="12">
        <v>1090</v>
      </c>
      <c r="K1282" s="176">
        <v>1099</v>
      </c>
      <c r="L1282" s="410">
        <f t="shared" si="133"/>
        <v>7.0577981651376147</v>
      </c>
      <c r="M1282" s="176">
        <f t="shared" si="134"/>
        <v>14.057798165137616</v>
      </c>
      <c r="N1282" s="411"/>
      <c r="O1282" s="176">
        <f t="shared" si="135"/>
        <v>19.680917431192661</v>
      </c>
      <c r="P1282" s="176">
        <v>40</v>
      </c>
      <c r="S1282" t="s">
        <v>12</v>
      </c>
      <c r="T1282" s="6">
        <v>45776</v>
      </c>
    </row>
    <row r="1283" spans="3:20" hidden="1" x14ac:dyDescent="0.35">
      <c r="C1283" s="232" t="s">
        <v>1563</v>
      </c>
      <c r="D1283" s="232"/>
      <c r="F1283" s="366">
        <v>38</v>
      </c>
      <c r="G1283" s="600" t="s">
        <v>1565</v>
      </c>
      <c r="H1283" s="600"/>
      <c r="I1283" s="173">
        <v>7</v>
      </c>
      <c r="J1283">
        <v>1090</v>
      </c>
      <c r="K1283" s="173">
        <v>1099</v>
      </c>
      <c r="L1283" s="402">
        <f t="shared" si="133"/>
        <v>7.0577981651376147</v>
      </c>
      <c r="M1283" s="173">
        <f t="shared" si="134"/>
        <v>14.057798165137616</v>
      </c>
      <c r="N1283" s="174"/>
      <c r="O1283" s="173">
        <f t="shared" si="135"/>
        <v>19.680917431192661</v>
      </c>
      <c r="P1283" s="173">
        <v>40</v>
      </c>
    </row>
    <row r="1284" spans="3:20" hidden="1" x14ac:dyDescent="0.35">
      <c r="C1284" s="232" t="s">
        <v>1563</v>
      </c>
      <c r="D1284" s="232"/>
      <c r="F1284" s="366">
        <v>39</v>
      </c>
      <c r="G1284" s="600" t="s">
        <v>1565</v>
      </c>
      <c r="H1284" s="600"/>
      <c r="I1284" s="173">
        <v>7</v>
      </c>
      <c r="J1284">
        <v>1090</v>
      </c>
      <c r="K1284" s="173">
        <v>1099</v>
      </c>
      <c r="L1284" s="402">
        <f t="shared" si="133"/>
        <v>7.0577981651376147</v>
      </c>
      <c r="M1284" s="173">
        <f t="shared" si="134"/>
        <v>14.057798165137616</v>
      </c>
      <c r="N1284" s="174"/>
      <c r="O1284" s="173">
        <f t="shared" si="135"/>
        <v>19.680917431192661</v>
      </c>
      <c r="P1284" s="173">
        <v>40</v>
      </c>
    </row>
    <row r="1285" spans="3:20" hidden="1" x14ac:dyDescent="0.35">
      <c r="C1285" s="232" t="s">
        <v>1563</v>
      </c>
      <c r="D1285" s="232"/>
      <c r="F1285" s="366">
        <v>39</v>
      </c>
      <c r="G1285" s="600" t="s">
        <v>1565</v>
      </c>
      <c r="H1285" s="600"/>
      <c r="I1285" s="173">
        <v>7</v>
      </c>
      <c r="J1285">
        <v>1090</v>
      </c>
      <c r="K1285" s="173">
        <v>1099</v>
      </c>
      <c r="L1285" s="402">
        <f t="shared" si="133"/>
        <v>7.0577981651376147</v>
      </c>
      <c r="M1285" s="173">
        <f t="shared" si="134"/>
        <v>14.057798165137616</v>
      </c>
      <c r="N1285" s="174"/>
      <c r="O1285" s="173">
        <f t="shared" si="135"/>
        <v>19.680917431192661</v>
      </c>
      <c r="P1285" s="173">
        <v>40</v>
      </c>
    </row>
    <row r="1286" spans="3:20" hidden="1" x14ac:dyDescent="0.35">
      <c r="C1286" s="232" t="s">
        <v>1563</v>
      </c>
      <c r="D1286" s="232"/>
      <c r="F1286" s="366">
        <v>39</v>
      </c>
      <c r="G1286" s="600" t="s">
        <v>1565</v>
      </c>
      <c r="H1286" s="600"/>
      <c r="I1286" s="173">
        <v>7</v>
      </c>
      <c r="J1286">
        <v>1090</v>
      </c>
      <c r="K1286" s="173">
        <v>1099</v>
      </c>
      <c r="L1286" s="402">
        <f t="shared" si="133"/>
        <v>7.0577981651376147</v>
      </c>
      <c r="M1286" s="173">
        <f t="shared" si="134"/>
        <v>14.057798165137616</v>
      </c>
      <c r="N1286" s="174"/>
      <c r="O1286" s="173">
        <f t="shared" si="135"/>
        <v>19.680917431192661</v>
      </c>
      <c r="P1286" s="173">
        <v>40</v>
      </c>
    </row>
    <row r="1287" spans="3:20" hidden="1" x14ac:dyDescent="0.35">
      <c r="C1287" s="232" t="s">
        <v>1563</v>
      </c>
      <c r="D1287" s="232"/>
      <c r="F1287" s="366">
        <v>40</v>
      </c>
      <c r="G1287" s="600" t="s">
        <v>1565</v>
      </c>
      <c r="H1287" s="600"/>
      <c r="I1287" s="173">
        <v>7</v>
      </c>
      <c r="J1287">
        <v>1090</v>
      </c>
      <c r="K1287" s="173">
        <v>1099</v>
      </c>
      <c r="L1287" s="402">
        <f t="shared" si="133"/>
        <v>7.0577981651376147</v>
      </c>
      <c r="M1287" s="173">
        <f t="shared" si="134"/>
        <v>14.057798165137616</v>
      </c>
      <c r="N1287" s="174"/>
      <c r="O1287" s="173">
        <f t="shared" si="135"/>
        <v>19.680917431192661</v>
      </c>
      <c r="P1287" s="173">
        <v>40</v>
      </c>
    </row>
    <row r="1288" spans="3:20" hidden="1" x14ac:dyDescent="0.35">
      <c r="C1288" s="232" t="s">
        <v>1563</v>
      </c>
      <c r="D1288" s="232"/>
      <c r="F1288" s="366">
        <v>40</v>
      </c>
      <c r="G1288" s="600" t="s">
        <v>1565</v>
      </c>
      <c r="H1288" s="600"/>
      <c r="I1288" s="173">
        <v>7</v>
      </c>
      <c r="J1288">
        <v>1090</v>
      </c>
      <c r="K1288" s="173">
        <v>1099</v>
      </c>
      <c r="L1288" s="402">
        <f t="shared" si="133"/>
        <v>7.0577981651376147</v>
      </c>
      <c r="M1288" s="173">
        <f t="shared" si="134"/>
        <v>14.057798165137616</v>
      </c>
      <c r="N1288" s="174"/>
      <c r="O1288" s="173">
        <f t="shared" si="135"/>
        <v>19.680917431192661</v>
      </c>
      <c r="P1288" s="173">
        <v>40</v>
      </c>
    </row>
    <row r="1289" spans="3:20" hidden="1" x14ac:dyDescent="0.35">
      <c r="C1289" s="232" t="s">
        <v>1563</v>
      </c>
      <c r="D1289" s="232"/>
      <c r="F1289" s="366">
        <v>40</v>
      </c>
      <c r="G1289" s="600" t="s">
        <v>1565</v>
      </c>
      <c r="H1289" s="600"/>
      <c r="I1289" s="173">
        <v>7</v>
      </c>
      <c r="J1289">
        <v>1090</v>
      </c>
      <c r="K1289" s="173">
        <v>1099</v>
      </c>
      <c r="L1289" s="402">
        <f t="shared" si="133"/>
        <v>7.0577981651376147</v>
      </c>
      <c r="M1289" s="173">
        <f t="shared" si="134"/>
        <v>14.057798165137616</v>
      </c>
      <c r="N1289" s="174"/>
      <c r="O1289" s="173">
        <f t="shared" si="135"/>
        <v>19.680917431192661</v>
      </c>
      <c r="P1289" s="173">
        <v>40</v>
      </c>
    </row>
    <row r="1290" spans="3:20" hidden="1" x14ac:dyDescent="0.35">
      <c r="C1290" s="232" t="s">
        <v>1563</v>
      </c>
      <c r="D1290" s="232"/>
      <c r="F1290" s="366">
        <v>41</v>
      </c>
      <c r="G1290" s="600" t="s">
        <v>1565</v>
      </c>
      <c r="H1290" s="600"/>
      <c r="I1290" s="173">
        <v>7</v>
      </c>
      <c r="J1290">
        <v>1090</v>
      </c>
      <c r="K1290" s="173">
        <v>1099</v>
      </c>
      <c r="L1290" s="402">
        <f t="shared" si="133"/>
        <v>7.0577981651376147</v>
      </c>
      <c r="M1290" s="173">
        <f t="shared" si="134"/>
        <v>14.057798165137616</v>
      </c>
      <c r="N1290" s="174"/>
      <c r="O1290" s="173">
        <f t="shared" si="135"/>
        <v>19.680917431192661</v>
      </c>
      <c r="P1290" s="173">
        <v>40</v>
      </c>
    </row>
    <row r="1291" spans="3:20" hidden="1" x14ac:dyDescent="0.35">
      <c r="C1291" s="232" t="s">
        <v>1563</v>
      </c>
      <c r="D1291" s="232"/>
      <c r="F1291" s="366">
        <v>41</v>
      </c>
      <c r="G1291" s="600" t="s">
        <v>1565</v>
      </c>
      <c r="H1291" s="600"/>
      <c r="I1291" s="173">
        <v>7</v>
      </c>
      <c r="J1291">
        <v>1090</v>
      </c>
      <c r="K1291" s="173">
        <v>1099</v>
      </c>
      <c r="L1291" s="402">
        <f t="shared" si="133"/>
        <v>7.0577981651376147</v>
      </c>
      <c r="M1291" s="173">
        <f t="shared" si="134"/>
        <v>14.057798165137616</v>
      </c>
      <c r="N1291" s="174"/>
      <c r="O1291" s="173">
        <f t="shared" si="135"/>
        <v>19.680917431192661</v>
      </c>
      <c r="P1291" s="173">
        <v>40</v>
      </c>
    </row>
    <row r="1292" spans="3:20" hidden="1" x14ac:dyDescent="0.35">
      <c r="C1292" s="232" t="s">
        <v>1563</v>
      </c>
      <c r="D1292" s="232"/>
      <c r="F1292" s="366">
        <v>41</v>
      </c>
      <c r="G1292" s="600" t="s">
        <v>1565</v>
      </c>
      <c r="H1292" s="600"/>
      <c r="I1292" s="173">
        <v>7</v>
      </c>
      <c r="J1292">
        <v>1090</v>
      </c>
      <c r="K1292" s="173">
        <v>1099</v>
      </c>
      <c r="L1292" s="402">
        <f t="shared" si="133"/>
        <v>7.0577981651376147</v>
      </c>
      <c r="M1292" s="173">
        <f t="shared" si="134"/>
        <v>14.057798165137616</v>
      </c>
      <c r="N1292" s="174"/>
      <c r="O1292" s="173">
        <f t="shared" si="135"/>
        <v>19.680917431192661</v>
      </c>
      <c r="P1292" s="173">
        <v>40</v>
      </c>
    </row>
    <row r="1293" spans="3:20" hidden="1" x14ac:dyDescent="0.35">
      <c r="C1293" s="232" t="s">
        <v>1563</v>
      </c>
      <c r="D1293" s="232"/>
      <c r="F1293" s="366">
        <v>42</v>
      </c>
      <c r="G1293" s="600" t="s">
        <v>1565</v>
      </c>
      <c r="H1293" s="600"/>
      <c r="I1293" s="173">
        <v>7</v>
      </c>
      <c r="J1293">
        <v>1090</v>
      </c>
      <c r="K1293" s="173">
        <v>1099</v>
      </c>
      <c r="L1293" s="402">
        <f t="shared" si="133"/>
        <v>7.0577981651376147</v>
      </c>
      <c r="M1293" s="173">
        <f t="shared" si="134"/>
        <v>14.057798165137616</v>
      </c>
      <c r="N1293" s="174"/>
      <c r="O1293" s="173">
        <f t="shared" si="135"/>
        <v>19.680917431192661</v>
      </c>
      <c r="P1293" s="173">
        <v>40</v>
      </c>
    </row>
    <row r="1294" spans="3:20" hidden="1" x14ac:dyDescent="0.35">
      <c r="C1294" s="232" t="s">
        <v>1563</v>
      </c>
      <c r="D1294" s="232"/>
      <c r="F1294" s="366">
        <v>42</v>
      </c>
      <c r="G1294" s="600" t="s">
        <v>1565</v>
      </c>
      <c r="H1294" s="600"/>
      <c r="I1294" s="173">
        <v>7</v>
      </c>
      <c r="J1294">
        <v>1090</v>
      </c>
      <c r="K1294" s="173">
        <v>1099</v>
      </c>
      <c r="L1294" s="402">
        <f t="shared" si="133"/>
        <v>7.0577981651376147</v>
      </c>
      <c r="M1294" s="173">
        <f t="shared" si="134"/>
        <v>14.057798165137616</v>
      </c>
      <c r="N1294" s="174"/>
      <c r="O1294" s="173">
        <f t="shared" si="135"/>
        <v>19.680917431192661</v>
      </c>
      <c r="P1294" s="173">
        <v>40</v>
      </c>
    </row>
    <row r="1295" spans="3:20" hidden="1" x14ac:dyDescent="0.35">
      <c r="C1295" s="232" t="s">
        <v>1563</v>
      </c>
      <c r="D1295" s="232"/>
      <c r="F1295" s="366">
        <v>42</v>
      </c>
      <c r="G1295" s="600" t="s">
        <v>1565</v>
      </c>
      <c r="H1295" s="600"/>
      <c r="I1295" s="173">
        <v>7</v>
      </c>
      <c r="J1295">
        <v>1090</v>
      </c>
      <c r="K1295" s="173">
        <v>1099</v>
      </c>
      <c r="L1295" s="402">
        <f t="shared" si="133"/>
        <v>7.0577981651376147</v>
      </c>
      <c r="M1295" s="173">
        <f t="shared" si="134"/>
        <v>14.057798165137616</v>
      </c>
      <c r="N1295" s="174"/>
      <c r="O1295" s="173">
        <f t="shared" si="135"/>
        <v>19.680917431192661</v>
      </c>
      <c r="P1295" s="173">
        <v>40</v>
      </c>
    </row>
    <row r="1296" spans="3:20" hidden="1" x14ac:dyDescent="0.35">
      <c r="C1296" s="232" t="s">
        <v>1563</v>
      </c>
      <c r="D1296" s="232"/>
      <c r="F1296" s="366">
        <v>38</v>
      </c>
      <c r="G1296" s="600" t="s">
        <v>1566</v>
      </c>
      <c r="H1296" s="600"/>
      <c r="I1296" s="176">
        <v>7</v>
      </c>
      <c r="J1296" s="12">
        <v>1090</v>
      </c>
      <c r="K1296" s="176">
        <v>1099</v>
      </c>
      <c r="L1296" s="410">
        <f t="shared" si="133"/>
        <v>7.0577981651376147</v>
      </c>
      <c r="M1296" s="176">
        <f t="shared" si="134"/>
        <v>14.057798165137616</v>
      </c>
      <c r="N1296" s="411"/>
      <c r="O1296" s="176">
        <f t="shared" si="135"/>
        <v>19.680917431192661</v>
      </c>
      <c r="P1296" s="176">
        <v>40</v>
      </c>
      <c r="S1296" t="s">
        <v>1521</v>
      </c>
      <c r="T1296" s="6">
        <v>45777</v>
      </c>
    </row>
    <row r="1297" spans="3:20" hidden="1" x14ac:dyDescent="0.35">
      <c r="C1297" s="232" t="s">
        <v>1563</v>
      </c>
      <c r="D1297" s="232"/>
      <c r="F1297" s="366">
        <v>39</v>
      </c>
      <c r="G1297" s="600" t="s">
        <v>1566</v>
      </c>
      <c r="H1297" s="600"/>
      <c r="I1297" s="173">
        <v>7</v>
      </c>
      <c r="J1297">
        <v>1090</v>
      </c>
      <c r="K1297" s="173">
        <v>1099</v>
      </c>
      <c r="L1297" s="402">
        <f t="shared" si="133"/>
        <v>7.0577981651376147</v>
      </c>
      <c r="M1297" s="173">
        <f t="shared" si="134"/>
        <v>14.057798165137616</v>
      </c>
      <c r="N1297" s="174"/>
      <c r="O1297" s="173">
        <f t="shared" si="135"/>
        <v>19.680917431192661</v>
      </c>
      <c r="P1297" s="173">
        <v>40</v>
      </c>
    </row>
    <row r="1298" spans="3:20" hidden="1" x14ac:dyDescent="0.35">
      <c r="C1298" s="232" t="s">
        <v>1563</v>
      </c>
      <c r="D1298" s="232"/>
      <c r="F1298" s="366">
        <v>39</v>
      </c>
      <c r="G1298" s="600" t="s">
        <v>1566</v>
      </c>
      <c r="H1298" s="600"/>
      <c r="I1298" s="173">
        <v>7</v>
      </c>
      <c r="J1298">
        <v>1090</v>
      </c>
      <c r="K1298" s="173">
        <v>1099</v>
      </c>
      <c r="L1298" s="402">
        <f t="shared" si="133"/>
        <v>7.0577981651376147</v>
      </c>
      <c r="M1298" s="173">
        <f t="shared" si="134"/>
        <v>14.057798165137616</v>
      </c>
      <c r="N1298" s="174"/>
      <c r="O1298" s="173">
        <f t="shared" si="135"/>
        <v>19.680917431192661</v>
      </c>
      <c r="P1298" s="173">
        <v>40</v>
      </c>
    </row>
    <row r="1299" spans="3:20" hidden="1" x14ac:dyDescent="0.35">
      <c r="C1299" s="232" t="s">
        <v>1563</v>
      </c>
      <c r="D1299" s="232"/>
      <c r="F1299" s="366">
        <v>40</v>
      </c>
      <c r="G1299" s="600" t="s">
        <v>1566</v>
      </c>
      <c r="H1299" s="600"/>
      <c r="I1299" s="173">
        <v>7</v>
      </c>
      <c r="J1299">
        <v>1090</v>
      </c>
      <c r="K1299" s="173">
        <v>1099</v>
      </c>
      <c r="L1299" s="402">
        <f t="shared" si="133"/>
        <v>7.0577981651376147</v>
      </c>
      <c r="M1299" s="173">
        <f t="shared" si="134"/>
        <v>14.057798165137616</v>
      </c>
      <c r="N1299" s="174"/>
      <c r="O1299" s="173">
        <f t="shared" si="135"/>
        <v>19.680917431192661</v>
      </c>
      <c r="P1299" s="173">
        <v>40</v>
      </c>
    </row>
    <row r="1300" spans="3:20" hidden="1" x14ac:dyDescent="0.35">
      <c r="C1300" s="232" t="s">
        <v>1563</v>
      </c>
      <c r="D1300" s="232"/>
      <c r="F1300" s="366">
        <v>40</v>
      </c>
      <c r="G1300" s="600" t="s">
        <v>1566</v>
      </c>
      <c r="H1300" s="600"/>
      <c r="I1300" s="173">
        <v>7</v>
      </c>
      <c r="J1300">
        <v>1090</v>
      </c>
      <c r="K1300" s="173">
        <v>1099</v>
      </c>
      <c r="L1300" s="402">
        <f t="shared" si="133"/>
        <v>7.0577981651376147</v>
      </c>
      <c r="M1300" s="173">
        <f t="shared" si="134"/>
        <v>14.057798165137616</v>
      </c>
      <c r="N1300" s="174"/>
      <c r="O1300" s="173">
        <f t="shared" si="135"/>
        <v>19.680917431192661</v>
      </c>
      <c r="P1300" s="173">
        <v>40</v>
      </c>
    </row>
    <row r="1301" spans="3:20" hidden="1" x14ac:dyDescent="0.35">
      <c r="C1301" s="232" t="s">
        <v>1563</v>
      </c>
      <c r="D1301" s="232"/>
      <c r="F1301" s="366">
        <v>41</v>
      </c>
      <c r="G1301" s="600" t="s">
        <v>1566</v>
      </c>
      <c r="H1301" s="600"/>
      <c r="I1301" s="173">
        <v>7</v>
      </c>
      <c r="J1301">
        <v>1090</v>
      </c>
      <c r="K1301" s="173">
        <v>1099</v>
      </c>
      <c r="L1301" s="402">
        <f t="shared" si="133"/>
        <v>7.0577981651376147</v>
      </c>
      <c r="M1301" s="173">
        <f t="shared" si="134"/>
        <v>14.057798165137616</v>
      </c>
      <c r="N1301" s="174"/>
      <c r="O1301" s="173">
        <f t="shared" si="135"/>
        <v>19.680917431192661</v>
      </c>
      <c r="P1301" s="173">
        <v>40</v>
      </c>
    </row>
    <row r="1302" spans="3:20" hidden="1" x14ac:dyDescent="0.35">
      <c r="C1302" s="232" t="s">
        <v>1563</v>
      </c>
      <c r="D1302" s="232"/>
      <c r="F1302" s="366">
        <v>41</v>
      </c>
      <c r="G1302" s="600" t="s">
        <v>1566</v>
      </c>
      <c r="H1302" s="600"/>
      <c r="I1302" s="173">
        <v>7</v>
      </c>
      <c r="J1302">
        <v>1090</v>
      </c>
      <c r="K1302" s="173">
        <v>1099</v>
      </c>
      <c r="L1302" s="402">
        <f t="shared" si="133"/>
        <v>7.0577981651376147</v>
      </c>
      <c r="M1302" s="173">
        <f t="shared" si="134"/>
        <v>14.057798165137616</v>
      </c>
      <c r="N1302" s="174"/>
      <c r="O1302" s="173">
        <f t="shared" si="135"/>
        <v>19.680917431192661</v>
      </c>
      <c r="P1302" s="173">
        <v>40</v>
      </c>
    </row>
    <row r="1303" spans="3:20" hidden="1" x14ac:dyDescent="0.35">
      <c r="C1303" s="232" t="s">
        <v>1563</v>
      </c>
      <c r="D1303" s="232"/>
      <c r="F1303" s="366">
        <v>42</v>
      </c>
      <c r="G1303" s="600" t="s">
        <v>1566</v>
      </c>
      <c r="H1303" s="600"/>
      <c r="I1303" s="173">
        <v>7</v>
      </c>
      <c r="J1303">
        <v>1090</v>
      </c>
      <c r="K1303" s="173">
        <v>1099</v>
      </c>
      <c r="L1303" s="402">
        <f t="shared" si="133"/>
        <v>7.0577981651376147</v>
      </c>
      <c r="M1303" s="173">
        <f t="shared" si="134"/>
        <v>14.057798165137616</v>
      </c>
      <c r="N1303" s="174"/>
      <c r="O1303" s="173">
        <f t="shared" si="135"/>
        <v>19.680917431192661</v>
      </c>
      <c r="P1303" s="173">
        <v>40</v>
      </c>
    </row>
    <row r="1304" spans="3:20" hidden="1" x14ac:dyDescent="0.35">
      <c r="C1304" s="232" t="s">
        <v>1563</v>
      </c>
      <c r="D1304" s="232"/>
      <c r="F1304" s="366">
        <v>38</v>
      </c>
      <c r="G1304" s="600" t="s">
        <v>1567</v>
      </c>
      <c r="H1304" s="600"/>
      <c r="I1304" s="176">
        <v>7</v>
      </c>
      <c r="J1304" s="12">
        <v>1090</v>
      </c>
      <c r="K1304" s="176">
        <v>1099</v>
      </c>
      <c r="L1304" s="410">
        <f t="shared" si="133"/>
        <v>7.0577981651376147</v>
      </c>
      <c r="M1304" s="176">
        <f t="shared" si="134"/>
        <v>14.057798165137616</v>
      </c>
      <c r="N1304" s="411"/>
      <c r="O1304" s="176">
        <f t="shared" si="135"/>
        <v>19.680917431192661</v>
      </c>
      <c r="P1304" s="176">
        <v>40</v>
      </c>
      <c r="S1304" t="s">
        <v>12</v>
      </c>
      <c r="T1304" s="6">
        <v>45776</v>
      </c>
    </row>
    <row r="1305" spans="3:20" hidden="1" x14ac:dyDescent="0.35">
      <c r="C1305" s="232" t="s">
        <v>1563</v>
      </c>
      <c r="D1305" s="232"/>
      <c r="F1305" s="366">
        <v>38</v>
      </c>
      <c r="G1305" s="600" t="s">
        <v>1567</v>
      </c>
      <c r="H1305" s="600"/>
      <c r="I1305" s="176">
        <v>7</v>
      </c>
      <c r="J1305" s="12">
        <v>1090</v>
      </c>
      <c r="K1305" s="176">
        <v>1099</v>
      </c>
      <c r="L1305" s="410">
        <f t="shared" si="133"/>
        <v>7.0577981651376147</v>
      </c>
      <c r="M1305" s="176">
        <f t="shared" si="134"/>
        <v>14.057798165137616</v>
      </c>
      <c r="N1305" s="411"/>
      <c r="O1305" s="176">
        <f t="shared" si="135"/>
        <v>19.680917431192661</v>
      </c>
      <c r="P1305" s="176">
        <v>40</v>
      </c>
      <c r="S1305" t="s">
        <v>12</v>
      </c>
      <c r="T1305" s="6">
        <v>45778</v>
      </c>
    </row>
    <row r="1306" spans="3:20" hidden="1" x14ac:dyDescent="0.35">
      <c r="C1306" s="232" t="s">
        <v>1563</v>
      </c>
      <c r="D1306" s="232"/>
      <c r="F1306" s="366">
        <v>39</v>
      </c>
      <c r="G1306" s="600" t="s">
        <v>1567</v>
      </c>
      <c r="H1306" s="600"/>
      <c r="I1306" s="176">
        <v>7</v>
      </c>
      <c r="J1306" s="12">
        <v>1090</v>
      </c>
      <c r="K1306" s="176">
        <v>1099</v>
      </c>
      <c r="L1306" s="410">
        <f t="shared" si="133"/>
        <v>7.0577981651376147</v>
      </c>
      <c r="M1306" s="176">
        <f t="shared" si="134"/>
        <v>14.057798165137616</v>
      </c>
      <c r="N1306" s="411"/>
      <c r="O1306" s="176">
        <f t="shared" si="135"/>
        <v>19.680917431192661</v>
      </c>
      <c r="P1306" s="176">
        <v>40</v>
      </c>
      <c r="S1306" t="s">
        <v>12</v>
      </c>
      <c r="T1306" s="6">
        <v>45783</v>
      </c>
    </row>
    <row r="1307" spans="3:20" hidden="1" x14ac:dyDescent="0.35">
      <c r="C1307" s="232" t="s">
        <v>1563</v>
      </c>
      <c r="D1307" s="232"/>
      <c r="F1307" s="366">
        <v>39</v>
      </c>
      <c r="G1307" s="600" t="s">
        <v>1567</v>
      </c>
      <c r="H1307" s="600"/>
      <c r="I1307" s="373">
        <v>7</v>
      </c>
      <c r="J1307" s="343">
        <v>1090</v>
      </c>
      <c r="K1307" s="373">
        <v>1099</v>
      </c>
      <c r="L1307" s="407">
        <f t="shared" si="133"/>
        <v>7.0577981651376147</v>
      </c>
      <c r="M1307" s="373">
        <f t="shared" si="134"/>
        <v>14.057798165137616</v>
      </c>
      <c r="N1307" s="408"/>
      <c r="O1307" s="373">
        <f t="shared" si="135"/>
        <v>19.680917431192661</v>
      </c>
      <c r="P1307" s="373">
        <v>40</v>
      </c>
      <c r="S1307" t="s">
        <v>1650</v>
      </c>
    </row>
    <row r="1308" spans="3:20" hidden="1" x14ac:dyDescent="0.35">
      <c r="C1308" s="232" t="s">
        <v>1563</v>
      </c>
      <c r="D1308" s="232"/>
      <c r="F1308" s="366">
        <v>39</v>
      </c>
      <c r="G1308" s="600" t="s">
        <v>1567</v>
      </c>
      <c r="H1308" s="600"/>
      <c r="I1308" s="173">
        <v>7</v>
      </c>
      <c r="J1308">
        <v>1090</v>
      </c>
      <c r="K1308" s="173">
        <v>1099</v>
      </c>
      <c r="L1308" s="402">
        <f t="shared" si="133"/>
        <v>7.0577981651376147</v>
      </c>
      <c r="M1308" s="173">
        <f t="shared" si="134"/>
        <v>14.057798165137616</v>
      </c>
      <c r="N1308" s="174"/>
      <c r="O1308" s="173">
        <f t="shared" si="135"/>
        <v>19.680917431192661</v>
      </c>
      <c r="P1308" s="173">
        <v>40</v>
      </c>
    </row>
    <row r="1309" spans="3:20" hidden="1" x14ac:dyDescent="0.35">
      <c r="C1309" s="232" t="s">
        <v>1563</v>
      </c>
      <c r="D1309" s="232"/>
      <c r="F1309" s="366">
        <v>40</v>
      </c>
      <c r="G1309" s="600" t="s">
        <v>1567</v>
      </c>
      <c r="H1309" s="600"/>
      <c r="I1309" s="173">
        <v>7</v>
      </c>
      <c r="J1309">
        <v>1090</v>
      </c>
      <c r="K1309" s="173">
        <v>1099</v>
      </c>
      <c r="L1309" s="402">
        <f t="shared" si="133"/>
        <v>7.0577981651376147</v>
      </c>
      <c r="M1309" s="173">
        <f t="shared" si="134"/>
        <v>14.057798165137616</v>
      </c>
      <c r="N1309" s="174"/>
      <c r="O1309" s="173">
        <f t="shared" si="135"/>
        <v>19.680917431192661</v>
      </c>
      <c r="P1309" s="173">
        <v>40</v>
      </c>
    </row>
    <row r="1310" spans="3:20" hidden="1" x14ac:dyDescent="0.35">
      <c r="C1310" s="232" t="s">
        <v>1563</v>
      </c>
      <c r="D1310" s="232"/>
      <c r="F1310" s="366">
        <v>40</v>
      </c>
      <c r="G1310" s="600" t="s">
        <v>1567</v>
      </c>
      <c r="H1310" s="600"/>
      <c r="I1310" s="173">
        <v>7</v>
      </c>
      <c r="J1310">
        <v>1090</v>
      </c>
      <c r="K1310" s="173">
        <v>1099</v>
      </c>
      <c r="L1310" s="402">
        <f t="shared" si="133"/>
        <v>7.0577981651376147</v>
      </c>
      <c r="M1310" s="173">
        <f t="shared" si="134"/>
        <v>14.057798165137616</v>
      </c>
      <c r="N1310" s="174"/>
      <c r="O1310" s="173">
        <f t="shared" si="135"/>
        <v>19.680917431192661</v>
      </c>
      <c r="P1310" s="173">
        <v>40</v>
      </c>
    </row>
    <row r="1311" spans="3:20" hidden="1" x14ac:dyDescent="0.35">
      <c r="C1311" s="232" t="s">
        <v>1563</v>
      </c>
      <c r="D1311" s="232"/>
      <c r="F1311" s="366">
        <v>40</v>
      </c>
      <c r="G1311" s="600" t="s">
        <v>1567</v>
      </c>
      <c r="H1311" s="600"/>
      <c r="I1311" s="173">
        <v>7</v>
      </c>
      <c r="J1311">
        <v>1090</v>
      </c>
      <c r="K1311" s="173">
        <v>1099</v>
      </c>
      <c r="L1311" s="402">
        <f t="shared" ref="L1311:L1342" si="136">+I1311/J1311*K1311</f>
        <v>7.0577981651376147</v>
      </c>
      <c r="M1311" s="173">
        <f t="shared" ref="M1311:M1342" si="137">+I1311+L1311</f>
        <v>14.057798165137616</v>
      </c>
      <c r="N1311" s="174"/>
      <c r="O1311" s="173">
        <f t="shared" ref="O1311:O1342" si="138">+M1311*1.4</f>
        <v>19.680917431192661</v>
      </c>
      <c r="P1311" s="173">
        <v>40</v>
      </c>
    </row>
    <row r="1312" spans="3:20" hidden="1" x14ac:dyDescent="0.35">
      <c r="C1312" s="232" t="s">
        <v>1563</v>
      </c>
      <c r="D1312" s="232"/>
      <c r="F1312" s="366">
        <v>41</v>
      </c>
      <c r="G1312" s="600" t="s">
        <v>1567</v>
      </c>
      <c r="H1312" s="600"/>
      <c r="I1312" s="173">
        <v>7</v>
      </c>
      <c r="J1312">
        <v>1090</v>
      </c>
      <c r="K1312" s="173">
        <v>1099</v>
      </c>
      <c r="L1312" s="402">
        <f t="shared" si="136"/>
        <v>7.0577981651376147</v>
      </c>
      <c r="M1312" s="173">
        <f t="shared" si="137"/>
        <v>14.057798165137616</v>
      </c>
      <c r="N1312" s="174"/>
      <c r="O1312" s="173">
        <f t="shared" si="138"/>
        <v>19.680917431192661</v>
      </c>
      <c r="P1312" s="173">
        <v>40</v>
      </c>
    </row>
    <row r="1313" spans="3:20" hidden="1" x14ac:dyDescent="0.35">
      <c r="C1313" s="232" t="s">
        <v>1563</v>
      </c>
      <c r="D1313" s="232"/>
      <c r="F1313" s="366">
        <v>41</v>
      </c>
      <c r="G1313" s="600" t="s">
        <v>1567</v>
      </c>
      <c r="H1313" s="600"/>
      <c r="I1313" s="173">
        <v>7</v>
      </c>
      <c r="J1313">
        <v>1090</v>
      </c>
      <c r="K1313" s="173">
        <v>1099</v>
      </c>
      <c r="L1313" s="402">
        <f t="shared" si="136"/>
        <v>7.0577981651376147</v>
      </c>
      <c r="M1313" s="173">
        <f t="shared" si="137"/>
        <v>14.057798165137616</v>
      </c>
      <c r="N1313" s="174"/>
      <c r="O1313" s="173">
        <f t="shared" si="138"/>
        <v>19.680917431192661</v>
      </c>
      <c r="P1313" s="173">
        <v>40</v>
      </c>
    </row>
    <row r="1314" spans="3:20" hidden="1" x14ac:dyDescent="0.35">
      <c r="C1314" s="232" t="s">
        <v>1563</v>
      </c>
      <c r="D1314" s="232"/>
      <c r="F1314" s="366">
        <v>41</v>
      </c>
      <c r="G1314" s="600" t="s">
        <v>1567</v>
      </c>
      <c r="H1314" s="600"/>
      <c r="I1314" s="173">
        <v>7</v>
      </c>
      <c r="J1314">
        <v>1090</v>
      </c>
      <c r="K1314" s="173">
        <v>1099</v>
      </c>
      <c r="L1314" s="402">
        <f t="shared" si="136"/>
        <v>7.0577981651376147</v>
      </c>
      <c r="M1314" s="173">
        <f t="shared" si="137"/>
        <v>14.057798165137616</v>
      </c>
      <c r="N1314" s="174"/>
      <c r="O1314" s="173">
        <f t="shared" si="138"/>
        <v>19.680917431192661</v>
      </c>
      <c r="P1314" s="173">
        <v>40</v>
      </c>
    </row>
    <row r="1315" spans="3:20" hidden="1" x14ac:dyDescent="0.35">
      <c r="C1315" s="232" t="s">
        <v>1563</v>
      </c>
      <c r="D1315" s="232"/>
      <c r="F1315" s="366">
        <v>42</v>
      </c>
      <c r="G1315" s="600" t="s">
        <v>1567</v>
      </c>
      <c r="H1315" s="600"/>
      <c r="I1315" s="173">
        <v>7</v>
      </c>
      <c r="J1315">
        <v>1090</v>
      </c>
      <c r="K1315" s="173">
        <v>1099</v>
      </c>
      <c r="L1315" s="402">
        <f t="shared" si="136"/>
        <v>7.0577981651376147</v>
      </c>
      <c r="M1315" s="173">
        <f t="shared" si="137"/>
        <v>14.057798165137616</v>
      </c>
      <c r="N1315" s="174"/>
      <c r="O1315" s="173">
        <f t="shared" si="138"/>
        <v>19.680917431192661</v>
      </c>
      <c r="P1315" s="173">
        <v>40</v>
      </c>
    </row>
    <row r="1316" spans="3:20" hidden="1" x14ac:dyDescent="0.35">
      <c r="C1316" s="232" t="s">
        <v>1563</v>
      </c>
      <c r="D1316" s="232"/>
      <c r="F1316" s="366">
        <v>42</v>
      </c>
      <c r="G1316" s="600" t="s">
        <v>1567</v>
      </c>
      <c r="H1316" s="600"/>
      <c r="I1316" s="173">
        <v>7</v>
      </c>
      <c r="J1316">
        <v>1090</v>
      </c>
      <c r="K1316" s="173">
        <v>1099</v>
      </c>
      <c r="L1316" s="402">
        <f t="shared" si="136"/>
        <v>7.0577981651376147</v>
      </c>
      <c r="M1316" s="173">
        <f t="shared" si="137"/>
        <v>14.057798165137616</v>
      </c>
      <c r="N1316" s="174"/>
      <c r="O1316" s="173">
        <f t="shared" si="138"/>
        <v>19.680917431192661</v>
      </c>
      <c r="P1316" s="173">
        <v>40</v>
      </c>
    </row>
    <row r="1317" spans="3:20" hidden="1" x14ac:dyDescent="0.35">
      <c r="C1317" s="232" t="s">
        <v>1563</v>
      </c>
      <c r="D1317" s="232"/>
      <c r="F1317" s="366">
        <v>42</v>
      </c>
      <c r="G1317" s="600" t="s">
        <v>1568</v>
      </c>
      <c r="H1317" s="600"/>
      <c r="I1317" s="173">
        <v>7</v>
      </c>
      <c r="J1317">
        <v>1090</v>
      </c>
      <c r="K1317" s="173">
        <v>1099</v>
      </c>
      <c r="L1317" s="402">
        <f t="shared" si="136"/>
        <v>7.0577981651376147</v>
      </c>
      <c r="M1317" s="173">
        <f t="shared" si="137"/>
        <v>14.057798165137616</v>
      </c>
      <c r="N1317" s="174"/>
      <c r="O1317" s="173">
        <f t="shared" si="138"/>
        <v>19.680917431192661</v>
      </c>
      <c r="P1317" s="173">
        <v>40</v>
      </c>
    </row>
    <row r="1318" spans="3:20" hidden="1" x14ac:dyDescent="0.35">
      <c r="C1318" s="232" t="s">
        <v>1563</v>
      </c>
      <c r="D1318" s="232"/>
      <c r="E1318" t="s">
        <v>1569</v>
      </c>
      <c r="F1318" s="366">
        <v>37</v>
      </c>
      <c r="G1318" s="600" t="s">
        <v>1575</v>
      </c>
      <c r="H1318" s="600"/>
      <c r="I1318" s="373">
        <v>7</v>
      </c>
      <c r="J1318" s="343">
        <v>1090</v>
      </c>
      <c r="K1318" s="373">
        <v>1099</v>
      </c>
      <c r="L1318" s="407">
        <f t="shared" si="136"/>
        <v>7.0577981651376147</v>
      </c>
      <c r="M1318" s="373">
        <f t="shared" si="137"/>
        <v>14.057798165137616</v>
      </c>
      <c r="N1318" s="408"/>
      <c r="O1318" s="373">
        <f t="shared" si="138"/>
        <v>19.680917431192661</v>
      </c>
      <c r="P1318" s="373">
        <v>35</v>
      </c>
    </row>
    <row r="1319" spans="3:20" hidden="1" x14ac:dyDescent="0.35">
      <c r="C1319" s="232" t="s">
        <v>1563</v>
      </c>
      <c r="D1319" s="232"/>
      <c r="F1319" s="366">
        <v>38</v>
      </c>
      <c r="G1319" s="600" t="s">
        <v>1575</v>
      </c>
      <c r="H1319" s="600"/>
      <c r="I1319" s="373">
        <v>7</v>
      </c>
      <c r="J1319" s="343">
        <v>1090</v>
      </c>
      <c r="K1319" s="373">
        <v>1099</v>
      </c>
      <c r="L1319" s="407">
        <f t="shared" si="136"/>
        <v>7.0577981651376147</v>
      </c>
      <c r="M1319" s="373">
        <f t="shared" si="137"/>
        <v>14.057798165137616</v>
      </c>
      <c r="N1319" s="408"/>
      <c r="O1319" s="373">
        <f t="shared" si="138"/>
        <v>19.680917431192661</v>
      </c>
      <c r="P1319" s="373">
        <v>35</v>
      </c>
    </row>
    <row r="1320" spans="3:20" hidden="1" x14ac:dyDescent="0.35">
      <c r="C1320" s="232" t="s">
        <v>1563</v>
      </c>
      <c r="D1320" s="232"/>
      <c r="F1320" s="366">
        <v>39</v>
      </c>
      <c r="G1320" s="600" t="s">
        <v>1575</v>
      </c>
      <c r="H1320" s="600"/>
      <c r="I1320" s="373">
        <v>7</v>
      </c>
      <c r="J1320" s="343">
        <v>1090</v>
      </c>
      <c r="K1320" s="373">
        <v>1099</v>
      </c>
      <c r="L1320" s="407">
        <f t="shared" si="136"/>
        <v>7.0577981651376147</v>
      </c>
      <c r="M1320" s="373">
        <f t="shared" si="137"/>
        <v>14.057798165137616</v>
      </c>
      <c r="N1320" s="408"/>
      <c r="O1320" s="373">
        <f t="shared" si="138"/>
        <v>19.680917431192661</v>
      </c>
      <c r="P1320" s="373">
        <v>35</v>
      </c>
    </row>
    <row r="1321" spans="3:20" hidden="1" x14ac:dyDescent="0.35">
      <c r="C1321" s="232" t="s">
        <v>1563</v>
      </c>
      <c r="D1321" s="232"/>
      <c r="F1321" s="366">
        <v>39</v>
      </c>
      <c r="G1321" s="600" t="s">
        <v>1575</v>
      </c>
      <c r="H1321" s="600"/>
      <c r="I1321" s="176">
        <v>7</v>
      </c>
      <c r="J1321" s="12">
        <v>1090</v>
      </c>
      <c r="K1321" s="176">
        <v>1099</v>
      </c>
      <c r="L1321" s="410">
        <f t="shared" si="136"/>
        <v>7.0577981651376147</v>
      </c>
      <c r="M1321" s="176">
        <f t="shared" si="137"/>
        <v>14.057798165137616</v>
      </c>
      <c r="N1321" s="411"/>
      <c r="O1321" s="176">
        <f t="shared" si="138"/>
        <v>19.680917431192661</v>
      </c>
      <c r="P1321" s="176">
        <v>35</v>
      </c>
      <c r="S1321" t="s">
        <v>12</v>
      </c>
      <c r="T1321" s="6">
        <v>45783</v>
      </c>
    </row>
    <row r="1322" spans="3:20" hidden="1" x14ac:dyDescent="0.35">
      <c r="C1322" s="232" t="s">
        <v>1563</v>
      </c>
      <c r="D1322" s="232"/>
      <c r="F1322" s="366">
        <v>39</v>
      </c>
      <c r="G1322" s="600" t="s">
        <v>1575</v>
      </c>
      <c r="H1322" s="600"/>
      <c r="I1322" s="173">
        <v>7</v>
      </c>
      <c r="J1322">
        <v>1090</v>
      </c>
      <c r="K1322" s="173">
        <v>1099</v>
      </c>
      <c r="L1322" s="402">
        <f t="shared" si="136"/>
        <v>7.0577981651376147</v>
      </c>
      <c r="M1322" s="173">
        <f t="shared" si="137"/>
        <v>14.057798165137616</v>
      </c>
      <c r="N1322" s="174"/>
      <c r="O1322" s="173">
        <f t="shared" si="138"/>
        <v>19.680917431192661</v>
      </c>
      <c r="P1322" s="173">
        <v>35</v>
      </c>
    </row>
    <row r="1323" spans="3:20" hidden="1" x14ac:dyDescent="0.35">
      <c r="C1323" s="232" t="s">
        <v>1563</v>
      </c>
      <c r="D1323" s="232"/>
      <c r="F1323" s="366">
        <v>40</v>
      </c>
      <c r="G1323" s="600" t="s">
        <v>1575</v>
      </c>
      <c r="H1323" s="600"/>
      <c r="I1323" s="173">
        <v>7</v>
      </c>
      <c r="J1323">
        <v>1090</v>
      </c>
      <c r="K1323" s="173">
        <v>1099</v>
      </c>
      <c r="L1323" s="402">
        <f t="shared" si="136"/>
        <v>7.0577981651376147</v>
      </c>
      <c r="M1323" s="173">
        <f t="shared" si="137"/>
        <v>14.057798165137616</v>
      </c>
      <c r="N1323" s="174"/>
      <c r="O1323" s="173">
        <f t="shared" si="138"/>
        <v>19.680917431192661</v>
      </c>
      <c r="P1323" s="173">
        <v>35</v>
      </c>
    </row>
    <row r="1324" spans="3:20" hidden="1" x14ac:dyDescent="0.35">
      <c r="C1324" s="232" t="s">
        <v>1563</v>
      </c>
      <c r="D1324" s="232"/>
      <c r="F1324" s="366">
        <v>40</v>
      </c>
      <c r="G1324" s="600" t="s">
        <v>1575</v>
      </c>
      <c r="H1324" s="600"/>
      <c r="I1324" s="173">
        <v>7</v>
      </c>
      <c r="J1324">
        <v>1090</v>
      </c>
      <c r="K1324" s="173">
        <v>1099</v>
      </c>
      <c r="L1324" s="402">
        <f t="shared" si="136"/>
        <v>7.0577981651376147</v>
      </c>
      <c r="M1324" s="173">
        <f t="shared" si="137"/>
        <v>14.057798165137616</v>
      </c>
      <c r="N1324" s="174"/>
      <c r="O1324" s="173">
        <f t="shared" si="138"/>
        <v>19.680917431192661</v>
      </c>
      <c r="P1324" s="173">
        <v>35</v>
      </c>
    </row>
    <row r="1325" spans="3:20" hidden="1" x14ac:dyDescent="0.35">
      <c r="C1325" s="232" t="s">
        <v>1563</v>
      </c>
      <c r="D1325" s="232"/>
      <c r="F1325" s="366">
        <v>41</v>
      </c>
      <c r="G1325" s="600" t="s">
        <v>1575</v>
      </c>
      <c r="H1325" s="600"/>
      <c r="I1325" s="173">
        <v>7</v>
      </c>
      <c r="J1325">
        <v>1090</v>
      </c>
      <c r="K1325" s="173">
        <v>1099</v>
      </c>
      <c r="L1325" s="402">
        <f t="shared" si="136"/>
        <v>7.0577981651376147</v>
      </c>
      <c r="M1325" s="173">
        <f t="shared" si="137"/>
        <v>14.057798165137616</v>
      </c>
      <c r="N1325" s="174"/>
      <c r="O1325" s="173">
        <f t="shared" si="138"/>
        <v>19.680917431192661</v>
      </c>
      <c r="P1325" s="173">
        <v>35</v>
      </c>
    </row>
    <row r="1326" spans="3:20" hidden="1" x14ac:dyDescent="0.35">
      <c r="C1326" s="232" t="s">
        <v>1563</v>
      </c>
      <c r="D1326" s="232"/>
      <c r="F1326" s="366">
        <v>41</v>
      </c>
      <c r="G1326" s="600" t="s">
        <v>1575</v>
      </c>
      <c r="H1326" s="600"/>
      <c r="I1326" s="173">
        <v>7</v>
      </c>
      <c r="J1326">
        <v>1090</v>
      </c>
      <c r="K1326" s="173">
        <v>1099</v>
      </c>
      <c r="L1326" s="402">
        <f t="shared" si="136"/>
        <v>7.0577981651376147</v>
      </c>
      <c r="M1326" s="173">
        <f t="shared" si="137"/>
        <v>14.057798165137616</v>
      </c>
      <c r="N1326" s="174"/>
      <c r="O1326" s="173">
        <f t="shared" si="138"/>
        <v>19.680917431192661</v>
      </c>
      <c r="P1326" s="173">
        <v>35</v>
      </c>
    </row>
    <row r="1327" spans="3:20" hidden="1" x14ac:dyDescent="0.35">
      <c r="C1327" s="232" t="s">
        <v>1563</v>
      </c>
      <c r="D1327" s="232"/>
      <c r="F1327" s="366">
        <v>42</v>
      </c>
      <c r="G1327" s="435" t="s">
        <v>1575</v>
      </c>
      <c r="H1327" s="435"/>
      <c r="I1327" s="173">
        <v>7</v>
      </c>
      <c r="J1327">
        <v>1090</v>
      </c>
      <c r="K1327" s="173">
        <v>1099</v>
      </c>
      <c r="L1327" s="402">
        <f t="shared" si="136"/>
        <v>7.0577981651376147</v>
      </c>
      <c r="M1327" s="173">
        <f t="shared" si="137"/>
        <v>14.057798165137616</v>
      </c>
      <c r="N1327" s="174"/>
      <c r="O1327" s="173">
        <f t="shared" si="138"/>
        <v>19.680917431192661</v>
      </c>
      <c r="P1327" s="173">
        <v>35</v>
      </c>
    </row>
    <row r="1328" spans="3:20" hidden="1" x14ac:dyDescent="0.35">
      <c r="C1328" s="232" t="s">
        <v>1563</v>
      </c>
      <c r="D1328" s="232"/>
      <c r="F1328" s="366">
        <v>42</v>
      </c>
      <c r="G1328" s="435" t="s">
        <v>1575</v>
      </c>
      <c r="H1328" s="435"/>
      <c r="I1328" s="173">
        <v>7</v>
      </c>
      <c r="J1328">
        <v>1090</v>
      </c>
      <c r="K1328" s="173">
        <v>1099</v>
      </c>
      <c r="L1328" s="402">
        <f t="shared" si="136"/>
        <v>7.0577981651376147</v>
      </c>
      <c r="M1328" s="173">
        <f t="shared" si="137"/>
        <v>14.057798165137616</v>
      </c>
      <c r="N1328" s="174"/>
      <c r="O1328" s="173">
        <f t="shared" si="138"/>
        <v>19.680917431192661</v>
      </c>
      <c r="P1328" s="173">
        <v>35</v>
      </c>
    </row>
    <row r="1329" spans="1:20" hidden="1" x14ac:dyDescent="0.35">
      <c r="C1329" s="232" t="s">
        <v>1563</v>
      </c>
      <c r="D1329" s="232"/>
      <c r="E1329" t="s">
        <v>1570</v>
      </c>
      <c r="F1329" s="366">
        <v>38</v>
      </c>
      <c r="G1329" s="600" t="s">
        <v>1572</v>
      </c>
      <c r="H1329" s="600"/>
      <c r="I1329" s="173">
        <v>7</v>
      </c>
      <c r="J1329">
        <v>1090</v>
      </c>
      <c r="K1329" s="173">
        <v>1099</v>
      </c>
      <c r="L1329" s="402">
        <f t="shared" si="136"/>
        <v>7.0577981651376147</v>
      </c>
      <c r="M1329" s="173">
        <f t="shared" si="137"/>
        <v>14.057798165137616</v>
      </c>
      <c r="N1329" s="174"/>
      <c r="O1329" s="173">
        <f t="shared" si="138"/>
        <v>19.680917431192661</v>
      </c>
      <c r="P1329" s="173">
        <v>40</v>
      </c>
    </row>
    <row r="1330" spans="1:20" hidden="1" x14ac:dyDescent="0.35">
      <c r="C1330" s="232" t="s">
        <v>1563</v>
      </c>
      <c r="D1330" s="232"/>
      <c r="F1330" s="366">
        <v>39</v>
      </c>
      <c r="G1330" s="600" t="s">
        <v>1572</v>
      </c>
      <c r="H1330" s="600"/>
      <c r="I1330" s="173">
        <v>7</v>
      </c>
      <c r="J1330">
        <v>1090</v>
      </c>
      <c r="K1330" s="173">
        <v>1099</v>
      </c>
      <c r="L1330" s="402">
        <f t="shared" si="136"/>
        <v>7.0577981651376147</v>
      </c>
      <c r="M1330" s="173">
        <f t="shared" si="137"/>
        <v>14.057798165137616</v>
      </c>
      <c r="N1330" s="174"/>
      <c r="O1330" s="173">
        <f t="shared" si="138"/>
        <v>19.680917431192661</v>
      </c>
      <c r="P1330" s="173">
        <v>40</v>
      </c>
    </row>
    <row r="1331" spans="1:20" hidden="1" x14ac:dyDescent="0.35">
      <c r="C1331" s="232" t="s">
        <v>1563</v>
      </c>
      <c r="D1331" s="232"/>
      <c r="F1331" s="366">
        <v>40</v>
      </c>
      <c r="G1331" s="600" t="s">
        <v>1572</v>
      </c>
      <c r="H1331" s="600"/>
      <c r="I1331" s="173">
        <v>7</v>
      </c>
      <c r="J1331">
        <v>1090</v>
      </c>
      <c r="K1331" s="173">
        <v>1099</v>
      </c>
      <c r="L1331" s="402">
        <f t="shared" si="136"/>
        <v>7.0577981651376147</v>
      </c>
      <c r="M1331" s="173">
        <f t="shared" si="137"/>
        <v>14.057798165137616</v>
      </c>
      <c r="N1331" s="174"/>
      <c r="O1331" s="173">
        <f t="shared" si="138"/>
        <v>19.680917431192661</v>
      </c>
      <c r="P1331" s="173">
        <v>40</v>
      </c>
    </row>
    <row r="1332" spans="1:20" hidden="1" x14ac:dyDescent="0.35">
      <c r="C1332" s="232" t="s">
        <v>1563</v>
      </c>
      <c r="D1332" s="232"/>
      <c r="F1332" s="366">
        <v>41</v>
      </c>
      <c r="G1332" s="600" t="s">
        <v>1572</v>
      </c>
      <c r="H1332" s="600"/>
      <c r="I1332" s="173">
        <v>7</v>
      </c>
      <c r="J1332">
        <v>1090</v>
      </c>
      <c r="K1332" s="173">
        <v>1099</v>
      </c>
      <c r="L1332" s="402">
        <f t="shared" si="136"/>
        <v>7.0577981651376147</v>
      </c>
      <c r="M1332" s="173">
        <f t="shared" si="137"/>
        <v>14.057798165137616</v>
      </c>
      <c r="N1332" s="174"/>
      <c r="O1332" s="173">
        <f t="shared" si="138"/>
        <v>19.680917431192661</v>
      </c>
      <c r="P1332" s="173">
        <v>40</v>
      </c>
    </row>
    <row r="1333" spans="1:20" hidden="1" x14ac:dyDescent="0.35">
      <c r="C1333" s="232" t="s">
        <v>1563</v>
      </c>
      <c r="D1333" s="232"/>
      <c r="F1333" s="366">
        <v>42</v>
      </c>
      <c r="G1333" s="600" t="s">
        <v>1572</v>
      </c>
      <c r="H1333" s="600"/>
      <c r="I1333" s="173">
        <v>7</v>
      </c>
      <c r="J1333">
        <v>1090</v>
      </c>
      <c r="K1333" s="173">
        <v>1099</v>
      </c>
      <c r="L1333" s="402">
        <f t="shared" si="136"/>
        <v>7.0577981651376147</v>
      </c>
      <c r="M1333" s="173">
        <f t="shared" si="137"/>
        <v>14.057798165137616</v>
      </c>
      <c r="N1333" s="174"/>
      <c r="O1333" s="173">
        <f t="shared" si="138"/>
        <v>19.680917431192661</v>
      </c>
      <c r="P1333" s="173">
        <v>40</v>
      </c>
    </row>
    <row r="1334" spans="1:20" hidden="1" x14ac:dyDescent="0.35">
      <c r="C1334" s="232" t="s">
        <v>1563</v>
      </c>
      <c r="D1334" s="232"/>
      <c r="F1334" s="366">
        <v>38</v>
      </c>
      <c r="G1334" s="600" t="s">
        <v>1645</v>
      </c>
      <c r="H1334" s="600"/>
      <c r="I1334" s="176">
        <v>7</v>
      </c>
      <c r="J1334" s="12">
        <v>1090</v>
      </c>
      <c r="K1334" s="176">
        <v>1099</v>
      </c>
      <c r="L1334" s="410">
        <f t="shared" si="136"/>
        <v>7.0577981651376147</v>
      </c>
      <c r="M1334" s="176">
        <f t="shared" si="137"/>
        <v>14.057798165137616</v>
      </c>
      <c r="N1334" s="411"/>
      <c r="O1334" s="176">
        <f t="shared" si="138"/>
        <v>19.680917431192661</v>
      </c>
      <c r="P1334" s="176">
        <v>40</v>
      </c>
      <c r="S1334" t="s">
        <v>1521</v>
      </c>
      <c r="T1334" s="6">
        <v>45777</v>
      </c>
    </row>
    <row r="1335" spans="1:20" hidden="1" x14ac:dyDescent="0.35">
      <c r="C1335" s="232" t="s">
        <v>1563</v>
      </c>
      <c r="D1335" s="232"/>
      <c r="F1335" s="366">
        <v>39</v>
      </c>
      <c r="G1335" s="600" t="s">
        <v>1645</v>
      </c>
      <c r="H1335" s="600"/>
      <c r="I1335" s="173">
        <v>7</v>
      </c>
      <c r="J1335">
        <v>1090</v>
      </c>
      <c r="K1335" s="173">
        <v>1099</v>
      </c>
      <c r="L1335" s="402">
        <f t="shared" si="136"/>
        <v>7.0577981651376147</v>
      </c>
      <c r="M1335" s="173">
        <f t="shared" si="137"/>
        <v>14.057798165137616</v>
      </c>
      <c r="N1335" s="174"/>
      <c r="O1335" s="173">
        <f t="shared" si="138"/>
        <v>19.680917431192661</v>
      </c>
      <c r="P1335" s="173">
        <v>40</v>
      </c>
    </row>
    <row r="1336" spans="1:20" hidden="1" x14ac:dyDescent="0.35">
      <c r="C1336" s="232" t="s">
        <v>1563</v>
      </c>
      <c r="D1336" s="232"/>
      <c r="F1336" s="366">
        <v>40</v>
      </c>
      <c r="G1336" s="600" t="s">
        <v>1645</v>
      </c>
      <c r="H1336" s="600"/>
      <c r="I1336" s="173">
        <v>7</v>
      </c>
      <c r="J1336">
        <v>1090</v>
      </c>
      <c r="K1336" s="173">
        <v>1099</v>
      </c>
      <c r="L1336" s="402">
        <f t="shared" si="136"/>
        <v>7.0577981651376147</v>
      </c>
      <c r="M1336" s="173">
        <f t="shared" si="137"/>
        <v>14.057798165137616</v>
      </c>
      <c r="N1336" s="174"/>
      <c r="O1336" s="173">
        <f t="shared" si="138"/>
        <v>19.680917431192661</v>
      </c>
      <c r="P1336" s="173">
        <v>40</v>
      </c>
    </row>
    <row r="1337" spans="1:20" hidden="1" x14ac:dyDescent="0.35">
      <c r="A1337"/>
      <c r="C1337" s="232" t="s">
        <v>1563</v>
      </c>
      <c r="D1337" s="232"/>
      <c r="F1337" s="366">
        <v>41</v>
      </c>
      <c r="G1337" s="600" t="s">
        <v>1645</v>
      </c>
      <c r="H1337" s="600"/>
      <c r="I1337" s="173">
        <v>7</v>
      </c>
      <c r="J1337">
        <v>1090</v>
      </c>
      <c r="K1337" s="173">
        <v>1099</v>
      </c>
      <c r="L1337" s="402">
        <f t="shared" si="136"/>
        <v>7.0577981651376147</v>
      </c>
      <c r="M1337" s="173">
        <f t="shared" si="137"/>
        <v>14.057798165137616</v>
      </c>
      <c r="N1337" s="174"/>
      <c r="O1337" s="173">
        <f t="shared" si="138"/>
        <v>19.680917431192661</v>
      </c>
      <c r="P1337" s="173">
        <v>40</v>
      </c>
    </row>
    <row r="1338" spans="1:20" hidden="1" x14ac:dyDescent="0.35">
      <c r="A1338"/>
      <c r="C1338" s="232" t="s">
        <v>1563</v>
      </c>
      <c r="D1338" s="232"/>
      <c r="F1338" s="366">
        <v>42</v>
      </c>
      <c r="G1338" s="600" t="s">
        <v>1645</v>
      </c>
      <c r="H1338" s="600"/>
      <c r="I1338" s="173">
        <v>7</v>
      </c>
      <c r="J1338">
        <v>1090</v>
      </c>
      <c r="K1338" s="173">
        <v>1099</v>
      </c>
      <c r="L1338" s="402">
        <f t="shared" si="136"/>
        <v>7.0577981651376147</v>
      </c>
      <c r="M1338" s="173">
        <f t="shared" si="137"/>
        <v>14.057798165137616</v>
      </c>
      <c r="N1338" s="174"/>
      <c r="O1338" s="173">
        <f t="shared" si="138"/>
        <v>19.680917431192661</v>
      </c>
      <c r="P1338" s="173">
        <v>40</v>
      </c>
    </row>
    <row r="1339" spans="1:20" hidden="1" x14ac:dyDescent="0.35">
      <c r="A1339"/>
      <c r="C1339" s="232" t="s">
        <v>1563</v>
      </c>
      <c r="D1339" s="232"/>
      <c r="E1339" t="s">
        <v>1571</v>
      </c>
      <c r="F1339" s="366">
        <v>38</v>
      </c>
      <c r="G1339" s="600" t="s">
        <v>1573</v>
      </c>
      <c r="H1339" s="600"/>
      <c r="I1339" s="173">
        <v>7</v>
      </c>
      <c r="J1339">
        <v>1090</v>
      </c>
      <c r="K1339" s="173">
        <v>1099</v>
      </c>
      <c r="L1339" s="402">
        <f t="shared" si="136"/>
        <v>7.0577981651376147</v>
      </c>
      <c r="M1339" s="173">
        <f t="shared" si="137"/>
        <v>14.057798165137616</v>
      </c>
      <c r="N1339" s="174"/>
      <c r="O1339" s="173">
        <f t="shared" si="138"/>
        <v>19.680917431192661</v>
      </c>
      <c r="P1339" s="173">
        <v>35</v>
      </c>
    </row>
    <row r="1340" spans="1:20" hidden="1" x14ac:dyDescent="0.35">
      <c r="A1340"/>
      <c r="C1340" s="232" t="s">
        <v>1563</v>
      </c>
      <c r="D1340" s="232"/>
      <c r="F1340" s="366">
        <v>39</v>
      </c>
      <c r="G1340" s="600" t="s">
        <v>1573</v>
      </c>
      <c r="H1340" s="600"/>
      <c r="I1340" s="173">
        <v>7</v>
      </c>
      <c r="J1340">
        <v>1090</v>
      </c>
      <c r="K1340" s="173">
        <v>1099</v>
      </c>
      <c r="L1340" s="402">
        <f t="shared" si="136"/>
        <v>7.0577981651376147</v>
      </c>
      <c r="M1340" s="173">
        <f t="shared" si="137"/>
        <v>14.057798165137616</v>
      </c>
      <c r="N1340" s="174"/>
      <c r="O1340" s="173">
        <f t="shared" si="138"/>
        <v>19.680917431192661</v>
      </c>
      <c r="P1340" s="173">
        <v>35</v>
      </c>
    </row>
    <row r="1341" spans="1:20" hidden="1" x14ac:dyDescent="0.35">
      <c r="A1341"/>
      <c r="C1341" s="232" t="s">
        <v>1563</v>
      </c>
      <c r="D1341" s="232"/>
      <c r="F1341" s="366">
        <v>40</v>
      </c>
      <c r="G1341" s="600" t="s">
        <v>1573</v>
      </c>
      <c r="H1341" s="600"/>
      <c r="I1341" s="173">
        <v>7</v>
      </c>
      <c r="J1341">
        <v>1090</v>
      </c>
      <c r="K1341" s="173">
        <v>1099</v>
      </c>
      <c r="L1341" s="402">
        <f t="shared" si="136"/>
        <v>7.0577981651376147</v>
      </c>
      <c r="M1341" s="173">
        <f t="shared" si="137"/>
        <v>14.057798165137616</v>
      </c>
      <c r="N1341" s="174"/>
      <c r="O1341" s="173">
        <f t="shared" si="138"/>
        <v>19.680917431192661</v>
      </c>
      <c r="P1341" s="173">
        <v>35</v>
      </c>
    </row>
    <row r="1342" spans="1:20" hidden="1" x14ac:dyDescent="0.35">
      <c r="A1342"/>
      <c r="C1342" s="232" t="s">
        <v>1563</v>
      </c>
      <c r="D1342" s="232"/>
      <c r="F1342" s="366">
        <v>41</v>
      </c>
      <c r="G1342" s="600" t="s">
        <v>1573</v>
      </c>
      <c r="H1342" s="600"/>
      <c r="I1342" s="173">
        <v>7</v>
      </c>
      <c r="J1342">
        <v>1090</v>
      </c>
      <c r="K1342" s="173">
        <v>1099</v>
      </c>
      <c r="L1342" s="402">
        <f t="shared" si="136"/>
        <v>7.0577981651376147</v>
      </c>
      <c r="M1342" s="173">
        <f t="shared" si="137"/>
        <v>14.057798165137616</v>
      </c>
      <c r="N1342" s="174"/>
      <c r="O1342" s="173">
        <f t="shared" si="138"/>
        <v>19.680917431192661</v>
      </c>
      <c r="P1342" s="173">
        <v>35</v>
      </c>
    </row>
    <row r="1343" spans="1:20" hidden="1" x14ac:dyDescent="0.35">
      <c r="A1343"/>
      <c r="C1343" s="232" t="s">
        <v>1563</v>
      </c>
      <c r="D1343" s="232"/>
      <c r="F1343" s="366">
        <v>38</v>
      </c>
      <c r="G1343" s="600" t="s">
        <v>1574</v>
      </c>
      <c r="H1343" s="600"/>
      <c r="I1343" s="173">
        <v>7</v>
      </c>
      <c r="J1343">
        <v>1090</v>
      </c>
      <c r="K1343" s="173">
        <v>1099</v>
      </c>
      <c r="L1343" s="402">
        <f t="shared" ref="L1343:L1349" si="139">+I1343/J1343*K1343</f>
        <v>7.0577981651376147</v>
      </c>
      <c r="M1343" s="173">
        <f t="shared" ref="M1343:M1349" si="140">+I1343+L1343</f>
        <v>14.057798165137616</v>
      </c>
      <c r="N1343" s="174"/>
      <c r="O1343" s="173">
        <f t="shared" ref="O1343:O1349" si="141">+M1343*1.4</f>
        <v>19.680917431192661</v>
      </c>
      <c r="P1343" s="173">
        <v>35</v>
      </c>
    </row>
    <row r="1344" spans="1:20" hidden="1" x14ac:dyDescent="0.35">
      <c r="A1344"/>
      <c r="C1344" s="232" t="s">
        <v>1563</v>
      </c>
      <c r="D1344" s="232"/>
      <c r="F1344" s="366">
        <v>39</v>
      </c>
      <c r="G1344" s="600" t="s">
        <v>1574</v>
      </c>
      <c r="H1344" s="600"/>
      <c r="I1344" s="176">
        <v>7</v>
      </c>
      <c r="J1344" s="12">
        <v>1090</v>
      </c>
      <c r="K1344" s="176">
        <v>1099</v>
      </c>
      <c r="L1344" s="410">
        <f t="shared" si="139"/>
        <v>7.0577981651376147</v>
      </c>
      <c r="M1344" s="176">
        <f t="shared" si="140"/>
        <v>14.057798165137616</v>
      </c>
      <c r="N1344" s="411"/>
      <c r="O1344" s="176">
        <f t="shared" si="141"/>
        <v>19.680917431192661</v>
      </c>
      <c r="P1344" s="176">
        <v>35</v>
      </c>
      <c r="S1344" t="s">
        <v>1651</v>
      </c>
    </row>
    <row r="1345" spans="1:20" hidden="1" x14ac:dyDescent="0.35">
      <c r="A1345"/>
      <c r="C1345" s="232" t="s">
        <v>1563</v>
      </c>
      <c r="D1345" s="232"/>
      <c r="F1345" s="366">
        <v>40</v>
      </c>
      <c r="G1345" s="600" t="s">
        <v>1574</v>
      </c>
      <c r="H1345" s="600"/>
      <c r="I1345" s="173">
        <v>7</v>
      </c>
      <c r="J1345">
        <v>1090</v>
      </c>
      <c r="K1345" s="173">
        <v>1099</v>
      </c>
      <c r="L1345" s="402">
        <f t="shared" si="139"/>
        <v>7.0577981651376147</v>
      </c>
      <c r="M1345" s="173">
        <f t="shared" si="140"/>
        <v>14.057798165137616</v>
      </c>
      <c r="N1345" s="174"/>
      <c r="O1345" s="173">
        <f t="shared" si="141"/>
        <v>19.680917431192661</v>
      </c>
      <c r="P1345" s="173">
        <v>35</v>
      </c>
    </row>
    <row r="1346" spans="1:20" hidden="1" x14ac:dyDescent="0.35">
      <c r="A1346"/>
      <c r="C1346" s="232" t="s">
        <v>1563</v>
      </c>
      <c r="D1346" s="232"/>
      <c r="F1346" s="366">
        <v>41</v>
      </c>
      <c r="G1346" s="600" t="s">
        <v>1574</v>
      </c>
      <c r="H1346" s="600"/>
      <c r="I1346" s="173">
        <v>7</v>
      </c>
      <c r="J1346">
        <v>1090</v>
      </c>
      <c r="K1346" s="173">
        <v>1099</v>
      </c>
      <c r="L1346" s="402">
        <f t="shared" si="139"/>
        <v>7.0577981651376147</v>
      </c>
      <c r="M1346" s="173">
        <f t="shared" si="140"/>
        <v>14.057798165137616</v>
      </c>
      <c r="N1346" s="174"/>
      <c r="O1346" s="173">
        <f t="shared" si="141"/>
        <v>19.680917431192661</v>
      </c>
      <c r="P1346" s="173">
        <v>35</v>
      </c>
    </row>
    <row r="1347" spans="1:20" hidden="1" x14ac:dyDescent="0.35">
      <c r="A1347"/>
      <c r="C1347" s="232" t="s">
        <v>1563</v>
      </c>
      <c r="D1347" s="232"/>
      <c r="F1347" s="366">
        <v>42</v>
      </c>
      <c r="G1347" s="600" t="s">
        <v>1574</v>
      </c>
      <c r="H1347" s="600"/>
      <c r="I1347" s="173">
        <v>7</v>
      </c>
      <c r="J1347">
        <v>1090</v>
      </c>
      <c r="K1347" s="173">
        <v>1099</v>
      </c>
      <c r="L1347" s="402">
        <f t="shared" si="139"/>
        <v>7.0577981651376147</v>
      </c>
      <c r="M1347" s="173">
        <f t="shared" si="140"/>
        <v>14.057798165137616</v>
      </c>
      <c r="N1347" s="174"/>
      <c r="O1347" s="173">
        <f t="shared" si="141"/>
        <v>19.680917431192661</v>
      </c>
      <c r="P1347" s="173">
        <v>35</v>
      </c>
    </row>
    <row r="1348" spans="1:20" hidden="1" x14ac:dyDescent="0.35">
      <c r="A1348"/>
      <c r="C1348" s="232" t="s">
        <v>1563</v>
      </c>
      <c r="D1348" s="232"/>
      <c r="F1348" s="366">
        <v>42</v>
      </c>
      <c r="G1348" s="600" t="s">
        <v>1574</v>
      </c>
      <c r="H1348" s="600"/>
      <c r="I1348" s="173">
        <v>7</v>
      </c>
      <c r="J1348">
        <v>1090</v>
      </c>
      <c r="K1348" s="173">
        <v>1099</v>
      </c>
      <c r="L1348" s="402">
        <f t="shared" si="139"/>
        <v>7.0577981651376147</v>
      </c>
      <c r="M1348" s="173">
        <f t="shared" si="140"/>
        <v>14.057798165137616</v>
      </c>
      <c r="N1348" s="174"/>
      <c r="O1348" s="173">
        <f t="shared" si="141"/>
        <v>19.680917431192661</v>
      </c>
      <c r="P1348" s="173">
        <v>35</v>
      </c>
    </row>
    <row r="1349" spans="1:20" hidden="1" x14ac:dyDescent="0.35">
      <c r="A1349"/>
      <c r="C1349" s="232" t="s">
        <v>1563</v>
      </c>
      <c r="D1349" s="232"/>
      <c r="F1349" s="366">
        <v>42</v>
      </c>
      <c r="G1349" s="600" t="s">
        <v>1574</v>
      </c>
      <c r="H1349" s="600"/>
      <c r="I1349" s="173">
        <v>7</v>
      </c>
      <c r="J1349">
        <v>1090</v>
      </c>
      <c r="K1349" s="173">
        <v>1099</v>
      </c>
      <c r="L1349" s="402">
        <f t="shared" si="139"/>
        <v>7.0577981651376147</v>
      </c>
      <c r="M1349" s="173">
        <f t="shared" si="140"/>
        <v>14.057798165137616</v>
      </c>
      <c r="N1349" s="174"/>
      <c r="O1349" s="173">
        <f t="shared" si="141"/>
        <v>19.680917431192661</v>
      </c>
      <c r="P1349" s="173">
        <v>35</v>
      </c>
    </row>
    <row r="1350" spans="1:20" hidden="1" x14ac:dyDescent="0.35">
      <c r="A1350"/>
      <c r="C1350" s="232" t="s">
        <v>1563</v>
      </c>
      <c r="D1350" s="232"/>
      <c r="G1350" s="435" t="s">
        <v>1119</v>
      </c>
      <c r="H1350" s="435"/>
      <c r="L1350" s="402"/>
      <c r="N1350" s="174"/>
    </row>
    <row r="1351" spans="1:20" hidden="1" x14ac:dyDescent="0.35">
      <c r="A1351"/>
      <c r="I1351" s="173">
        <f t="shared" ref="I1351:P1351" si="142">SUM(I1225:I1349)</f>
        <v>1903.9999999999991</v>
      </c>
      <c r="J1351" s="173">
        <f t="shared" si="142"/>
        <v>120017</v>
      </c>
      <c r="K1351" s="173">
        <f t="shared" si="142"/>
        <v>116955</v>
      </c>
      <c r="L1351" s="173">
        <f t="shared" si="142"/>
        <v>1543.7183486238578</v>
      </c>
      <c r="M1351" s="173">
        <f t="shared" si="142"/>
        <v>3447.7183486238596</v>
      </c>
      <c r="N1351" s="173">
        <f t="shared" si="142"/>
        <v>0</v>
      </c>
      <c r="O1351" s="173">
        <f t="shared" si="142"/>
        <v>4826.8056880734048</v>
      </c>
      <c r="P1351" s="173">
        <f t="shared" si="142"/>
        <v>7700</v>
      </c>
    </row>
    <row r="1352" spans="1:20" hidden="1" x14ac:dyDescent="0.35">
      <c r="A1352"/>
      <c r="N1352" s="174"/>
      <c r="P1352" s="402"/>
    </row>
    <row r="1353" spans="1:20" ht="18.5" hidden="1" x14ac:dyDescent="0.45">
      <c r="A1353"/>
      <c r="G1353" s="89" t="s">
        <v>798</v>
      </c>
      <c r="H1353" s="89"/>
      <c r="N1353" s="174"/>
    </row>
    <row r="1354" spans="1:20" hidden="1" x14ac:dyDescent="0.35">
      <c r="A1354"/>
      <c r="C1354" s="232" t="s">
        <v>1576</v>
      </c>
      <c r="D1354" s="232"/>
      <c r="N1354" s="174"/>
    </row>
    <row r="1355" spans="1:20" hidden="1" x14ac:dyDescent="0.35">
      <c r="A1355"/>
      <c r="C1355" s="233" t="s">
        <v>1655</v>
      </c>
      <c r="F1355" s="366">
        <v>50</v>
      </c>
      <c r="G1355" s="245" t="s">
        <v>1652</v>
      </c>
      <c r="I1355" s="173">
        <v>28</v>
      </c>
      <c r="J1355">
        <v>6149</v>
      </c>
      <c r="K1355" s="173">
        <f>5832-600</f>
        <v>5232</v>
      </c>
      <c r="L1355" s="402">
        <f t="shared" ref="L1355:L1386" si="143">+I1355/J1355*K1355</f>
        <v>23.824361684826801</v>
      </c>
      <c r="M1355" s="173">
        <f t="shared" ref="M1355:M1386" si="144">+I1355+L1355</f>
        <v>51.824361684826798</v>
      </c>
      <c r="N1355" s="174"/>
      <c r="O1355" s="173">
        <f t="shared" ref="O1355:O1398" si="145">+M1355*1.4</f>
        <v>72.554106358757508</v>
      </c>
      <c r="P1355" s="173">
        <v>90</v>
      </c>
    </row>
    <row r="1356" spans="1:20" hidden="1" x14ac:dyDescent="0.35">
      <c r="C1356" s="233" t="s">
        <v>1655</v>
      </c>
      <c r="F1356" s="366">
        <v>52</v>
      </c>
      <c r="G1356" s="245" t="s">
        <v>1652</v>
      </c>
      <c r="I1356" s="173">
        <v>28</v>
      </c>
      <c r="J1356">
        <v>6149</v>
      </c>
      <c r="K1356" s="173">
        <f t="shared" ref="K1356:K1423" si="146">5832-600</f>
        <v>5232</v>
      </c>
      <c r="L1356" s="402">
        <f t="shared" si="143"/>
        <v>23.824361684826801</v>
      </c>
      <c r="M1356" s="173">
        <f t="shared" si="144"/>
        <v>51.824361684826798</v>
      </c>
      <c r="N1356" s="174"/>
      <c r="O1356" s="173">
        <f t="shared" si="145"/>
        <v>72.554106358757508</v>
      </c>
      <c r="P1356" s="173">
        <v>90</v>
      </c>
    </row>
    <row r="1357" spans="1:20" hidden="1" x14ac:dyDescent="0.35">
      <c r="C1357" s="233" t="s">
        <v>1655</v>
      </c>
      <c r="F1357" s="366">
        <v>54</v>
      </c>
      <c r="G1357" s="245" t="s">
        <v>1652</v>
      </c>
      <c r="I1357" s="173">
        <v>28</v>
      </c>
      <c r="J1357">
        <v>6149</v>
      </c>
      <c r="K1357" s="173">
        <f t="shared" si="146"/>
        <v>5232</v>
      </c>
      <c r="L1357" s="402">
        <f t="shared" si="143"/>
        <v>23.824361684826801</v>
      </c>
      <c r="M1357" s="173">
        <f t="shared" si="144"/>
        <v>51.824361684826798</v>
      </c>
      <c r="N1357" s="174"/>
      <c r="O1357" s="173">
        <f t="shared" si="145"/>
        <v>72.554106358757508</v>
      </c>
      <c r="P1357" s="173">
        <v>90</v>
      </c>
    </row>
    <row r="1358" spans="1:20" hidden="1" x14ac:dyDescent="0.35">
      <c r="C1358" s="233" t="s">
        <v>1655</v>
      </c>
      <c r="F1358" s="366">
        <v>56</v>
      </c>
      <c r="G1358" s="245" t="s">
        <v>1652</v>
      </c>
      <c r="I1358" s="173">
        <v>28</v>
      </c>
      <c r="J1358">
        <v>6149</v>
      </c>
      <c r="K1358" s="173">
        <f t="shared" si="146"/>
        <v>5232</v>
      </c>
      <c r="L1358" s="402">
        <f t="shared" si="143"/>
        <v>23.824361684826801</v>
      </c>
      <c r="M1358" s="173">
        <f t="shared" si="144"/>
        <v>51.824361684826798</v>
      </c>
      <c r="N1358" s="174"/>
      <c r="O1358" s="173">
        <f t="shared" si="145"/>
        <v>72.554106358757508</v>
      </c>
      <c r="P1358" s="173">
        <v>90</v>
      </c>
    </row>
    <row r="1359" spans="1:20" hidden="1" x14ac:dyDescent="0.35">
      <c r="C1359" s="233" t="s">
        <v>1577</v>
      </c>
      <c r="F1359" s="366">
        <v>44</v>
      </c>
      <c r="G1359" s="371" t="s">
        <v>1578</v>
      </c>
      <c r="H1359" s="371"/>
      <c r="I1359" s="176">
        <v>33</v>
      </c>
      <c r="J1359" s="12">
        <v>6149</v>
      </c>
      <c r="K1359" s="176">
        <f t="shared" si="146"/>
        <v>5232</v>
      </c>
      <c r="L1359" s="410">
        <f t="shared" si="143"/>
        <v>28.078711985688727</v>
      </c>
      <c r="M1359" s="176">
        <f t="shared" si="144"/>
        <v>61.078711985688727</v>
      </c>
      <c r="N1359" s="411"/>
      <c r="O1359" s="176">
        <f t="shared" si="145"/>
        <v>85.510196779964218</v>
      </c>
      <c r="P1359" s="176">
        <v>110</v>
      </c>
      <c r="S1359" t="s">
        <v>1703</v>
      </c>
      <c r="T1359" s="6">
        <v>45804</v>
      </c>
    </row>
    <row r="1360" spans="1:20" hidden="1" x14ac:dyDescent="0.35">
      <c r="C1360" s="233" t="s">
        <v>1577</v>
      </c>
      <c r="F1360" s="366">
        <v>46</v>
      </c>
      <c r="G1360" s="245" t="s">
        <v>1578</v>
      </c>
      <c r="I1360" s="173">
        <v>33</v>
      </c>
      <c r="J1360">
        <v>6149</v>
      </c>
      <c r="K1360" s="173">
        <f t="shared" si="146"/>
        <v>5232</v>
      </c>
      <c r="L1360" s="402">
        <f t="shared" si="143"/>
        <v>28.078711985688727</v>
      </c>
      <c r="M1360" s="173">
        <f t="shared" si="144"/>
        <v>61.078711985688727</v>
      </c>
      <c r="N1360" s="174"/>
      <c r="O1360" s="173">
        <f t="shared" si="145"/>
        <v>85.510196779964218</v>
      </c>
      <c r="P1360" s="173">
        <v>110</v>
      </c>
    </row>
    <row r="1361" spans="3:17" hidden="1" x14ac:dyDescent="0.35">
      <c r="C1361" s="233" t="s">
        <v>1577</v>
      </c>
      <c r="F1361" s="366">
        <v>48</v>
      </c>
      <c r="G1361" s="245" t="s">
        <v>1578</v>
      </c>
      <c r="I1361" s="173">
        <v>33</v>
      </c>
      <c r="J1361">
        <v>6149</v>
      </c>
      <c r="K1361" s="173">
        <f t="shared" si="146"/>
        <v>5232</v>
      </c>
      <c r="L1361" s="402">
        <f t="shared" si="143"/>
        <v>28.078711985688727</v>
      </c>
      <c r="M1361" s="173">
        <f t="shared" si="144"/>
        <v>61.078711985688727</v>
      </c>
      <c r="N1361" s="174"/>
      <c r="O1361" s="173">
        <f t="shared" si="145"/>
        <v>85.510196779964218</v>
      </c>
      <c r="P1361" s="173">
        <v>110</v>
      </c>
    </row>
    <row r="1362" spans="3:17" hidden="1" x14ac:dyDescent="0.35">
      <c r="C1362" s="233" t="s">
        <v>1577</v>
      </c>
      <c r="F1362" s="366">
        <v>50</v>
      </c>
      <c r="G1362" s="245" t="s">
        <v>1578</v>
      </c>
      <c r="I1362" s="173">
        <v>33</v>
      </c>
      <c r="J1362">
        <v>6149</v>
      </c>
      <c r="K1362" s="173">
        <f t="shared" si="146"/>
        <v>5232</v>
      </c>
      <c r="L1362" s="402">
        <f t="shared" si="143"/>
        <v>28.078711985688727</v>
      </c>
      <c r="M1362" s="173">
        <f t="shared" si="144"/>
        <v>61.078711985688727</v>
      </c>
      <c r="N1362" s="174"/>
      <c r="O1362" s="173">
        <f t="shared" si="145"/>
        <v>85.510196779964218</v>
      </c>
      <c r="P1362" s="173">
        <v>110</v>
      </c>
    </row>
    <row r="1363" spans="3:17" hidden="1" x14ac:dyDescent="0.35">
      <c r="C1363" s="233" t="s">
        <v>1577</v>
      </c>
      <c r="F1363" s="366">
        <v>50</v>
      </c>
      <c r="G1363" s="245" t="s">
        <v>1579</v>
      </c>
      <c r="I1363" s="173">
        <v>35</v>
      </c>
      <c r="J1363">
        <v>6149</v>
      </c>
      <c r="K1363" s="173">
        <f t="shared" si="146"/>
        <v>5232</v>
      </c>
      <c r="L1363" s="402">
        <f t="shared" si="143"/>
        <v>29.780452106033501</v>
      </c>
      <c r="M1363" s="173">
        <f t="shared" si="144"/>
        <v>64.780452106033493</v>
      </c>
      <c r="N1363" s="174"/>
      <c r="O1363" s="173">
        <f t="shared" si="145"/>
        <v>90.692632948446885</v>
      </c>
      <c r="P1363" s="173">
        <v>125</v>
      </c>
      <c r="Q1363" t="s">
        <v>61</v>
      </c>
    </row>
    <row r="1364" spans="3:17" hidden="1" x14ac:dyDescent="0.35">
      <c r="C1364" s="233" t="s">
        <v>1577</v>
      </c>
      <c r="F1364" s="366">
        <v>52</v>
      </c>
      <c r="G1364" s="245" t="s">
        <v>1579</v>
      </c>
      <c r="I1364" s="173">
        <v>35</v>
      </c>
      <c r="J1364">
        <v>6149</v>
      </c>
      <c r="K1364" s="173">
        <f t="shared" si="146"/>
        <v>5232</v>
      </c>
      <c r="L1364" s="402">
        <f t="shared" si="143"/>
        <v>29.780452106033501</v>
      </c>
      <c r="M1364" s="173">
        <f t="shared" si="144"/>
        <v>64.780452106033493</v>
      </c>
      <c r="N1364" s="174"/>
      <c r="O1364" s="173">
        <f t="shared" si="145"/>
        <v>90.692632948446885</v>
      </c>
      <c r="P1364" s="173">
        <v>125</v>
      </c>
    </row>
    <row r="1365" spans="3:17" hidden="1" x14ac:dyDescent="0.35">
      <c r="C1365" s="233" t="s">
        <v>1577</v>
      </c>
      <c r="F1365" s="366">
        <v>54</v>
      </c>
      <c r="G1365" s="245" t="s">
        <v>1579</v>
      </c>
      <c r="I1365" s="173">
        <v>35</v>
      </c>
      <c r="J1365">
        <v>6149</v>
      </c>
      <c r="K1365" s="173">
        <f t="shared" si="146"/>
        <v>5232</v>
      </c>
      <c r="L1365" s="402">
        <f t="shared" si="143"/>
        <v>29.780452106033501</v>
      </c>
      <c r="M1365" s="173">
        <f t="shared" si="144"/>
        <v>64.780452106033493</v>
      </c>
      <c r="N1365" s="174"/>
      <c r="O1365" s="173">
        <f t="shared" si="145"/>
        <v>90.692632948446885</v>
      </c>
      <c r="P1365" s="173">
        <v>125</v>
      </c>
    </row>
    <row r="1366" spans="3:17" hidden="1" x14ac:dyDescent="0.35">
      <c r="C1366" s="233" t="s">
        <v>1577</v>
      </c>
      <c r="F1366" s="366">
        <v>56</v>
      </c>
      <c r="G1366" s="245" t="s">
        <v>1579</v>
      </c>
      <c r="I1366" s="173">
        <v>35</v>
      </c>
      <c r="J1366">
        <v>6149</v>
      </c>
      <c r="K1366" s="173">
        <f t="shared" si="146"/>
        <v>5232</v>
      </c>
      <c r="L1366" s="402">
        <f t="shared" si="143"/>
        <v>29.780452106033501</v>
      </c>
      <c r="M1366" s="173">
        <f t="shared" si="144"/>
        <v>64.780452106033493</v>
      </c>
      <c r="N1366" s="174"/>
      <c r="O1366" s="173">
        <f t="shared" si="145"/>
        <v>90.692632948446885</v>
      </c>
      <c r="P1366" s="173">
        <v>125</v>
      </c>
    </row>
    <row r="1367" spans="3:17" hidden="1" x14ac:dyDescent="0.35">
      <c r="C1367" s="233" t="s">
        <v>408</v>
      </c>
      <c r="F1367" s="366">
        <v>44</v>
      </c>
      <c r="G1367" s="245" t="s">
        <v>1580</v>
      </c>
      <c r="I1367" s="173">
        <v>36</v>
      </c>
      <c r="J1367">
        <v>6149</v>
      </c>
      <c r="K1367" s="173">
        <f t="shared" si="146"/>
        <v>5232</v>
      </c>
      <c r="L1367" s="402">
        <f t="shared" si="143"/>
        <v>30.631322166205887</v>
      </c>
      <c r="M1367" s="173">
        <f t="shared" si="144"/>
        <v>66.631322166205891</v>
      </c>
      <c r="N1367" s="174"/>
      <c r="O1367" s="173">
        <f t="shared" si="145"/>
        <v>93.283851032688247</v>
      </c>
      <c r="P1367" s="173">
        <v>110</v>
      </c>
    </row>
    <row r="1368" spans="3:17" hidden="1" x14ac:dyDescent="0.35">
      <c r="C1368" s="233" t="s">
        <v>408</v>
      </c>
      <c r="F1368" s="366">
        <v>46</v>
      </c>
      <c r="G1368" s="245" t="s">
        <v>1580</v>
      </c>
      <c r="I1368" s="173">
        <v>36</v>
      </c>
      <c r="J1368">
        <v>6149</v>
      </c>
      <c r="K1368" s="173">
        <f t="shared" si="146"/>
        <v>5232</v>
      </c>
      <c r="L1368" s="402">
        <f t="shared" si="143"/>
        <v>30.631322166205887</v>
      </c>
      <c r="M1368" s="173">
        <f t="shared" si="144"/>
        <v>66.631322166205891</v>
      </c>
      <c r="N1368" s="174"/>
      <c r="O1368" s="173">
        <f t="shared" si="145"/>
        <v>93.283851032688247</v>
      </c>
      <c r="P1368" s="173">
        <v>110</v>
      </c>
    </row>
    <row r="1369" spans="3:17" hidden="1" x14ac:dyDescent="0.35">
      <c r="C1369" s="233" t="s">
        <v>408</v>
      </c>
      <c r="F1369" s="366">
        <v>48</v>
      </c>
      <c r="G1369" s="245" t="s">
        <v>1580</v>
      </c>
      <c r="I1369" s="173">
        <v>36</v>
      </c>
      <c r="J1369">
        <v>6149</v>
      </c>
      <c r="K1369" s="173">
        <f t="shared" si="146"/>
        <v>5232</v>
      </c>
      <c r="L1369" s="402">
        <f t="shared" si="143"/>
        <v>30.631322166205887</v>
      </c>
      <c r="M1369" s="173">
        <f t="shared" si="144"/>
        <v>66.631322166205891</v>
      </c>
      <c r="N1369" s="174"/>
      <c r="O1369" s="173">
        <f t="shared" si="145"/>
        <v>93.283851032688247</v>
      </c>
      <c r="P1369" s="173">
        <v>110</v>
      </c>
    </row>
    <row r="1370" spans="3:17" hidden="1" x14ac:dyDescent="0.35">
      <c r="C1370" s="233" t="s">
        <v>408</v>
      </c>
      <c r="F1370" s="366">
        <v>50</v>
      </c>
      <c r="G1370" s="245" t="s">
        <v>1580</v>
      </c>
      <c r="I1370" s="173">
        <v>36</v>
      </c>
      <c r="J1370">
        <v>6149</v>
      </c>
      <c r="K1370" s="173">
        <f t="shared" si="146"/>
        <v>5232</v>
      </c>
      <c r="L1370" s="402">
        <f t="shared" si="143"/>
        <v>30.631322166205887</v>
      </c>
      <c r="M1370" s="173">
        <f t="shared" si="144"/>
        <v>66.631322166205891</v>
      </c>
      <c r="N1370" s="174"/>
      <c r="O1370" s="173">
        <f t="shared" si="145"/>
        <v>93.283851032688247</v>
      </c>
      <c r="P1370" s="173">
        <v>110</v>
      </c>
    </row>
    <row r="1371" spans="3:17" hidden="1" x14ac:dyDescent="0.35">
      <c r="C1371" s="233" t="s">
        <v>154</v>
      </c>
      <c r="F1371" s="366">
        <v>50</v>
      </c>
      <c r="G1371" s="245" t="s">
        <v>1581</v>
      </c>
      <c r="I1371" s="173">
        <v>44</v>
      </c>
      <c r="J1371">
        <v>6149</v>
      </c>
      <c r="K1371" s="173">
        <f t="shared" si="146"/>
        <v>5232</v>
      </c>
      <c r="L1371" s="402">
        <f t="shared" si="143"/>
        <v>37.438282647584977</v>
      </c>
      <c r="M1371" s="173">
        <f t="shared" si="144"/>
        <v>81.43828264758497</v>
      </c>
      <c r="N1371" s="174"/>
      <c r="O1371" s="173">
        <f t="shared" si="145"/>
        <v>114.01359570661894</v>
      </c>
      <c r="P1371" s="173">
        <v>150</v>
      </c>
    </row>
    <row r="1372" spans="3:17" hidden="1" x14ac:dyDescent="0.35">
      <c r="C1372" s="233" t="s">
        <v>154</v>
      </c>
      <c r="F1372" s="366">
        <v>52</v>
      </c>
      <c r="G1372" s="245" t="s">
        <v>1581</v>
      </c>
      <c r="I1372" s="173">
        <v>44</v>
      </c>
      <c r="J1372">
        <v>6149</v>
      </c>
      <c r="K1372" s="173">
        <f t="shared" si="146"/>
        <v>5232</v>
      </c>
      <c r="L1372" s="402">
        <f t="shared" si="143"/>
        <v>37.438282647584977</v>
      </c>
      <c r="M1372" s="173">
        <f t="shared" si="144"/>
        <v>81.43828264758497</v>
      </c>
      <c r="N1372" s="174"/>
      <c r="O1372" s="173">
        <f t="shared" si="145"/>
        <v>114.01359570661894</v>
      </c>
      <c r="P1372" s="173">
        <v>150</v>
      </c>
    </row>
    <row r="1373" spans="3:17" hidden="1" x14ac:dyDescent="0.35">
      <c r="C1373" s="233" t="s">
        <v>154</v>
      </c>
      <c r="F1373" s="366">
        <v>54</v>
      </c>
      <c r="G1373" s="245" t="s">
        <v>1581</v>
      </c>
      <c r="I1373" s="173">
        <v>44</v>
      </c>
      <c r="J1373">
        <v>6149</v>
      </c>
      <c r="K1373" s="173">
        <f t="shared" si="146"/>
        <v>5232</v>
      </c>
      <c r="L1373" s="402">
        <f t="shared" si="143"/>
        <v>37.438282647584977</v>
      </c>
      <c r="M1373" s="173">
        <f t="shared" si="144"/>
        <v>81.43828264758497</v>
      </c>
      <c r="N1373" s="174"/>
      <c r="O1373" s="173">
        <f t="shared" si="145"/>
        <v>114.01359570661894</v>
      </c>
      <c r="P1373" s="173">
        <v>150</v>
      </c>
    </row>
    <row r="1374" spans="3:17" hidden="1" x14ac:dyDescent="0.35">
      <c r="C1374" s="233" t="s">
        <v>154</v>
      </c>
      <c r="F1374" s="366">
        <v>56</v>
      </c>
      <c r="G1374" s="245" t="s">
        <v>1581</v>
      </c>
      <c r="I1374" s="173">
        <v>44</v>
      </c>
      <c r="J1374">
        <v>6149</v>
      </c>
      <c r="K1374" s="173">
        <f t="shared" si="146"/>
        <v>5232</v>
      </c>
      <c r="L1374" s="402">
        <f t="shared" si="143"/>
        <v>37.438282647584977</v>
      </c>
      <c r="M1374" s="173">
        <f t="shared" si="144"/>
        <v>81.43828264758497</v>
      </c>
      <c r="N1374" s="174"/>
      <c r="O1374" s="173">
        <f t="shared" si="145"/>
        <v>114.01359570661894</v>
      </c>
      <c r="P1374" s="173">
        <v>150</v>
      </c>
    </row>
    <row r="1375" spans="3:17" hidden="1" x14ac:dyDescent="0.35">
      <c r="C1375" s="233" t="s">
        <v>154</v>
      </c>
      <c r="G1375" s="245" t="s">
        <v>1582</v>
      </c>
      <c r="I1375" s="173">
        <v>28</v>
      </c>
      <c r="J1375">
        <v>6149</v>
      </c>
      <c r="K1375" s="173">
        <f t="shared" si="146"/>
        <v>5232</v>
      </c>
      <c r="L1375" s="402">
        <f t="shared" si="143"/>
        <v>23.824361684826801</v>
      </c>
      <c r="M1375" s="173">
        <f t="shared" si="144"/>
        <v>51.824361684826798</v>
      </c>
      <c r="N1375" s="174"/>
      <c r="O1375" s="173">
        <f t="shared" si="145"/>
        <v>72.554106358757508</v>
      </c>
      <c r="P1375" s="173">
        <v>110</v>
      </c>
    </row>
    <row r="1376" spans="3:17" hidden="1" x14ac:dyDescent="0.35">
      <c r="C1376" s="233" t="s">
        <v>154</v>
      </c>
      <c r="G1376" s="245" t="s">
        <v>1582</v>
      </c>
      <c r="I1376" s="173">
        <v>28</v>
      </c>
      <c r="J1376">
        <v>6149</v>
      </c>
      <c r="K1376" s="173">
        <f t="shared" si="146"/>
        <v>5232</v>
      </c>
      <c r="L1376" s="402">
        <f t="shared" si="143"/>
        <v>23.824361684826801</v>
      </c>
      <c r="M1376" s="173">
        <f t="shared" si="144"/>
        <v>51.824361684826798</v>
      </c>
      <c r="N1376" s="174"/>
      <c r="O1376" s="173">
        <f t="shared" si="145"/>
        <v>72.554106358757508</v>
      </c>
      <c r="P1376" s="173">
        <v>110</v>
      </c>
    </row>
    <row r="1377" spans="3:17" hidden="1" x14ac:dyDescent="0.35">
      <c r="C1377" s="233" t="s">
        <v>154</v>
      </c>
      <c r="G1377" s="245" t="s">
        <v>1582</v>
      </c>
      <c r="I1377" s="173">
        <v>28</v>
      </c>
      <c r="J1377">
        <v>6149</v>
      </c>
      <c r="K1377" s="173">
        <f t="shared" si="146"/>
        <v>5232</v>
      </c>
      <c r="L1377" s="402">
        <f t="shared" si="143"/>
        <v>23.824361684826801</v>
      </c>
      <c r="M1377" s="173">
        <f t="shared" si="144"/>
        <v>51.824361684826798</v>
      </c>
      <c r="N1377" s="174"/>
      <c r="O1377" s="173">
        <f t="shared" si="145"/>
        <v>72.554106358757508</v>
      </c>
      <c r="P1377" s="173">
        <v>110</v>
      </c>
    </row>
    <row r="1378" spans="3:17" hidden="1" x14ac:dyDescent="0.35">
      <c r="C1378" s="233" t="s">
        <v>154</v>
      </c>
      <c r="G1378" s="245" t="s">
        <v>1582</v>
      </c>
      <c r="I1378" s="173">
        <v>28</v>
      </c>
      <c r="J1378">
        <v>6149</v>
      </c>
      <c r="K1378" s="173">
        <f t="shared" si="146"/>
        <v>5232</v>
      </c>
      <c r="L1378" s="402">
        <f t="shared" si="143"/>
        <v>23.824361684826801</v>
      </c>
      <c r="M1378" s="173">
        <f t="shared" si="144"/>
        <v>51.824361684826798</v>
      </c>
      <c r="N1378" s="174"/>
      <c r="O1378" s="173">
        <f t="shared" si="145"/>
        <v>72.554106358757508</v>
      </c>
      <c r="P1378" s="173">
        <v>110</v>
      </c>
    </row>
    <row r="1379" spans="3:17" hidden="1" x14ac:dyDescent="0.35">
      <c r="C1379" s="233" t="s">
        <v>154</v>
      </c>
      <c r="G1379" s="245" t="s">
        <v>1656</v>
      </c>
      <c r="I1379" s="173">
        <v>28</v>
      </c>
      <c r="J1379">
        <v>6149</v>
      </c>
      <c r="K1379" s="173">
        <f t="shared" si="146"/>
        <v>5232</v>
      </c>
      <c r="L1379" s="402">
        <f t="shared" si="143"/>
        <v>23.824361684826801</v>
      </c>
      <c r="M1379" s="173">
        <f t="shared" si="144"/>
        <v>51.824361684826798</v>
      </c>
      <c r="N1379" s="174"/>
      <c r="O1379" s="173">
        <f t="shared" si="145"/>
        <v>72.554106358757508</v>
      </c>
      <c r="P1379" s="173">
        <v>110</v>
      </c>
    </row>
    <row r="1380" spans="3:17" hidden="1" x14ac:dyDescent="0.35">
      <c r="C1380" s="233" t="s">
        <v>154</v>
      </c>
      <c r="G1380" s="245" t="s">
        <v>1656</v>
      </c>
      <c r="I1380" s="173">
        <v>28</v>
      </c>
      <c r="J1380">
        <v>6149</v>
      </c>
      <c r="K1380" s="173">
        <f t="shared" si="146"/>
        <v>5232</v>
      </c>
      <c r="L1380" s="402">
        <f t="shared" si="143"/>
        <v>23.824361684826801</v>
      </c>
      <c r="M1380" s="173">
        <f t="shared" si="144"/>
        <v>51.824361684826798</v>
      </c>
      <c r="N1380" s="174"/>
      <c r="O1380" s="173">
        <f t="shared" si="145"/>
        <v>72.554106358757508</v>
      </c>
      <c r="P1380" s="173">
        <v>110</v>
      </c>
    </row>
    <row r="1381" spans="3:17" hidden="1" x14ac:dyDescent="0.35">
      <c r="C1381" s="233" t="s">
        <v>154</v>
      </c>
      <c r="G1381" s="245" t="s">
        <v>1656</v>
      </c>
      <c r="I1381" s="173">
        <v>28</v>
      </c>
      <c r="J1381">
        <v>6149</v>
      </c>
      <c r="K1381" s="173">
        <f t="shared" si="146"/>
        <v>5232</v>
      </c>
      <c r="L1381" s="402">
        <f t="shared" si="143"/>
        <v>23.824361684826801</v>
      </c>
      <c r="M1381" s="173">
        <f t="shared" si="144"/>
        <v>51.824361684826798</v>
      </c>
      <c r="N1381" s="174"/>
      <c r="O1381" s="173">
        <f t="shared" si="145"/>
        <v>72.554106358757508</v>
      </c>
      <c r="P1381" s="173">
        <v>110</v>
      </c>
    </row>
    <row r="1382" spans="3:17" hidden="1" x14ac:dyDescent="0.35">
      <c r="C1382" s="233" t="s">
        <v>154</v>
      </c>
      <c r="G1382" s="245" t="s">
        <v>1656</v>
      </c>
      <c r="I1382" s="173">
        <v>28</v>
      </c>
      <c r="J1382">
        <v>6149</v>
      </c>
      <c r="K1382" s="173">
        <f t="shared" si="146"/>
        <v>5232</v>
      </c>
      <c r="L1382" s="402">
        <f t="shared" si="143"/>
        <v>23.824361684826801</v>
      </c>
      <c r="M1382" s="173">
        <f t="shared" si="144"/>
        <v>51.824361684826798</v>
      </c>
      <c r="N1382" s="174"/>
      <c r="O1382" s="173">
        <f t="shared" si="145"/>
        <v>72.554106358757508</v>
      </c>
      <c r="P1382" s="173">
        <v>110</v>
      </c>
    </row>
    <row r="1383" spans="3:17" hidden="1" x14ac:dyDescent="0.35">
      <c r="C1383" s="233" t="s">
        <v>469</v>
      </c>
      <c r="G1383" s="245" t="s">
        <v>1594</v>
      </c>
      <c r="I1383" s="173">
        <v>20</v>
      </c>
      <c r="J1383">
        <v>6149</v>
      </c>
      <c r="K1383" s="173">
        <f t="shared" si="146"/>
        <v>5232</v>
      </c>
      <c r="L1383" s="402">
        <f t="shared" si="143"/>
        <v>17.017401203447715</v>
      </c>
      <c r="M1383" s="173">
        <f t="shared" si="144"/>
        <v>37.017401203447719</v>
      </c>
      <c r="N1383" s="174"/>
      <c r="O1383" s="173">
        <f t="shared" si="145"/>
        <v>51.824361684826805</v>
      </c>
      <c r="P1383" s="173">
        <v>85</v>
      </c>
      <c r="Q1383">
        <f>+I1383*3</f>
        <v>60</v>
      </c>
    </row>
    <row r="1384" spans="3:17" hidden="1" x14ac:dyDescent="0.35">
      <c r="C1384" s="233" t="s">
        <v>469</v>
      </c>
      <c r="G1384" s="245" t="s">
        <v>1594</v>
      </c>
      <c r="I1384" s="173">
        <v>20</v>
      </c>
      <c r="J1384">
        <v>6149</v>
      </c>
      <c r="K1384" s="173">
        <f t="shared" si="146"/>
        <v>5232</v>
      </c>
      <c r="L1384" s="402">
        <f t="shared" si="143"/>
        <v>17.017401203447715</v>
      </c>
      <c r="M1384" s="173">
        <f t="shared" si="144"/>
        <v>37.017401203447719</v>
      </c>
      <c r="N1384" s="174"/>
      <c r="O1384" s="173">
        <f t="shared" si="145"/>
        <v>51.824361684826805</v>
      </c>
      <c r="P1384" s="173">
        <v>85</v>
      </c>
      <c r="Q1384">
        <f>+I1384*3</f>
        <v>60</v>
      </c>
    </row>
    <row r="1385" spans="3:17" hidden="1" x14ac:dyDescent="0.35">
      <c r="C1385" s="233" t="s">
        <v>469</v>
      </c>
      <c r="G1385" s="245" t="s">
        <v>1594</v>
      </c>
      <c r="I1385" s="173">
        <v>20</v>
      </c>
      <c r="J1385">
        <v>6149</v>
      </c>
      <c r="K1385" s="173">
        <f t="shared" si="146"/>
        <v>5232</v>
      </c>
      <c r="L1385" s="402">
        <f t="shared" si="143"/>
        <v>17.017401203447715</v>
      </c>
      <c r="M1385" s="173">
        <f t="shared" si="144"/>
        <v>37.017401203447719</v>
      </c>
      <c r="N1385" s="174"/>
      <c r="O1385" s="173">
        <f t="shared" si="145"/>
        <v>51.824361684826805</v>
      </c>
      <c r="P1385" s="173">
        <v>85</v>
      </c>
      <c r="Q1385">
        <f>+I1385*3</f>
        <v>60</v>
      </c>
    </row>
    <row r="1386" spans="3:17" hidden="1" x14ac:dyDescent="0.35">
      <c r="C1386" s="233" t="s">
        <v>469</v>
      </c>
      <c r="G1386" s="245" t="s">
        <v>1594</v>
      </c>
      <c r="I1386" s="173">
        <v>20</v>
      </c>
      <c r="J1386">
        <v>6149</v>
      </c>
      <c r="K1386" s="173">
        <f t="shared" si="146"/>
        <v>5232</v>
      </c>
      <c r="L1386" s="402">
        <f t="shared" si="143"/>
        <v>17.017401203447715</v>
      </c>
      <c r="M1386" s="173">
        <f t="shared" si="144"/>
        <v>37.017401203447719</v>
      </c>
      <c r="N1386" s="174"/>
      <c r="O1386" s="173">
        <f t="shared" si="145"/>
        <v>51.824361684826805</v>
      </c>
      <c r="P1386" s="173">
        <v>85</v>
      </c>
      <c r="Q1386">
        <f>+I1386*3</f>
        <v>60</v>
      </c>
    </row>
    <row r="1387" spans="3:17" hidden="1" x14ac:dyDescent="0.35">
      <c r="C1387" s="233" t="s">
        <v>469</v>
      </c>
      <c r="G1387" s="245" t="s">
        <v>1660</v>
      </c>
      <c r="I1387" s="173">
        <v>30</v>
      </c>
      <c r="J1387">
        <v>6149</v>
      </c>
      <c r="K1387" s="173">
        <f t="shared" si="146"/>
        <v>5232</v>
      </c>
      <c r="L1387" s="402">
        <f>+I1395/J1387*K1387</f>
        <v>21.271751504309645</v>
      </c>
      <c r="M1387" s="173">
        <f>+I1395+L1387</f>
        <v>46.271751504309648</v>
      </c>
      <c r="N1387" s="174"/>
      <c r="O1387" s="173">
        <f t="shared" si="145"/>
        <v>64.780452106033508</v>
      </c>
      <c r="P1387" s="173">
        <v>90</v>
      </c>
      <c r="Q1387">
        <f>+I1395*3</f>
        <v>75</v>
      </c>
    </row>
    <row r="1388" spans="3:17" hidden="1" x14ac:dyDescent="0.35">
      <c r="C1388" s="233" t="s">
        <v>469</v>
      </c>
      <c r="G1388" s="245" t="s">
        <v>1660</v>
      </c>
      <c r="I1388" s="173">
        <v>30</v>
      </c>
      <c r="J1388">
        <v>6149</v>
      </c>
      <c r="K1388" s="173">
        <f t="shared" si="146"/>
        <v>5232</v>
      </c>
      <c r="L1388" s="402">
        <f>+I1396/J1388*K1388</f>
        <v>21.271751504309645</v>
      </c>
      <c r="M1388" s="173">
        <f>+I1396+L1388</f>
        <v>46.271751504309648</v>
      </c>
      <c r="N1388" s="174"/>
      <c r="O1388" s="173">
        <f t="shared" si="145"/>
        <v>64.780452106033508</v>
      </c>
      <c r="P1388" s="173">
        <v>90</v>
      </c>
      <c r="Q1388">
        <f>+I1396*3</f>
        <v>75</v>
      </c>
    </row>
    <row r="1389" spans="3:17" hidden="1" x14ac:dyDescent="0.35">
      <c r="C1389" s="233" t="s">
        <v>469</v>
      </c>
      <c r="G1389" s="245" t="s">
        <v>1660</v>
      </c>
      <c r="I1389" s="173">
        <v>30</v>
      </c>
      <c r="J1389">
        <v>6149</v>
      </c>
      <c r="K1389" s="173">
        <f t="shared" si="146"/>
        <v>5232</v>
      </c>
      <c r="L1389" s="402">
        <f>+I1397/J1389*K1389</f>
        <v>21.271751504309645</v>
      </c>
      <c r="M1389" s="173">
        <f>+I1397+L1389</f>
        <v>46.271751504309648</v>
      </c>
      <c r="N1389" s="174"/>
      <c r="O1389" s="173">
        <f t="shared" si="145"/>
        <v>64.780452106033508</v>
      </c>
      <c r="P1389" s="173">
        <v>90</v>
      </c>
      <c r="Q1389">
        <f>+I1397*3</f>
        <v>75</v>
      </c>
    </row>
    <row r="1390" spans="3:17" hidden="1" x14ac:dyDescent="0.35">
      <c r="C1390" s="233" t="s">
        <v>469</v>
      </c>
      <c r="G1390" s="245" t="s">
        <v>1660</v>
      </c>
      <c r="I1390" s="173">
        <v>30</v>
      </c>
      <c r="J1390">
        <v>6149</v>
      </c>
      <c r="K1390" s="173">
        <f t="shared" si="146"/>
        <v>5232</v>
      </c>
      <c r="L1390" s="402">
        <f>+I1398/J1390*K1390</f>
        <v>21.271751504309645</v>
      </c>
      <c r="M1390" s="173">
        <f>+I1398+L1390</f>
        <v>46.271751504309648</v>
      </c>
      <c r="N1390" s="174"/>
      <c r="O1390" s="173">
        <f t="shared" si="145"/>
        <v>64.780452106033508</v>
      </c>
      <c r="P1390" s="173">
        <v>90</v>
      </c>
      <c r="Q1390">
        <f>+I1398*3</f>
        <v>75</v>
      </c>
    </row>
    <row r="1391" spans="3:17" hidden="1" x14ac:dyDescent="0.35">
      <c r="C1391" s="233" t="s">
        <v>469</v>
      </c>
      <c r="G1391" s="245" t="s">
        <v>1595</v>
      </c>
      <c r="I1391" s="173">
        <v>24</v>
      </c>
      <c r="J1391">
        <v>6149</v>
      </c>
      <c r="K1391" s="173">
        <f t="shared" si="146"/>
        <v>5232</v>
      </c>
      <c r="L1391" s="402">
        <f>+I1391/J1391*K1391</f>
        <v>20.420881444137258</v>
      </c>
      <c r="M1391" s="173">
        <f>+I1391+L1391</f>
        <v>44.420881444137258</v>
      </c>
      <c r="N1391" s="174"/>
      <c r="O1391" s="173">
        <f t="shared" si="145"/>
        <v>62.18923402179216</v>
      </c>
      <c r="P1391" s="173">
        <v>90</v>
      </c>
      <c r="Q1391">
        <f>+I1391*3</f>
        <v>72</v>
      </c>
    </row>
    <row r="1392" spans="3:17" hidden="1" x14ac:dyDescent="0.35">
      <c r="C1392" s="233" t="s">
        <v>469</v>
      </c>
      <c r="G1392" s="245" t="s">
        <v>1595</v>
      </c>
      <c r="I1392" s="173">
        <v>24</v>
      </c>
      <c r="J1392">
        <v>6149</v>
      </c>
      <c r="K1392" s="173">
        <f t="shared" si="146"/>
        <v>5232</v>
      </c>
      <c r="L1392" s="402">
        <f>+I1392/J1392*K1392</f>
        <v>20.420881444137258</v>
      </c>
      <c r="M1392" s="173">
        <f>+I1392+L1392</f>
        <v>44.420881444137258</v>
      </c>
      <c r="N1392" s="174"/>
      <c r="O1392" s="173">
        <f t="shared" si="145"/>
        <v>62.18923402179216</v>
      </c>
      <c r="P1392" s="173">
        <v>90</v>
      </c>
      <c r="Q1392">
        <f>+I1392*3</f>
        <v>72</v>
      </c>
    </row>
    <row r="1393" spans="3:17" hidden="1" x14ac:dyDescent="0.35">
      <c r="C1393" s="233" t="s">
        <v>469</v>
      </c>
      <c r="G1393" s="245" t="s">
        <v>1595</v>
      </c>
      <c r="I1393" s="173">
        <v>24</v>
      </c>
      <c r="J1393">
        <v>6149</v>
      </c>
      <c r="K1393" s="173">
        <f t="shared" si="146"/>
        <v>5232</v>
      </c>
      <c r="L1393" s="402">
        <f>+I1393/J1393*K1393</f>
        <v>20.420881444137258</v>
      </c>
      <c r="M1393" s="173">
        <f>+I1393+L1393</f>
        <v>44.420881444137258</v>
      </c>
      <c r="N1393" s="174"/>
      <c r="O1393" s="173">
        <f t="shared" si="145"/>
        <v>62.18923402179216</v>
      </c>
      <c r="P1393" s="173">
        <v>90</v>
      </c>
      <c r="Q1393">
        <f>+I1393*3</f>
        <v>72</v>
      </c>
    </row>
    <row r="1394" spans="3:17" hidden="1" x14ac:dyDescent="0.35">
      <c r="C1394" s="233" t="s">
        <v>469</v>
      </c>
      <c r="G1394" s="245" t="s">
        <v>1595</v>
      </c>
      <c r="I1394" s="173">
        <v>24</v>
      </c>
      <c r="J1394">
        <v>6149</v>
      </c>
      <c r="K1394" s="173">
        <f t="shared" si="146"/>
        <v>5232</v>
      </c>
      <c r="L1394" s="402">
        <f>+I1394/J1394*K1394</f>
        <v>20.420881444137258</v>
      </c>
      <c r="M1394" s="173">
        <f>+I1394+L1394</f>
        <v>44.420881444137258</v>
      </c>
      <c r="N1394" s="174"/>
      <c r="O1394" s="173">
        <f t="shared" si="145"/>
        <v>62.18923402179216</v>
      </c>
      <c r="P1394" s="173">
        <v>90</v>
      </c>
      <c r="Q1394">
        <f>+I1394*3</f>
        <v>72</v>
      </c>
    </row>
    <row r="1395" spans="3:17" hidden="1" x14ac:dyDescent="0.35">
      <c r="C1395" s="233" t="s">
        <v>469</v>
      </c>
      <c r="G1395" s="245" t="s">
        <v>1596</v>
      </c>
      <c r="I1395" s="173">
        <v>25</v>
      </c>
      <c r="J1395">
        <v>6149</v>
      </c>
      <c r="K1395" s="173">
        <f t="shared" si="146"/>
        <v>5232</v>
      </c>
      <c r="L1395" s="402" t="e">
        <f>+#REF!/J1395*K1395</f>
        <v>#REF!</v>
      </c>
      <c r="M1395" s="173" t="e">
        <f>+#REF!+L1395</f>
        <v>#REF!</v>
      </c>
      <c r="N1395" s="174"/>
      <c r="O1395" s="173" t="e">
        <f t="shared" si="145"/>
        <v>#REF!</v>
      </c>
      <c r="P1395" s="173">
        <v>110</v>
      </c>
      <c r="Q1395" t="e">
        <f>+#REF!*3</f>
        <v>#REF!</v>
      </c>
    </row>
    <row r="1396" spans="3:17" hidden="1" x14ac:dyDescent="0.35">
      <c r="C1396" s="233" t="s">
        <v>469</v>
      </c>
      <c r="G1396" s="245" t="s">
        <v>1596</v>
      </c>
      <c r="I1396" s="173">
        <v>25</v>
      </c>
      <c r="J1396">
        <v>6149</v>
      </c>
      <c r="K1396" s="173">
        <f t="shared" si="146"/>
        <v>5232</v>
      </c>
      <c r="L1396" s="402" t="e">
        <f>+#REF!/J1396*K1396</f>
        <v>#REF!</v>
      </c>
      <c r="M1396" s="173" t="e">
        <f>+#REF!+L1396</f>
        <v>#REF!</v>
      </c>
      <c r="N1396" s="174"/>
      <c r="O1396" s="173" t="e">
        <f t="shared" si="145"/>
        <v>#REF!</v>
      </c>
      <c r="P1396" s="173">
        <v>110</v>
      </c>
      <c r="Q1396" t="e">
        <f>+#REF!*3</f>
        <v>#REF!</v>
      </c>
    </row>
    <row r="1397" spans="3:17" hidden="1" x14ac:dyDescent="0.35">
      <c r="C1397" s="233" t="s">
        <v>469</v>
      </c>
      <c r="G1397" s="245" t="s">
        <v>1596</v>
      </c>
      <c r="I1397" s="173">
        <v>25</v>
      </c>
      <c r="J1397">
        <v>6149</v>
      </c>
      <c r="K1397" s="173">
        <f t="shared" si="146"/>
        <v>5232</v>
      </c>
      <c r="L1397" s="402" t="e">
        <f>+#REF!/J1397*K1397</f>
        <v>#REF!</v>
      </c>
      <c r="M1397" s="173" t="e">
        <f>+#REF!+L1397</f>
        <v>#REF!</v>
      </c>
      <c r="N1397" s="174"/>
      <c r="O1397" s="173" t="e">
        <f t="shared" si="145"/>
        <v>#REF!</v>
      </c>
      <c r="P1397" s="173">
        <v>110</v>
      </c>
      <c r="Q1397" t="e">
        <f>+#REF!*3</f>
        <v>#REF!</v>
      </c>
    </row>
    <row r="1398" spans="3:17" hidden="1" x14ac:dyDescent="0.35">
      <c r="C1398" s="233" t="s">
        <v>469</v>
      </c>
      <c r="G1398" s="245" t="s">
        <v>1596</v>
      </c>
      <c r="I1398" s="173">
        <v>25</v>
      </c>
      <c r="J1398">
        <v>6149</v>
      </c>
      <c r="K1398" s="173">
        <f t="shared" si="146"/>
        <v>5232</v>
      </c>
      <c r="L1398" s="402" t="e">
        <f>+#REF!/J1398*K1398</f>
        <v>#REF!</v>
      </c>
      <c r="M1398" s="173" t="e">
        <f>+#REF!+L1398</f>
        <v>#REF!</v>
      </c>
      <c r="N1398" s="174"/>
      <c r="O1398" s="173" t="e">
        <f t="shared" si="145"/>
        <v>#REF!</v>
      </c>
      <c r="P1398" s="173">
        <v>110</v>
      </c>
      <c r="Q1398" t="e">
        <f>+#REF!*3</f>
        <v>#REF!</v>
      </c>
    </row>
    <row r="1399" spans="3:17" hidden="1" x14ac:dyDescent="0.35">
      <c r="G1399"/>
      <c r="H1399"/>
      <c r="J1399">
        <v>6149</v>
      </c>
      <c r="L1399" s="402"/>
      <c r="N1399" s="174"/>
    </row>
    <row r="1400" spans="3:17" hidden="1" x14ac:dyDescent="0.35">
      <c r="C1400" s="245" t="s">
        <v>1588</v>
      </c>
      <c r="D1400" s="245"/>
      <c r="J1400">
        <v>6149</v>
      </c>
      <c r="L1400" s="402"/>
      <c r="N1400" s="174"/>
    </row>
    <row r="1401" spans="3:17" hidden="1" x14ac:dyDescent="0.35">
      <c r="C1401" s="233" t="s">
        <v>1589</v>
      </c>
      <c r="G1401" s="245" t="s">
        <v>1590</v>
      </c>
      <c r="I1401" s="173">
        <v>55</v>
      </c>
      <c r="J1401">
        <v>6149</v>
      </c>
      <c r="K1401" s="173">
        <f t="shared" si="146"/>
        <v>5232</v>
      </c>
      <c r="L1401" s="402">
        <f t="shared" ref="L1401:L1412" si="147">+I1401/J1401*K1401</f>
        <v>46.797853309481212</v>
      </c>
      <c r="M1401" s="173">
        <f t="shared" ref="M1401:M1412" si="148">+I1401+L1401</f>
        <v>101.79785330948121</v>
      </c>
      <c r="N1401" s="174"/>
      <c r="O1401" s="173">
        <f t="shared" ref="O1401:O1412" si="149">+M1401*1.4</f>
        <v>142.5169946332737</v>
      </c>
      <c r="P1401" s="173">
        <v>180</v>
      </c>
      <c r="Q1401">
        <f t="shared" ref="Q1401:Q1408" si="150">+I1401*3</f>
        <v>165</v>
      </c>
    </row>
    <row r="1402" spans="3:17" hidden="1" x14ac:dyDescent="0.35">
      <c r="C1402" s="233" t="s">
        <v>1589</v>
      </c>
      <c r="G1402" s="245" t="s">
        <v>1590</v>
      </c>
      <c r="I1402" s="173">
        <v>55</v>
      </c>
      <c r="J1402">
        <v>6149</v>
      </c>
      <c r="K1402" s="173">
        <f t="shared" si="146"/>
        <v>5232</v>
      </c>
      <c r="L1402" s="402">
        <f t="shared" si="147"/>
        <v>46.797853309481212</v>
      </c>
      <c r="M1402" s="173">
        <f t="shared" si="148"/>
        <v>101.79785330948121</v>
      </c>
      <c r="N1402" s="174"/>
      <c r="O1402" s="173">
        <f t="shared" si="149"/>
        <v>142.5169946332737</v>
      </c>
      <c r="P1402" s="173">
        <v>180</v>
      </c>
      <c r="Q1402">
        <f t="shared" si="150"/>
        <v>165</v>
      </c>
    </row>
    <row r="1403" spans="3:17" hidden="1" x14ac:dyDescent="0.35">
      <c r="C1403" s="233" t="s">
        <v>1589</v>
      </c>
      <c r="G1403" s="245" t="s">
        <v>1590</v>
      </c>
      <c r="I1403" s="173">
        <v>55</v>
      </c>
      <c r="J1403">
        <v>6149</v>
      </c>
      <c r="K1403" s="173">
        <f t="shared" si="146"/>
        <v>5232</v>
      </c>
      <c r="L1403" s="402">
        <f t="shared" si="147"/>
        <v>46.797853309481212</v>
      </c>
      <c r="M1403" s="173">
        <f t="shared" si="148"/>
        <v>101.79785330948121</v>
      </c>
      <c r="N1403" s="174"/>
      <c r="O1403" s="173">
        <f t="shared" si="149"/>
        <v>142.5169946332737</v>
      </c>
      <c r="P1403" s="173">
        <v>180</v>
      </c>
      <c r="Q1403">
        <f t="shared" si="150"/>
        <v>165</v>
      </c>
    </row>
    <row r="1404" spans="3:17" hidden="1" x14ac:dyDescent="0.35">
      <c r="C1404" s="233" t="s">
        <v>1589</v>
      </c>
      <c r="G1404" s="245" t="s">
        <v>1590</v>
      </c>
      <c r="I1404" s="173">
        <v>55</v>
      </c>
      <c r="J1404">
        <v>6149</v>
      </c>
      <c r="K1404" s="173">
        <f t="shared" si="146"/>
        <v>5232</v>
      </c>
      <c r="L1404" s="402">
        <f t="shared" si="147"/>
        <v>46.797853309481212</v>
      </c>
      <c r="M1404" s="173">
        <f t="shared" si="148"/>
        <v>101.79785330948121</v>
      </c>
      <c r="N1404" s="174"/>
      <c r="O1404" s="173">
        <f t="shared" si="149"/>
        <v>142.5169946332737</v>
      </c>
      <c r="P1404" s="173">
        <v>180</v>
      </c>
      <c r="Q1404">
        <f t="shared" si="150"/>
        <v>165</v>
      </c>
    </row>
    <row r="1405" spans="3:17" hidden="1" x14ac:dyDescent="0.35">
      <c r="C1405" s="233" t="s">
        <v>1589</v>
      </c>
      <c r="G1405" s="245" t="s">
        <v>1590</v>
      </c>
      <c r="I1405" s="173">
        <v>55</v>
      </c>
      <c r="J1405">
        <v>6149</v>
      </c>
      <c r="K1405" s="173">
        <f t="shared" si="146"/>
        <v>5232</v>
      </c>
      <c r="L1405" s="402">
        <f t="shared" si="147"/>
        <v>46.797853309481212</v>
      </c>
      <c r="M1405" s="173">
        <f t="shared" si="148"/>
        <v>101.79785330948121</v>
      </c>
      <c r="N1405" s="174"/>
      <c r="O1405" s="173">
        <f t="shared" si="149"/>
        <v>142.5169946332737</v>
      </c>
      <c r="P1405" s="173">
        <v>180</v>
      </c>
      <c r="Q1405">
        <f t="shared" si="150"/>
        <v>165</v>
      </c>
    </row>
    <row r="1406" spans="3:17" hidden="1" x14ac:dyDescent="0.35">
      <c r="C1406" s="233" t="s">
        <v>1589</v>
      </c>
      <c r="G1406" s="245" t="s">
        <v>1590</v>
      </c>
      <c r="I1406" s="173">
        <v>55</v>
      </c>
      <c r="J1406">
        <v>6149</v>
      </c>
      <c r="K1406" s="173">
        <f t="shared" si="146"/>
        <v>5232</v>
      </c>
      <c r="L1406" s="402">
        <f t="shared" si="147"/>
        <v>46.797853309481212</v>
      </c>
      <c r="M1406" s="173">
        <f t="shared" si="148"/>
        <v>101.79785330948121</v>
      </c>
      <c r="N1406" s="174"/>
      <c r="O1406" s="173">
        <f t="shared" si="149"/>
        <v>142.5169946332737</v>
      </c>
      <c r="P1406" s="173">
        <v>180</v>
      </c>
      <c r="Q1406">
        <f t="shared" si="150"/>
        <v>165</v>
      </c>
    </row>
    <row r="1407" spans="3:17" hidden="1" x14ac:dyDescent="0.35">
      <c r="C1407" s="233" t="s">
        <v>1589</v>
      </c>
      <c r="G1407" s="245" t="s">
        <v>1591</v>
      </c>
      <c r="I1407" s="173">
        <v>55</v>
      </c>
      <c r="J1407">
        <v>6149</v>
      </c>
      <c r="K1407" s="173">
        <f t="shared" si="146"/>
        <v>5232</v>
      </c>
      <c r="L1407" s="402">
        <f t="shared" si="147"/>
        <v>46.797853309481212</v>
      </c>
      <c r="M1407" s="173">
        <f t="shared" si="148"/>
        <v>101.79785330948121</v>
      </c>
      <c r="N1407" s="174"/>
      <c r="O1407" s="173">
        <f t="shared" si="149"/>
        <v>142.5169946332737</v>
      </c>
      <c r="P1407" s="173">
        <v>180</v>
      </c>
      <c r="Q1407">
        <f t="shared" si="150"/>
        <v>165</v>
      </c>
    </row>
    <row r="1408" spans="3:17" hidden="1" x14ac:dyDescent="0.35">
      <c r="C1408" s="233" t="s">
        <v>1589</v>
      </c>
      <c r="G1408" s="245" t="s">
        <v>1591</v>
      </c>
      <c r="I1408" s="173">
        <v>55</v>
      </c>
      <c r="J1408">
        <v>6149</v>
      </c>
      <c r="K1408" s="173">
        <f t="shared" si="146"/>
        <v>5232</v>
      </c>
      <c r="L1408" s="402">
        <f t="shared" si="147"/>
        <v>46.797853309481212</v>
      </c>
      <c r="M1408" s="173">
        <f t="shared" si="148"/>
        <v>101.79785330948121</v>
      </c>
      <c r="N1408" s="174"/>
      <c r="O1408" s="173">
        <f t="shared" si="149"/>
        <v>142.5169946332737</v>
      </c>
      <c r="P1408" s="173">
        <v>180</v>
      </c>
      <c r="Q1408">
        <f t="shared" si="150"/>
        <v>165</v>
      </c>
    </row>
    <row r="1409" spans="3:18" hidden="1" x14ac:dyDescent="0.35">
      <c r="C1409" s="233" t="s">
        <v>1930</v>
      </c>
      <c r="G1409" s="245" t="s">
        <v>1931</v>
      </c>
      <c r="I1409" s="173">
        <v>45</v>
      </c>
      <c r="J1409">
        <v>6149</v>
      </c>
      <c r="K1409" s="173">
        <f t="shared" si="146"/>
        <v>5232</v>
      </c>
      <c r="L1409" s="402">
        <f t="shared" si="147"/>
        <v>38.28915270775736</v>
      </c>
      <c r="M1409" s="173">
        <f t="shared" si="148"/>
        <v>83.289152707757353</v>
      </c>
      <c r="N1409" s="174"/>
      <c r="O1409" s="173">
        <f t="shared" si="149"/>
        <v>116.60481379086029</v>
      </c>
      <c r="P1409">
        <v>150</v>
      </c>
    </row>
    <row r="1410" spans="3:18" hidden="1" x14ac:dyDescent="0.35">
      <c r="C1410" s="233" t="s">
        <v>1930</v>
      </c>
      <c r="G1410" s="245" t="s">
        <v>1931</v>
      </c>
      <c r="I1410" s="173">
        <v>45</v>
      </c>
      <c r="J1410">
        <v>6149</v>
      </c>
      <c r="K1410" s="173">
        <f t="shared" si="146"/>
        <v>5232</v>
      </c>
      <c r="L1410" s="402">
        <f t="shared" si="147"/>
        <v>38.28915270775736</v>
      </c>
      <c r="M1410" s="173">
        <f t="shared" si="148"/>
        <v>83.289152707757353</v>
      </c>
      <c r="N1410" s="174"/>
      <c r="O1410" s="173">
        <f t="shared" si="149"/>
        <v>116.60481379086029</v>
      </c>
      <c r="P1410">
        <v>150</v>
      </c>
    </row>
    <row r="1411" spans="3:18" hidden="1" x14ac:dyDescent="0.35">
      <c r="C1411" s="233" t="s">
        <v>1930</v>
      </c>
      <c r="G1411" s="245" t="s">
        <v>1932</v>
      </c>
      <c r="I1411" s="173">
        <v>45</v>
      </c>
      <c r="J1411">
        <v>6149</v>
      </c>
      <c r="K1411" s="173">
        <f t="shared" si="146"/>
        <v>5232</v>
      </c>
      <c r="L1411" s="402">
        <f t="shared" si="147"/>
        <v>38.28915270775736</v>
      </c>
      <c r="M1411" s="173">
        <f t="shared" si="148"/>
        <v>83.289152707757353</v>
      </c>
      <c r="N1411" s="174"/>
      <c r="O1411" s="173">
        <f t="shared" si="149"/>
        <v>116.60481379086029</v>
      </c>
      <c r="P1411">
        <v>150</v>
      </c>
    </row>
    <row r="1412" spans="3:18" hidden="1" x14ac:dyDescent="0.35">
      <c r="C1412" s="233" t="s">
        <v>1930</v>
      </c>
      <c r="G1412" s="245" t="s">
        <v>1933</v>
      </c>
      <c r="I1412" s="173">
        <v>45</v>
      </c>
      <c r="J1412">
        <v>6149</v>
      </c>
      <c r="K1412" s="173">
        <f t="shared" si="146"/>
        <v>5232</v>
      </c>
      <c r="L1412" s="402">
        <f t="shared" si="147"/>
        <v>38.28915270775736</v>
      </c>
      <c r="M1412" s="173">
        <f t="shared" si="148"/>
        <v>83.289152707757353</v>
      </c>
      <c r="N1412" s="174"/>
      <c r="O1412" s="173">
        <f t="shared" si="149"/>
        <v>116.60481379086029</v>
      </c>
      <c r="P1412">
        <v>150</v>
      </c>
    </row>
    <row r="1413" spans="3:18" hidden="1" x14ac:dyDescent="0.35">
      <c r="L1413" s="402"/>
      <c r="N1413" s="174"/>
    </row>
    <row r="1414" spans="3:18" hidden="1" x14ac:dyDescent="0.35">
      <c r="G1414" s="245" t="s">
        <v>11</v>
      </c>
      <c r="J1414">
        <v>6149</v>
      </c>
      <c r="L1414" s="402"/>
      <c r="N1414" s="174"/>
    </row>
    <row r="1415" spans="3:18" hidden="1" x14ac:dyDescent="0.35">
      <c r="C1415" s="233" t="s">
        <v>1631</v>
      </c>
      <c r="F1415" s="366">
        <v>42</v>
      </c>
      <c r="G1415" s="245" t="s">
        <v>1583</v>
      </c>
      <c r="I1415" s="173">
        <v>14</v>
      </c>
      <c r="J1415">
        <v>6149</v>
      </c>
      <c r="K1415" s="173">
        <f t="shared" si="146"/>
        <v>5232</v>
      </c>
      <c r="L1415" s="402">
        <f t="shared" ref="L1415:L1440" si="151">+I1415/J1415*K1415</f>
        <v>11.912180842413401</v>
      </c>
      <c r="M1415" s="173">
        <f t="shared" ref="M1415:M1440" si="152">+I1415+L1415</f>
        <v>25.912180842413399</v>
      </c>
      <c r="N1415" s="174"/>
      <c r="O1415" s="173">
        <f t="shared" ref="O1415:O1440" si="153">+M1415*1.4</f>
        <v>36.277053179378754</v>
      </c>
      <c r="P1415" s="173">
        <v>55</v>
      </c>
    </row>
    <row r="1416" spans="3:18" hidden="1" x14ac:dyDescent="0.35">
      <c r="C1416" s="233" t="s">
        <v>1631</v>
      </c>
      <c r="F1416" s="366">
        <v>44</v>
      </c>
      <c r="G1416" s="245" t="s">
        <v>1583</v>
      </c>
      <c r="I1416" s="173">
        <v>14</v>
      </c>
      <c r="J1416">
        <v>6149</v>
      </c>
      <c r="K1416" s="173">
        <f t="shared" si="146"/>
        <v>5232</v>
      </c>
      <c r="L1416" s="402">
        <f t="shared" si="151"/>
        <v>11.912180842413401</v>
      </c>
      <c r="M1416" s="173">
        <f t="shared" si="152"/>
        <v>25.912180842413399</v>
      </c>
      <c r="N1416" s="174"/>
      <c r="O1416" s="173">
        <f t="shared" si="153"/>
        <v>36.277053179378754</v>
      </c>
      <c r="P1416" s="173">
        <v>55</v>
      </c>
    </row>
    <row r="1417" spans="3:18" hidden="1" x14ac:dyDescent="0.35">
      <c r="C1417" s="233" t="s">
        <v>1631</v>
      </c>
      <c r="F1417" s="366">
        <v>46</v>
      </c>
      <c r="G1417" s="245" t="s">
        <v>1583</v>
      </c>
      <c r="I1417" s="173">
        <v>14</v>
      </c>
      <c r="J1417">
        <v>6149</v>
      </c>
      <c r="K1417" s="173">
        <f t="shared" si="146"/>
        <v>5232</v>
      </c>
      <c r="L1417" s="402">
        <f t="shared" si="151"/>
        <v>11.912180842413401</v>
      </c>
      <c r="M1417" s="173">
        <f t="shared" si="152"/>
        <v>25.912180842413399</v>
      </c>
      <c r="N1417" s="174"/>
      <c r="O1417" s="173">
        <f t="shared" si="153"/>
        <v>36.277053179378754</v>
      </c>
      <c r="P1417" s="173">
        <v>55</v>
      </c>
    </row>
    <row r="1418" spans="3:18" hidden="1" x14ac:dyDescent="0.35">
      <c r="C1418" s="233" t="s">
        <v>1631</v>
      </c>
      <c r="F1418" s="366">
        <v>48</v>
      </c>
      <c r="G1418" s="245" t="s">
        <v>1583</v>
      </c>
      <c r="I1418" s="173">
        <v>14</v>
      </c>
      <c r="J1418">
        <v>6149</v>
      </c>
      <c r="K1418" s="173">
        <f t="shared" si="146"/>
        <v>5232</v>
      </c>
      <c r="L1418" s="402">
        <f t="shared" si="151"/>
        <v>11.912180842413401</v>
      </c>
      <c r="M1418" s="173">
        <f t="shared" si="152"/>
        <v>25.912180842413399</v>
      </c>
      <c r="N1418" s="174"/>
      <c r="O1418" s="173">
        <f t="shared" si="153"/>
        <v>36.277053179378754</v>
      </c>
      <c r="P1418" s="173">
        <v>55</v>
      </c>
    </row>
    <row r="1419" spans="3:18" hidden="1" x14ac:dyDescent="0.35">
      <c r="C1419" s="233" t="s">
        <v>1631</v>
      </c>
      <c r="F1419" s="366">
        <v>50</v>
      </c>
      <c r="G1419" s="245" t="s">
        <v>1583</v>
      </c>
      <c r="I1419" s="173">
        <v>14</v>
      </c>
      <c r="J1419">
        <v>6149</v>
      </c>
      <c r="K1419" s="173">
        <f t="shared" si="146"/>
        <v>5232</v>
      </c>
      <c r="L1419" s="402">
        <f t="shared" si="151"/>
        <v>11.912180842413401</v>
      </c>
      <c r="M1419" s="173">
        <f t="shared" si="152"/>
        <v>25.912180842413399</v>
      </c>
      <c r="N1419" s="174"/>
      <c r="O1419" s="173">
        <f t="shared" si="153"/>
        <v>36.277053179378754</v>
      </c>
      <c r="P1419" s="173">
        <v>55</v>
      </c>
    </row>
    <row r="1420" spans="3:18" hidden="1" x14ac:dyDescent="0.35">
      <c r="C1420" s="233" t="s">
        <v>1631</v>
      </c>
      <c r="F1420" s="366">
        <v>42</v>
      </c>
      <c r="G1420" s="245" t="s">
        <v>1628</v>
      </c>
      <c r="I1420" s="173">
        <v>13</v>
      </c>
      <c r="J1420">
        <v>6149</v>
      </c>
      <c r="K1420" s="173">
        <f t="shared" si="146"/>
        <v>5232</v>
      </c>
      <c r="L1420" s="402">
        <f t="shared" si="151"/>
        <v>11.061310782241016</v>
      </c>
      <c r="M1420" s="173">
        <f t="shared" si="152"/>
        <v>24.061310782241016</v>
      </c>
      <c r="N1420" s="174"/>
      <c r="O1420" s="173">
        <f t="shared" si="153"/>
        <v>33.685835095137421</v>
      </c>
      <c r="P1420" s="173">
        <v>55</v>
      </c>
    </row>
    <row r="1421" spans="3:18" hidden="1" x14ac:dyDescent="0.35">
      <c r="C1421" s="233" t="s">
        <v>1631</v>
      </c>
      <c r="F1421" s="366">
        <v>44</v>
      </c>
      <c r="G1421" s="245" t="s">
        <v>1628</v>
      </c>
      <c r="I1421" s="173">
        <v>13</v>
      </c>
      <c r="J1421">
        <v>6149</v>
      </c>
      <c r="K1421" s="173">
        <f t="shared" si="146"/>
        <v>5232</v>
      </c>
      <c r="L1421" s="402">
        <f t="shared" si="151"/>
        <v>11.061310782241016</v>
      </c>
      <c r="M1421" s="173">
        <f t="shared" si="152"/>
        <v>24.061310782241016</v>
      </c>
      <c r="N1421" s="174"/>
      <c r="O1421" s="173">
        <f t="shared" si="153"/>
        <v>33.685835095137421</v>
      </c>
      <c r="P1421" s="173">
        <v>55</v>
      </c>
      <c r="R1421" s="4"/>
    </row>
    <row r="1422" spans="3:18" hidden="1" x14ac:dyDescent="0.35">
      <c r="C1422" s="233" t="s">
        <v>1631</v>
      </c>
      <c r="F1422" s="366">
        <v>46</v>
      </c>
      <c r="G1422" s="245" t="s">
        <v>1628</v>
      </c>
      <c r="I1422" s="173">
        <v>13</v>
      </c>
      <c r="J1422">
        <v>6149</v>
      </c>
      <c r="K1422" s="173">
        <f t="shared" si="146"/>
        <v>5232</v>
      </c>
      <c r="L1422" s="402">
        <f t="shared" si="151"/>
        <v>11.061310782241016</v>
      </c>
      <c r="M1422" s="173">
        <f t="shared" si="152"/>
        <v>24.061310782241016</v>
      </c>
      <c r="N1422" s="174"/>
      <c r="O1422" s="173">
        <f t="shared" si="153"/>
        <v>33.685835095137421</v>
      </c>
      <c r="P1422" s="173">
        <v>55</v>
      </c>
    </row>
    <row r="1423" spans="3:18" hidden="1" x14ac:dyDescent="0.35">
      <c r="C1423" s="233" t="s">
        <v>1631</v>
      </c>
      <c r="F1423" s="366">
        <v>48</v>
      </c>
      <c r="G1423" s="245" t="s">
        <v>1628</v>
      </c>
      <c r="I1423" s="173">
        <v>13</v>
      </c>
      <c r="J1423">
        <v>6149</v>
      </c>
      <c r="K1423" s="173">
        <f t="shared" si="146"/>
        <v>5232</v>
      </c>
      <c r="L1423" s="402">
        <f t="shared" si="151"/>
        <v>11.061310782241016</v>
      </c>
      <c r="M1423" s="173">
        <f t="shared" si="152"/>
        <v>24.061310782241016</v>
      </c>
      <c r="N1423" s="174"/>
      <c r="O1423" s="173">
        <f t="shared" si="153"/>
        <v>33.685835095137421</v>
      </c>
      <c r="P1423" s="173">
        <v>55</v>
      </c>
    </row>
    <row r="1424" spans="3:18" hidden="1" x14ac:dyDescent="0.35">
      <c r="C1424" s="233" t="s">
        <v>1631</v>
      </c>
      <c r="F1424" s="366">
        <v>50</v>
      </c>
      <c r="G1424" s="245" t="s">
        <v>1628</v>
      </c>
      <c r="I1424" s="173">
        <v>12</v>
      </c>
      <c r="J1424">
        <v>6149</v>
      </c>
      <c r="K1424" s="173">
        <f t="shared" ref="K1424:K1483" si="154">5832-600</f>
        <v>5232</v>
      </c>
      <c r="L1424" s="402">
        <f t="shared" si="151"/>
        <v>10.210440722068629</v>
      </c>
      <c r="M1424" s="173">
        <f t="shared" si="152"/>
        <v>22.210440722068629</v>
      </c>
      <c r="N1424" s="174"/>
      <c r="O1424" s="173">
        <f t="shared" si="153"/>
        <v>31.09461701089608</v>
      </c>
      <c r="P1424" s="173">
        <v>55</v>
      </c>
    </row>
    <row r="1425" spans="3:20" hidden="1" x14ac:dyDescent="0.35">
      <c r="C1425" s="233" t="s">
        <v>1631</v>
      </c>
      <c r="F1425" s="366">
        <v>54</v>
      </c>
      <c r="G1425" s="245" t="s">
        <v>1629</v>
      </c>
      <c r="I1425" s="173">
        <v>12</v>
      </c>
      <c r="J1425">
        <v>6149</v>
      </c>
      <c r="K1425" s="173">
        <f t="shared" si="154"/>
        <v>5232</v>
      </c>
      <c r="L1425" s="402">
        <f t="shared" si="151"/>
        <v>10.210440722068629</v>
      </c>
      <c r="M1425" s="173">
        <f t="shared" si="152"/>
        <v>22.210440722068629</v>
      </c>
      <c r="N1425" s="174"/>
      <c r="O1425" s="173">
        <f t="shared" si="153"/>
        <v>31.09461701089608</v>
      </c>
      <c r="P1425" s="173">
        <v>55</v>
      </c>
    </row>
    <row r="1426" spans="3:20" hidden="1" x14ac:dyDescent="0.35">
      <c r="C1426" s="233" t="s">
        <v>1631</v>
      </c>
      <c r="F1426" s="366">
        <v>56</v>
      </c>
      <c r="G1426" s="245" t="s">
        <v>1629</v>
      </c>
      <c r="I1426" s="173">
        <v>12</v>
      </c>
      <c r="J1426">
        <v>6149</v>
      </c>
      <c r="K1426" s="173">
        <f t="shared" si="154"/>
        <v>5232</v>
      </c>
      <c r="L1426" s="402">
        <f t="shared" si="151"/>
        <v>10.210440722068629</v>
      </c>
      <c r="M1426" s="173">
        <f t="shared" si="152"/>
        <v>22.210440722068629</v>
      </c>
      <c r="N1426" s="174"/>
      <c r="O1426" s="173">
        <f t="shared" si="153"/>
        <v>31.09461701089608</v>
      </c>
      <c r="P1426" s="173">
        <v>55</v>
      </c>
    </row>
    <row r="1427" spans="3:20" hidden="1" x14ac:dyDescent="0.35">
      <c r="C1427" s="233" t="s">
        <v>1631</v>
      </c>
      <c r="F1427" s="366">
        <v>58</v>
      </c>
      <c r="G1427" s="245" t="s">
        <v>1629</v>
      </c>
      <c r="I1427" s="173">
        <v>12</v>
      </c>
      <c r="J1427">
        <v>6149</v>
      </c>
      <c r="K1427" s="173">
        <f t="shared" si="154"/>
        <v>5232</v>
      </c>
      <c r="L1427" s="402">
        <f t="shared" si="151"/>
        <v>10.210440722068629</v>
      </c>
      <c r="M1427" s="173">
        <f t="shared" si="152"/>
        <v>22.210440722068629</v>
      </c>
      <c r="N1427" s="174"/>
      <c r="O1427" s="173">
        <f t="shared" si="153"/>
        <v>31.09461701089608</v>
      </c>
      <c r="P1427" s="173">
        <v>55</v>
      </c>
    </row>
    <row r="1428" spans="3:20" hidden="1" x14ac:dyDescent="0.35">
      <c r="C1428" s="233" t="s">
        <v>1631</v>
      </c>
      <c r="F1428" s="366">
        <v>60</v>
      </c>
      <c r="G1428" s="245" t="s">
        <v>1629</v>
      </c>
      <c r="I1428" s="173">
        <v>12</v>
      </c>
      <c r="J1428">
        <v>6149</v>
      </c>
      <c r="K1428" s="173">
        <f t="shared" si="154"/>
        <v>5232</v>
      </c>
      <c r="L1428" s="402">
        <f t="shared" si="151"/>
        <v>10.210440722068629</v>
      </c>
      <c r="M1428" s="173">
        <f t="shared" si="152"/>
        <v>22.210440722068629</v>
      </c>
      <c r="N1428" s="174"/>
      <c r="O1428" s="173">
        <f t="shared" si="153"/>
        <v>31.09461701089608</v>
      </c>
      <c r="P1428" s="173">
        <v>55</v>
      </c>
    </row>
    <row r="1429" spans="3:20" hidden="1" x14ac:dyDescent="0.35">
      <c r="C1429" s="233" t="s">
        <v>1631</v>
      </c>
      <c r="F1429" s="366">
        <v>46</v>
      </c>
      <c r="G1429" s="245" t="s">
        <v>1630</v>
      </c>
      <c r="I1429" s="173">
        <v>11</v>
      </c>
      <c r="J1429">
        <v>6149</v>
      </c>
      <c r="K1429" s="173">
        <f t="shared" si="154"/>
        <v>5232</v>
      </c>
      <c r="L1429" s="402">
        <f t="shared" si="151"/>
        <v>9.3595706618962442</v>
      </c>
      <c r="M1429" s="173">
        <f t="shared" si="152"/>
        <v>20.359570661896242</v>
      </c>
      <c r="N1429" s="174"/>
      <c r="O1429" s="173">
        <f t="shared" si="153"/>
        <v>28.503398926654736</v>
      </c>
      <c r="P1429" s="173">
        <v>45</v>
      </c>
    </row>
    <row r="1430" spans="3:20" hidden="1" x14ac:dyDescent="0.35">
      <c r="C1430" s="233" t="s">
        <v>1631</v>
      </c>
      <c r="F1430" s="366">
        <v>48</v>
      </c>
      <c r="G1430" s="245" t="s">
        <v>1630</v>
      </c>
      <c r="I1430" s="173">
        <v>11</v>
      </c>
      <c r="J1430">
        <v>6149</v>
      </c>
      <c r="K1430" s="173">
        <f t="shared" si="154"/>
        <v>5232</v>
      </c>
      <c r="L1430" s="402">
        <f t="shared" si="151"/>
        <v>9.3595706618962442</v>
      </c>
      <c r="M1430" s="173">
        <f t="shared" si="152"/>
        <v>20.359570661896242</v>
      </c>
      <c r="N1430" s="174"/>
      <c r="O1430" s="173">
        <f t="shared" si="153"/>
        <v>28.503398926654736</v>
      </c>
      <c r="P1430" s="173">
        <v>45</v>
      </c>
    </row>
    <row r="1431" spans="3:20" hidden="1" x14ac:dyDescent="0.35">
      <c r="C1431" s="233" t="s">
        <v>1631</v>
      </c>
      <c r="F1431" s="366">
        <v>50</v>
      </c>
      <c r="G1431" s="245" t="s">
        <v>1630</v>
      </c>
      <c r="I1431" s="173">
        <v>11</v>
      </c>
      <c r="J1431">
        <v>6149</v>
      </c>
      <c r="K1431" s="173">
        <f t="shared" si="154"/>
        <v>5232</v>
      </c>
      <c r="L1431" s="402">
        <f t="shared" si="151"/>
        <v>9.3595706618962442</v>
      </c>
      <c r="M1431" s="173">
        <f t="shared" si="152"/>
        <v>20.359570661896242</v>
      </c>
      <c r="N1431" s="174"/>
      <c r="O1431" s="173">
        <f t="shared" si="153"/>
        <v>28.503398926654736</v>
      </c>
      <c r="P1431" s="173">
        <v>45</v>
      </c>
    </row>
    <row r="1432" spans="3:20" hidden="1" x14ac:dyDescent="0.35">
      <c r="C1432" s="233" t="s">
        <v>1631</v>
      </c>
      <c r="F1432" s="366">
        <v>52</v>
      </c>
      <c r="G1432" s="245" t="s">
        <v>1630</v>
      </c>
      <c r="I1432" s="173">
        <v>11</v>
      </c>
      <c r="J1432">
        <v>6149</v>
      </c>
      <c r="K1432" s="173">
        <f t="shared" si="154"/>
        <v>5232</v>
      </c>
      <c r="L1432" s="402">
        <f t="shared" si="151"/>
        <v>9.3595706618962442</v>
      </c>
      <c r="M1432" s="173">
        <f t="shared" si="152"/>
        <v>20.359570661896242</v>
      </c>
      <c r="N1432" s="174"/>
      <c r="O1432" s="173">
        <f t="shared" si="153"/>
        <v>28.503398926654736</v>
      </c>
      <c r="P1432" s="173">
        <v>45</v>
      </c>
    </row>
    <row r="1433" spans="3:20" hidden="1" x14ac:dyDescent="0.35">
      <c r="C1433" s="233" t="s">
        <v>1631</v>
      </c>
      <c r="F1433" s="366">
        <v>54</v>
      </c>
      <c r="G1433" s="245" t="s">
        <v>1630</v>
      </c>
      <c r="I1433" s="173">
        <v>10</v>
      </c>
      <c r="J1433">
        <v>6149</v>
      </c>
      <c r="K1433" s="173">
        <f t="shared" si="154"/>
        <v>5232</v>
      </c>
      <c r="L1433" s="402">
        <f t="shared" si="151"/>
        <v>8.5087006017238576</v>
      </c>
      <c r="M1433" s="173">
        <f t="shared" si="152"/>
        <v>18.508700601723859</v>
      </c>
      <c r="N1433" s="174"/>
      <c r="O1433" s="173">
        <f t="shared" si="153"/>
        <v>25.912180842413402</v>
      </c>
      <c r="P1433" s="173">
        <v>45</v>
      </c>
    </row>
    <row r="1434" spans="3:20" hidden="1" x14ac:dyDescent="0.35">
      <c r="C1434" s="233" t="s">
        <v>1631</v>
      </c>
      <c r="F1434" s="366">
        <v>56</v>
      </c>
      <c r="G1434" s="245" t="s">
        <v>1630</v>
      </c>
      <c r="I1434" s="173">
        <v>10</v>
      </c>
      <c r="J1434">
        <v>6149</v>
      </c>
      <c r="K1434" s="173">
        <f t="shared" si="154"/>
        <v>5232</v>
      </c>
      <c r="L1434" s="402">
        <f t="shared" si="151"/>
        <v>8.5087006017238576</v>
      </c>
      <c r="M1434" s="173">
        <f t="shared" si="152"/>
        <v>18.508700601723859</v>
      </c>
      <c r="N1434" s="174"/>
      <c r="O1434" s="173">
        <f t="shared" si="153"/>
        <v>25.912180842413402</v>
      </c>
      <c r="P1434" s="173">
        <v>45</v>
      </c>
    </row>
    <row r="1435" spans="3:20" hidden="1" x14ac:dyDescent="0.35">
      <c r="C1435" s="233" t="s">
        <v>1631</v>
      </c>
      <c r="F1435" s="366">
        <v>58</v>
      </c>
      <c r="G1435" s="245" t="s">
        <v>1630</v>
      </c>
      <c r="I1435" s="173">
        <v>10</v>
      </c>
      <c r="J1435">
        <v>6149</v>
      </c>
      <c r="K1435" s="173">
        <f t="shared" si="154"/>
        <v>5232</v>
      </c>
      <c r="L1435" s="402">
        <f t="shared" si="151"/>
        <v>8.5087006017238576</v>
      </c>
      <c r="M1435" s="173">
        <f t="shared" si="152"/>
        <v>18.508700601723859</v>
      </c>
      <c r="N1435" s="174"/>
      <c r="O1435" s="173">
        <f t="shared" si="153"/>
        <v>25.912180842413402</v>
      </c>
      <c r="P1435" s="173">
        <v>45</v>
      </c>
      <c r="T1435" s="129"/>
    </row>
    <row r="1436" spans="3:20" hidden="1" x14ac:dyDescent="0.35">
      <c r="C1436" s="233" t="s">
        <v>1631</v>
      </c>
      <c r="F1436" s="366">
        <v>60</v>
      </c>
      <c r="G1436" s="245" t="s">
        <v>1630</v>
      </c>
      <c r="I1436" s="173">
        <v>10</v>
      </c>
      <c r="J1436">
        <v>6149</v>
      </c>
      <c r="K1436" s="173">
        <f t="shared" si="154"/>
        <v>5232</v>
      </c>
      <c r="L1436" s="402">
        <f t="shared" si="151"/>
        <v>8.5087006017238576</v>
      </c>
      <c r="M1436" s="173">
        <f t="shared" si="152"/>
        <v>18.508700601723859</v>
      </c>
      <c r="N1436" s="174"/>
      <c r="O1436" s="173">
        <f t="shared" si="153"/>
        <v>25.912180842413402</v>
      </c>
      <c r="P1436" s="173">
        <v>45</v>
      </c>
    </row>
    <row r="1437" spans="3:20" hidden="1" x14ac:dyDescent="0.35">
      <c r="C1437" s="233" t="s">
        <v>1602</v>
      </c>
      <c r="G1437" s="245" t="s">
        <v>1603</v>
      </c>
      <c r="I1437" s="173">
        <v>15</v>
      </c>
      <c r="J1437">
        <v>6149</v>
      </c>
      <c r="K1437" s="173">
        <f t="shared" si="154"/>
        <v>5232</v>
      </c>
      <c r="L1437" s="402">
        <f t="shared" si="151"/>
        <v>12.763050902585787</v>
      </c>
      <c r="M1437" s="173">
        <f t="shared" si="152"/>
        <v>27.763050902585789</v>
      </c>
      <c r="N1437" s="174"/>
      <c r="O1437" s="173">
        <f t="shared" si="153"/>
        <v>38.868271263620102</v>
      </c>
      <c r="P1437" s="173">
        <v>55</v>
      </c>
    </row>
    <row r="1438" spans="3:20" hidden="1" x14ac:dyDescent="0.35">
      <c r="C1438" s="233" t="s">
        <v>1602</v>
      </c>
      <c r="G1438" s="245" t="s">
        <v>1603</v>
      </c>
      <c r="I1438" s="173">
        <v>15</v>
      </c>
      <c r="J1438">
        <v>6149</v>
      </c>
      <c r="K1438" s="173">
        <f t="shared" si="154"/>
        <v>5232</v>
      </c>
      <c r="L1438" s="402">
        <f t="shared" si="151"/>
        <v>12.763050902585787</v>
      </c>
      <c r="M1438" s="173">
        <f t="shared" si="152"/>
        <v>27.763050902585789</v>
      </c>
      <c r="N1438" s="174"/>
      <c r="O1438" s="173">
        <f t="shared" si="153"/>
        <v>38.868271263620102</v>
      </c>
      <c r="P1438" s="173">
        <v>55</v>
      </c>
    </row>
    <row r="1439" spans="3:20" hidden="1" x14ac:dyDescent="0.35">
      <c r="C1439" s="233" t="s">
        <v>1602</v>
      </c>
      <c r="G1439" s="245" t="s">
        <v>1603</v>
      </c>
      <c r="I1439" s="173">
        <v>15</v>
      </c>
      <c r="J1439">
        <v>6149</v>
      </c>
      <c r="K1439" s="173">
        <f t="shared" si="154"/>
        <v>5232</v>
      </c>
      <c r="L1439" s="402">
        <f t="shared" si="151"/>
        <v>12.763050902585787</v>
      </c>
      <c r="M1439" s="173">
        <f t="shared" si="152"/>
        <v>27.763050902585789</v>
      </c>
      <c r="N1439" s="174"/>
      <c r="O1439" s="173">
        <f t="shared" si="153"/>
        <v>38.868271263620102</v>
      </c>
      <c r="P1439" s="173">
        <v>55</v>
      </c>
    </row>
    <row r="1440" spans="3:20" hidden="1" x14ac:dyDescent="0.35">
      <c r="G1440" s="245" t="s">
        <v>1603</v>
      </c>
      <c r="I1440" s="173">
        <v>15</v>
      </c>
      <c r="J1440">
        <v>6149</v>
      </c>
      <c r="K1440" s="173">
        <f t="shared" si="154"/>
        <v>5232</v>
      </c>
      <c r="L1440" s="402">
        <f t="shared" si="151"/>
        <v>12.763050902585787</v>
      </c>
      <c r="M1440" s="173">
        <f t="shared" si="152"/>
        <v>27.763050902585789</v>
      </c>
      <c r="N1440" s="174"/>
      <c r="O1440" s="173">
        <f t="shared" si="153"/>
        <v>38.868271263620102</v>
      </c>
      <c r="P1440" s="173">
        <v>55</v>
      </c>
    </row>
    <row r="1441" spans="3:16" hidden="1" x14ac:dyDescent="0.35">
      <c r="G1441" s="245" t="s">
        <v>1584</v>
      </c>
      <c r="J1441">
        <v>6149</v>
      </c>
      <c r="L1441" s="402"/>
      <c r="N1441" s="174"/>
    </row>
    <row r="1442" spans="3:16" hidden="1" x14ac:dyDescent="0.35">
      <c r="C1442" s="233" t="s">
        <v>855</v>
      </c>
      <c r="F1442" s="366">
        <v>44</v>
      </c>
      <c r="G1442" s="245" t="s">
        <v>1585</v>
      </c>
      <c r="I1442" s="173">
        <v>60</v>
      </c>
      <c r="J1442">
        <v>6149</v>
      </c>
      <c r="K1442" s="173">
        <f t="shared" si="154"/>
        <v>5232</v>
      </c>
      <c r="L1442" s="402">
        <f t="shared" ref="L1442:L1455" si="155">+I1442/J1442*K1442</f>
        <v>51.052203610343149</v>
      </c>
      <c r="M1442" s="173">
        <f t="shared" ref="M1442:M1455" si="156">+I1442+L1442</f>
        <v>111.05220361034316</v>
      </c>
      <c r="N1442" s="174"/>
      <c r="O1442" s="173">
        <f t="shared" ref="O1442:O1455" si="157">+M1442*1.4</f>
        <v>155.47308505448041</v>
      </c>
      <c r="P1442" s="173">
        <v>150</v>
      </c>
    </row>
    <row r="1443" spans="3:16" hidden="1" x14ac:dyDescent="0.35">
      <c r="C1443" s="233" t="s">
        <v>855</v>
      </c>
      <c r="F1443" s="366">
        <v>46</v>
      </c>
      <c r="G1443" s="245" t="s">
        <v>1585</v>
      </c>
      <c r="I1443" s="173">
        <v>60</v>
      </c>
      <c r="J1443">
        <v>6149</v>
      </c>
      <c r="K1443" s="173">
        <f t="shared" si="154"/>
        <v>5232</v>
      </c>
      <c r="L1443" s="402">
        <f t="shared" si="155"/>
        <v>51.052203610343149</v>
      </c>
      <c r="M1443" s="173">
        <f t="shared" si="156"/>
        <v>111.05220361034316</v>
      </c>
      <c r="N1443" s="174"/>
      <c r="O1443" s="173">
        <f t="shared" si="157"/>
        <v>155.47308505448041</v>
      </c>
      <c r="P1443" s="173">
        <v>150</v>
      </c>
    </row>
    <row r="1444" spans="3:16" hidden="1" x14ac:dyDescent="0.35">
      <c r="C1444" s="233" t="s">
        <v>855</v>
      </c>
      <c r="F1444" s="366">
        <v>48</v>
      </c>
      <c r="G1444" s="245" t="s">
        <v>1585</v>
      </c>
      <c r="I1444" s="173">
        <v>60</v>
      </c>
      <c r="J1444">
        <v>6149</v>
      </c>
      <c r="K1444" s="173">
        <f t="shared" si="154"/>
        <v>5232</v>
      </c>
      <c r="L1444" s="402">
        <f t="shared" si="155"/>
        <v>51.052203610343149</v>
      </c>
      <c r="M1444" s="173">
        <f t="shared" si="156"/>
        <v>111.05220361034316</v>
      </c>
      <c r="N1444" s="174"/>
      <c r="O1444" s="173">
        <f t="shared" si="157"/>
        <v>155.47308505448041</v>
      </c>
      <c r="P1444" s="173">
        <v>150</v>
      </c>
    </row>
    <row r="1445" spans="3:16" hidden="1" x14ac:dyDescent="0.35">
      <c r="C1445" s="233" t="s">
        <v>855</v>
      </c>
      <c r="F1445" s="366">
        <v>50</v>
      </c>
      <c r="G1445" s="245" t="s">
        <v>1585</v>
      </c>
      <c r="I1445" s="173">
        <v>60</v>
      </c>
      <c r="J1445">
        <v>6149</v>
      </c>
      <c r="K1445" s="173">
        <f t="shared" si="154"/>
        <v>5232</v>
      </c>
      <c r="L1445" s="402">
        <f t="shared" si="155"/>
        <v>51.052203610343149</v>
      </c>
      <c r="M1445" s="173">
        <f t="shared" si="156"/>
        <v>111.05220361034316</v>
      </c>
      <c r="N1445" s="174"/>
      <c r="O1445" s="173">
        <f t="shared" si="157"/>
        <v>155.47308505448041</v>
      </c>
      <c r="P1445" s="173">
        <v>150</v>
      </c>
    </row>
    <row r="1446" spans="3:16" hidden="1" x14ac:dyDescent="0.35">
      <c r="C1446" s="233" t="s">
        <v>855</v>
      </c>
      <c r="F1446" s="366">
        <v>52</v>
      </c>
      <c r="G1446" s="245" t="s">
        <v>1585</v>
      </c>
      <c r="I1446" s="173">
        <v>60</v>
      </c>
      <c r="J1446">
        <v>6149</v>
      </c>
      <c r="K1446" s="173">
        <f t="shared" si="154"/>
        <v>5232</v>
      </c>
      <c r="L1446" s="402">
        <f t="shared" si="155"/>
        <v>51.052203610343149</v>
      </c>
      <c r="M1446" s="173">
        <f t="shared" si="156"/>
        <v>111.05220361034316</v>
      </c>
      <c r="N1446" s="174"/>
      <c r="O1446" s="173">
        <f t="shared" si="157"/>
        <v>155.47308505448041</v>
      </c>
      <c r="P1446" s="173">
        <v>150</v>
      </c>
    </row>
    <row r="1447" spans="3:16" hidden="1" x14ac:dyDescent="0.35">
      <c r="C1447" s="233" t="s">
        <v>855</v>
      </c>
      <c r="F1447" s="366">
        <v>44</v>
      </c>
      <c r="G1447" s="245" t="s">
        <v>1586</v>
      </c>
      <c r="I1447" s="173">
        <v>60</v>
      </c>
      <c r="J1447">
        <v>6149</v>
      </c>
      <c r="K1447" s="173">
        <f t="shared" si="154"/>
        <v>5232</v>
      </c>
      <c r="L1447" s="402">
        <f t="shared" si="155"/>
        <v>51.052203610343149</v>
      </c>
      <c r="M1447" s="173">
        <f t="shared" si="156"/>
        <v>111.05220361034316</v>
      </c>
      <c r="N1447" s="174"/>
      <c r="O1447" s="173">
        <f t="shared" si="157"/>
        <v>155.47308505448041</v>
      </c>
      <c r="P1447" s="173">
        <v>150</v>
      </c>
    </row>
    <row r="1448" spans="3:16" hidden="1" x14ac:dyDescent="0.35">
      <c r="C1448" s="233" t="s">
        <v>855</v>
      </c>
      <c r="F1448" s="366">
        <v>46</v>
      </c>
      <c r="G1448" s="245" t="s">
        <v>1586</v>
      </c>
      <c r="I1448" s="173">
        <v>60</v>
      </c>
      <c r="J1448">
        <v>6149</v>
      </c>
      <c r="K1448" s="173">
        <f t="shared" si="154"/>
        <v>5232</v>
      </c>
      <c r="L1448" s="402">
        <f t="shared" si="155"/>
        <v>51.052203610343149</v>
      </c>
      <c r="M1448" s="173">
        <f t="shared" si="156"/>
        <v>111.05220361034316</v>
      </c>
      <c r="N1448" s="174"/>
      <c r="O1448" s="173">
        <f t="shared" si="157"/>
        <v>155.47308505448041</v>
      </c>
      <c r="P1448" s="173">
        <v>150</v>
      </c>
    </row>
    <row r="1449" spans="3:16" hidden="1" x14ac:dyDescent="0.35">
      <c r="C1449" s="233" t="s">
        <v>855</v>
      </c>
      <c r="F1449" s="366">
        <v>48</v>
      </c>
      <c r="G1449" s="245" t="s">
        <v>1586</v>
      </c>
      <c r="I1449" s="173">
        <v>60</v>
      </c>
      <c r="J1449">
        <v>6149</v>
      </c>
      <c r="K1449" s="173">
        <f t="shared" si="154"/>
        <v>5232</v>
      </c>
      <c r="L1449" s="402">
        <f t="shared" si="155"/>
        <v>51.052203610343149</v>
      </c>
      <c r="M1449" s="173">
        <f t="shared" si="156"/>
        <v>111.05220361034316</v>
      </c>
      <c r="N1449" s="174"/>
      <c r="O1449" s="173">
        <f t="shared" si="157"/>
        <v>155.47308505448041</v>
      </c>
      <c r="P1449" s="173">
        <v>150</v>
      </c>
    </row>
    <row r="1450" spans="3:16" hidden="1" x14ac:dyDescent="0.35">
      <c r="C1450" s="233" t="s">
        <v>855</v>
      </c>
      <c r="F1450" s="366">
        <v>50</v>
      </c>
      <c r="G1450" s="245" t="s">
        <v>1586</v>
      </c>
      <c r="I1450" s="173">
        <v>60</v>
      </c>
      <c r="J1450">
        <v>6149</v>
      </c>
      <c r="K1450" s="173">
        <f t="shared" si="154"/>
        <v>5232</v>
      </c>
      <c r="L1450" s="402">
        <f t="shared" si="155"/>
        <v>51.052203610343149</v>
      </c>
      <c r="M1450" s="173">
        <f t="shared" si="156"/>
        <v>111.05220361034316</v>
      </c>
      <c r="N1450" s="174"/>
      <c r="O1450" s="173">
        <f t="shared" si="157"/>
        <v>155.47308505448041</v>
      </c>
      <c r="P1450" s="173">
        <v>150</v>
      </c>
    </row>
    <row r="1451" spans="3:16" hidden="1" x14ac:dyDescent="0.35">
      <c r="C1451" s="233" t="s">
        <v>855</v>
      </c>
      <c r="F1451" s="366">
        <v>52</v>
      </c>
      <c r="G1451" s="245" t="s">
        <v>1586</v>
      </c>
      <c r="I1451" s="173">
        <v>60</v>
      </c>
      <c r="J1451">
        <v>6149</v>
      </c>
      <c r="K1451" s="173">
        <f t="shared" si="154"/>
        <v>5232</v>
      </c>
      <c r="L1451" s="402">
        <f t="shared" si="155"/>
        <v>51.052203610343149</v>
      </c>
      <c r="M1451" s="173">
        <f t="shared" si="156"/>
        <v>111.05220361034316</v>
      </c>
      <c r="N1451" s="174"/>
      <c r="O1451" s="173">
        <f t="shared" si="157"/>
        <v>155.47308505448041</v>
      </c>
      <c r="P1451" s="173">
        <v>150</v>
      </c>
    </row>
    <row r="1452" spans="3:16" hidden="1" x14ac:dyDescent="0.35">
      <c r="C1452" s="233" t="s">
        <v>586</v>
      </c>
      <c r="G1452" s="245" t="s">
        <v>1587</v>
      </c>
      <c r="I1452" s="173">
        <v>45</v>
      </c>
      <c r="J1452">
        <v>6149</v>
      </c>
      <c r="K1452" s="173">
        <f t="shared" si="154"/>
        <v>5232</v>
      </c>
      <c r="L1452" s="402">
        <f t="shared" si="155"/>
        <v>38.28915270775736</v>
      </c>
      <c r="M1452" s="173">
        <f t="shared" si="156"/>
        <v>83.289152707757353</v>
      </c>
      <c r="N1452" s="174"/>
      <c r="O1452" s="173">
        <f t="shared" si="157"/>
        <v>116.60481379086029</v>
      </c>
      <c r="P1452" s="173">
        <v>150</v>
      </c>
    </row>
    <row r="1453" spans="3:16" hidden="1" x14ac:dyDescent="0.35">
      <c r="C1453" s="233" t="s">
        <v>586</v>
      </c>
      <c r="G1453" s="245" t="s">
        <v>1587</v>
      </c>
      <c r="I1453" s="173">
        <v>45</v>
      </c>
      <c r="J1453">
        <v>6149</v>
      </c>
      <c r="K1453" s="173">
        <f t="shared" si="154"/>
        <v>5232</v>
      </c>
      <c r="L1453" s="402">
        <f t="shared" si="155"/>
        <v>38.28915270775736</v>
      </c>
      <c r="M1453" s="173">
        <f t="shared" si="156"/>
        <v>83.289152707757353</v>
      </c>
      <c r="N1453" s="174"/>
      <c r="O1453" s="173">
        <f t="shared" si="157"/>
        <v>116.60481379086029</v>
      </c>
      <c r="P1453" s="173">
        <v>150</v>
      </c>
    </row>
    <row r="1454" spans="3:16" hidden="1" x14ac:dyDescent="0.35">
      <c r="C1454" s="233" t="s">
        <v>586</v>
      </c>
      <c r="G1454" s="245" t="s">
        <v>1587</v>
      </c>
      <c r="I1454" s="173">
        <v>45</v>
      </c>
      <c r="J1454">
        <v>6149</v>
      </c>
      <c r="K1454" s="173">
        <f t="shared" si="154"/>
        <v>5232</v>
      </c>
      <c r="L1454" s="402">
        <f t="shared" si="155"/>
        <v>38.28915270775736</v>
      </c>
      <c r="M1454" s="173">
        <f t="shared" si="156"/>
        <v>83.289152707757353</v>
      </c>
      <c r="N1454" s="174"/>
      <c r="O1454" s="173">
        <f t="shared" si="157"/>
        <v>116.60481379086029</v>
      </c>
      <c r="P1454" s="173">
        <v>150</v>
      </c>
    </row>
    <row r="1455" spans="3:16" hidden="1" x14ac:dyDescent="0.35">
      <c r="C1455" s="233" t="s">
        <v>586</v>
      </c>
      <c r="G1455" s="245" t="s">
        <v>1587</v>
      </c>
      <c r="I1455" s="173">
        <v>45</v>
      </c>
      <c r="J1455">
        <v>6149</v>
      </c>
      <c r="K1455" s="173">
        <f t="shared" si="154"/>
        <v>5232</v>
      </c>
      <c r="L1455" s="402">
        <f t="shared" si="155"/>
        <v>38.28915270775736</v>
      </c>
      <c r="M1455" s="173">
        <f t="shared" si="156"/>
        <v>83.289152707757353</v>
      </c>
      <c r="N1455" s="174"/>
      <c r="O1455" s="173">
        <f t="shared" si="157"/>
        <v>116.60481379086029</v>
      </c>
      <c r="P1455" s="173">
        <v>150</v>
      </c>
    </row>
    <row r="1456" spans="3:16" hidden="1" x14ac:dyDescent="0.35">
      <c r="L1456" s="402"/>
      <c r="N1456" s="174"/>
    </row>
    <row r="1457" spans="3:16" hidden="1" x14ac:dyDescent="0.35">
      <c r="G1457" s="245" t="s">
        <v>172</v>
      </c>
      <c r="L1457" s="402"/>
      <c r="N1457" s="174"/>
    </row>
    <row r="1458" spans="3:16" hidden="1" x14ac:dyDescent="0.35">
      <c r="C1458" s="233" t="s">
        <v>1657</v>
      </c>
      <c r="G1458" s="245" t="s">
        <v>1658</v>
      </c>
      <c r="I1458" s="173">
        <v>18</v>
      </c>
      <c r="J1458">
        <v>6149</v>
      </c>
      <c r="K1458" s="173">
        <f t="shared" si="154"/>
        <v>5232</v>
      </c>
      <c r="L1458" s="402">
        <f t="shared" ref="L1458:L1494" si="158">+I1458/J1458*K1458</f>
        <v>15.315661083102944</v>
      </c>
      <c r="M1458" s="173">
        <f t="shared" ref="M1458:M1494" si="159">+I1458+L1458</f>
        <v>33.315661083102945</v>
      </c>
      <c r="N1458" s="174"/>
      <c r="O1458" s="173">
        <f t="shared" ref="O1458:O1494" si="160">+M1458*1.4</f>
        <v>46.641925516344124</v>
      </c>
      <c r="P1458" s="173">
        <v>65</v>
      </c>
    </row>
    <row r="1459" spans="3:16" hidden="1" x14ac:dyDescent="0.35">
      <c r="C1459" s="233" t="s">
        <v>1657</v>
      </c>
      <c r="G1459" s="245" t="s">
        <v>1658</v>
      </c>
      <c r="I1459" s="173">
        <v>18</v>
      </c>
      <c r="J1459">
        <v>6149</v>
      </c>
      <c r="K1459" s="173">
        <f t="shared" si="154"/>
        <v>5232</v>
      </c>
      <c r="L1459" s="402">
        <f t="shared" si="158"/>
        <v>15.315661083102944</v>
      </c>
      <c r="M1459" s="173">
        <f t="shared" si="159"/>
        <v>33.315661083102945</v>
      </c>
      <c r="N1459" s="174"/>
      <c r="O1459" s="173">
        <f t="shared" si="160"/>
        <v>46.641925516344124</v>
      </c>
      <c r="P1459" s="173">
        <v>65</v>
      </c>
    </row>
    <row r="1460" spans="3:16" hidden="1" x14ac:dyDescent="0.35">
      <c r="C1460" s="233" t="s">
        <v>1657</v>
      </c>
      <c r="G1460" s="245" t="s">
        <v>1658</v>
      </c>
      <c r="I1460" s="173">
        <v>18</v>
      </c>
      <c r="J1460">
        <v>6149</v>
      </c>
      <c r="K1460" s="173">
        <f t="shared" si="154"/>
        <v>5232</v>
      </c>
      <c r="L1460" s="402">
        <f t="shared" si="158"/>
        <v>15.315661083102944</v>
      </c>
      <c r="M1460" s="173">
        <f t="shared" si="159"/>
        <v>33.315661083102945</v>
      </c>
      <c r="N1460" s="174"/>
      <c r="O1460" s="173">
        <f t="shared" si="160"/>
        <v>46.641925516344124</v>
      </c>
      <c r="P1460" s="173">
        <v>65</v>
      </c>
    </row>
    <row r="1461" spans="3:16" hidden="1" x14ac:dyDescent="0.35">
      <c r="C1461" s="233" t="s">
        <v>1657</v>
      </c>
      <c r="G1461" s="245" t="s">
        <v>1658</v>
      </c>
      <c r="I1461" s="173">
        <v>18</v>
      </c>
      <c r="J1461">
        <v>6149</v>
      </c>
      <c r="K1461" s="173">
        <f t="shared" si="154"/>
        <v>5232</v>
      </c>
      <c r="L1461" s="402">
        <f t="shared" si="158"/>
        <v>15.315661083102944</v>
      </c>
      <c r="M1461" s="173">
        <f t="shared" si="159"/>
        <v>33.315661083102945</v>
      </c>
      <c r="N1461" s="174"/>
      <c r="O1461" s="173">
        <f t="shared" si="160"/>
        <v>46.641925516344124</v>
      </c>
      <c r="P1461" s="173">
        <v>65</v>
      </c>
    </row>
    <row r="1462" spans="3:16" hidden="1" x14ac:dyDescent="0.35">
      <c r="C1462" s="233" t="s">
        <v>586</v>
      </c>
      <c r="F1462" s="366">
        <v>44</v>
      </c>
      <c r="G1462" s="245" t="s">
        <v>174</v>
      </c>
      <c r="I1462" s="173">
        <v>18</v>
      </c>
      <c r="J1462">
        <v>6149</v>
      </c>
      <c r="K1462" s="173">
        <f t="shared" si="154"/>
        <v>5232</v>
      </c>
      <c r="L1462" s="402">
        <f t="shared" si="158"/>
        <v>15.315661083102944</v>
      </c>
      <c r="M1462" s="173">
        <f t="shared" si="159"/>
        <v>33.315661083102945</v>
      </c>
      <c r="N1462" s="174"/>
      <c r="O1462" s="173">
        <f t="shared" si="160"/>
        <v>46.641925516344124</v>
      </c>
      <c r="P1462" s="173">
        <v>65</v>
      </c>
    </row>
    <row r="1463" spans="3:16" hidden="1" x14ac:dyDescent="0.35">
      <c r="C1463" s="233" t="s">
        <v>586</v>
      </c>
      <c r="F1463" s="366">
        <v>46</v>
      </c>
      <c r="G1463" s="245" t="s">
        <v>174</v>
      </c>
      <c r="I1463" s="173">
        <v>16</v>
      </c>
      <c r="J1463">
        <v>6149</v>
      </c>
      <c r="K1463" s="173">
        <f t="shared" si="154"/>
        <v>5232</v>
      </c>
      <c r="L1463" s="402">
        <f t="shared" si="158"/>
        <v>13.613920962758174</v>
      </c>
      <c r="M1463" s="173">
        <f t="shared" si="159"/>
        <v>29.613920962758172</v>
      </c>
      <c r="N1463" s="174"/>
      <c r="O1463" s="173">
        <f t="shared" si="160"/>
        <v>41.459489347861435</v>
      </c>
      <c r="P1463" s="173">
        <v>65</v>
      </c>
    </row>
    <row r="1464" spans="3:16" hidden="1" x14ac:dyDescent="0.35">
      <c r="C1464" s="233" t="s">
        <v>586</v>
      </c>
      <c r="F1464" s="366">
        <v>48</v>
      </c>
      <c r="G1464" s="245" t="s">
        <v>174</v>
      </c>
      <c r="I1464" s="173">
        <v>16</v>
      </c>
      <c r="J1464">
        <v>6149</v>
      </c>
      <c r="K1464" s="173">
        <f t="shared" si="154"/>
        <v>5232</v>
      </c>
      <c r="L1464" s="402">
        <f t="shared" si="158"/>
        <v>13.613920962758174</v>
      </c>
      <c r="M1464" s="173">
        <f t="shared" si="159"/>
        <v>29.613920962758172</v>
      </c>
      <c r="N1464" s="174"/>
      <c r="O1464" s="173">
        <f t="shared" si="160"/>
        <v>41.459489347861435</v>
      </c>
      <c r="P1464" s="173">
        <v>65</v>
      </c>
    </row>
    <row r="1465" spans="3:16" hidden="1" x14ac:dyDescent="0.35">
      <c r="C1465" s="233" t="s">
        <v>586</v>
      </c>
      <c r="F1465" s="366">
        <v>50</v>
      </c>
      <c r="G1465" s="245" t="s">
        <v>174</v>
      </c>
      <c r="I1465" s="173">
        <v>16</v>
      </c>
      <c r="J1465">
        <v>6149</v>
      </c>
      <c r="K1465" s="173">
        <f t="shared" si="154"/>
        <v>5232</v>
      </c>
      <c r="L1465" s="402">
        <f t="shared" si="158"/>
        <v>13.613920962758174</v>
      </c>
      <c r="M1465" s="173">
        <f t="shared" si="159"/>
        <v>29.613920962758172</v>
      </c>
      <c r="N1465" s="174"/>
      <c r="O1465" s="173">
        <f t="shared" si="160"/>
        <v>41.459489347861435</v>
      </c>
      <c r="P1465" s="173">
        <v>65</v>
      </c>
    </row>
    <row r="1466" spans="3:16" hidden="1" x14ac:dyDescent="0.35">
      <c r="C1466" s="233" t="s">
        <v>586</v>
      </c>
      <c r="F1466" s="366">
        <v>52</v>
      </c>
      <c r="G1466" s="245" t="s">
        <v>174</v>
      </c>
      <c r="I1466" s="173">
        <v>16</v>
      </c>
      <c r="J1466">
        <v>6149</v>
      </c>
      <c r="K1466" s="173">
        <f t="shared" si="154"/>
        <v>5232</v>
      </c>
      <c r="L1466" s="402">
        <f t="shared" si="158"/>
        <v>13.613920962758174</v>
      </c>
      <c r="M1466" s="173">
        <f t="shared" si="159"/>
        <v>29.613920962758172</v>
      </c>
      <c r="N1466" s="174"/>
      <c r="O1466" s="173">
        <f t="shared" si="160"/>
        <v>41.459489347861435</v>
      </c>
      <c r="P1466" s="173">
        <v>65</v>
      </c>
    </row>
    <row r="1467" spans="3:16" hidden="1" x14ac:dyDescent="0.35">
      <c r="C1467" s="233" t="s">
        <v>1601</v>
      </c>
      <c r="G1467" s="245" t="s">
        <v>1659</v>
      </c>
      <c r="I1467" s="173">
        <v>16</v>
      </c>
      <c r="J1467">
        <v>6149</v>
      </c>
      <c r="K1467" s="173">
        <f t="shared" si="154"/>
        <v>5232</v>
      </c>
      <c r="L1467" s="402">
        <f t="shared" si="158"/>
        <v>13.613920962758174</v>
      </c>
      <c r="M1467" s="173">
        <f t="shared" si="159"/>
        <v>29.613920962758172</v>
      </c>
      <c r="N1467" s="174"/>
      <c r="O1467" s="173">
        <f t="shared" si="160"/>
        <v>41.459489347861435</v>
      </c>
      <c r="P1467" s="173">
        <v>65</v>
      </c>
    </row>
    <row r="1468" spans="3:16" hidden="1" x14ac:dyDescent="0.35">
      <c r="C1468" s="233" t="s">
        <v>1601</v>
      </c>
      <c r="G1468" s="245" t="s">
        <v>1659</v>
      </c>
      <c r="I1468" s="173">
        <v>16</v>
      </c>
      <c r="J1468">
        <v>6149</v>
      </c>
      <c r="K1468" s="173">
        <f t="shared" si="154"/>
        <v>5232</v>
      </c>
      <c r="L1468" s="402">
        <f t="shared" si="158"/>
        <v>13.613920962758174</v>
      </c>
      <c r="M1468" s="173">
        <f t="shared" si="159"/>
        <v>29.613920962758172</v>
      </c>
      <c r="N1468" s="174"/>
      <c r="O1468" s="173">
        <f t="shared" si="160"/>
        <v>41.459489347861435</v>
      </c>
      <c r="P1468" s="173">
        <v>65</v>
      </c>
    </row>
    <row r="1469" spans="3:16" hidden="1" x14ac:dyDescent="0.35">
      <c r="C1469" s="233" t="s">
        <v>1601</v>
      </c>
      <c r="G1469" s="245" t="s">
        <v>1659</v>
      </c>
      <c r="I1469" s="173">
        <v>16</v>
      </c>
      <c r="J1469">
        <v>6149</v>
      </c>
      <c r="K1469" s="173">
        <f t="shared" si="154"/>
        <v>5232</v>
      </c>
      <c r="L1469" s="402">
        <f t="shared" si="158"/>
        <v>13.613920962758174</v>
      </c>
      <c r="M1469" s="173">
        <f t="shared" si="159"/>
        <v>29.613920962758172</v>
      </c>
      <c r="N1469" s="174"/>
      <c r="O1469" s="173">
        <f t="shared" si="160"/>
        <v>41.459489347861435</v>
      </c>
      <c r="P1469" s="173">
        <v>65</v>
      </c>
    </row>
    <row r="1470" spans="3:16" hidden="1" x14ac:dyDescent="0.35">
      <c r="C1470" s="233" t="s">
        <v>1601</v>
      </c>
      <c r="G1470" s="245" t="s">
        <v>1659</v>
      </c>
      <c r="I1470" s="173">
        <v>16</v>
      </c>
      <c r="J1470">
        <v>6149</v>
      </c>
      <c r="K1470" s="173">
        <f t="shared" si="154"/>
        <v>5232</v>
      </c>
      <c r="L1470" s="402">
        <f t="shared" si="158"/>
        <v>13.613920962758174</v>
      </c>
      <c r="M1470" s="173">
        <f t="shared" si="159"/>
        <v>29.613920962758172</v>
      </c>
      <c r="N1470" s="174"/>
      <c r="O1470" s="173">
        <f t="shared" si="160"/>
        <v>41.459489347861435</v>
      </c>
      <c r="P1470" s="173">
        <v>65</v>
      </c>
    </row>
    <row r="1471" spans="3:16" hidden="1" x14ac:dyDescent="0.35">
      <c r="C1471" s="233" t="s">
        <v>1601</v>
      </c>
      <c r="G1471" s="245" t="s">
        <v>1659</v>
      </c>
      <c r="I1471" s="173">
        <v>16</v>
      </c>
      <c r="J1471">
        <v>6149</v>
      </c>
      <c r="K1471" s="173">
        <f t="shared" si="154"/>
        <v>5232</v>
      </c>
      <c r="L1471" s="402">
        <f t="shared" si="158"/>
        <v>13.613920962758174</v>
      </c>
      <c r="M1471" s="173">
        <f t="shared" si="159"/>
        <v>29.613920962758172</v>
      </c>
      <c r="N1471" s="174"/>
      <c r="O1471" s="173">
        <f t="shared" si="160"/>
        <v>41.459489347861435</v>
      </c>
      <c r="P1471" s="173">
        <v>65</v>
      </c>
    </row>
    <row r="1472" spans="3:16" hidden="1" x14ac:dyDescent="0.35">
      <c r="C1472" s="233" t="s">
        <v>1601</v>
      </c>
      <c r="G1472" s="245" t="s">
        <v>1659</v>
      </c>
      <c r="I1472" s="173">
        <v>16</v>
      </c>
      <c r="J1472">
        <v>6149</v>
      </c>
      <c r="K1472" s="173">
        <f t="shared" si="154"/>
        <v>5232</v>
      </c>
      <c r="L1472" s="402">
        <f t="shared" si="158"/>
        <v>13.613920962758174</v>
      </c>
      <c r="M1472" s="173">
        <f t="shared" si="159"/>
        <v>29.613920962758172</v>
      </c>
      <c r="N1472" s="174"/>
      <c r="O1472" s="173">
        <f t="shared" si="160"/>
        <v>41.459489347861435</v>
      </c>
      <c r="P1472" s="173">
        <v>65</v>
      </c>
    </row>
    <row r="1473" spans="3:16" hidden="1" x14ac:dyDescent="0.35">
      <c r="C1473" s="596" t="s">
        <v>1607</v>
      </c>
      <c r="D1473" s="596"/>
      <c r="F1473" s="366">
        <v>44</v>
      </c>
      <c r="G1473" s="245" t="s">
        <v>1604</v>
      </c>
      <c r="I1473" s="173">
        <v>15</v>
      </c>
      <c r="J1473">
        <v>6149</v>
      </c>
      <c r="K1473" s="173">
        <f t="shared" si="154"/>
        <v>5232</v>
      </c>
      <c r="L1473" s="402">
        <f t="shared" si="158"/>
        <v>12.763050902585787</v>
      </c>
      <c r="M1473" s="173">
        <f t="shared" si="159"/>
        <v>27.763050902585789</v>
      </c>
      <c r="N1473" s="174"/>
      <c r="O1473" s="173">
        <f t="shared" si="160"/>
        <v>38.868271263620102</v>
      </c>
      <c r="P1473" s="173">
        <v>45</v>
      </c>
    </row>
    <row r="1474" spans="3:16" hidden="1" x14ac:dyDescent="0.35">
      <c r="C1474" s="596" t="s">
        <v>1607</v>
      </c>
      <c r="D1474" s="596"/>
      <c r="F1474" s="366">
        <v>46</v>
      </c>
      <c r="G1474" s="245" t="s">
        <v>1604</v>
      </c>
      <c r="I1474" s="173">
        <v>15</v>
      </c>
      <c r="J1474">
        <v>6149</v>
      </c>
      <c r="K1474" s="173">
        <f t="shared" si="154"/>
        <v>5232</v>
      </c>
      <c r="L1474" s="402">
        <f t="shared" si="158"/>
        <v>12.763050902585787</v>
      </c>
      <c r="M1474" s="173">
        <f t="shared" si="159"/>
        <v>27.763050902585789</v>
      </c>
      <c r="N1474" s="174"/>
      <c r="O1474" s="173">
        <f t="shared" si="160"/>
        <v>38.868271263620102</v>
      </c>
      <c r="P1474" s="173">
        <v>45</v>
      </c>
    </row>
    <row r="1475" spans="3:16" hidden="1" x14ac:dyDescent="0.35">
      <c r="C1475" s="596" t="s">
        <v>1607</v>
      </c>
      <c r="D1475" s="596"/>
      <c r="F1475" s="366">
        <v>48</v>
      </c>
      <c r="G1475" s="245" t="s">
        <v>1604</v>
      </c>
      <c r="I1475" s="173">
        <v>15</v>
      </c>
      <c r="J1475">
        <v>6149</v>
      </c>
      <c r="K1475" s="173">
        <f t="shared" si="154"/>
        <v>5232</v>
      </c>
      <c r="L1475" s="402">
        <f t="shared" si="158"/>
        <v>12.763050902585787</v>
      </c>
      <c r="M1475" s="173">
        <f t="shared" si="159"/>
        <v>27.763050902585789</v>
      </c>
      <c r="N1475" s="174"/>
      <c r="O1475" s="173">
        <f t="shared" si="160"/>
        <v>38.868271263620102</v>
      </c>
      <c r="P1475" s="173">
        <v>45</v>
      </c>
    </row>
    <row r="1476" spans="3:16" hidden="1" x14ac:dyDescent="0.35">
      <c r="C1476" s="596" t="s">
        <v>1607</v>
      </c>
      <c r="D1476" s="596"/>
      <c r="F1476" s="366">
        <v>50</v>
      </c>
      <c r="G1476" s="245" t="s">
        <v>1604</v>
      </c>
      <c r="I1476" s="173">
        <v>15</v>
      </c>
      <c r="J1476">
        <v>6149</v>
      </c>
      <c r="K1476" s="173">
        <f t="shared" si="154"/>
        <v>5232</v>
      </c>
      <c r="L1476" s="402">
        <f t="shared" si="158"/>
        <v>12.763050902585787</v>
      </c>
      <c r="M1476" s="173">
        <f t="shared" si="159"/>
        <v>27.763050902585789</v>
      </c>
      <c r="N1476" s="174"/>
      <c r="O1476" s="173">
        <f t="shared" si="160"/>
        <v>38.868271263620102</v>
      </c>
      <c r="P1476" s="173">
        <v>30</v>
      </c>
    </row>
    <row r="1477" spans="3:16" hidden="1" x14ac:dyDescent="0.35">
      <c r="C1477" s="233" t="s">
        <v>1606</v>
      </c>
      <c r="G1477" s="245" t="s">
        <v>1605</v>
      </c>
      <c r="I1477" s="173">
        <v>7</v>
      </c>
      <c r="J1477">
        <v>6149</v>
      </c>
      <c r="K1477" s="173">
        <f t="shared" si="154"/>
        <v>5232</v>
      </c>
      <c r="L1477" s="402">
        <f t="shared" si="158"/>
        <v>5.9560904212067003</v>
      </c>
      <c r="M1477" s="173">
        <f t="shared" si="159"/>
        <v>12.956090421206699</v>
      </c>
      <c r="N1477" s="174"/>
      <c r="O1477" s="173">
        <f t="shared" si="160"/>
        <v>18.138526589689377</v>
      </c>
      <c r="P1477" s="173">
        <v>30</v>
      </c>
    </row>
    <row r="1478" spans="3:16" hidden="1" x14ac:dyDescent="0.35">
      <c r="C1478" s="233" t="s">
        <v>1606</v>
      </c>
      <c r="G1478" s="245" t="s">
        <v>1605</v>
      </c>
      <c r="I1478" s="173">
        <v>7</v>
      </c>
      <c r="J1478">
        <v>6149</v>
      </c>
      <c r="K1478" s="173">
        <f t="shared" si="154"/>
        <v>5232</v>
      </c>
      <c r="L1478" s="402">
        <f t="shared" si="158"/>
        <v>5.9560904212067003</v>
      </c>
      <c r="M1478" s="173">
        <f t="shared" si="159"/>
        <v>12.956090421206699</v>
      </c>
      <c r="N1478" s="174"/>
      <c r="O1478" s="173">
        <f t="shared" si="160"/>
        <v>18.138526589689377</v>
      </c>
      <c r="P1478" s="173">
        <v>30</v>
      </c>
    </row>
    <row r="1479" spans="3:16" hidden="1" x14ac:dyDescent="0.35">
      <c r="C1479" s="233" t="s">
        <v>1606</v>
      </c>
      <c r="G1479" s="245" t="s">
        <v>1605</v>
      </c>
      <c r="I1479" s="173">
        <v>7</v>
      </c>
      <c r="J1479">
        <v>6149</v>
      </c>
      <c r="K1479" s="173">
        <f t="shared" si="154"/>
        <v>5232</v>
      </c>
      <c r="L1479" s="402">
        <f t="shared" si="158"/>
        <v>5.9560904212067003</v>
      </c>
      <c r="M1479" s="173">
        <f t="shared" si="159"/>
        <v>12.956090421206699</v>
      </c>
      <c r="N1479" s="174"/>
      <c r="O1479" s="173">
        <f t="shared" si="160"/>
        <v>18.138526589689377</v>
      </c>
      <c r="P1479" s="173">
        <v>30</v>
      </c>
    </row>
    <row r="1480" spans="3:16" hidden="1" x14ac:dyDescent="0.35">
      <c r="C1480" s="233" t="s">
        <v>1606</v>
      </c>
      <c r="G1480" s="245" t="s">
        <v>1605</v>
      </c>
      <c r="I1480" s="173">
        <v>7</v>
      </c>
      <c r="J1480">
        <v>6149</v>
      </c>
      <c r="K1480" s="173">
        <f t="shared" si="154"/>
        <v>5232</v>
      </c>
      <c r="L1480" s="402">
        <f t="shared" si="158"/>
        <v>5.9560904212067003</v>
      </c>
      <c r="M1480" s="173">
        <f t="shared" si="159"/>
        <v>12.956090421206699</v>
      </c>
      <c r="N1480" s="174"/>
      <c r="O1480" s="173">
        <f t="shared" si="160"/>
        <v>18.138526589689377</v>
      </c>
      <c r="P1480" s="173">
        <v>30</v>
      </c>
    </row>
    <row r="1481" spans="3:16" hidden="1" x14ac:dyDescent="0.35">
      <c r="C1481" s="233" t="s">
        <v>1606</v>
      </c>
      <c r="G1481" s="245" t="s">
        <v>1605</v>
      </c>
      <c r="I1481" s="173">
        <v>7</v>
      </c>
      <c r="J1481">
        <v>6149</v>
      </c>
      <c r="K1481" s="173">
        <f t="shared" si="154"/>
        <v>5232</v>
      </c>
      <c r="L1481" s="402">
        <f t="shared" si="158"/>
        <v>5.9560904212067003</v>
      </c>
      <c r="M1481" s="173">
        <f t="shared" si="159"/>
        <v>12.956090421206699</v>
      </c>
      <c r="N1481" s="174"/>
      <c r="O1481" s="173">
        <f t="shared" si="160"/>
        <v>18.138526589689377</v>
      </c>
      <c r="P1481" s="173">
        <v>30</v>
      </c>
    </row>
    <row r="1482" spans="3:16" hidden="1" x14ac:dyDescent="0.35">
      <c r="C1482" s="233" t="s">
        <v>1606</v>
      </c>
      <c r="G1482" s="245" t="s">
        <v>1605</v>
      </c>
      <c r="I1482" s="173">
        <v>7</v>
      </c>
      <c r="J1482">
        <v>6149</v>
      </c>
      <c r="K1482" s="173">
        <f t="shared" si="154"/>
        <v>5232</v>
      </c>
      <c r="L1482" s="402">
        <f t="shared" si="158"/>
        <v>5.9560904212067003</v>
      </c>
      <c r="M1482" s="173">
        <f t="shared" si="159"/>
        <v>12.956090421206699</v>
      </c>
      <c r="N1482" s="174"/>
      <c r="O1482" s="173">
        <f t="shared" si="160"/>
        <v>18.138526589689377</v>
      </c>
      <c r="P1482" s="173">
        <v>30</v>
      </c>
    </row>
    <row r="1483" spans="3:16" hidden="1" x14ac:dyDescent="0.35">
      <c r="C1483" s="233" t="s">
        <v>1606</v>
      </c>
      <c r="G1483" s="245" t="s">
        <v>1608</v>
      </c>
      <c r="I1483" s="173">
        <v>7</v>
      </c>
      <c r="J1483">
        <v>6149</v>
      </c>
      <c r="K1483" s="173">
        <f t="shared" si="154"/>
        <v>5232</v>
      </c>
      <c r="L1483" s="402">
        <f t="shared" si="158"/>
        <v>5.9560904212067003</v>
      </c>
      <c r="M1483" s="173">
        <f t="shared" si="159"/>
        <v>12.956090421206699</v>
      </c>
      <c r="N1483" s="174"/>
      <c r="O1483" s="173">
        <f t="shared" si="160"/>
        <v>18.138526589689377</v>
      </c>
      <c r="P1483" s="173">
        <v>30</v>
      </c>
    </row>
    <row r="1484" spans="3:16" hidden="1" x14ac:dyDescent="0.35">
      <c r="C1484" s="233" t="s">
        <v>1606</v>
      </c>
      <c r="G1484" s="245" t="s">
        <v>1608</v>
      </c>
      <c r="I1484" s="173">
        <v>7</v>
      </c>
      <c r="J1484">
        <v>6149</v>
      </c>
      <c r="K1484" s="173">
        <f t="shared" ref="K1484:K1634" si="161">5832-600</f>
        <v>5232</v>
      </c>
      <c r="L1484" s="402">
        <f t="shared" si="158"/>
        <v>5.9560904212067003</v>
      </c>
      <c r="M1484" s="173">
        <f t="shared" si="159"/>
        <v>12.956090421206699</v>
      </c>
      <c r="N1484" s="174"/>
      <c r="O1484" s="173">
        <f t="shared" si="160"/>
        <v>18.138526589689377</v>
      </c>
      <c r="P1484" s="173">
        <v>30</v>
      </c>
    </row>
    <row r="1485" spans="3:16" hidden="1" x14ac:dyDescent="0.35">
      <c r="C1485" s="233" t="s">
        <v>1606</v>
      </c>
      <c r="G1485" s="245" t="s">
        <v>1608</v>
      </c>
      <c r="I1485" s="173">
        <v>7</v>
      </c>
      <c r="J1485">
        <v>6149</v>
      </c>
      <c r="K1485" s="173">
        <f t="shared" si="161"/>
        <v>5232</v>
      </c>
      <c r="L1485" s="402">
        <f t="shared" si="158"/>
        <v>5.9560904212067003</v>
      </c>
      <c r="M1485" s="173">
        <f t="shared" si="159"/>
        <v>12.956090421206699</v>
      </c>
      <c r="N1485" s="174"/>
      <c r="O1485" s="173">
        <f t="shared" si="160"/>
        <v>18.138526589689377</v>
      </c>
      <c r="P1485" s="173">
        <v>30</v>
      </c>
    </row>
    <row r="1486" spans="3:16" hidden="1" x14ac:dyDescent="0.35">
      <c r="C1486" s="233" t="s">
        <v>1606</v>
      </c>
      <c r="G1486" s="245" t="s">
        <v>1608</v>
      </c>
      <c r="I1486" s="173">
        <v>7</v>
      </c>
      <c r="J1486">
        <v>6149</v>
      </c>
      <c r="K1486" s="173">
        <f t="shared" si="161"/>
        <v>5232</v>
      </c>
      <c r="L1486" s="402">
        <f t="shared" si="158"/>
        <v>5.9560904212067003</v>
      </c>
      <c r="M1486" s="173">
        <f t="shared" si="159"/>
        <v>12.956090421206699</v>
      </c>
      <c r="N1486" s="174"/>
      <c r="O1486" s="173">
        <f t="shared" si="160"/>
        <v>18.138526589689377</v>
      </c>
      <c r="P1486" s="173">
        <v>30</v>
      </c>
    </row>
    <row r="1487" spans="3:16" hidden="1" x14ac:dyDescent="0.35">
      <c r="C1487" s="233" t="s">
        <v>1606</v>
      </c>
      <c r="G1487" s="245" t="s">
        <v>1608</v>
      </c>
      <c r="I1487" s="173">
        <v>7</v>
      </c>
      <c r="J1487">
        <v>6149</v>
      </c>
      <c r="K1487" s="173">
        <f t="shared" si="161"/>
        <v>5232</v>
      </c>
      <c r="L1487" s="402">
        <f t="shared" si="158"/>
        <v>5.9560904212067003</v>
      </c>
      <c r="M1487" s="173">
        <f t="shared" si="159"/>
        <v>12.956090421206699</v>
      </c>
      <c r="N1487" s="174"/>
      <c r="O1487" s="173">
        <f t="shared" si="160"/>
        <v>18.138526589689377</v>
      </c>
      <c r="P1487" s="173">
        <v>30</v>
      </c>
    </row>
    <row r="1488" spans="3:16" hidden="1" x14ac:dyDescent="0.35">
      <c r="C1488" s="233" t="s">
        <v>1606</v>
      </c>
      <c r="G1488" s="245" t="s">
        <v>1608</v>
      </c>
      <c r="I1488" s="173">
        <v>7</v>
      </c>
      <c r="J1488">
        <v>6149</v>
      </c>
      <c r="K1488" s="173">
        <f t="shared" si="161"/>
        <v>5232</v>
      </c>
      <c r="L1488" s="402">
        <f t="shared" si="158"/>
        <v>5.9560904212067003</v>
      </c>
      <c r="M1488" s="173">
        <f t="shared" si="159"/>
        <v>12.956090421206699</v>
      </c>
      <c r="N1488" s="174"/>
      <c r="O1488" s="173">
        <f t="shared" si="160"/>
        <v>18.138526589689377</v>
      </c>
      <c r="P1488" s="173">
        <v>30</v>
      </c>
    </row>
    <row r="1489" spans="3:16" hidden="1" x14ac:dyDescent="0.35">
      <c r="C1489" s="233" t="s">
        <v>1606</v>
      </c>
      <c r="G1489" s="245" t="s">
        <v>1609</v>
      </c>
      <c r="I1489" s="173">
        <v>7</v>
      </c>
      <c r="J1489">
        <v>6149</v>
      </c>
      <c r="K1489" s="173">
        <f t="shared" si="161"/>
        <v>5232</v>
      </c>
      <c r="L1489" s="402">
        <f t="shared" si="158"/>
        <v>5.9560904212067003</v>
      </c>
      <c r="M1489" s="173">
        <f t="shared" si="159"/>
        <v>12.956090421206699</v>
      </c>
      <c r="N1489" s="174"/>
      <c r="O1489" s="173">
        <f t="shared" si="160"/>
        <v>18.138526589689377</v>
      </c>
      <c r="P1489" s="173">
        <v>45</v>
      </c>
    </row>
    <row r="1490" spans="3:16" hidden="1" x14ac:dyDescent="0.35">
      <c r="C1490" s="233" t="s">
        <v>1606</v>
      </c>
      <c r="G1490" s="245" t="s">
        <v>1609</v>
      </c>
      <c r="I1490" s="173">
        <v>7</v>
      </c>
      <c r="J1490">
        <v>6149</v>
      </c>
      <c r="K1490" s="173">
        <f t="shared" si="161"/>
        <v>5232</v>
      </c>
      <c r="L1490" s="402">
        <f t="shared" si="158"/>
        <v>5.9560904212067003</v>
      </c>
      <c r="M1490" s="173">
        <f t="shared" si="159"/>
        <v>12.956090421206699</v>
      </c>
      <c r="N1490" s="174"/>
      <c r="O1490" s="173">
        <f t="shared" si="160"/>
        <v>18.138526589689377</v>
      </c>
      <c r="P1490" s="173">
        <v>45</v>
      </c>
    </row>
    <row r="1491" spans="3:16" hidden="1" x14ac:dyDescent="0.35">
      <c r="C1491" s="233" t="s">
        <v>1606</v>
      </c>
      <c r="G1491" s="245" t="s">
        <v>1609</v>
      </c>
      <c r="I1491" s="173">
        <v>7</v>
      </c>
      <c r="J1491">
        <v>6149</v>
      </c>
      <c r="K1491" s="173">
        <f t="shared" si="161"/>
        <v>5232</v>
      </c>
      <c r="L1491" s="402">
        <f t="shared" si="158"/>
        <v>5.9560904212067003</v>
      </c>
      <c r="M1491" s="173">
        <f t="shared" si="159"/>
        <v>12.956090421206699</v>
      </c>
      <c r="N1491" s="174"/>
      <c r="O1491" s="173">
        <f t="shared" si="160"/>
        <v>18.138526589689377</v>
      </c>
      <c r="P1491" s="173">
        <v>45</v>
      </c>
    </row>
    <row r="1492" spans="3:16" hidden="1" x14ac:dyDescent="0.35">
      <c r="C1492" s="233" t="s">
        <v>1606</v>
      </c>
      <c r="G1492" s="245" t="s">
        <v>1609</v>
      </c>
      <c r="I1492" s="173">
        <v>7</v>
      </c>
      <c r="J1492">
        <v>6149</v>
      </c>
      <c r="K1492" s="173">
        <f t="shared" si="161"/>
        <v>5232</v>
      </c>
      <c r="L1492" s="402">
        <f t="shared" si="158"/>
        <v>5.9560904212067003</v>
      </c>
      <c r="M1492" s="173">
        <f t="shared" si="159"/>
        <v>12.956090421206699</v>
      </c>
      <c r="N1492" s="174"/>
      <c r="O1492" s="173">
        <f t="shared" si="160"/>
        <v>18.138526589689377</v>
      </c>
      <c r="P1492" s="173">
        <v>45</v>
      </c>
    </row>
    <row r="1493" spans="3:16" hidden="1" x14ac:dyDescent="0.35">
      <c r="C1493" s="233" t="s">
        <v>1606</v>
      </c>
      <c r="G1493" s="245" t="s">
        <v>1609</v>
      </c>
      <c r="I1493" s="173">
        <v>7</v>
      </c>
      <c r="J1493">
        <v>6149</v>
      </c>
      <c r="K1493" s="173">
        <f t="shared" si="161"/>
        <v>5232</v>
      </c>
      <c r="L1493" s="402">
        <f t="shared" si="158"/>
        <v>5.9560904212067003</v>
      </c>
      <c r="M1493" s="173">
        <f t="shared" si="159"/>
        <v>12.956090421206699</v>
      </c>
      <c r="N1493" s="174"/>
      <c r="O1493" s="173">
        <f t="shared" si="160"/>
        <v>18.138526589689377</v>
      </c>
      <c r="P1493" s="173">
        <v>45</v>
      </c>
    </row>
    <row r="1494" spans="3:16" hidden="1" x14ac:dyDescent="0.35">
      <c r="C1494" s="233" t="s">
        <v>1606</v>
      </c>
      <c r="G1494" s="245" t="s">
        <v>1609</v>
      </c>
      <c r="I1494" s="173">
        <v>7</v>
      </c>
      <c r="J1494">
        <v>6149</v>
      </c>
      <c r="K1494" s="173">
        <f t="shared" si="161"/>
        <v>5232</v>
      </c>
      <c r="L1494" s="402">
        <f t="shared" si="158"/>
        <v>5.9560904212067003</v>
      </c>
      <c r="M1494" s="173">
        <f t="shared" si="159"/>
        <v>12.956090421206699</v>
      </c>
      <c r="N1494" s="174"/>
      <c r="O1494" s="173">
        <f t="shared" si="160"/>
        <v>18.138526589689377</v>
      </c>
      <c r="P1494" s="173">
        <v>45</v>
      </c>
    </row>
    <row r="1495" spans="3:16" hidden="1" x14ac:dyDescent="0.35">
      <c r="L1495" s="402"/>
      <c r="N1495" s="174"/>
    </row>
    <row r="1496" spans="3:16" hidden="1" x14ac:dyDescent="0.35">
      <c r="L1496" s="402"/>
      <c r="N1496" s="174"/>
    </row>
    <row r="1497" spans="3:16" hidden="1" x14ac:dyDescent="0.35">
      <c r="C1497" s="596" t="s">
        <v>1637</v>
      </c>
      <c r="D1497" s="596"/>
      <c r="F1497" s="366" t="s">
        <v>760</v>
      </c>
      <c r="G1497" s="245" t="s">
        <v>1633</v>
      </c>
      <c r="I1497" s="173">
        <v>8</v>
      </c>
      <c r="J1497">
        <v>6149</v>
      </c>
      <c r="K1497" s="173">
        <f t="shared" si="161"/>
        <v>5232</v>
      </c>
      <c r="L1497" s="402">
        <f t="shared" ref="L1497:L1510" si="162">+I1497/J1497*K1497</f>
        <v>6.8069604813790869</v>
      </c>
      <c r="M1497" s="173">
        <f t="shared" ref="M1497:M1510" si="163">+I1497+L1497</f>
        <v>14.806960481379086</v>
      </c>
      <c r="N1497" s="174"/>
      <c r="O1497" s="173">
        <f t="shared" ref="O1497:O1510" si="164">+M1497*1.4</f>
        <v>20.729744673930718</v>
      </c>
      <c r="P1497" s="173">
        <v>25</v>
      </c>
    </row>
    <row r="1498" spans="3:16" hidden="1" x14ac:dyDescent="0.35">
      <c r="C1498" s="596" t="s">
        <v>1637</v>
      </c>
      <c r="D1498" s="596"/>
      <c r="F1498" s="366" t="s">
        <v>597</v>
      </c>
      <c r="G1498" s="245" t="s">
        <v>1633</v>
      </c>
      <c r="I1498" s="173">
        <v>8</v>
      </c>
      <c r="J1498">
        <v>6149</v>
      </c>
      <c r="K1498" s="173">
        <f t="shared" si="161"/>
        <v>5232</v>
      </c>
      <c r="L1498" s="402">
        <f t="shared" si="162"/>
        <v>6.8069604813790869</v>
      </c>
      <c r="M1498" s="173">
        <f t="shared" si="163"/>
        <v>14.806960481379086</v>
      </c>
      <c r="N1498" s="174"/>
      <c r="O1498" s="173">
        <f t="shared" si="164"/>
        <v>20.729744673930718</v>
      </c>
      <c r="P1498" s="173">
        <v>25</v>
      </c>
    </row>
    <row r="1499" spans="3:16" hidden="1" x14ac:dyDescent="0.35">
      <c r="C1499" s="596" t="s">
        <v>1637</v>
      </c>
      <c r="D1499" s="596"/>
      <c r="F1499" s="366" t="s">
        <v>598</v>
      </c>
      <c r="G1499" s="245" t="s">
        <v>1633</v>
      </c>
      <c r="I1499" s="173">
        <v>8</v>
      </c>
      <c r="J1499">
        <v>6149</v>
      </c>
      <c r="K1499" s="173">
        <f t="shared" si="161"/>
        <v>5232</v>
      </c>
      <c r="L1499" s="402">
        <f t="shared" si="162"/>
        <v>6.8069604813790869</v>
      </c>
      <c r="M1499" s="173">
        <f t="shared" si="163"/>
        <v>14.806960481379086</v>
      </c>
      <c r="N1499" s="174"/>
      <c r="O1499" s="173">
        <f t="shared" si="164"/>
        <v>20.729744673930718</v>
      </c>
      <c r="P1499" s="173">
        <v>25</v>
      </c>
    </row>
    <row r="1500" spans="3:16" hidden="1" x14ac:dyDescent="0.35">
      <c r="C1500" s="596" t="s">
        <v>1637</v>
      </c>
      <c r="D1500" s="596"/>
      <c r="F1500" s="366" t="s">
        <v>408</v>
      </c>
      <c r="G1500" s="245" t="s">
        <v>1634</v>
      </c>
      <c r="I1500" s="173">
        <v>8</v>
      </c>
      <c r="J1500">
        <v>6149</v>
      </c>
      <c r="K1500" s="173">
        <f t="shared" si="161"/>
        <v>5232</v>
      </c>
      <c r="L1500" s="402">
        <f t="shared" si="162"/>
        <v>6.8069604813790869</v>
      </c>
      <c r="M1500" s="173">
        <f t="shared" si="163"/>
        <v>14.806960481379086</v>
      </c>
      <c r="N1500" s="174"/>
      <c r="O1500" s="173">
        <f t="shared" si="164"/>
        <v>20.729744673930718</v>
      </c>
      <c r="P1500" s="173">
        <v>25</v>
      </c>
    </row>
    <row r="1501" spans="3:16" hidden="1" x14ac:dyDescent="0.35">
      <c r="C1501" s="596" t="s">
        <v>1637</v>
      </c>
      <c r="D1501" s="596"/>
      <c r="F1501" s="366" t="s">
        <v>409</v>
      </c>
      <c r="G1501" s="245" t="s">
        <v>1634</v>
      </c>
      <c r="I1501" s="173">
        <v>8</v>
      </c>
      <c r="J1501">
        <v>6149</v>
      </c>
      <c r="K1501" s="173">
        <f t="shared" si="161"/>
        <v>5232</v>
      </c>
      <c r="L1501" s="402">
        <f t="shared" si="162"/>
        <v>6.8069604813790869</v>
      </c>
      <c r="M1501" s="173">
        <f t="shared" si="163"/>
        <v>14.806960481379086</v>
      </c>
      <c r="N1501" s="174"/>
      <c r="O1501" s="173">
        <f t="shared" si="164"/>
        <v>20.729744673930718</v>
      </c>
      <c r="P1501" s="173">
        <v>25</v>
      </c>
    </row>
    <row r="1502" spans="3:16" hidden="1" x14ac:dyDescent="0.35">
      <c r="C1502" s="596" t="s">
        <v>1637</v>
      </c>
      <c r="D1502" s="596"/>
      <c r="F1502" s="366" t="s">
        <v>760</v>
      </c>
      <c r="G1502" s="245" t="s">
        <v>1634</v>
      </c>
      <c r="I1502" s="173">
        <v>8</v>
      </c>
      <c r="J1502">
        <v>6149</v>
      </c>
      <c r="K1502" s="173">
        <f t="shared" si="161"/>
        <v>5232</v>
      </c>
      <c r="L1502" s="402">
        <f t="shared" si="162"/>
        <v>6.8069604813790869</v>
      </c>
      <c r="M1502" s="173">
        <f t="shared" si="163"/>
        <v>14.806960481379086</v>
      </c>
      <c r="N1502" s="174"/>
      <c r="O1502" s="173">
        <f t="shared" si="164"/>
        <v>20.729744673930718</v>
      </c>
      <c r="P1502" s="173">
        <v>25</v>
      </c>
    </row>
    <row r="1503" spans="3:16" hidden="1" x14ac:dyDescent="0.35">
      <c r="C1503" s="596" t="s">
        <v>1637</v>
      </c>
      <c r="D1503" s="596"/>
      <c r="F1503" s="366" t="s">
        <v>409</v>
      </c>
      <c r="G1503" s="245" t="s">
        <v>1635</v>
      </c>
      <c r="I1503" s="173">
        <v>8</v>
      </c>
      <c r="J1503">
        <v>6149</v>
      </c>
      <c r="K1503" s="173">
        <f t="shared" si="161"/>
        <v>5232</v>
      </c>
      <c r="L1503" s="402">
        <f t="shared" si="162"/>
        <v>6.8069604813790869</v>
      </c>
      <c r="M1503" s="173">
        <f t="shared" si="163"/>
        <v>14.806960481379086</v>
      </c>
      <c r="N1503" s="174"/>
      <c r="O1503" s="173">
        <f t="shared" si="164"/>
        <v>20.729744673930718</v>
      </c>
      <c r="P1503" s="173">
        <v>25</v>
      </c>
    </row>
    <row r="1504" spans="3:16" hidden="1" x14ac:dyDescent="0.35">
      <c r="C1504" s="596" t="s">
        <v>1637</v>
      </c>
      <c r="D1504" s="596"/>
      <c r="F1504" s="366" t="s">
        <v>409</v>
      </c>
      <c r="G1504" s="245" t="s">
        <v>1635</v>
      </c>
      <c r="I1504" s="173">
        <v>8</v>
      </c>
      <c r="J1504">
        <v>6149</v>
      </c>
      <c r="K1504" s="173">
        <f t="shared" si="161"/>
        <v>5232</v>
      </c>
      <c r="L1504" s="402">
        <f t="shared" si="162"/>
        <v>6.8069604813790869</v>
      </c>
      <c r="M1504" s="173">
        <f t="shared" si="163"/>
        <v>14.806960481379086</v>
      </c>
      <c r="N1504" s="174"/>
      <c r="O1504" s="173">
        <f t="shared" si="164"/>
        <v>20.729744673930718</v>
      </c>
      <c r="P1504" s="173">
        <v>25</v>
      </c>
    </row>
    <row r="1505" spans="3:20" hidden="1" x14ac:dyDescent="0.35">
      <c r="C1505" s="596" t="s">
        <v>1637</v>
      </c>
      <c r="D1505" s="596"/>
      <c r="F1505" s="366" t="s">
        <v>410</v>
      </c>
      <c r="G1505" s="245" t="s">
        <v>1635</v>
      </c>
      <c r="I1505" s="173">
        <v>7.5</v>
      </c>
      <c r="J1505">
        <v>6149</v>
      </c>
      <c r="K1505" s="173">
        <f t="shared" si="161"/>
        <v>5232</v>
      </c>
      <c r="L1505" s="402">
        <f t="shared" si="162"/>
        <v>6.3815254512928936</v>
      </c>
      <c r="M1505" s="173">
        <f t="shared" si="163"/>
        <v>13.881525451292895</v>
      </c>
      <c r="N1505" s="174"/>
      <c r="O1505" s="173">
        <f t="shared" si="164"/>
        <v>19.434135631810051</v>
      </c>
      <c r="P1505" s="173">
        <v>25</v>
      </c>
    </row>
    <row r="1506" spans="3:20" hidden="1" x14ac:dyDescent="0.35">
      <c r="C1506" s="596" t="s">
        <v>1637</v>
      </c>
      <c r="D1506" s="596"/>
      <c r="F1506" s="366" t="s">
        <v>410</v>
      </c>
      <c r="G1506" s="245" t="s">
        <v>1635</v>
      </c>
      <c r="I1506" s="173">
        <v>8</v>
      </c>
      <c r="J1506">
        <v>6149</v>
      </c>
      <c r="K1506" s="173">
        <f t="shared" si="161"/>
        <v>5232</v>
      </c>
      <c r="L1506" s="402">
        <f t="shared" si="162"/>
        <v>6.8069604813790869</v>
      </c>
      <c r="M1506" s="173">
        <f t="shared" si="163"/>
        <v>14.806960481379086</v>
      </c>
      <c r="N1506" s="174"/>
      <c r="O1506" s="173">
        <f t="shared" si="164"/>
        <v>20.729744673930718</v>
      </c>
      <c r="P1506" s="173">
        <v>25</v>
      </c>
    </row>
    <row r="1507" spans="3:20" hidden="1" x14ac:dyDescent="0.35">
      <c r="C1507" s="596" t="s">
        <v>1637</v>
      </c>
      <c r="D1507" s="596"/>
      <c r="F1507" s="366" t="s">
        <v>409</v>
      </c>
      <c r="G1507" s="245" t="s">
        <v>1636</v>
      </c>
      <c r="I1507" s="173">
        <v>8</v>
      </c>
      <c r="J1507">
        <v>6149</v>
      </c>
      <c r="K1507" s="173">
        <f t="shared" si="161"/>
        <v>5232</v>
      </c>
      <c r="L1507" s="402">
        <f t="shared" si="162"/>
        <v>6.8069604813790869</v>
      </c>
      <c r="M1507" s="173">
        <f t="shared" si="163"/>
        <v>14.806960481379086</v>
      </c>
      <c r="N1507" s="174"/>
      <c r="O1507" s="173">
        <f t="shared" si="164"/>
        <v>20.729744673930718</v>
      </c>
      <c r="P1507" s="173">
        <v>25</v>
      </c>
    </row>
    <row r="1508" spans="3:20" hidden="1" x14ac:dyDescent="0.35">
      <c r="C1508" s="596" t="s">
        <v>1637</v>
      </c>
      <c r="D1508" s="596"/>
      <c r="F1508" s="366" t="s">
        <v>409</v>
      </c>
      <c r="G1508" s="245" t="s">
        <v>1636</v>
      </c>
      <c r="I1508" s="146">
        <v>11</v>
      </c>
      <c r="J1508">
        <v>6149</v>
      </c>
      <c r="K1508" s="173">
        <f t="shared" si="161"/>
        <v>5232</v>
      </c>
      <c r="L1508" s="402">
        <f t="shared" si="162"/>
        <v>9.3595706618962442</v>
      </c>
      <c r="M1508" s="173">
        <f t="shared" si="163"/>
        <v>20.359570661896242</v>
      </c>
      <c r="N1508" s="174"/>
      <c r="O1508" s="173">
        <f t="shared" si="164"/>
        <v>28.503398926654736</v>
      </c>
      <c r="P1508" s="173">
        <v>25</v>
      </c>
    </row>
    <row r="1509" spans="3:20" hidden="1" x14ac:dyDescent="0.35">
      <c r="C1509" s="596" t="s">
        <v>1637</v>
      </c>
      <c r="D1509" s="596"/>
      <c r="F1509" s="366" t="s">
        <v>410</v>
      </c>
      <c r="G1509" s="245" t="s">
        <v>1636</v>
      </c>
      <c r="I1509" s="146">
        <v>11</v>
      </c>
      <c r="J1509">
        <v>6149</v>
      </c>
      <c r="K1509" s="173">
        <f t="shared" si="161"/>
        <v>5232</v>
      </c>
      <c r="L1509" s="402">
        <f t="shared" si="162"/>
        <v>9.3595706618962442</v>
      </c>
      <c r="M1509" s="173">
        <f t="shared" si="163"/>
        <v>20.359570661896242</v>
      </c>
      <c r="N1509" s="174"/>
      <c r="O1509" s="173">
        <f t="shared" si="164"/>
        <v>28.503398926654736</v>
      </c>
      <c r="P1509" s="173">
        <v>25</v>
      </c>
    </row>
    <row r="1510" spans="3:20" hidden="1" x14ac:dyDescent="0.35">
      <c r="C1510" s="596" t="s">
        <v>1637</v>
      </c>
      <c r="D1510" s="596"/>
      <c r="F1510" s="366" t="s">
        <v>410</v>
      </c>
      <c r="G1510" s="245" t="s">
        <v>1636</v>
      </c>
      <c r="I1510" s="145">
        <v>11</v>
      </c>
      <c r="J1510">
        <v>6149</v>
      </c>
      <c r="K1510" s="173">
        <f t="shared" si="161"/>
        <v>5232</v>
      </c>
      <c r="L1510" s="402">
        <f t="shared" si="162"/>
        <v>9.3595706618962442</v>
      </c>
      <c r="M1510" s="173">
        <f t="shared" si="163"/>
        <v>20.359570661896242</v>
      </c>
      <c r="N1510" s="174"/>
      <c r="O1510" s="173">
        <f t="shared" si="164"/>
        <v>28.503398926654736</v>
      </c>
      <c r="P1510" s="173">
        <v>25</v>
      </c>
    </row>
    <row r="1511" spans="3:20" hidden="1" x14ac:dyDescent="0.35">
      <c r="I1511" s="145"/>
      <c r="J1511">
        <v>6149</v>
      </c>
      <c r="L1511" s="402"/>
      <c r="N1511" s="174"/>
    </row>
    <row r="1512" spans="3:20" hidden="1" x14ac:dyDescent="0.35">
      <c r="G1512" s="245" t="s">
        <v>743</v>
      </c>
      <c r="I1512" s="145"/>
      <c r="J1512">
        <v>6149</v>
      </c>
      <c r="L1512" s="402"/>
      <c r="N1512" s="174"/>
    </row>
    <row r="1513" spans="3:20" hidden="1" x14ac:dyDescent="0.35">
      <c r="C1513" s="233" t="s">
        <v>1597</v>
      </c>
      <c r="G1513" s="371" t="s">
        <v>1598</v>
      </c>
      <c r="H1513" s="371"/>
      <c r="I1513" s="342">
        <v>34</v>
      </c>
      <c r="J1513" s="12">
        <v>6149</v>
      </c>
      <c r="K1513" s="176">
        <f t="shared" si="161"/>
        <v>5232</v>
      </c>
      <c r="L1513" s="410">
        <f t="shared" ref="L1513:L1523" si="165">+I1513/J1513*K1513</f>
        <v>28.929582045861114</v>
      </c>
      <c r="M1513" s="176">
        <f t="shared" ref="M1513:M1523" si="166">+I1513+L1513</f>
        <v>62.92958204586111</v>
      </c>
      <c r="N1513" s="411"/>
      <c r="O1513" s="176">
        <f t="shared" ref="O1513:O1523" si="167">+M1513*1.4</f>
        <v>88.101414864205552</v>
      </c>
      <c r="P1513" s="176">
        <v>85</v>
      </c>
      <c r="S1513" t="s">
        <v>1462</v>
      </c>
      <c r="T1513" s="6">
        <v>45804</v>
      </c>
    </row>
    <row r="1514" spans="3:20" hidden="1" x14ac:dyDescent="0.35">
      <c r="C1514" s="233" t="s">
        <v>1597</v>
      </c>
      <c r="G1514" s="245" t="s">
        <v>1598</v>
      </c>
      <c r="I1514" s="145">
        <v>34</v>
      </c>
      <c r="J1514">
        <v>6149</v>
      </c>
      <c r="K1514" s="173">
        <f t="shared" si="161"/>
        <v>5232</v>
      </c>
      <c r="L1514" s="402">
        <f t="shared" si="165"/>
        <v>28.929582045861114</v>
      </c>
      <c r="M1514" s="173">
        <f t="shared" si="166"/>
        <v>62.92958204586111</v>
      </c>
      <c r="N1514" s="174"/>
      <c r="O1514" s="173">
        <f t="shared" si="167"/>
        <v>88.101414864205552</v>
      </c>
      <c r="P1514" s="173">
        <v>85</v>
      </c>
    </row>
    <row r="1515" spans="3:20" hidden="1" x14ac:dyDescent="0.35">
      <c r="C1515" s="233" t="s">
        <v>1597</v>
      </c>
      <c r="G1515" s="245" t="s">
        <v>1598</v>
      </c>
      <c r="I1515" s="145">
        <v>34</v>
      </c>
      <c r="J1515">
        <v>6149</v>
      </c>
      <c r="K1515" s="173">
        <f t="shared" si="161"/>
        <v>5232</v>
      </c>
      <c r="L1515" s="402">
        <f t="shared" si="165"/>
        <v>28.929582045861114</v>
      </c>
      <c r="M1515" s="173">
        <f t="shared" si="166"/>
        <v>62.92958204586111</v>
      </c>
      <c r="N1515" s="174"/>
      <c r="O1515" s="173">
        <f t="shared" si="167"/>
        <v>88.101414864205552</v>
      </c>
      <c r="P1515" s="173">
        <v>85</v>
      </c>
    </row>
    <row r="1516" spans="3:20" hidden="1" x14ac:dyDescent="0.35">
      <c r="C1516" s="233" t="s">
        <v>1597</v>
      </c>
      <c r="G1516" s="245" t="s">
        <v>1598</v>
      </c>
      <c r="I1516" s="145">
        <v>34</v>
      </c>
      <c r="J1516">
        <v>6149</v>
      </c>
      <c r="K1516" s="173">
        <f t="shared" si="161"/>
        <v>5232</v>
      </c>
      <c r="L1516" s="402">
        <f t="shared" si="165"/>
        <v>28.929582045861114</v>
      </c>
      <c r="M1516" s="173">
        <f t="shared" si="166"/>
        <v>62.92958204586111</v>
      </c>
      <c r="N1516" s="174"/>
      <c r="O1516" s="173">
        <f t="shared" si="167"/>
        <v>88.101414864205552</v>
      </c>
      <c r="P1516" s="173">
        <v>85</v>
      </c>
    </row>
    <row r="1517" spans="3:20" hidden="1" x14ac:dyDescent="0.35">
      <c r="C1517" s="233" t="s">
        <v>1597</v>
      </c>
      <c r="G1517" s="245" t="s">
        <v>1598</v>
      </c>
      <c r="I1517" s="145">
        <v>34</v>
      </c>
      <c r="J1517">
        <v>6149</v>
      </c>
      <c r="K1517" s="173">
        <f t="shared" si="161"/>
        <v>5232</v>
      </c>
      <c r="L1517" s="402">
        <f t="shared" si="165"/>
        <v>28.929582045861114</v>
      </c>
      <c r="M1517" s="173">
        <f t="shared" si="166"/>
        <v>62.92958204586111</v>
      </c>
      <c r="N1517" s="174"/>
      <c r="O1517" s="173">
        <f t="shared" si="167"/>
        <v>88.101414864205552</v>
      </c>
      <c r="P1517" s="173">
        <v>85</v>
      </c>
    </row>
    <row r="1518" spans="3:20" hidden="1" x14ac:dyDescent="0.35">
      <c r="C1518" s="233" t="s">
        <v>1597</v>
      </c>
      <c r="G1518" s="371" t="s">
        <v>1599</v>
      </c>
      <c r="H1518" s="371"/>
      <c r="I1518" s="342">
        <v>36</v>
      </c>
      <c r="J1518" s="12">
        <v>6149</v>
      </c>
      <c r="K1518" s="176">
        <f t="shared" si="161"/>
        <v>5232</v>
      </c>
      <c r="L1518" s="410">
        <f t="shared" si="165"/>
        <v>30.631322166205887</v>
      </c>
      <c r="M1518" s="176">
        <f t="shared" si="166"/>
        <v>66.631322166205891</v>
      </c>
      <c r="N1518" s="411"/>
      <c r="O1518" s="176">
        <f t="shared" si="167"/>
        <v>93.283851032688247</v>
      </c>
      <c r="P1518" s="176">
        <v>85</v>
      </c>
      <c r="S1518" t="s">
        <v>1522</v>
      </c>
      <c r="T1518" s="6">
        <v>45804</v>
      </c>
    </row>
    <row r="1519" spans="3:20" hidden="1" x14ac:dyDescent="0.35">
      <c r="C1519" s="233" t="s">
        <v>1597</v>
      </c>
      <c r="G1519" s="371" t="s">
        <v>1599</v>
      </c>
      <c r="H1519" s="371"/>
      <c r="I1519" s="342">
        <v>36</v>
      </c>
      <c r="J1519" s="12">
        <v>6149</v>
      </c>
      <c r="K1519" s="176">
        <f t="shared" si="161"/>
        <v>5232</v>
      </c>
      <c r="L1519" s="410">
        <f t="shared" si="165"/>
        <v>30.631322166205887</v>
      </c>
      <c r="M1519" s="176">
        <f t="shared" si="166"/>
        <v>66.631322166205891</v>
      </c>
      <c r="N1519" s="411"/>
      <c r="O1519" s="176">
        <f t="shared" si="167"/>
        <v>93.283851032688247</v>
      </c>
      <c r="P1519" s="176">
        <v>85</v>
      </c>
      <c r="S1519" t="s">
        <v>1704</v>
      </c>
      <c r="T1519" s="6">
        <v>45804</v>
      </c>
    </row>
    <row r="1520" spans="3:20" hidden="1" x14ac:dyDescent="0.35">
      <c r="C1520" s="233" t="s">
        <v>1597</v>
      </c>
      <c r="G1520" s="371" t="s">
        <v>1599</v>
      </c>
      <c r="H1520" s="371"/>
      <c r="I1520" s="342">
        <v>36</v>
      </c>
      <c r="J1520" s="12">
        <v>6149</v>
      </c>
      <c r="K1520" s="176">
        <f t="shared" si="161"/>
        <v>5232</v>
      </c>
      <c r="L1520" s="410">
        <f t="shared" si="165"/>
        <v>30.631322166205887</v>
      </c>
      <c r="M1520" s="176">
        <f t="shared" si="166"/>
        <v>66.631322166205891</v>
      </c>
      <c r="N1520" s="411"/>
      <c r="O1520" s="176">
        <f t="shared" si="167"/>
        <v>93.283851032688247</v>
      </c>
      <c r="P1520" s="176">
        <v>85</v>
      </c>
      <c r="S1520" t="s">
        <v>1705</v>
      </c>
      <c r="T1520" s="6">
        <v>45807</v>
      </c>
    </row>
    <row r="1521" spans="3:16" hidden="1" x14ac:dyDescent="0.35">
      <c r="C1521" s="233" t="s">
        <v>1597</v>
      </c>
      <c r="G1521" s="245" t="s">
        <v>1599</v>
      </c>
      <c r="I1521" s="145">
        <v>36</v>
      </c>
      <c r="J1521">
        <v>6149</v>
      </c>
      <c r="K1521" s="173">
        <f t="shared" si="161"/>
        <v>5232</v>
      </c>
      <c r="L1521" s="402">
        <f t="shared" si="165"/>
        <v>30.631322166205887</v>
      </c>
      <c r="M1521" s="173">
        <f t="shared" si="166"/>
        <v>66.631322166205891</v>
      </c>
      <c r="N1521" s="174"/>
      <c r="O1521" s="173">
        <f t="shared" si="167"/>
        <v>93.283851032688247</v>
      </c>
      <c r="P1521" s="173">
        <v>85</v>
      </c>
    </row>
    <row r="1522" spans="3:16" hidden="1" x14ac:dyDescent="0.35">
      <c r="C1522" s="233" t="s">
        <v>1597</v>
      </c>
      <c r="G1522" s="245" t="s">
        <v>1599</v>
      </c>
      <c r="I1522" s="145">
        <v>36</v>
      </c>
      <c r="J1522">
        <v>6149</v>
      </c>
      <c r="K1522" s="173">
        <f t="shared" si="161"/>
        <v>5232</v>
      </c>
      <c r="L1522" s="402">
        <f t="shared" si="165"/>
        <v>30.631322166205887</v>
      </c>
      <c r="M1522" s="173">
        <f t="shared" si="166"/>
        <v>66.631322166205891</v>
      </c>
      <c r="N1522" s="174"/>
      <c r="O1522" s="173">
        <f t="shared" si="167"/>
        <v>93.283851032688247</v>
      </c>
      <c r="P1522" s="173">
        <v>85</v>
      </c>
    </row>
    <row r="1523" spans="3:16" hidden="1" x14ac:dyDescent="0.35">
      <c r="C1523" s="596" t="s">
        <v>1632</v>
      </c>
      <c r="D1523" s="596"/>
      <c r="G1523" s="245" t="s">
        <v>1600</v>
      </c>
      <c r="I1523" s="145">
        <v>32</v>
      </c>
      <c r="J1523">
        <v>6149</v>
      </c>
      <c r="K1523" s="173">
        <f t="shared" si="161"/>
        <v>5232</v>
      </c>
      <c r="L1523" s="402">
        <f t="shared" si="165"/>
        <v>27.227841925516348</v>
      </c>
      <c r="M1523" s="173">
        <f t="shared" si="166"/>
        <v>59.227841925516344</v>
      </c>
      <c r="N1523" s="174"/>
      <c r="O1523" s="173">
        <f t="shared" si="167"/>
        <v>82.91897869572287</v>
      </c>
      <c r="P1523" s="173">
        <v>85</v>
      </c>
    </row>
    <row r="1524" spans="3:16" hidden="1" x14ac:dyDescent="0.35">
      <c r="I1524" s="145"/>
      <c r="J1524">
        <v>6149</v>
      </c>
      <c r="L1524" s="402"/>
      <c r="N1524" s="174"/>
    </row>
    <row r="1525" spans="3:16" hidden="1" x14ac:dyDescent="0.35">
      <c r="G1525" s="245" t="s">
        <v>1210</v>
      </c>
      <c r="I1525" s="145"/>
      <c r="J1525">
        <v>6149</v>
      </c>
      <c r="L1525" s="402"/>
      <c r="N1525" s="174"/>
    </row>
    <row r="1526" spans="3:16" hidden="1" x14ac:dyDescent="0.35">
      <c r="G1526" s="245" t="s">
        <v>1610</v>
      </c>
      <c r="I1526" s="145">
        <v>14</v>
      </c>
      <c r="J1526">
        <v>6149</v>
      </c>
      <c r="K1526" s="173">
        <f t="shared" si="161"/>
        <v>5232</v>
      </c>
      <c r="L1526" s="402">
        <f t="shared" ref="L1526:L1531" si="168">+I1526/J1526*K1526</f>
        <v>11.912180842413401</v>
      </c>
      <c r="M1526" s="173">
        <f t="shared" ref="M1526:M1531" si="169">+I1526+L1526</f>
        <v>25.912180842413399</v>
      </c>
      <c r="N1526" s="174"/>
      <c r="O1526" s="173">
        <f t="shared" ref="O1526:O1531" si="170">+M1526*1.4</f>
        <v>36.277053179378754</v>
      </c>
      <c r="P1526" s="173">
        <v>45</v>
      </c>
    </row>
    <row r="1527" spans="3:16" hidden="1" x14ac:dyDescent="0.35">
      <c r="G1527" s="245" t="s">
        <v>1610</v>
      </c>
      <c r="I1527" s="145">
        <v>14</v>
      </c>
      <c r="J1527">
        <v>6149</v>
      </c>
      <c r="K1527" s="173">
        <f t="shared" si="161"/>
        <v>5232</v>
      </c>
      <c r="L1527" s="402">
        <f t="shared" si="168"/>
        <v>11.912180842413401</v>
      </c>
      <c r="M1527" s="173">
        <f t="shared" si="169"/>
        <v>25.912180842413399</v>
      </c>
      <c r="N1527" s="174"/>
      <c r="O1527" s="173">
        <f t="shared" si="170"/>
        <v>36.277053179378754</v>
      </c>
      <c r="P1527" s="173">
        <v>45</v>
      </c>
    </row>
    <row r="1528" spans="3:16" hidden="1" x14ac:dyDescent="0.35">
      <c r="G1528" s="245" t="s">
        <v>1610</v>
      </c>
      <c r="I1528" s="145">
        <v>14</v>
      </c>
      <c r="J1528">
        <v>6149</v>
      </c>
      <c r="K1528" s="173">
        <f t="shared" si="161"/>
        <v>5232</v>
      </c>
      <c r="L1528" s="402">
        <f t="shared" si="168"/>
        <v>11.912180842413401</v>
      </c>
      <c r="M1528" s="173">
        <f t="shared" si="169"/>
        <v>25.912180842413399</v>
      </c>
      <c r="N1528" s="174"/>
      <c r="O1528" s="173">
        <f t="shared" si="170"/>
        <v>36.277053179378754</v>
      </c>
      <c r="P1528" s="173">
        <v>45</v>
      </c>
    </row>
    <row r="1529" spans="3:16" hidden="1" x14ac:dyDescent="0.35">
      <c r="G1529" s="245" t="s">
        <v>1610</v>
      </c>
      <c r="I1529" s="145">
        <v>14</v>
      </c>
      <c r="J1529">
        <v>6149</v>
      </c>
      <c r="K1529" s="173">
        <f t="shared" si="161"/>
        <v>5232</v>
      </c>
      <c r="L1529" s="402">
        <f t="shared" si="168"/>
        <v>11.912180842413401</v>
      </c>
      <c r="M1529" s="173">
        <f t="shared" si="169"/>
        <v>25.912180842413399</v>
      </c>
      <c r="N1529" s="174"/>
      <c r="O1529" s="173">
        <f t="shared" si="170"/>
        <v>36.277053179378754</v>
      </c>
      <c r="P1529" s="173">
        <v>45</v>
      </c>
    </row>
    <row r="1530" spans="3:16" hidden="1" x14ac:dyDescent="0.35">
      <c r="G1530" s="245" t="s">
        <v>1610</v>
      </c>
      <c r="I1530" s="145">
        <v>14</v>
      </c>
      <c r="J1530">
        <v>6149</v>
      </c>
      <c r="K1530" s="173">
        <f t="shared" si="161"/>
        <v>5232</v>
      </c>
      <c r="L1530" s="402">
        <f t="shared" si="168"/>
        <v>11.912180842413401</v>
      </c>
      <c r="M1530" s="173">
        <f t="shared" si="169"/>
        <v>25.912180842413399</v>
      </c>
      <c r="N1530" s="174"/>
      <c r="O1530" s="173">
        <f t="shared" si="170"/>
        <v>36.277053179378754</v>
      </c>
      <c r="P1530" s="173">
        <v>45</v>
      </c>
    </row>
    <row r="1531" spans="3:16" hidden="1" x14ac:dyDescent="0.35">
      <c r="G1531" s="245" t="s">
        <v>1610</v>
      </c>
      <c r="I1531" s="145">
        <v>14</v>
      </c>
      <c r="J1531">
        <v>6149</v>
      </c>
      <c r="K1531" s="173">
        <f t="shared" si="161"/>
        <v>5232</v>
      </c>
      <c r="L1531" s="402">
        <f t="shared" si="168"/>
        <v>11.912180842413401</v>
      </c>
      <c r="M1531" s="173">
        <f t="shared" si="169"/>
        <v>25.912180842413399</v>
      </c>
      <c r="N1531" s="174"/>
      <c r="O1531" s="173">
        <f t="shared" si="170"/>
        <v>36.277053179378754</v>
      </c>
      <c r="P1531" s="173">
        <v>45</v>
      </c>
    </row>
    <row r="1532" spans="3:16" hidden="1" x14ac:dyDescent="0.35">
      <c r="I1532" s="145"/>
      <c r="L1532" s="402"/>
      <c r="N1532" s="174"/>
    </row>
    <row r="1533" spans="3:16" hidden="1" x14ac:dyDescent="0.35">
      <c r="C1533" s="232" t="s">
        <v>233</v>
      </c>
      <c r="D1533" s="232"/>
      <c r="I1533" s="145"/>
      <c r="L1533" s="402"/>
      <c r="N1533" s="174"/>
    </row>
    <row r="1534" spans="3:16" hidden="1" x14ac:dyDescent="0.35">
      <c r="C1534" s="233" t="s">
        <v>179</v>
      </c>
      <c r="G1534" s="245" t="s">
        <v>1661</v>
      </c>
      <c r="I1534" s="145">
        <v>27</v>
      </c>
      <c r="J1534">
        <v>6149</v>
      </c>
      <c r="K1534" s="173">
        <f t="shared" si="161"/>
        <v>5232</v>
      </c>
      <c r="L1534" s="402">
        <f t="shared" ref="L1534:L1565" si="171">+I1534/J1534*K1534</f>
        <v>22.973491624654418</v>
      </c>
      <c r="M1534" s="173">
        <f t="shared" ref="M1534:M1565" si="172">+I1534+L1534</f>
        <v>49.973491624654415</v>
      </c>
      <c r="N1534" s="174"/>
      <c r="O1534" s="173">
        <f t="shared" ref="O1534:O1565" si="173">+M1534*1.4</f>
        <v>69.962888274516175</v>
      </c>
      <c r="P1534" s="173">
        <v>75</v>
      </c>
    </row>
    <row r="1535" spans="3:16" hidden="1" x14ac:dyDescent="0.35">
      <c r="G1535" s="245" t="s">
        <v>1661</v>
      </c>
      <c r="I1535" s="145">
        <v>27</v>
      </c>
      <c r="J1535">
        <v>6149</v>
      </c>
      <c r="K1535" s="173">
        <f t="shared" si="161"/>
        <v>5232</v>
      </c>
      <c r="L1535" s="402">
        <f t="shared" si="171"/>
        <v>22.973491624654418</v>
      </c>
      <c r="M1535" s="173">
        <f t="shared" si="172"/>
        <v>49.973491624654415</v>
      </c>
      <c r="N1535" s="174"/>
      <c r="O1535" s="173">
        <f t="shared" si="173"/>
        <v>69.962888274516175</v>
      </c>
      <c r="P1535" s="173">
        <v>75</v>
      </c>
    </row>
    <row r="1536" spans="3:16" hidden="1" x14ac:dyDescent="0.35">
      <c r="G1536" s="245" t="s">
        <v>1661</v>
      </c>
      <c r="I1536" s="145">
        <v>27</v>
      </c>
      <c r="J1536">
        <v>6149</v>
      </c>
      <c r="K1536" s="173">
        <f t="shared" si="161"/>
        <v>5232</v>
      </c>
      <c r="L1536" s="402">
        <f t="shared" si="171"/>
        <v>22.973491624654418</v>
      </c>
      <c r="M1536" s="173">
        <f t="shared" si="172"/>
        <v>49.973491624654415</v>
      </c>
      <c r="N1536" s="174"/>
      <c r="O1536" s="173">
        <f t="shared" si="173"/>
        <v>69.962888274516175</v>
      </c>
      <c r="P1536" s="173">
        <v>75</v>
      </c>
    </row>
    <row r="1537" spans="7:16" hidden="1" x14ac:dyDescent="0.35">
      <c r="G1537" s="245" t="s">
        <v>1662</v>
      </c>
      <c r="I1537" s="145">
        <v>27</v>
      </c>
      <c r="J1537">
        <v>6149</v>
      </c>
      <c r="K1537" s="173">
        <f t="shared" si="161"/>
        <v>5232</v>
      </c>
      <c r="L1537" s="402">
        <f t="shared" si="171"/>
        <v>22.973491624654418</v>
      </c>
      <c r="M1537" s="173">
        <f t="shared" si="172"/>
        <v>49.973491624654415</v>
      </c>
      <c r="N1537" s="174"/>
      <c r="O1537" s="173">
        <f t="shared" si="173"/>
        <v>69.962888274516175</v>
      </c>
      <c r="P1537" s="173">
        <v>75</v>
      </c>
    </row>
    <row r="1538" spans="7:16" hidden="1" x14ac:dyDescent="0.35">
      <c r="G1538" s="245" t="s">
        <v>1662</v>
      </c>
      <c r="I1538" s="145">
        <v>27</v>
      </c>
      <c r="J1538">
        <v>6149</v>
      </c>
      <c r="K1538" s="173">
        <f t="shared" si="161"/>
        <v>5232</v>
      </c>
      <c r="L1538" s="402">
        <f t="shared" si="171"/>
        <v>22.973491624654418</v>
      </c>
      <c r="M1538" s="173">
        <f t="shared" si="172"/>
        <v>49.973491624654415</v>
      </c>
      <c r="N1538" s="174"/>
      <c r="O1538" s="173">
        <f t="shared" si="173"/>
        <v>69.962888274516175</v>
      </c>
      <c r="P1538" s="173">
        <v>75</v>
      </c>
    </row>
    <row r="1539" spans="7:16" hidden="1" x14ac:dyDescent="0.35">
      <c r="G1539" s="245" t="s">
        <v>1662</v>
      </c>
      <c r="I1539" s="145">
        <v>27</v>
      </c>
      <c r="J1539">
        <v>6149</v>
      </c>
      <c r="K1539" s="173">
        <f t="shared" si="161"/>
        <v>5232</v>
      </c>
      <c r="L1539" s="402">
        <f t="shared" si="171"/>
        <v>22.973491624654418</v>
      </c>
      <c r="M1539" s="173">
        <f t="shared" si="172"/>
        <v>49.973491624654415</v>
      </c>
      <c r="N1539" s="174"/>
      <c r="O1539" s="173">
        <f t="shared" si="173"/>
        <v>69.962888274516175</v>
      </c>
      <c r="P1539" s="173">
        <v>75</v>
      </c>
    </row>
    <row r="1540" spans="7:16" hidden="1" x14ac:dyDescent="0.35">
      <c r="G1540" s="245" t="s">
        <v>1663</v>
      </c>
      <c r="I1540" s="145">
        <v>27</v>
      </c>
      <c r="J1540">
        <v>6149</v>
      </c>
      <c r="K1540" s="173">
        <f t="shared" si="161"/>
        <v>5232</v>
      </c>
      <c r="L1540" s="402">
        <f t="shared" si="171"/>
        <v>22.973491624654418</v>
      </c>
      <c r="M1540" s="173">
        <f t="shared" si="172"/>
        <v>49.973491624654415</v>
      </c>
      <c r="N1540" s="174"/>
      <c r="O1540" s="173">
        <f t="shared" si="173"/>
        <v>69.962888274516175</v>
      </c>
      <c r="P1540" s="173">
        <v>75</v>
      </c>
    </row>
    <row r="1541" spans="7:16" hidden="1" x14ac:dyDescent="0.35">
      <c r="G1541" s="245" t="s">
        <v>1663</v>
      </c>
      <c r="I1541" s="145">
        <v>27</v>
      </c>
      <c r="J1541">
        <v>6149</v>
      </c>
      <c r="K1541" s="173">
        <f t="shared" si="161"/>
        <v>5232</v>
      </c>
      <c r="L1541" s="402">
        <f t="shared" si="171"/>
        <v>22.973491624654418</v>
      </c>
      <c r="M1541" s="173">
        <f t="shared" si="172"/>
        <v>49.973491624654415</v>
      </c>
      <c r="N1541" s="174"/>
      <c r="O1541" s="173">
        <f t="shared" si="173"/>
        <v>69.962888274516175</v>
      </c>
      <c r="P1541" s="173">
        <v>75</v>
      </c>
    </row>
    <row r="1542" spans="7:16" hidden="1" x14ac:dyDescent="0.35">
      <c r="G1542" s="245" t="s">
        <v>1663</v>
      </c>
      <c r="I1542" s="145">
        <v>27</v>
      </c>
      <c r="J1542">
        <v>6149</v>
      </c>
      <c r="K1542" s="173">
        <f t="shared" si="161"/>
        <v>5232</v>
      </c>
      <c r="L1542" s="402">
        <f t="shared" si="171"/>
        <v>22.973491624654418</v>
      </c>
      <c r="M1542" s="173">
        <f t="shared" si="172"/>
        <v>49.973491624654415</v>
      </c>
      <c r="N1542" s="174"/>
      <c r="O1542" s="173">
        <f t="shared" si="173"/>
        <v>69.962888274516175</v>
      </c>
      <c r="P1542" s="173">
        <v>75</v>
      </c>
    </row>
    <row r="1543" spans="7:16" hidden="1" x14ac:dyDescent="0.35">
      <c r="G1543" s="245" t="s">
        <v>1664</v>
      </c>
      <c r="I1543" s="145">
        <v>27</v>
      </c>
      <c r="J1543">
        <v>6149</v>
      </c>
      <c r="K1543" s="173">
        <f t="shared" si="161"/>
        <v>5232</v>
      </c>
      <c r="L1543" s="402">
        <f t="shared" si="171"/>
        <v>22.973491624654418</v>
      </c>
      <c r="M1543" s="173">
        <f t="shared" si="172"/>
        <v>49.973491624654415</v>
      </c>
      <c r="N1543" s="174"/>
      <c r="O1543" s="173">
        <f t="shared" si="173"/>
        <v>69.962888274516175</v>
      </c>
      <c r="P1543" s="173">
        <v>75</v>
      </c>
    </row>
    <row r="1544" spans="7:16" hidden="1" x14ac:dyDescent="0.35">
      <c r="G1544" s="245" t="s">
        <v>1664</v>
      </c>
      <c r="I1544" s="145">
        <v>27</v>
      </c>
      <c r="J1544">
        <v>6149</v>
      </c>
      <c r="K1544" s="173">
        <f t="shared" si="161"/>
        <v>5232</v>
      </c>
      <c r="L1544" s="402">
        <f t="shared" si="171"/>
        <v>22.973491624654418</v>
      </c>
      <c r="M1544" s="173">
        <f t="shared" si="172"/>
        <v>49.973491624654415</v>
      </c>
      <c r="N1544" s="174"/>
      <c r="O1544" s="173">
        <f t="shared" si="173"/>
        <v>69.962888274516175</v>
      </c>
      <c r="P1544" s="173">
        <v>75</v>
      </c>
    </row>
    <row r="1545" spans="7:16" hidden="1" x14ac:dyDescent="0.35">
      <c r="G1545" s="245" t="s">
        <v>1665</v>
      </c>
      <c r="I1545" s="145">
        <v>28</v>
      </c>
      <c r="J1545">
        <v>6149</v>
      </c>
      <c r="K1545" s="173">
        <f t="shared" si="161"/>
        <v>5232</v>
      </c>
      <c r="L1545" s="402">
        <f t="shared" si="171"/>
        <v>23.824361684826801</v>
      </c>
      <c r="M1545" s="173">
        <f t="shared" si="172"/>
        <v>51.824361684826798</v>
      </c>
      <c r="N1545" s="174"/>
      <c r="O1545" s="173">
        <f t="shared" si="173"/>
        <v>72.554106358757508</v>
      </c>
      <c r="P1545" s="173">
        <v>85</v>
      </c>
    </row>
    <row r="1546" spans="7:16" hidden="1" x14ac:dyDescent="0.35">
      <c r="G1546" s="245" t="s">
        <v>1665</v>
      </c>
      <c r="I1546" s="145">
        <v>28</v>
      </c>
      <c r="J1546">
        <v>6149</v>
      </c>
      <c r="K1546" s="173">
        <f t="shared" si="161"/>
        <v>5232</v>
      </c>
      <c r="L1546" s="402">
        <f t="shared" si="171"/>
        <v>23.824361684826801</v>
      </c>
      <c r="M1546" s="173">
        <f t="shared" si="172"/>
        <v>51.824361684826798</v>
      </c>
      <c r="N1546" s="174"/>
      <c r="O1546" s="173">
        <f t="shared" si="173"/>
        <v>72.554106358757508</v>
      </c>
      <c r="P1546" s="173">
        <v>85</v>
      </c>
    </row>
    <row r="1547" spans="7:16" hidden="1" x14ac:dyDescent="0.35">
      <c r="G1547" s="245" t="s">
        <v>1666</v>
      </c>
      <c r="I1547" s="145">
        <v>28</v>
      </c>
      <c r="J1547">
        <v>6149</v>
      </c>
      <c r="K1547" s="173">
        <f t="shared" si="161"/>
        <v>5232</v>
      </c>
      <c r="L1547" s="402">
        <f t="shared" si="171"/>
        <v>23.824361684826801</v>
      </c>
      <c r="M1547" s="173">
        <f t="shared" si="172"/>
        <v>51.824361684826798</v>
      </c>
      <c r="N1547" s="174"/>
      <c r="O1547" s="173">
        <f t="shared" si="173"/>
        <v>72.554106358757508</v>
      </c>
      <c r="P1547" s="173">
        <v>85</v>
      </c>
    </row>
    <row r="1548" spans="7:16" hidden="1" x14ac:dyDescent="0.35">
      <c r="G1548" s="245" t="s">
        <v>1666</v>
      </c>
      <c r="I1548" s="145">
        <v>28</v>
      </c>
      <c r="J1548">
        <v>6149</v>
      </c>
      <c r="K1548" s="173">
        <f t="shared" si="161"/>
        <v>5232</v>
      </c>
      <c r="L1548" s="402">
        <f t="shared" si="171"/>
        <v>23.824361684826801</v>
      </c>
      <c r="M1548" s="173">
        <f t="shared" si="172"/>
        <v>51.824361684826798</v>
      </c>
      <c r="N1548" s="174"/>
      <c r="O1548" s="173">
        <f t="shared" si="173"/>
        <v>72.554106358757508</v>
      </c>
      <c r="P1548" s="173">
        <v>85</v>
      </c>
    </row>
    <row r="1549" spans="7:16" hidden="1" x14ac:dyDescent="0.35">
      <c r="G1549" s="245" t="s">
        <v>1666</v>
      </c>
      <c r="I1549" s="145">
        <v>28</v>
      </c>
      <c r="J1549">
        <v>6149</v>
      </c>
      <c r="K1549" s="173">
        <f t="shared" si="161"/>
        <v>5232</v>
      </c>
      <c r="L1549" s="402">
        <f t="shared" si="171"/>
        <v>23.824361684826801</v>
      </c>
      <c r="M1549" s="173">
        <f t="shared" si="172"/>
        <v>51.824361684826798</v>
      </c>
      <c r="N1549" s="174"/>
      <c r="O1549" s="173">
        <f t="shared" si="173"/>
        <v>72.554106358757508</v>
      </c>
      <c r="P1549" s="173">
        <v>85</v>
      </c>
    </row>
    <row r="1550" spans="7:16" hidden="1" x14ac:dyDescent="0.35">
      <c r="G1550" s="245" t="s">
        <v>1666</v>
      </c>
      <c r="I1550" s="145">
        <v>28</v>
      </c>
      <c r="J1550">
        <v>6149</v>
      </c>
      <c r="K1550" s="173">
        <f t="shared" si="161"/>
        <v>5232</v>
      </c>
      <c r="L1550" s="402">
        <f t="shared" si="171"/>
        <v>23.824361684826801</v>
      </c>
      <c r="M1550" s="173">
        <f t="shared" si="172"/>
        <v>51.824361684826798</v>
      </c>
      <c r="N1550" s="174"/>
      <c r="O1550" s="173">
        <f t="shared" si="173"/>
        <v>72.554106358757508</v>
      </c>
      <c r="P1550" s="173">
        <v>85</v>
      </c>
    </row>
    <row r="1551" spans="7:16" hidden="1" x14ac:dyDescent="0.35">
      <c r="G1551" s="245" t="s">
        <v>1667</v>
      </c>
      <c r="I1551" s="145">
        <v>28</v>
      </c>
      <c r="J1551">
        <v>6149</v>
      </c>
      <c r="K1551" s="173">
        <f t="shared" si="161"/>
        <v>5232</v>
      </c>
      <c r="L1551" s="402">
        <f t="shared" si="171"/>
        <v>23.824361684826801</v>
      </c>
      <c r="M1551" s="173">
        <f t="shared" si="172"/>
        <v>51.824361684826798</v>
      </c>
      <c r="N1551" s="174"/>
      <c r="O1551" s="173">
        <f t="shared" si="173"/>
        <v>72.554106358757508</v>
      </c>
      <c r="P1551" s="173">
        <v>85</v>
      </c>
    </row>
    <row r="1552" spans="7:16" hidden="1" x14ac:dyDescent="0.35">
      <c r="G1552" s="245" t="s">
        <v>1667</v>
      </c>
      <c r="I1552" s="145">
        <v>28</v>
      </c>
      <c r="J1552">
        <v>6149</v>
      </c>
      <c r="K1552" s="173">
        <f t="shared" si="161"/>
        <v>5232</v>
      </c>
      <c r="L1552" s="402">
        <f t="shared" si="171"/>
        <v>23.824361684826801</v>
      </c>
      <c r="M1552" s="173">
        <f t="shared" si="172"/>
        <v>51.824361684826798</v>
      </c>
      <c r="N1552" s="174"/>
      <c r="O1552" s="173">
        <f t="shared" si="173"/>
        <v>72.554106358757508</v>
      </c>
      <c r="P1552" s="173">
        <v>85</v>
      </c>
    </row>
    <row r="1553" spans="7:16" hidden="1" x14ac:dyDescent="0.35">
      <c r="G1553" s="245" t="s">
        <v>1667</v>
      </c>
      <c r="I1553" s="145">
        <v>28</v>
      </c>
      <c r="J1553">
        <v>6149</v>
      </c>
      <c r="K1553" s="173">
        <f t="shared" si="161"/>
        <v>5232</v>
      </c>
      <c r="L1553" s="402">
        <f t="shared" si="171"/>
        <v>23.824361684826801</v>
      </c>
      <c r="M1553" s="173">
        <f t="shared" si="172"/>
        <v>51.824361684826798</v>
      </c>
      <c r="N1553" s="174"/>
      <c r="O1553" s="173">
        <f t="shared" si="173"/>
        <v>72.554106358757508</v>
      </c>
      <c r="P1553" s="173">
        <v>85</v>
      </c>
    </row>
    <row r="1554" spans="7:16" hidden="1" x14ac:dyDescent="0.35">
      <c r="G1554" s="245" t="s">
        <v>1668</v>
      </c>
      <c r="I1554" s="145">
        <v>28</v>
      </c>
      <c r="J1554">
        <v>6149</v>
      </c>
      <c r="K1554" s="173">
        <f t="shared" si="161"/>
        <v>5232</v>
      </c>
      <c r="L1554" s="402">
        <f t="shared" si="171"/>
        <v>23.824361684826801</v>
      </c>
      <c r="M1554" s="173">
        <f t="shared" si="172"/>
        <v>51.824361684826798</v>
      </c>
      <c r="N1554" s="174"/>
      <c r="O1554" s="173">
        <f t="shared" si="173"/>
        <v>72.554106358757508</v>
      </c>
      <c r="P1554" s="173">
        <v>85</v>
      </c>
    </row>
    <row r="1555" spans="7:16" hidden="1" x14ac:dyDescent="0.35">
      <c r="G1555" s="245" t="s">
        <v>1668</v>
      </c>
      <c r="I1555" s="145">
        <v>28</v>
      </c>
      <c r="J1555">
        <v>6149</v>
      </c>
      <c r="K1555" s="173">
        <f t="shared" si="161"/>
        <v>5232</v>
      </c>
      <c r="L1555" s="402">
        <f t="shared" si="171"/>
        <v>23.824361684826801</v>
      </c>
      <c r="M1555" s="173">
        <f t="shared" si="172"/>
        <v>51.824361684826798</v>
      </c>
      <c r="N1555" s="174"/>
      <c r="O1555" s="173">
        <f t="shared" si="173"/>
        <v>72.554106358757508</v>
      </c>
      <c r="P1555" s="173">
        <v>85</v>
      </c>
    </row>
    <row r="1556" spans="7:16" hidden="1" x14ac:dyDescent="0.35">
      <c r="G1556" s="245" t="s">
        <v>1668</v>
      </c>
      <c r="I1556" s="145">
        <v>28</v>
      </c>
      <c r="J1556">
        <v>6149</v>
      </c>
      <c r="K1556" s="173">
        <f t="shared" si="161"/>
        <v>5232</v>
      </c>
      <c r="L1556" s="402">
        <f t="shared" si="171"/>
        <v>23.824361684826801</v>
      </c>
      <c r="M1556" s="173">
        <f t="shared" si="172"/>
        <v>51.824361684826798</v>
      </c>
      <c r="N1556" s="174"/>
      <c r="O1556" s="173">
        <f t="shared" si="173"/>
        <v>72.554106358757508</v>
      </c>
      <c r="P1556" s="173">
        <v>85</v>
      </c>
    </row>
    <row r="1557" spans="7:16" hidden="1" x14ac:dyDescent="0.35">
      <c r="G1557" s="245" t="s">
        <v>1669</v>
      </c>
      <c r="I1557" s="145">
        <v>35</v>
      </c>
      <c r="J1557">
        <v>6149</v>
      </c>
      <c r="K1557" s="173">
        <f t="shared" si="161"/>
        <v>5232</v>
      </c>
      <c r="L1557" s="402">
        <f t="shared" si="171"/>
        <v>29.780452106033501</v>
      </c>
      <c r="M1557" s="173">
        <f t="shared" si="172"/>
        <v>64.780452106033493</v>
      </c>
      <c r="N1557" s="174"/>
      <c r="O1557" s="173">
        <f t="shared" si="173"/>
        <v>90.692632948446885</v>
      </c>
      <c r="P1557" s="173">
        <v>100</v>
      </c>
    </row>
    <row r="1558" spans="7:16" hidden="1" x14ac:dyDescent="0.35">
      <c r="G1558" s="245" t="s">
        <v>1669</v>
      </c>
      <c r="I1558" s="145">
        <v>35</v>
      </c>
      <c r="J1558">
        <v>6149</v>
      </c>
      <c r="K1558" s="173">
        <f t="shared" si="161"/>
        <v>5232</v>
      </c>
      <c r="L1558" s="402">
        <f t="shared" si="171"/>
        <v>29.780452106033501</v>
      </c>
      <c r="M1558" s="173">
        <f t="shared" si="172"/>
        <v>64.780452106033493</v>
      </c>
      <c r="N1558" s="174"/>
      <c r="O1558" s="173">
        <f t="shared" si="173"/>
        <v>90.692632948446885</v>
      </c>
      <c r="P1558" s="173">
        <v>100</v>
      </c>
    </row>
    <row r="1559" spans="7:16" hidden="1" x14ac:dyDescent="0.35">
      <c r="G1559" s="245" t="s">
        <v>1669</v>
      </c>
      <c r="I1559" s="145">
        <v>35</v>
      </c>
      <c r="J1559">
        <v>6149</v>
      </c>
      <c r="K1559" s="173">
        <f t="shared" si="161"/>
        <v>5232</v>
      </c>
      <c r="L1559" s="402">
        <f t="shared" si="171"/>
        <v>29.780452106033501</v>
      </c>
      <c r="M1559" s="173">
        <f t="shared" si="172"/>
        <v>64.780452106033493</v>
      </c>
      <c r="N1559" s="174"/>
      <c r="O1559" s="173">
        <f t="shared" si="173"/>
        <v>90.692632948446885</v>
      </c>
      <c r="P1559" s="173">
        <v>100</v>
      </c>
    </row>
    <row r="1560" spans="7:16" hidden="1" x14ac:dyDescent="0.35">
      <c r="G1560" s="245" t="s">
        <v>1670</v>
      </c>
      <c r="I1560" s="145">
        <v>35</v>
      </c>
      <c r="J1560">
        <v>6149</v>
      </c>
      <c r="K1560" s="173">
        <f t="shared" si="161"/>
        <v>5232</v>
      </c>
      <c r="L1560" s="402">
        <f t="shared" si="171"/>
        <v>29.780452106033501</v>
      </c>
      <c r="M1560" s="173">
        <f t="shared" si="172"/>
        <v>64.780452106033493</v>
      </c>
      <c r="N1560" s="174"/>
      <c r="O1560" s="173">
        <f t="shared" si="173"/>
        <v>90.692632948446885</v>
      </c>
      <c r="P1560" s="173">
        <v>100</v>
      </c>
    </row>
    <row r="1561" spans="7:16" hidden="1" x14ac:dyDescent="0.35">
      <c r="G1561" s="245" t="s">
        <v>1670</v>
      </c>
      <c r="I1561" s="145">
        <v>35</v>
      </c>
      <c r="J1561">
        <v>6149</v>
      </c>
      <c r="K1561" s="173">
        <f t="shared" si="161"/>
        <v>5232</v>
      </c>
      <c r="L1561" s="402">
        <f t="shared" si="171"/>
        <v>29.780452106033501</v>
      </c>
      <c r="M1561" s="173">
        <f t="shared" si="172"/>
        <v>64.780452106033493</v>
      </c>
      <c r="N1561" s="174"/>
      <c r="O1561" s="173">
        <f t="shared" si="173"/>
        <v>90.692632948446885</v>
      </c>
      <c r="P1561" s="173">
        <v>100</v>
      </c>
    </row>
    <row r="1562" spans="7:16" hidden="1" x14ac:dyDescent="0.35">
      <c r="G1562" s="245" t="s">
        <v>1671</v>
      </c>
      <c r="I1562" s="145">
        <v>35</v>
      </c>
      <c r="J1562">
        <v>6149</v>
      </c>
      <c r="K1562" s="173">
        <f t="shared" si="161"/>
        <v>5232</v>
      </c>
      <c r="L1562" s="402">
        <f t="shared" si="171"/>
        <v>29.780452106033501</v>
      </c>
      <c r="M1562" s="173">
        <f t="shared" si="172"/>
        <v>64.780452106033493</v>
      </c>
      <c r="N1562" s="174"/>
      <c r="O1562" s="173">
        <f t="shared" si="173"/>
        <v>90.692632948446885</v>
      </c>
      <c r="P1562" s="173">
        <v>100</v>
      </c>
    </row>
    <row r="1563" spans="7:16" hidden="1" x14ac:dyDescent="0.35">
      <c r="G1563" s="245" t="s">
        <v>1671</v>
      </c>
      <c r="I1563" s="145">
        <v>35</v>
      </c>
      <c r="J1563">
        <v>6149</v>
      </c>
      <c r="K1563" s="173">
        <f t="shared" si="161"/>
        <v>5232</v>
      </c>
      <c r="L1563" s="402">
        <f t="shared" si="171"/>
        <v>29.780452106033501</v>
      </c>
      <c r="M1563" s="173">
        <f t="shared" si="172"/>
        <v>64.780452106033493</v>
      </c>
      <c r="N1563" s="174"/>
      <c r="O1563" s="173">
        <f t="shared" si="173"/>
        <v>90.692632948446885</v>
      </c>
      <c r="P1563" s="173">
        <v>100</v>
      </c>
    </row>
    <row r="1564" spans="7:16" hidden="1" x14ac:dyDescent="0.35">
      <c r="G1564" s="245" t="s">
        <v>1671</v>
      </c>
      <c r="I1564" s="145">
        <v>35</v>
      </c>
      <c r="J1564">
        <v>6149</v>
      </c>
      <c r="K1564" s="173">
        <f t="shared" si="161"/>
        <v>5232</v>
      </c>
      <c r="L1564" s="402">
        <f t="shared" si="171"/>
        <v>29.780452106033501</v>
      </c>
      <c r="M1564" s="173">
        <f t="shared" si="172"/>
        <v>64.780452106033493</v>
      </c>
      <c r="N1564" s="174"/>
      <c r="O1564" s="173">
        <f t="shared" si="173"/>
        <v>90.692632948446885</v>
      </c>
      <c r="P1564" s="173">
        <v>100</v>
      </c>
    </row>
    <row r="1565" spans="7:16" hidden="1" x14ac:dyDescent="0.35">
      <c r="G1565" s="245" t="s">
        <v>1672</v>
      </c>
      <c r="I1565" s="145">
        <v>35</v>
      </c>
      <c r="J1565">
        <v>6149</v>
      </c>
      <c r="K1565" s="173">
        <f t="shared" si="161"/>
        <v>5232</v>
      </c>
      <c r="L1565" s="402">
        <f t="shared" si="171"/>
        <v>29.780452106033501</v>
      </c>
      <c r="M1565" s="173">
        <f t="shared" si="172"/>
        <v>64.780452106033493</v>
      </c>
      <c r="N1565" s="174"/>
      <c r="O1565" s="173">
        <f t="shared" si="173"/>
        <v>90.692632948446885</v>
      </c>
      <c r="P1565" s="173">
        <v>100</v>
      </c>
    </row>
    <row r="1566" spans="7:16" hidden="1" x14ac:dyDescent="0.35">
      <c r="G1566" s="245" t="s">
        <v>1672</v>
      </c>
      <c r="I1566" s="145">
        <v>35</v>
      </c>
      <c r="J1566">
        <v>6149</v>
      </c>
      <c r="K1566" s="173">
        <f t="shared" si="161"/>
        <v>5232</v>
      </c>
      <c r="L1566" s="402">
        <f t="shared" ref="L1566:L1597" si="174">+I1566/J1566*K1566</f>
        <v>29.780452106033501</v>
      </c>
      <c r="M1566" s="173">
        <f t="shared" ref="M1566:M1597" si="175">+I1566+L1566</f>
        <v>64.780452106033493</v>
      </c>
      <c r="N1566" s="174"/>
      <c r="O1566" s="173">
        <f t="shared" ref="O1566:O1597" si="176">+M1566*1.4</f>
        <v>90.692632948446885</v>
      </c>
      <c r="P1566" s="173">
        <v>100</v>
      </c>
    </row>
    <row r="1567" spans="7:16" hidden="1" x14ac:dyDescent="0.35">
      <c r="G1567" s="245" t="s">
        <v>1672</v>
      </c>
      <c r="I1567" s="145">
        <v>35</v>
      </c>
      <c r="J1567">
        <v>6149</v>
      </c>
      <c r="K1567" s="173">
        <f t="shared" si="161"/>
        <v>5232</v>
      </c>
      <c r="L1567" s="402">
        <f t="shared" si="174"/>
        <v>29.780452106033501</v>
      </c>
      <c r="M1567" s="173">
        <f t="shared" si="175"/>
        <v>64.780452106033493</v>
      </c>
      <c r="N1567" s="174"/>
      <c r="O1567" s="173">
        <f t="shared" si="176"/>
        <v>90.692632948446885</v>
      </c>
      <c r="P1567" s="173">
        <v>100</v>
      </c>
    </row>
    <row r="1568" spans="7:16" hidden="1" x14ac:dyDescent="0.35">
      <c r="G1568" s="245" t="s">
        <v>1673</v>
      </c>
      <c r="I1568" s="145">
        <v>19</v>
      </c>
      <c r="J1568">
        <v>6149</v>
      </c>
      <c r="K1568" s="173">
        <f t="shared" si="161"/>
        <v>5232</v>
      </c>
      <c r="L1568" s="402">
        <f t="shared" si="174"/>
        <v>16.166531143275328</v>
      </c>
      <c r="M1568" s="173">
        <f t="shared" si="175"/>
        <v>35.166531143275328</v>
      </c>
      <c r="N1568" s="174"/>
      <c r="O1568" s="173">
        <f t="shared" si="176"/>
        <v>49.233143600585457</v>
      </c>
      <c r="P1568" s="173">
        <v>65</v>
      </c>
    </row>
    <row r="1569" spans="7:16" hidden="1" x14ac:dyDescent="0.35">
      <c r="G1569" s="245" t="s">
        <v>1673</v>
      </c>
      <c r="I1569" s="145">
        <v>19</v>
      </c>
      <c r="J1569">
        <v>6149</v>
      </c>
      <c r="K1569" s="173">
        <f t="shared" si="161"/>
        <v>5232</v>
      </c>
      <c r="L1569" s="402">
        <f t="shared" si="174"/>
        <v>16.166531143275328</v>
      </c>
      <c r="M1569" s="173">
        <f t="shared" si="175"/>
        <v>35.166531143275328</v>
      </c>
      <c r="N1569" s="174"/>
      <c r="O1569" s="173">
        <f t="shared" si="176"/>
        <v>49.233143600585457</v>
      </c>
      <c r="P1569" s="173">
        <v>65</v>
      </c>
    </row>
    <row r="1570" spans="7:16" hidden="1" x14ac:dyDescent="0.35">
      <c r="G1570" s="245" t="s">
        <v>1673</v>
      </c>
      <c r="I1570" s="145">
        <v>19</v>
      </c>
      <c r="J1570">
        <v>6149</v>
      </c>
      <c r="K1570" s="173">
        <f t="shared" si="161"/>
        <v>5232</v>
      </c>
      <c r="L1570" s="402">
        <f t="shared" si="174"/>
        <v>16.166531143275328</v>
      </c>
      <c r="M1570" s="173">
        <f t="shared" si="175"/>
        <v>35.166531143275328</v>
      </c>
      <c r="N1570" s="174"/>
      <c r="O1570" s="173">
        <f t="shared" si="176"/>
        <v>49.233143600585457</v>
      </c>
      <c r="P1570" s="173">
        <v>65</v>
      </c>
    </row>
    <row r="1571" spans="7:16" hidden="1" x14ac:dyDescent="0.35">
      <c r="G1571" s="245" t="s">
        <v>1674</v>
      </c>
      <c r="I1571" s="145">
        <v>19</v>
      </c>
      <c r="J1571">
        <v>6149</v>
      </c>
      <c r="K1571" s="173">
        <f t="shared" si="161"/>
        <v>5232</v>
      </c>
      <c r="L1571" s="402">
        <f t="shared" si="174"/>
        <v>16.166531143275328</v>
      </c>
      <c r="M1571" s="173">
        <f t="shared" si="175"/>
        <v>35.166531143275328</v>
      </c>
      <c r="N1571" s="174"/>
      <c r="O1571" s="173">
        <f t="shared" si="176"/>
        <v>49.233143600585457</v>
      </c>
      <c r="P1571" s="173">
        <v>65</v>
      </c>
    </row>
    <row r="1572" spans="7:16" hidden="1" x14ac:dyDescent="0.35">
      <c r="G1572" s="245" t="s">
        <v>1674</v>
      </c>
      <c r="I1572" s="145">
        <v>19</v>
      </c>
      <c r="J1572">
        <v>6149</v>
      </c>
      <c r="K1572" s="173">
        <f t="shared" si="161"/>
        <v>5232</v>
      </c>
      <c r="L1572" s="402">
        <f t="shared" si="174"/>
        <v>16.166531143275328</v>
      </c>
      <c r="M1572" s="173">
        <f t="shared" si="175"/>
        <v>35.166531143275328</v>
      </c>
      <c r="N1572" s="174"/>
      <c r="O1572" s="173">
        <f t="shared" si="176"/>
        <v>49.233143600585457</v>
      </c>
      <c r="P1572" s="173">
        <v>65</v>
      </c>
    </row>
    <row r="1573" spans="7:16" hidden="1" x14ac:dyDescent="0.35">
      <c r="G1573" s="245" t="s">
        <v>1674</v>
      </c>
      <c r="I1573" s="145">
        <v>19</v>
      </c>
      <c r="J1573">
        <v>6149</v>
      </c>
      <c r="K1573" s="173">
        <f t="shared" si="161"/>
        <v>5232</v>
      </c>
      <c r="L1573" s="402">
        <f t="shared" si="174"/>
        <v>16.166531143275328</v>
      </c>
      <c r="M1573" s="173">
        <f t="shared" si="175"/>
        <v>35.166531143275328</v>
      </c>
      <c r="N1573" s="174"/>
      <c r="O1573" s="173">
        <f t="shared" si="176"/>
        <v>49.233143600585457</v>
      </c>
      <c r="P1573" s="173">
        <v>65</v>
      </c>
    </row>
    <row r="1574" spans="7:16" hidden="1" x14ac:dyDescent="0.35">
      <c r="G1574" s="245" t="s">
        <v>1684</v>
      </c>
      <c r="I1574" s="145">
        <v>26</v>
      </c>
      <c r="J1574">
        <v>6149</v>
      </c>
      <c r="K1574" s="173">
        <f t="shared" si="161"/>
        <v>5232</v>
      </c>
      <c r="L1574" s="402">
        <f t="shared" si="174"/>
        <v>22.122621564482031</v>
      </c>
      <c r="M1574" s="173">
        <f t="shared" si="175"/>
        <v>48.122621564482031</v>
      </c>
      <c r="N1574" s="174"/>
      <c r="O1574" s="173">
        <f t="shared" si="176"/>
        <v>67.371670190274841</v>
      </c>
      <c r="P1574" s="173">
        <v>75</v>
      </c>
    </row>
    <row r="1575" spans="7:16" hidden="1" x14ac:dyDescent="0.35">
      <c r="G1575" s="245" t="s">
        <v>1684</v>
      </c>
      <c r="I1575" s="145">
        <v>26</v>
      </c>
      <c r="J1575">
        <v>6149</v>
      </c>
      <c r="K1575" s="173">
        <f t="shared" si="161"/>
        <v>5232</v>
      </c>
      <c r="L1575" s="402">
        <f t="shared" si="174"/>
        <v>22.122621564482031</v>
      </c>
      <c r="M1575" s="173">
        <f t="shared" si="175"/>
        <v>48.122621564482031</v>
      </c>
      <c r="N1575" s="174"/>
      <c r="O1575" s="173">
        <f t="shared" si="176"/>
        <v>67.371670190274841</v>
      </c>
      <c r="P1575" s="173">
        <v>75</v>
      </c>
    </row>
    <row r="1576" spans="7:16" hidden="1" x14ac:dyDescent="0.35">
      <c r="G1576" s="245" t="s">
        <v>1684</v>
      </c>
      <c r="I1576" s="145">
        <v>26</v>
      </c>
      <c r="J1576">
        <v>6149</v>
      </c>
      <c r="K1576" s="173">
        <f t="shared" si="161"/>
        <v>5232</v>
      </c>
      <c r="L1576" s="402">
        <f t="shared" si="174"/>
        <v>22.122621564482031</v>
      </c>
      <c r="M1576" s="173">
        <f t="shared" si="175"/>
        <v>48.122621564482031</v>
      </c>
      <c r="N1576" s="174"/>
      <c r="O1576" s="173">
        <f t="shared" si="176"/>
        <v>67.371670190274841</v>
      </c>
      <c r="P1576" s="173">
        <v>75</v>
      </c>
    </row>
    <row r="1577" spans="7:16" hidden="1" x14ac:dyDescent="0.35">
      <c r="G1577" s="245" t="s">
        <v>1685</v>
      </c>
      <c r="I1577" s="145">
        <v>26</v>
      </c>
      <c r="J1577">
        <v>6149</v>
      </c>
      <c r="K1577" s="173">
        <f t="shared" si="161"/>
        <v>5232</v>
      </c>
      <c r="L1577" s="402">
        <f t="shared" si="174"/>
        <v>22.122621564482031</v>
      </c>
      <c r="M1577" s="173">
        <f t="shared" si="175"/>
        <v>48.122621564482031</v>
      </c>
      <c r="N1577" s="174"/>
      <c r="O1577" s="173">
        <f t="shared" si="176"/>
        <v>67.371670190274841</v>
      </c>
      <c r="P1577" s="173">
        <v>75</v>
      </c>
    </row>
    <row r="1578" spans="7:16" hidden="1" x14ac:dyDescent="0.35">
      <c r="G1578" s="245" t="s">
        <v>1685</v>
      </c>
      <c r="I1578" s="145">
        <v>26</v>
      </c>
      <c r="J1578">
        <v>6149</v>
      </c>
      <c r="K1578" s="173">
        <f t="shared" si="161"/>
        <v>5232</v>
      </c>
      <c r="L1578" s="402">
        <f t="shared" si="174"/>
        <v>22.122621564482031</v>
      </c>
      <c r="M1578" s="173">
        <f t="shared" si="175"/>
        <v>48.122621564482031</v>
      </c>
      <c r="N1578" s="174"/>
      <c r="O1578" s="173">
        <f t="shared" si="176"/>
        <v>67.371670190274841</v>
      </c>
      <c r="P1578" s="173">
        <v>75</v>
      </c>
    </row>
    <row r="1579" spans="7:16" hidden="1" x14ac:dyDescent="0.35">
      <c r="G1579" s="245" t="s">
        <v>1685</v>
      </c>
      <c r="I1579" s="145">
        <v>26</v>
      </c>
      <c r="J1579">
        <v>6149</v>
      </c>
      <c r="K1579" s="173">
        <f t="shared" si="161"/>
        <v>5232</v>
      </c>
      <c r="L1579" s="402">
        <f t="shared" si="174"/>
        <v>22.122621564482031</v>
      </c>
      <c r="M1579" s="173">
        <f t="shared" si="175"/>
        <v>48.122621564482031</v>
      </c>
      <c r="N1579" s="174"/>
      <c r="O1579" s="173">
        <f t="shared" si="176"/>
        <v>67.371670190274841</v>
      </c>
      <c r="P1579" s="173">
        <v>75</v>
      </c>
    </row>
    <row r="1580" spans="7:16" hidden="1" x14ac:dyDescent="0.35">
      <c r="G1580" s="245" t="s">
        <v>1686</v>
      </c>
      <c r="I1580" s="145">
        <v>27</v>
      </c>
      <c r="J1580">
        <v>6149</v>
      </c>
      <c r="K1580" s="173">
        <f t="shared" si="161"/>
        <v>5232</v>
      </c>
      <c r="L1580" s="402">
        <f t="shared" si="174"/>
        <v>22.973491624654418</v>
      </c>
      <c r="M1580" s="173">
        <f t="shared" si="175"/>
        <v>49.973491624654415</v>
      </c>
      <c r="N1580" s="174"/>
      <c r="O1580" s="173">
        <f t="shared" si="176"/>
        <v>69.962888274516175</v>
      </c>
      <c r="P1580" s="173">
        <v>75</v>
      </c>
    </row>
    <row r="1581" spans="7:16" hidden="1" x14ac:dyDescent="0.35">
      <c r="G1581" s="245" t="s">
        <v>1686</v>
      </c>
      <c r="I1581" s="145">
        <v>27</v>
      </c>
      <c r="J1581">
        <v>6149</v>
      </c>
      <c r="K1581" s="173">
        <f t="shared" si="161"/>
        <v>5232</v>
      </c>
      <c r="L1581" s="402">
        <f t="shared" si="174"/>
        <v>22.973491624654418</v>
      </c>
      <c r="M1581" s="173">
        <f t="shared" si="175"/>
        <v>49.973491624654415</v>
      </c>
      <c r="N1581" s="174"/>
      <c r="O1581" s="173">
        <f t="shared" si="176"/>
        <v>69.962888274516175</v>
      </c>
      <c r="P1581" s="173">
        <v>75</v>
      </c>
    </row>
    <row r="1582" spans="7:16" hidden="1" x14ac:dyDescent="0.35">
      <c r="G1582" s="245" t="s">
        <v>1686</v>
      </c>
      <c r="I1582" s="145">
        <v>27</v>
      </c>
      <c r="J1582">
        <v>6149</v>
      </c>
      <c r="K1582" s="173">
        <f t="shared" si="161"/>
        <v>5232</v>
      </c>
      <c r="L1582" s="402">
        <f t="shared" si="174"/>
        <v>22.973491624654418</v>
      </c>
      <c r="M1582" s="173">
        <f t="shared" si="175"/>
        <v>49.973491624654415</v>
      </c>
      <c r="N1582" s="174"/>
      <c r="O1582" s="173">
        <f t="shared" si="176"/>
        <v>69.962888274516175</v>
      </c>
      <c r="P1582" s="173">
        <v>75</v>
      </c>
    </row>
    <row r="1583" spans="7:16" hidden="1" x14ac:dyDescent="0.35">
      <c r="G1583" s="245" t="s">
        <v>1686</v>
      </c>
      <c r="I1583" s="145">
        <v>27</v>
      </c>
      <c r="J1583">
        <v>6149</v>
      </c>
      <c r="K1583" s="173">
        <f t="shared" si="161"/>
        <v>5232</v>
      </c>
      <c r="L1583" s="402">
        <f t="shared" si="174"/>
        <v>22.973491624654418</v>
      </c>
      <c r="M1583" s="173">
        <f t="shared" si="175"/>
        <v>49.973491624654415</v>
      </c>
      <c r="N1583" s="174"/>
      <c r="O1583" s="173">
        <f t="shared" si="176"/>
        <v>69.962888274516175</v>
      </c>
      <c r="P1583" s="173">
        <v>75</v>
      </c>
    </row>
    <row r="1584" spans="7:16" hidden="1" x14ac:dyDescent="0.35">
      <c r="G1584" s="245" t="s">
        <v>1687</v>
      </c>
      <c r="I1584" s="145">
        <v>27</v>
      </c>
      <c r="J1584">
        <v>6149</v>
      </c>
      <c r="K1584" s="173">
        <f t="shared" si="161"/>
        <v>5232</v>
      </c>
      <c r="L1584" s="402">
        <f t="shared" si="174"/>
        <v>22.973491624654418</v>
      </c>
      <c r="M1584" s="173">
        <f t="shared" si="175"/>
        <v>49.973491624654415</v>
      </c>
      <c r="N1584" s="174"/>
      <c r="O1584" s="173">
        <f t="shared" si="176"/>
        <v>69.962888274516175</v>
      </c>
      <c r="P1584" s="173">
        <v>75</v>
      </c>
    </row>
    <row r="1585" spans="7:16" hidden="1" x14ac:dyDescent="0.35">
      <c r="G1585" s="245" t="s">
        <v>1687</v>
      </c>
      <c r="I1585" s="145">
        <v>27</v>
      </c>
      <c r="J1585">
        <v>6149</v>
      </c>
      <c r="K1585" s="173">
        <f t="shared" si="161"/>
        <v>5232</v>
      </c>
      <c r="L1585" s="402">
        <f t="shared" si="174"/>
        <v>22.973491624654418</v>
      </c>
      <c r="M1585" s="173">
        <f t="shared" si="175"/>
        <v>49.973491624654415</v>
      </c>
      <c r="N1585" s="174"/>
      <c r="O1585" s="173">
        <f t="shared" si="176"/>
        <v>69.962888274516175</v>
      </c>
      <c r="P1585" s="173">
        <v>75</v>
      </c>
    </row>
    <row r="1586" spans="7:16" hidden="1" x14ac:dyDescent="0.35">
      <c r="G1586" s="245" t="s">
        <v>1687</v>
      </c>
      <c r="I1586" s="145">
        <v>27</v>
      </c>
      <c r="J1586">
        <v>6149</v>
      </c>
      <c r="K1586" s="173">
        <f t="shared" si="161"/>
        <v>5232</v>
      </c>
      <c r="L1586" s="402">
        <f t="shared" si="174"/>
        <v>22.973491624654418</v>
      </c>
      <c r="M1586" s="173">
        <f t="shared" si="175"/>
        <v>49.973491624654415</v>
      </c>
      <c r="N1586" s="174"/>
      <c r="O1586" s="173">
        <f t="shared" si="176"/>
        <v>69.962888274516175</v>
      </c>
      <c r="P1586" s="173">
        <v>75</v>
      </c>
    </row>
    <row r="1587" spans="7:16" hidden="1" x14ac:dyDescent="0.35">
      <c r="G1587" s="245" t="s">
        <v>1687</v>
      </c>
      <c r="I1587" s="145">
        <v>27</v>
      </c>
      <c r="J1587">
        <v>6149</v>
      </c>
      <c r="K1587" s="173">
        <f t="shared" si="161"/>
        <v>5232</v>
      </c>
      <c r="L1587" s="402">
        <f t="shared" si="174"/>
        <v>22.973491624654418</v>
      </c>
      <c r="M1587" s="173">
        <f t="shared" si="175"/>
        <v>49.973491624654415</v>
      </c>
      <c r="N1587" s="174"/>
      <c r="O1587" s="173">
        <f t="shared" si="176"/>
        <v>69.962888274516175</v>
      </c>
      <c r="P1587" s="173">
        <v>75</v>
      </c>
    </row>
    <row r="1588" spans="7:16" hidden="1" x14ac:dyDescent="0.35">
      <c r="G1588" s="245" t="s">
        <v>1688</v>
      </c>
      <c r="I1588" s="145">
        <v>30</v>
      </c>
      <c r="J1588">
        <v>6149</v>
      </c>
      <c r="K1588" s="173">
        <f t="shared" si="161"/>
        <v>5232</v>
      </c>
      <c r="L1588" s="402">
        <f t="shared" si="174"/>
        <v>25.526101805171574</v>
      </c>
      <c r="M1588" s="173">
        <f t="shared" si="175"/>
        <v>55.526101805171578</v>
      </c>
      <c r="N1588" s="174"/>
      <c r="O1588" s="173">
        <f t="shared" si="176"/>
        <v>77.736542527240204</v>
      </c>
      <c r="P1588" s="173">
        <v>100</v>
      </c>
    </row>
    <row r="1589" spans="7:16" hidden="1" x14ac:dyDescent="0.35">
      <c r="G1589" s="245" t="s">
        <v>1688</v>
      </c>
      <c r="I1589" s="145">
        <v>30</v>
      </c>
      <c r="J1589">
        <v>6149</v>
      </c>
      <c r="K1589" s="173">
        <f t="shared" si="161"/>
        <v>5232</v>
      </c>
      <c r="L1589" s="402">
        <f t="shared" si="174"/>
        <v>25.526101805171574</v>
      </c>
      <c r="M1589" s="173">
        <f t="shared" si="175"/>
        <v>55.526101805171578</v>
      </c>
      <c r="N1589" s="174"/>
      <c r="O1589" s="173">
        <f t="shared" si="176"/>
        <v>77.736542527240204</v>
      </c>
      <c r="P1589" s="173">
        <v>100</v>
      </c>
    </row>
    <row r="1590" spans="7:16" hidden="1" x14ac:dyDescent="0.35">
      <c r="G1590" s="245" t="s">
        <v>1688</v>
      </c>
      <c r="I1590" s="145">
        <v>30</v>
      </c>
      <c r="J1590">
        <v>6149</v>
      </c>
      <c r="K1590" s="173">
        <f t="shared" si="161"/>
        <v>5232</v>
      </c>
      <c r="L1590" s="402">
        <f t="shared" si="174"/>
        <v>25.526101805171574</v>
      </c>
      <c r="M1590" s="173">
        <f t="shared" si="175"/>
        <v>55.526101805171578</v>
      </c>
      <c r="N1590" s="174"/>
      <c r="O1590" s="173">
        <f t="shared" si="176"/>
        <v>77.736542527240204</v>
      </c>
      <c r="P1590" s="173">
        <v>100</v>
      </c>
    </row>
    <row r="1591" spans="7:16" hidden="1" x14ac:dyDescent="0.35">
      <c r="G1591" s="245" t="s">
        <v>1689</v>
      </c>
      <c r="I1591" s="145">
        <v>35</v>
      </c>
      <c r="J1591">
        <v>6149</v>
      </c>
      <c r="K1591" s="173">
        <f t="shared" si="161"/>
        <v>5232</v>
      </c>
      <c r="L1591" s="402">
        <f t="shared" si="174"/>
        <v>29.780452106033501</v>
      </c>
      <c r="M1591" s="173">
        <f t="shared" si="175"/>
        <v>64.780452106033493</v>
      </c>
      <c r="N1591" s="174"/>
      <c r="O1591" s="173">
        <f t="shared" si="176"/>
        <v>90.692632948446885</v>
      </c>
      <c r="P1591" s="173">
        <v>100</v>
      </c>
    </row>
    <row r="1592" spans="7:16" hidden="1" x14ac:dyDescent="0.35">
      <c r="G1592" s="245" t="s">
        <v>1689</v>
      </c>
      <c r="I1592" s="145">
        <v>35</v>
      </c>
      <c r="J1592">
        <v>6149</v>
      </c>
      <c r="K1592" s="173">
        <f t="shared" si="161"/>
        <v>5232</v>
      </c>
      <c r="L1592" s="402">
        <f t="shared" si="174"/>
        <v>29.780452106033501</v>
      </c>
      <c r="M1592" s="173">
        <f t="shared" si="175"/>
        <v>64.780452106033493</v>
      </c>
      <c r="N1592" s="174"/>
      <c r="O1592" s="173">
        <f t="shared" si="176"/>
        <v>90.692632948446885</v>
      </c>
      <c r="P1592" s="173">
        <v>100</v>
      </c>
    </row>
    <row r="1593" spans="7:16" hidden="1" x14ac:dyDescent="0.35">
      <c r="G1593" s="245" t="s">
        <v>1689</v>
      </c>
      <c r="I1593" s="145">
        <v>35</v>
      </c>
      <c r="J1593">
        <v>6149</v>
      </c>
      <c r="K1593" s="173">
        <f t="shared" si="161"/>
        <v>5232</v>
      </c>
      <c r="L1593" s="402">
        <f t="shared" si="174"/>
        <v>29.780452106033501</v>
      </c>
      <c r="M1593" s="173">
        <f t="shared" si="175"/>
        <v>64.780452106033493</v>
      </c>
      <c r="N1593" s="174"/>
      <c r="O1593" s="173">
        <f t="shared" si="176"/>
        <v>90.692632948446885</v>
      </c>
      <c r="P1593" s="173">
        <v>100</v>
      </c>
    </row>
    <row r="1594" spans="7:16" hidden="1" x14ac:dyDescent="0.35">
      <c r="G1594" s="245" t="s">
        <v>1690</v>
      </c>
      <c r="I1594" s="145">
        <v>35</v>
      </c>
      <c r="J1594">
        <v>6149</v>
      </c>
      <c r="K1594" s="173">
        <f t="shared" si="161"/>
        <v>5232</v>
      </c>
      <c r="L1594" s="402">
        <f t="shared" si="174"/>
        <v>29.780452106033501</v>
      </c>
      <c r="M1594" s="173">
        <f t="shared" si="175"/>
        <v>64.780452106033493</v>
      </c>
      <c r="N1594" s="174"/>
      <c r="O1594" s="173">
        <f t="shared" si="176"/>
        <v>90.692632948446885</v>
      </c>
      <c r="P1594" s="173">
        <v>100</v>
      </c>
    </row>
    <row r="1595" spans="7:16" hidden="1" x14ac:dyDescent="0.35">
      <c r="G1595" s="245" t="s">
        <v>1690</v>
      </c>
      <c r="I1595" s="145">
        <v>35</v>
      </c>
      <c r="J1595">
        <v>6149</v>
      </c>
      <c r="K1595" s="173">
        <f t="shared" si="161"/>
        <v>5232</v>
      </c>
      <c r="L1595" s="402">
        <f t="shared" si="174"/>
        <v>29.780452106033501</v>
      </c>
      <c r="M1595" s="173">
        <f t="shared" si="175"/>
        <v>64.780452106033493</v>
      </c>
      <c r="N1595" s="174"/>
      <c r="O1595" s="173">
        <f t="shared" si="176"/>
        <v>90.692632948446885</v>
      </c>
      <c r="P1595" s="173">
        <v>100</v>
      </c>
    </row>
    <row r="1596" spans="7:16" hidden="1" x14ac:dyDescent="0.35">
      <c r="G1596" s="245" t="s">
        <v>1690</v>
      </c>
      <c r="I1596" s="145">
        <v>35</v>
      </c>
      <c r="J1596">
        <v>6149</v>
      </c>
      <c r="K1596" s="173">
        <f t="shared" si="161"/>
        <v>5232</v>
      </c>
      <c r="L1596" s="402">
        <f t="shared" si="174"/>
        <v>29.780452106033501</v>
      </c>
      <c r="M1596" s="173">
        <f t="shared" si="175"/>
        <v>64.780452106033493</v>
      </c>
      <c r="N1596" s="174"/>
      <c r="O1596" s="173">
        <f t="shared" si="176"/>
        <v>90.692632948446885</v>
      </c>
      <c r="P1596" s="173">
        <v>100</v>
      </c>
    </row>
    <row r="1597" spans="7:16" hidden="1" x14ac:dyDescent="0.35">
      <c r="G1597" s="245" t="s">
        <v>1691</v>
      </c>
      <c r="I1597" s="145">
        <v>35</v>
      </c>
      <c r="J1597">
        <v>6149</v>
      </c>
      <c r="K1597" s="173">
        <f t="shared" si="161"/>
        <v>5232</v>
      </c>
      <c r="L1597" s="402">
        <f t="shared" si="174"/>
        <v>29.780452106033501</v>
      </c>
      <c r="M1597" s="173">
        <f t="shared" si="175"/>
        <v>64.780452106033493</v>
      </c>
      <c r="N1597" s="174"/>
      <c r="O1597" s="173">
        <f t="shared" si="176"/>
        <v>90.692632948446885</v>
      </c>
      <c r="P1597" s="173">
        <v>100</v>
      </c>
    </row>
    <row r="1598" spans="7:16" hidden="1" x14ac:dyDescent="0.35">
      <c r="G1598" s="256" t="s">
        <v>1675</v>
      </c>
      <c r="H1598" s="256"/>
      <c r="I1598" s="145"/>
      <c r="J1598">
        <v>6149</v>
      </c>
      <c r="K1598" s="173">
        <f t="shared" si="161"/>
        <v>5232</v>
      </c>
      <c r="L1598" s="402">
        <f t="shared" ref="L1598:L1616" si="177">+I1598/J1598*K1598</f>
        <v>0</v>
      </c>
      <c r="M1598" s="173">
        <f t="shared" ref="M1598:M1616" si="178">+I1598+L1598</f>
        <v>0</v>
      </c>
      <c r="N1598" s="174"/>
      <c r="O1598" s="173">
        <f t="shared" ref="O1598:O1616" si="179">+M1598*1.4</f>
        <v>0</v>
      </c>
    </row>
    <row r="1599" spans="7:16" hidden="1" x14ac:dyDescent="0.35">
      <c r="G1599" s="245" t="s">
        <v>1676</v>
      </c>
      <c r="I1599" s="145">
        <v>11</v>
      </c>
      <c r="J1599">
        <v>6149</v>
      </c>
      <c r="K1599" s="173">
        <f t="shared" si="161"/>
        <v>5232</v>
      </c>
      <c r="L1599" s="402">
        <f t="shared" si="177"/>
        <v>9.3595706618962442</v>
      </c>
      <c r="M1599" s="173">
        <f t="shared" si="178"/>
        <v>20.359570661896242</v>
      </c>
      <c r="N1599" s="174"/>
      <c r="O1599" s="173">
        <f t="shared" si="179"/>
        <v>28.503398926654736</v>
      </c>
      <c r="P1599" s="173">
        <v>35</v>
      </c>
    </row>
    <row r="1600" spans="7:16" hidden="1" x14ac:dyDescent="0.35">
      <c r="G1600" s="245" t="s">
        <v>1676</v>
      </c>
      <c r="I1600" s="145">
        <v>11</v>
      </c>
      <c r="J1600">
        <v>6149</v>
      </c>
      <c r="K1600" s="173">
        <f t="shared" si="161"/>
        <v>5232</v>
      </c>
      <c r="L1600" s="402">
        <f t="shared" si="177"/>
        <v>9.3595706618962442</v>
      </c>
      <c r="M1600" s="173">
        <f t="shared" si="178"/>
        <v>20.359570661896242</v>
      </c>
      <c r="N1600" s="174"/>
      <c r="O1600" s="173">
        <f t="shared" si="179"/>
        <v>28.503398926654736</v>
      </c>
      <c r="P1600" s="173">
        <v>35</v>
      </c>
    </row>
    <row r="1601" spans="7:16" hidden="1" x14ac:dyDescent="0.35">
      <c r="G1601" s="245" t="s">
        <v>1676</v>
      </c>
      <c r="I1601" s="145">
        <v>11</v>
      </c>
      <c r="J1601">
        <v>6149</v>
      </c>
      <c r="K1601" s="173">
        <f t="shared" si="161"/>
        <v>5232</v>
      </c>
      <c r="L1601" s="402">
        <f t="shared" si="177"/>
        <v>9.3595706618962442</v>
      </c>
      <c r="M1601" s="173">
        <f t="shared" si="178"/>
        <v>20.359570661896242</v>
      </c>
      <c r="N1601" s="174"/>
      <c r="O1601" s="173">
        <f t="shared" si="179"/>
        <v>28.503398926654736</v>
      </c>
      <c r="P1601" s="173">
        <v>35</v>
      </c>
    </row>
    <row r="1602" spans="7:16" hidden="1" x14ac:dyDescent="0.35">
      <c r="G1602" s="245" t="s">
        <v>1677</v>
      </c>
      <c r="I1602" s="145">
        <v>11</v>
      </c>
      <c r="J1602">
        <v>6149</v>
      </c>
      <c r="K1602" s="173">
        <f t="shared" si="161"/>
        <v>5232</v>
      </c>
      <c r="L1602" s="402">
        <f t="shared" si="177"/>
        <v>9.3595706618962442</v>
      </c>
      <c r="M1602" s="173">
        <f t="shared" si="178"/>
        <v>20.359570661896242</v>
      </c>
      <c r="N1602" s="174"/>
      <c r="O1602" s="173">
        <f t="shared" si="179"/>
        <v>28.503398926654736</v>
      </c>
      <c r="P1602" s="173">
        <v>35</v>
      </c>
    </row>
    <row r="1603" spans="7:16" hidden="1" x14ac:dyDescent="0.35">
      <c r="G1603" s="245" t="s">
        <v>1677</v>
      </c>
      <c r="I1603" s="145">
        <v>11</v>
      </c>
      <c r="J1603">
        <v>6149</v>
      </c>
      <c r="K1603" s="173">
        <f t="shared" si="161"/>
        <v>5232</v>
      </c>
      <c r="L1603" s="402">
        <f t="shared" si="177"/>
        <v>9.3595706618962442</v>
      </c>
      <c r="M1603" s="173">
        <f t="shared" si="178"/>
        <v>20.359570661896242</v>
      </c>
      <c r="N1603" s="174"/>
      <c r="O1603" s="173">
        <f t="shared" si="179"/>
        <v>28.503398926654736</v>
      </c>
      <c r="P1603" s="173">
        <v>35</v>
      </c>
    </row>
    <row r="1604" spans="7:16" hidden="1" x14ac:dyDescent="0.35">
      <c r="G1604" s="245" t="s">
        <v>1677</v>
      </c>
      <c r="I1604" s="145">
        <v>11</v>
      </c>
      <c r="J1604">
        <v>6149</v>
      </c>
      <c r="K1604" s="173">
        <f t="shared" si="161"/>
        <v>5232</v>
      </c>
      <c r="L1604" s="402">
        <f t="shared" si="177"/>
        <v>9.3595706618962442</v>
      </c>
      <c r="M1604" s="173">
        <f t="shared" si="178"/>
        <v>20.359570661896242</v>
      </c>
      <c r="N1604" s="174"/>
      <c r="O1604" s="173">
        <f t="shared" si="179"/>
        <v>28.503398926654736</v>
      </c>
      <c r="P1604" s="173">
        <v>35</v>
      </c>
    </row>
    <row r="1605" spans="7:16" hidden="1" x14ac:dyDescent="0.35">
      <c r="G1605" s="245" t="s">
        <v>1680</v>
      </c>
      <c r="I1605" s="145">
        <v>11</v>
      </c>
      <c r="J1605">
        <v>6149</v>
      </c>
      <c r="K1605" s="173">
        <f t="shared" si="161"/>
        <v>5232</v>
      </c>
      <c r="L1605" s="402">
        <f t="shared" si="177"/>
        <v>9.3595706618962442</v>
      </c>
      <c r="M1605" s="173">
        <f t="shared" si="178"/>
        <v>20.359570661896242</v>
      </c>
      <c r="N1605" s="174"/>
      <c r="O1605" s="173">
        <f t="shared" si="179"/>
        <v>28.503398926654736</v>
      </c>
      <c r="P1605" s="173">
        <v>35</v>
      </c>
    </row>
    <row r="1606" spans="7:16" hidden="1" x14ac:dyDescent="0.35">
      <c r="G1606" s="245" t="s">
        <v>1680</v>
      </c>
      <c r="I1606" s="145">
        <v>11</v>
      </c>
      <c r="J1606">
        <v>6149</v>
      </c>
      <c r="K1606" s="173">
        <f t="shared" si="161"/>
        <v>5232</v>
      </c>
      <c r="L1606" s="402">
        <f t="shared" si="177"/>
        <v>9.3595706618962442</v>
      </c>
      <c r="M1606" s="173">
        <f t="shared" si="178"/>
        <v>20.359570661896242</v>
      </c>
      <c r="N1606" s="174"/>
      <c r="O1606" s="173">
        <f t="shared" si="179"/>
        <v>28.503398926654736</v>
      </c>
      <c r="P1606" s="173">
        <v>35</v>
      </c>
    </row>
    <row r="1607" spans="7:16" hidden="1" x14ac:dyDescent="0.35">
      <c r="G1607" s="245" t="s">
        <v>1681</v>
      </c>
      <c r="I1607" s="145">
        <v>11</v>
      </c>
      <c r="J1607">
        <v>6149</v>
      </c>
      <c r="K1607" s="173">
        <f t="shared" si="161"/>
        <v>5232</v>
      </c>
      <c r="L1607" s="402">
        <f t="shared" si="177"/>
        <v>9.3595706618962442</v>
      </c>
      <c r="M1607" s="173">
        <f t="shared" si="178"/>
        <v>20.359570661896242</v>
      </c>
      <c r="N1607" s="174"/>
      <c r="O1607" s="173">
        <f t="shared" si="179"/>
        <v>28.503398926654736</v>
      </c>
      <c r="P1607" s="173">
        <v>35</v>
      </c>
    </row>
    <row r="1608" spans="7:16" hidden="1" x14ac:dyDescent="0.35">
      <c r="G1608" s="245" t="s">
        <v>1681</v>
      </c>
      <c r="I1608" s="145">
        <v>11</v>
      </c>
      <c r="J1608">
        <v>6149</v>
      </c>
      <c r="K1608" s="173">
        <f t="shared" si="161"/>
        <v>5232</v>
      </c>
      <c r="L1608" s="402">
        <f t="shared" si="177"/>
        <v>9.3595706618962442</v>
      </c>
      <c r="M1608" s="173">
        <f t="shared" si="178"/>
        <v>20.359570661896242</v>
      </c>
      <c r="N1608" s="174"/>
      <c r="O1608" s="173">
        <f t="shared" si="179"/>
        <v>28.503398926654736</v>
      </c>
      <c r="P1608" s="173">
        <v>35</v>
      </c>
    </row>
    <row r="1609" spans="7:16" hidden="1" x14ac:dyDescent="0.35">
      <c r="G1609" s="245" t="s">
        <v>1682</v>
      </c>
      <c r="I1609" s="145">
        <v>11</v>
      </c>
      <c r="J1609">
        <v>6149</v>
      </c>
      <c r="K1609" s="173">
        <f t="shared" si="161"/>
        <v>5232</v>
      </c>
      <c r="L1609" s="402">
        <f t="shared" si="177"/>
        <v>9.3595706618962442</v>
      </c>
      <c r="M1609" s="173">
        <f t="shared" si="178"/>
        <v>20.359570661896242</v>
      </c>
      <c r="N1609" s="174"/>
      <c r="O1609" s="173">
        <f t="shared" si="179"/>
        <v>28.503398926654736</v>
      </c>
      <c r="P1609" s="173">
        <v>35</v>
      </c>
    </row>
    <row r="1610" spans="7:16" hidden="1" x14ac:dyDescent="0.35">
      <c r="G1610" s="245" t="s">
        <v>1682</v>
      </c>
      <c r="I1610" s="145">
        <v>11</v>
      </c>
      <c r="J1610">
        <v>6149</v>
      </c>
      <c r="K1610" s="173">
        <f t="shared" si="161"/>
        <v>5232</v>
      </c>
      <c r="L1610" s="402">
        <f t="shared" si="177"/>
        <v>9.3595706618962442</v>
      </c>
      <c r="M1610" s="173">
        <f t="shared" si="178"/>
        <v>20.359570661896242</v>
      </c>
      <c r="N1610" s="174"/>
      <c r="O1610" s="173">
        <f t="shared" si="179"/>
        <v>28.503398926654736</v>
      </c>
      <c r="P1610" s="173">
        <v>35</v>
      </c>
    </row>
    <row r="1611" spans="7:16" hidden="1" x14ac:dyDescent="0.35">
      <c r="G1611" s="245" t="s">
        <v>1683</v>
      </c>
      <c r="I1611" s="145">
        <v>11</v>
      </c>
      <c r="J1611">
        <v>6149</v>
      </c>
      <c r="K1611" s="173">
        <f t="shared" si="161"/>
        <v>5232</v>
      </c>
      <c r="L1611" s="402">
        <f t="shared" si="177"/>
        <v>9.3595706618962442</v>
      </c>
      <c r="M1611" s="173">
        <f t="shared" si="178"/>
        <v>20.359570661896242</v>
      </c>
      <c r="N1611" s="174"/>
      <c r="O1611" s="173">
        <f t="shared" si="179"/>
        <v>28.503398926654736</v>
      </c>
      <c r="P1611" s="173">
        <v>35</v>
      </c>
    </row>
    <row r="1612" spans="7:16" hidden="1" x14ac:dyDescent="0.35">
      <c r="G1612" s="245" t="s">
        <v>1683</v>
      </c>
      <c r="I1612" s="145">
        <v>11</v>
      </c>
      <c r="J1612">
        <v>6149</v>
      </c>
      <c r="K1612" s="173">
        <f t="shared" si="161"/>
        <v>5232</v>
      </c>
      <c r="L1612" s="402">
        <f t="shared" si="177"/>
        <v>9.3595706618962442</v>
      </c>
      <c r="M1612" s="173">
        <f t="shared" si="178"/>
        <v>20.359570661896242</v>
      </c>
      <c r="N1612" s="174"/>
      <c r="O1612" s="173">
        <f t="shared" si="179"/>
        <v>28.503398926654736</v>
      </c>
      <c r="P1612" s="173">
        <v>35</v>
      </c>
    </row>
    <row r="1613" spans="7:16" hidden="1" x14ac:dyDescent="0.35">
      <c r="G1613" s="245" t="s">
        <v>1678</v>
      </c>
      <c r="I1613" s="145">
        <v>11</v>
      </c>
      <c r="J1613">
        <v>6149</v>
      </c>
      <c r="K1613" s="173">
        <f t="shared" si="161"/>
        <v>5232</v>
      </c>
      <c r="L1613" s="402">
        <f t="shared" si="177"/>
        <v>9.3595706618962442</v>
      </c>
      <c r="M1613" s="173">
        <f t="shared" si="178"/>
        <v>20.359570661896242</v>
      </c>
      <c r="N1613" s="174"/>
      <c r="O1613" s="173">
        <f t="shared" si="179"/>
        <v>28.503398926654736</v>
      </c>
      <c r="P1613" s="173">
        <v>35</v>
      </c>
    </row>
    <row r="1614" spans="7:16" hidden="1" x14ac:dyDescent="0.35">
      <c r="G1614" s="245" t="s">
        <v>1678</v>
      </c>
      <c r="I1614" s="145">
        <v>11</v>
      </c>
      <c r="J1614">
        <v>6149</v>
      </c>
      <c r="K1614" s="173">
        <f t="shared" si="161"/>
        <v>5232</v>
      </c>
      <c r="L1614" s="402">
        <f t="shared" si="177"/>
        <v>9.3595706618962442</v>
      </c>
      <c r="M1614" s="173">
        <f t="shared" si="178"/>
        <v>20.359570661896242</v>
      </c>
      <c r="N1614" s="174"/>
      <c r="O1614" s="173">
        <f t="shared" si="179"/>
        <v>28.503398926654736</v>
      </c>
      <c r="P1614" s="173">
        <v>35</v>
      </c>
    </row>
    <row r="1615" spans="7:16" hidden="1" x14ac:dyDescent="0.35">
      <c r="G1615" s="245" t="s">
        <v>1679</v>
      </c>
      <c r="I1615" s="145">
        <v>11</v>
      </c>
      <c r="J1615">
        <v>6149</v>
      </c>
      <c r="K1615" s="173">
        <f t="shared" si="161"/>
        <v>5232</v>
      </c>
      <c r="L1615" s="402">
        <f t="shared" si="177"/>
        <v>9.3595706618962442</v>
      </c>
      <c r="M1615" s="173">
        <f t="shared" si="178"/>
        <v>20.359570661896242</v>
      </c>
      <c r="N1615" s="174"/>
      <c r="O1615" s="173">
        <f t="shared" si="179"/>
        <v>28.503398926654736</v>
      </c>
      <c r="P1615" s="173">
        <v>35</v>
      </c>
    </row>
    <row r="1616" spans="7:16" hidden="1" x14ac:dyDescent="0.35">
      <c r="G1616" s="245" t="s">
        <v>1679</v>
      </c>
      <c r="I1616" s="145">
        <v>11</v>
      </c>
      <c r="J1616">
        <v>6149</v>
      </c>
      <c r="K1616" s="173">
        <f t="shared" si="161"/>
        <v>5232</v>
      </c>
      <c r="L1616" s="402">
        <f t="shared" si="177"/>
        <v>9.3595706618962442</v>
      </c>
      <c r="M1616" s="173">
        <f t="shared" si="178"/>
        <v>20.359570661896242</v>
      </c>
      <c r="N1616" s="174"/>
      <c r="O1616" s="173">
        <f t="shared" si="179"/>
        <v>28.503398926654736</v>
      </c>
      <c r="P1616" s="173">
        <v>35</v>
      </c>
    </row>
    <row r="1617" spans="3:20" hidden="1" x14ac:dyDescent="0.35">
      <c r="I1617" s="145"/>
      <c r="L1617" s="402"/>
      <c r="N1617" s="174"/>
    </row>
    <row r="1618" spans="3:20" hidden="1" x14ac:dyDescent="0.35">
      <c r="I1618" s="145"/>
      <c r="L1618" s="402"/>
      <c r="N1618" s="174"/>
    </row>
    <row r="1619" spans="3:20" hidden="1" x14ac:dyDescent="0.35">
      <c r="I1619" s="145"/>
      <c r="L1619" s="402"/>
      <c r="N1619" s="174"/>
    </row>
    <row r="1620" spans="3:20" hidden="1" x14ac:dyDescent="0.35">
      <c r="G1620" s="245" t="s">
        <v>66</v>
      </c>
      <c r="I1620" s="145"/>
      <c r="L1620" s="402"/>
      <c r="N1620" s="174"/>
    </row>
    <row r="1621" spans="3:20" hidden="1" x14ac:dyDescent="0.35">
      <c r="C1621" s="596" t="s">
        <v>1611</v>
      </c>
      <c r="D1621" s="596"/>
      <c r="F1621" s="366">
        <v>6</v>
      </c>
      <c r="G1621" s="371" t="s">
        <v>1592</v>
      </c>
      <c r="H1621" s="371"/>
      <c r="I1621" s="176">
        <v>1.65</v>
      </c>
      <c r="J1621">
        <v>6149</v>
      </c>
      <c r="K1621" s="173">
        <f t="shared" si="161"/>
        <v>5232</v>
      </c>
      <c r="L1621" s="402">
        <f t="shared" ref="L1621:L1652" si="180">+I1621/J1621*K1621</f>
        <v>1.4039355992844365</v>
      </c>
      <c r="M1621" s="173">
        <f t="shared" ref="M1621:M1652" si="181">+I1621+L1621</f>
        <v>3.0539355992844364</v>
      </c>
      <c r="N1621" s="174"/>
      <c r="O1621" s="173">
        <f t="shared" ref="O1621:O1652" si="182">+M1621*1.4</f>
        <v>4.2755098389982109</v>
      </c>
      <c r="P1621" s="176">
        <v>5</v>
      </c>
      <c r="Q1621" s="12"/>
      <c r="R1621" s="12"/>
      <c r="S1621" t="s">
        <v>12</v>
      </c>
      <c r="T1621" s="6">
        <v>45785</v>
      </c>
    </row>
    <row r="1622" spans="3:20" hidden="1" x14ac:dyDescent="0.35">
      <c r="C1622" s="596" t="s">
        <v>1611</v>
      </c>
      <c r="D1622" s="596"/>
      <c r="F1622" s="366">
        <v>6</v>
      </c>
      <c r="G1622" s="371" t="s">
        <v>1592</v>
      </c>
      <c r="H1622" s="371"/>
      <c r="I1622" s="176">
        <v>1.65</v>
      </c>
      <c r="J1622">
        <v>6149</v>
      </c>
      <c r="K1622" s="173">
        <f t="shared" si="161"/>
        <v>5232</v>
      </c>
      <c r="L1622" s="402">
        <f t="shared" si="180"/>
        <v>1.4039355992844365</v>
      </c>
      <c r="M1622" s="173">
        <f t="shared" si="181"/>
        <v>3.0539355992844364</v>
      </c>
      <c r="N1622" s="174"/>
      <c r="O1622" s="173">
        <f t="shared" si="182"/>
        <v>4.2755098389982109</v>
      </c>
      <c r="P1622" s="176">
        <v>5</v>
      </c>
      <c r="Q1622" s="12"/>
      <c r="R1622" s="12"/>
      <c r="S1622" t="s">
        <v>12</v>
      </c>
      <c r="T1622" s="6">
        <v>45785</v>
      </c>
    </row>
    <row r="1623" spans="3:20" hidden="1" x14ac:dyDescent="0.35">
      <c r="C1623" s="596" t="s">
        <v>1611</v>
      </c>
      <c r="D1623" s="596"/>
      <c r="F1623" s="366">
        <v>6</v>
      </c>
      <c r="G1623" s="371" t="s">
        <v>1592</v>
      </c>
      <c r="H1623" s="371"/>
      <c r="I1623" s="176">
        <v>1.65</v>
      </c>
      <c r="J1623">
        <v>6149</v>
      </c>
      <c r="K1623" s="173">
        <f t="shared" si="161"/>
        <v>5232</v>
      </c>
      <c r="L1623" s="402">
        <f t="shared" si="180"/>
        <v>1.4039355992844365</v>
      </c>
      <c r="M1623" s="173">
        <f t="shared" si="181"/>
        <v>3.0539355992844364</v>
      </c>
      <c r="N1623" s="174"/>
      <c r="O1623" s="173">
        <f t="shared" si="182"/>
        <v>4.2755098389982109</v>
      </c>
      <c r="P1623" s="176">
        <v>5</v>
      </c>
      <c r="Q1623" s="12"/>
      <c r="R1623" s="12"/>
      <c r="S1623" t="s">
        <v>12</v>
      </c>
      <c r="T1623" s="6">
        <v>45785</v>
      </c>
    </row>
    <row r="1624" spans="3:20" hidden="1" x14ac:dyDescent="0.35">
      <c r="C1624" s="596" t="s">
        <v>1611</v>
      </c>
      <c r="D1624" s="596"/>
      <c r="F1624" s="366">
        <v>6</v>
      </c>
      <c r="G1624" s="245" t="s">
        <v>1592</v>
      </c>
      <c r="I1624" s="173">
        <v>1.65</v>
      </c>
      <c r="J1624">
        <v>6149</v>
      </c>
      <c r="K1624" s="173">
        <f t="shared" si="161"/>
        <v>5232</v>
      </c>
      <c r="L1624" s="402">
        <f t="shared" si="180"/>
        <v>1.4039355992844365</v>
      </c>
      <c r="M1624" s="173">
        <f t="shared" si="181"/>
        <v>3.0539355992844364</v>
      </c>
      <c r="N1624" s="174"/>
      <c r="O1624" s="173">
        <f t="shared" si="182"/>
        <v>4.2755098389982109</v>
      </c>
      <c r="P1624" s="173">
        <v>5</v>
      </c>
    </row>
    <row r="1625" spans="3:20" hidden="1" x14ac:dyDescent="0.35">
      <c r="C1625" s="596" t="s">
        <v>1611</v>
      </c>
      <c r="D1625" s="596"/>
      <c r="F1625" s="366">
        <v>6</v>
      </c>
      <c r="G1625" s="245" t="s">
        <v>1592</v>
      </c>
      <c r="I1625" s="173">
        <v>1.65</v>
      </c>
      <c r="J1625">
        <v>6149</v>
      </c>
      <c r="K1625" s="173">
        <f t="shared" si="161"/>
        <v>5232</v>
      </c>
      <c r="L1625" s="402">
        <f t="shared" si="180"/>
        <v>1.4039355992844365</v>
      </c>
      <c r="M1625" s="173">
        <f t="shared" si="181"/>
        <v>3.0539355992844364</v>
      </c>
      <c r="N1625" s="174"/>
      <c r="O1625" s="173">
        <f t="shared" si="182"/>
        <v>4.2755098389982109</v>
      </c>
      <c r="P1625" s="173">
        <v>5</v>
      </c>
    </row>
    <row r="1626" spans="3:20" hidden="1" x14ac:dyDescent="0.35">
      <c r="C1626" s="596" t="s">
        <v>1611</v>
      </c>
      <c r="D1626" s="596"/>
      <c r="F1626" s="366">
        <v>6</v>
      </c>
      <c r="G1626" s="245" t="s">
        <v>1592</v>
      </c>
      <c r="I1626" s="173">
        <v>1.65</v>
      </c>
      <c r="J1626">
        <v>6149</v>
      </c>
      <c r="K1626" s="173">
        <f t="shared" si="161"/>
        <v>5232</v>
      </c>
      <c r="L1626" s="402">
        <f t="shared" si="180"/>
        <v>1.4039355992844365</v>
      </c>
      <c r="M1626" s="173">
        <f t="shared" si="181"/>
        <v>3.0539355992844364</v>
      </c>
      <c r="N1626" s="174"/>
      <c r="O1626" s="173">
        <f t="shared" si="182"/>
        <v>4.2755098389982109</v>
      </c>
      <c r="P1626" s="173">
        <v>5</v>
      </c>
    </row>
    <row r="1627" spans="3:20" hidden="1" x14ac:dyDescent="0.35">
      <c r="C1627" s="596" t="s">
        <v>1611</v>
      </c>
      <c r="D1627" s="596"/>
      <c r="F1627" s="366">
        <v>6</v>
      </c>
      <c r="G1627" s="245" t="s">
        <v>1592</v>
      </c>
      <c r="I1627" s="173">
        <v>1.65</v>
      </c>
      <c r="J1627">
        <v>6149</v>
      </c>
      <c r="K1627" s="173">
        <f t="shared" si="161"/>
        <v>5232</v>
      </c>
      <c r="L1627" s="402">
        <f t="shared" si="180"/>
        <v>1.4039355992844365</v>
      </c>
      <c r="M1627" s="173">
        <f t="shared" si="181"/>
        <v>3.0539355992844364</v>
      </c>
      <c r="N1627" s="174"/>
      <c r="O1627" s="173">
        <f t="shared" si="182"/>
        <v>4.2755098389982109</v>
      </c>
      <c r="P1627" s="173">
        <v>5</v>
      </c>
    </row>
    <row r="1628" spans="3:20" hidden="1" x14ac:dyDescent="0.35">
      <c r="C1628" s="596" t="s">
        <v>1611</v>
      </c>
      <c r="D1628" s="596"/>
      <c r="F1628" s="366">
        <v>6</v>
      </c>
      <c r="G1628" s="245" t="s">
        <v>1592</v>
      </c>
      <c r="I1628" s="173">
        <v>1.65</v>
      </c>
      <c r="J1628">
        <v>6149</v>
      </c>
      <c r="K1628" s="173">
        <f t="shared" si="161"/>
        <v>5232</v>
      </c>
      <c r="L1628" s="402">
        <f t="shared" si="180"/>
        <v>1.4039355992844365</v>
      </c>
      <c r="M1628" s="173">
        <f t="shared" si="181"/>
        <v>3.0539355992844364</v>
      </c>
      <c r="N1628" s="174"/>
      <c r="O1628" s="173">
        <f t="shared" si="182"/>
        <v>4.2755098389982109</v>
      </c>
      <c r="P1628" s="173">
        <v>5</v>
      </c>
    </row>
    <row r="1629" spans="3:20" hidden="1" x14ac:dyDescent="0.35">
      <c r="C1629" s="596" t="s">
        <v>1611</v>
      </c>
      <c r="D1629" s="596"/>
      <c r="F1629" s="366">
        <v>6</v>
      </c>
      <c r="G1629" s="245" t="s">
        <v>1592</v>
      </c>
      <c r="I1629" s="173">
        <v>1.65</v>
      </c>
      <c r="J1629">
        <v>6149</v>
      </c>
      <c r="K1629" s="173">
        <f t="shared" si="161"/>
        <v>5232</v>
      </c>
      <c r="L1629" s="402">
        <f t="shared" si="180"/>
        <v>1.4039355992844365</v>
      </c>
      <c r="M1629" s="173">
        <f t="shared" si="181"/>
        <v>3.0539355992844364</v>
      </c>
      <c r="N1629" s="174"/>
      <c r="O1629" s="173">
        <f t="shared" si="182"/>
        <v>4.2755098389982109</v>
      </c>
      <c r="P1629" s="173">
        <v>5</v>
      </c>
    </row>
    <row r="1630" spans="3:20" hidden="1" x14ac:dyDescent="0.35">
      <c r="C1630" s="596" t="s">
        <v>1611</v>
      </c>
      <c r="D1630" s="596"/>
      <c r="F1630" s="366">
        <v>6</v>
      </c>
      <c r="G1630" s="245" t="s">
        <v>1592</v>
      </c>
      <c r="I1630" s="173">
        <v>1.65</v>
      </c>
      <c r="J1630">
        <v>6149</v>
      </c>
      <c r="K1630" s="173">
        <f t="shared" si="161"/>
        <v>5232</v>
      </c>
      <c r="L1630" s="402">
        <f t="shared" si="180"/>
        <v>1.4039355992844365</v>
      </c>
      <c r="M1630" s="173">
        <f t="shared" si="181"/>
        <v>3.0539355992844364</v>
      </c>
      <c r="N1630" s="174"/>
      <c r="O1630" s="173">
        <f t="shared" si="182"/>
        <v>4.2755098389982109</v>
      </c>
      <c r="P1630" s="173">
        <v>5</v>
      </c>
    </row>
    <row r="1631" spans="3:20" hidden="1" x14ac:dyDescent="0.35">
      <c r="C1631" s="596" t="s">
        <v>1611</v>
      </c>
      <c r="D1631" s="596"/>
      <c r="F1631" s="366">
        <v>6</v>
      </c>
      <c r="G1631" s="245" t="s">
        <v>1592</v>
      </c>
      <c r="I1631" s="173">
        <v>1.65</v>
      </c>
      <c r="J1631">
        <v>6149</v>
      </c>
      <c r="K1631" s="173">
        <f t="shared" si="161"/>
        <v>5232</v>
      </c>
      <c r="L1631" s="402">
        <f t="shared" si="180"/>
        <v>1.4039355992844365</v>
      </c>
      <c r="M1631" s="173">
        <f t="shared" si="181"/>
        <v>3.0539355992844364</v>
      </c>
      <c r="N1631" s="174"/>
      <c r="O1631" s="173">
        <f t="shared" si="182"/>
        <v>4.2755098389982109</v>
      </c>
      <c r="P1631" s="173">
        <v>5</v>
      </c>
    </row>
    <row r="1632" spans="3:20" hidden="1" x14ac:dyDescent="0.35">
      <c r="C1632" s="596" t="s">
        <v>1611</v>
      </c>
      <c r="D1632" s="596"/>
      <c r="F1632" s="366">
        <v>6</v>
      </c>
      <c r="G1632" s="245" t="s">
        <v>1592</v>
      </c>
      <c r="I1632" s="173">
        <v>1.65</v>
      </c>
      <c r="J1632">
        <v>6149</v>
      </c>
      <c r="K1632" s="173">
        <f t="shared" si="161"/>
        <v>5232</v>
      </c>
      <c r="L1632" s="402">
        <f t="shared" si="180"/>
        <v>1.4039355992844365</v>
      </c>
      <c r="M1632" s="173">
        <f t="shared" si="181"/>
        <v>3.0539355992844364</v>
      </c>
      <c r="N1632" s="174"/>
      <c r="O1632" s="173">
        <f t="shared" si="182"/>
        <v>4.2755098389982109</v>
      </c>
      <c r="P1632" s="173">
        <v>5</v>
      </c>
    </row>
    <row r="1633" spans="1:20" hidden="1" x14ac:dyDescent="0.35">
      <c r="C1633" s="596" t="s">
        <v>1611</v>
      </c>
      <c r="D1633" s="596"/>
      <c r="F1633" s="366">
        <v>5</v>
      </c>
      <c r="G1633" s="371" t="s">
        <v>1593</v>
      </c>
      <c r="H1633" s="371"/>
      <c r="I1633" s="176">
        <v>1.65</v>
      </c>
      <c r="J1633">
        <v>6149</v>
      </c>
      <c r="K1633" s="173">
        <f t="shared" si="161"/>
        <v>5232</v>
      </c>
      <c r="L1633" s="402">
        <f t="shared" si="180"/>
        <v>1.4039355992844365</v>
      </c>
      <c r="M1633" s="173">
        <f t="shared" si="181"/>
        <v>3.0539355992844364</v>
      </c>
      <c r="N1633" s="174"/>
      <c r="O1633" s="173">
        <f t="shared" si="182"/>
        <v>4.2755098389982109</v>
      </c>
      <c r="P1633" s="173">
        <v>5</v>
      </c>
      <c r="Q1633" s="12"/>
      <c r="R1633" s="12"/>
      <c r="S1633" t="s">
        <v>12</v>
      </c>
      <c r="T1633" s="6">
        <v>45785</v>
      </c>
    </row>
    <row r="1634" spans="1:20" hidden="1" x14ac:dyDescent="0.35">
      <c r="C1634" s="596" t="s">
        <v>1611</v>
      </c>
      <c r="D1634" s="596"/>
      <c r="F1634" s="366">
        <v>5</v>
      </c>
      <c r="G1634" s="371" t="s">
        <v>1593</v>
      </c>
      <c r="H1634" s="371"/>
      <c r="I1634" s="176">
        <v>1.65</v>
      </c>
      <c r="J1634">
        <v>6149</v>
      </c>
      <c r="K1634" s="173">
        <f t="shared" si="161"/>
        <v>5232</v>
      </c>
      <c r="L1634" s="402">
        <f t="shared" si="180"/>
        <v>1.4039355992844365</v>
      </c>
      <c r="M1634" s="173">
        <f t="shared" si="181"/>
        <v>3.0539355992844364</v>
      </c>
      <c r="N1634" s="174"/>
      <c r="O1634" s="173">
        <f t="shared" si="182"/>
        <v>4.2755098389982109</v>
      </c>
      <c r="P1634" s="173">
        <v>5</v>
      </c>
      <c r="Q1634" s="12"/>
      <c r="R1634" s="12"/>
      <c r="S1634" t="s">
        <v>12</v>
      </c>
      <c r="T1634" s="6">
        <v>45785</v>
      </c>
    </row>
    <row r="1635" spans="1:20" hidden="1" x14ac:dyDescent="0.35">
      <c r="C1635" s="596" t="s">
        <v>1611</v>
      </c>
      <c r="D1635" s="596"/>
      <c r="F1635" s="366">
        <v>5</v>
      </c>
      <c r="G1635" s="371" t="s">
        <v>1593</v>
      </c>
      <c r="H1635" s="371"/>
      <c r="I1635" s="176">
        <v>1.65</v>
      </c>
      <c r="J1635">
        <v>6149</v>
      </c>
      <c r="K1635" s="173">
        <f t="shared" ref="K1635:K1698" si="183">5832-600</f>
        <v>5232</v>
      </c>
      <c r="L1635" s="402">
        <f t="shared" si="180"/>
        <v>1.4039355992844365</v>
      </c>
      <c r="M1635" s="173">
        <f t="shared" si="181"/>
        <v>3.0539355992844364</v>
      </c>
      <c r="N1635" s="174"/>
      <c r="O1635" s="173">
        <f t="shared" si="182"/>
        <v>4.2755098389982109</v>
      </c>
      <c r="P1635" s="173">
        <v>5</v>
      </c>
      <c r="Q1635" s="12"/>
      <c r="R1635" s="12"/>
      <c r="S1635" t="s">
        <v>12</v>
      </c>
      <c r="T1635" s="6">
        <v>45785</v>
      </c>
    </row>
    <row r="1636" spans="1:20" hidden="1" x14ac:dyDescent="0.35">
      <c r="C1636" s="596" t="s">
        <v>1611</v>
      </c>
      <c r="D1636" s="596"/>
      <c r="F1636" s="366">
        <v>5</v>
      </c>
      <c r="G1636" s="245" t="s">
        <v>1593</v>
      </c>
      <c r="I1636" s="173">
        <v>1.65</v>
      </c>
      <c r="J1636">
        <v>6149</v>
      </c>
      <c r="K1636" s="173">
        <f t="shared" si="183"/>
        <v>5232</v>
      </c>
      <c r="L1636" s="402">
        <f t="shared" si="180"/>
        <v>1.4039355992844365</v>
      </c>
      <c r="M1636" s="173">
        <f t="shared" si="181"/>
        <v>3.0539355992844364</v>
      </c>
      <c r="N1636" s="174"/>
      <c r="O1636" s="173">
        <f t="shared" si="182"/>
        <v>4.2755098389982109</v>
      </c>
      <c r="P1636" s="173">
        <v>5</v>
      </c>
    </row>
    <row r="1637" spans="1:20" hidden="1" x14ac:dyDescent="0.35">
      <c r="C1637" s="596" t="s">
        <v>1611</v>
      </c>
      <c r="D1637" s="596"/>
      <c r="F1637" s="366">
        <v>5</v>
      </c>
      <c r="G1637" s="245" t="s">
        <v>1593</v>
      </c>
      <c r="I1637" s="173">
        <v>1.65</v>
      </c>
      <c r="J1637">
        <v>6149</v>
      </c>
      <c r="K1637" s="173">
        <f t="shared" si="183"/>
        <v>5232</v>
      </c>
      <c r="L1637" s="402">
        <f t="shared" si="180"/>
        <v>1.4039355992844365</v>
      </c>
      <c r="M1637" s="173">
        <f t="shared" si="181"/>
        <v>3.0539355992844364</v>
      </c>
      <c r="N1637" s="174"/>
      <c r="O1637" s="173">
        <f t="shared" si="182"/>
        <v>4.2755098389982109</v>
      </c>
      <c r="P1637" s="173">
        <v>5</v>
      </c>
    </row>
    <row r="1638" spans="1:20" s="3" customFormat="1" hidden="1" x14ac:dyDescent="0.35">
      <c r="C1638" s="596" t="s">
        <v>1611</v>
      </c>
      <c r="D1638" s="596"/>
      <c r="F1638" s="366">
        <v>5</v>
      </c>
      <c r="G1638" s="245" t="s">
        <v>1593</v>
      </c>
      <c r="H1638" s="245"/>
      <c r="I1638" s="173">
        <v>1.65</v>
      </c>
      <c r="J1638">
        <v>6149</v>
      </c>
      <c r="K1638" s="173">
        <f t="shared" si="183"/>
        <v>5232</v>
      </c>
      <c r="L1638" s="402">
        <f t="shared" si="180"/>
        <v>1.4039355992844365</v>
      </c>
      <c r="M1638" s="173">
        <f t="shared" si="181"/>
        <v>3.0539355992844364</v>
      </c>
      <c r="N1638" s="174"/>
      <c r="O1638" s="173">
        <f t="shared" si="182"/>
        <v>4.2755098389982109</v>
      </c>
      <c r="P1638" s="173">
        <v>5</v>
      </c>
    </row>
    <row r="1639" spans="1:20" hidden="1" x14ac:dyDescent="0.35">
      <c r="C1639" s="596" t="s">
        <v>1611</v>
      </c>
      <c r="D1639" s="596"/>
      <c r="F1639" s="366">
        <v>5</v>
      </c>
      <c r="G1639" s="245" t="s">
        <v>1593</v>
      </c>
      <c r="I1639" s="173">
        <v>1.65</v>
      </c>
      <c r="J1639">
        <v>6149</v>
      </c>
      <c r="K1639" s="173">
        <f t="shared" si="183"/>
        <v>5232</v>
      </c>
      <c r="L1639" s="402">
        <f t="shared" si="180"/>
        <v>1.4039355992844365</v>
      </c>
      <c r="M1639" s="173">
        <f t="shared" si="181"/>
        <v>3.0539355992844364</v>
      </c>
      <c r="N1639" s="174"/>
      <c r="O1639" s="173">
        <f t="shared" si="182"/>
        <v>4.2755098389982109</v>
      </c>
      <c r="P1639" s="173">
        <v>5</v>
      </c>
    </row>
    <row r="1640" spans="1:20" hidden="1" x14ac:dyDescent="0.35">
      <c r="C1640" s="596" t="s">
        <v>1611</v>
      </c>
      <c r="D1640" s="596"/>
      <c r="F1640" s="366">
        <v>5</v>
      </c>
      <c r="G1640" s="245" t="s">
        <v>1593</v>
      </c>
      <c r="I1640" s="173">
        <v>1.65</v>
      </c>
      <c r="J1640">
        <v>6149</v>
      </c>
      <c r="K1640" s="173">
        <f t="shared" si="183"/>
        <v>5232</v>
      </c>
      <c r="L1640" s="402">
        <f t="shared" si="180"/>
        <v>1.4039355992844365</v>
      </c>
      <c r="M1640" s="173">
        <f t="shared" si="181"/>
        <v>3.0539355992844364</v>
      </c>
      <c r="N1640" s="174"/>
      <c r="O1640" s="173">
        <f t="shared" si="182"/>
        <v>4.2755098389982109</v>
      </c>
      <c r="P1640" s="173">
        <v>5</v>
      </c>
    </row>
    <row r="1641" spans="1:20" hidden="1" x14ac:dyDescent="0.35">
      <c r="C1641" s="596" t="s">
        <v>1611</v>
      </c>
      <c r="D1641" s="596"/>
      <c r="F1641" s="366">
        <v>5</v>
      </c>
      <c r="G1641" s="245" t="s">
        <v>1593</v>
      </c>
      <c r="I1641" s="173">
        <v>1.65</v>
      </c>
      <c r="J1641">
        <v>6149</v>
      </c>
      <c r="K1641" s="173">
        <f t="shared" si="183"/>
        <v>5232</v>
      </c>
      <c r="L1641" s="402">
        <f t="shared" si="180"/>
        <v>1.4039355992844365</v>
      </c>
      <c r="M1641" s="173">
        <f t="shared" si="181"/>
        <v>3.0539355992844364</v>
      </c>
      <c r="N1641" s="174"/>
      <c r="O1641" s="173">
        <f t="shared" si="182"/>
        <v>4.2755098389982109</v>
      </c>
      <c r="P1641" s="173">
        <v>5</v>
      </c>
    </row>
    <row r="1642" spans="1:20" hidden="1" x14ac:dyDescent="0.35">
      <c r="C1642" s="596" t="s">
        <v>1611</v>
      </c>
      <c r="D1642" s="596"/>
      <c r="F1642" s="366">
        <v>5</v>
      </c>
      <c r="G1642" s="245" t="s">
        <v>1593</v>
      </c>
      <c r="I1642" s="173">
        <v>1.65</v>
      </c>
      <c r="J1642">
        <v>6149</v>
      </c>
      <c r="K1642" s="173">
        <f t="shared" si="183"/>
        <v>5232</v>
      </c>
      <c r="L1642" s="402">
        <f t="shared" si="180"/>
        <v>1.4039355992844365</v>
      </c>
      <c r="M1642" s="173">
        <f t="shared" si="181"/>
        <v>3.0539355992844364</v>
      </c>
      <c r="N1642" s="174"/>
      <c r="O1642" s="173">
        <f t="shared" si="182"/>
        <v>4.2755098389982109</v>
      </c>
      <c r="P1642" s="173">
        <v>5</v>
      </c>
    </row>
    <row r="1643" spans="1:20" hidden="1" x14ac:dyDescent="0.35">
      <c r="C1643" s="596" t="s">
        <v>1611</v>
      </c>
      <c r="D1643" s="596"/>
      <c r="F1643" s="366">
        <v>5</v>
      </c>
      <c r="G1643" s="245" t="s">
        <v>1593</v>
      </c>
      <c r="I1643" s="173">
        <v>1.65</v>
      </c>
      <c r="J1643">
        <v>6149</v>
      </c>
      <c r="K1643" s="173">
        <f t="shared" si="183"/>
        <v>5232</v>
      </c>
      <c r="L1643" s="402">
        <f t="shared" si="180"/>
        <v>1.4039355992844365</v>
      </c>
      <c r="M1643" s="173">
        <f t="shared" si="181"/>
        <v>3.0539355992844364</v>
      </c>
      <c r="N1643" s="174"/>
      <c r="O1643" s="173">
        <f t="shared" si="182"/>
        <v>4.2755098389982109</v>
      </c>
      <c r="P1643" s="173">
        <v>5</v>
      </c>
    </row>
    <row r="1644" spans="1:20" hidden="1" x14ac:dyDescent="0.35">
      <c r="A1644"/>
      <c r="C1644" s="596" t="s">
        <v>1611</v>
      </c>
      <c r="D1644" s="596"/>
      <c r="F1644" s="366">
        <v>5</v>
      </c>
      <c r="G1644" s="245" t="s">
        <v>1593</v>
      </c>
      <c r="I1644" s="173">
        <v>1.65</v>
      </c>
      <c r="J1644">
        <v>6149</v>
      </c>
      <c r="K1644" s="173">
        <f t="shared" si="183"/>
        <v>5232</v>
      </c>
      <c r="L1644" s="402">
        <f t="shared" si="180"/>
        <v>1.4039355992844365</v>
      </c>
      <c r="M1644" s="173">
        <f t="shared" si="181"/>
        <v>3.0539355992844364</v>
      </c>
      <c r="N1644" s="174"/>
      <c r="O1644" s="173">
        <f t="shared" si="182"/>
        <v>4.2755098389982109</v>
      </c>
      <c r="P1644" s="173">
        <v>5</v>
      </c>
    </row>
    <row r="1645" spans="1:20" hidden="1" x14ac:dyDescent="0.35">
      <c r="A1645"/>
      <c r="C1645" s="596" t="s">
        <v>1611</v>
      </c>
      <c r="D1645" s="596"/>
      <c r="F1645" s="366">
        <v>5</v>
      </c>
      <c r="G1645" s="245" t="s">
        <v>505</v>
      </c>
      <c r="I1645" s="173">
        <v>1.65</v>
      </c>
      <c r="J1645">
        <v>6149</v>
      </c>
      <c r="K1645" s="173">
        <f t="shared" si="183"/>
        <v>5232</v>
      </c>
      <c r="L1645" s="402">
        <f t="shared" si="180"/>
        <v>1.4039355992844365</v>
      </c>
      <c r="M1645" s="173">
        <f t="shared" si="181"/>
        <v>3.0539355992844364</v>
      </c>
      <c r="N1645" s="174"/>
      <c r="O1645" s="173">
        <f t="shared" si="182"/>
        <v>4.2755098389982109</v>
      </c>
      <c r="P1645" s="173">
        <v>5</v>
      </c>
    </row>
    <row r="1646" spans="1:20" hidden="1" x14ac:dyDescent="0.35">
      <c r="A1646"/>
      <c r="C1646" s="596" t="s">
        <v>1611</v>
      </c>
      <c r="D1646" s="596"/>
      <c r="F1646" s="366">
        <v>4</v>
      </c>
      <c r="G1646" s="371" t="s">
        <v>505</v>
      </c>
      <c r="H1646" s="371"/>
      <c r="I1646" s="176">
        <v>1.65</v>
      </c>
      <c r="J1646">
        <v>6149</v>
      </c>
      <c r="K1646" s="173">
        <f t="shared" si="183"/>
        <v>5232</v>
      </c>
      <c r="L1646" s="402">
        <f t="shared" si="180"/>
        <v>1.4039355992844365</v>
      </c>
      <c r="M1646" s="173">
        <f t="shared" si="181"/>
        <v>3.0539355992844364</v>
      </c>
      <c r="N1646" s="174"/>
      <c r="O1646" s="173">
        <f t="shared" si="182"/>
        <v>4.2755098389982109</v>
      </c>
      <c r="P1646" s="176"/>
      <c r="Q1646" s="12"/>
      <c r="R1646" s="12"/>
      <c r="S1646" t="s">
        <v>12</v>
      </c>
      <c r="T1646" s="6">
        <v>45785</v>
      </c>
    </row>
    <row r="1647" spans="1:20" hidden="1" x14ac:dyDescent="0.35">
      <c r="A1647"/>
      <c r="C1647" s="596" t="s">
        <v>1611</v>
      </c>
      <c r="D1647" s="596"/>
      <c r="F1647" s="366">
        <v>4</v>
      </c>
      <c r="G1647" s="245" t="s">
        <v>505</v>
      </c>
      <c r="I1647" s="173">
        <v>1.65</v>
      </c>
      <c r="J1647">
        <v>6149</v>
      </c>
      <c r="K1647" s="173">
        <f t="shared" si="183"/>
        <v>5232</v>
      </c>
      <c r="L1647" s="402">
        <f t="shared" si="180"/>
        <v>1.4039355992844365</v>
      </c>
      <c r="M1647" s="173">
        <f t="shared" si="181"/>
        <v>3.0539355992844364</v>
      </c>
      <c r="N1647" s="174"/>
      <c r="O1647" s="173">
        <f t="shared" si="182"/>
        <v>4.2755098389982109</v>
      </c>
      <c r="P1647" s="173">
        <v>5</v>
      </c>
    </row>
    <row r="1648" spans="1:20" hidden="1" x14ac:dyDescent="0.35">
      <c r="A1648"/>
      <c r="C1648" s="596" t="s">
        <v>1611</v>
      </c>
      <c r="D1648" s="596"/>
      <c r="F1648" s="366">
        <v>4</v>
      </c>
      <c r="G1648" s="245" t="s">
        <v>505</v>
      </c>
      <c r="I1648" s="173">
        <v>1.65</v>
      </c>
      <c r="J1648">
        <v>6149</v>
      </c>
      <c r="K1648" s="173">
        <f t="shared" si="183"/>
        <v>5232</v>
      </c>
      <c r="L1648" s="402">
        <f t="shared" si="180"/>
        <v>1.4039355992844365</v>
      </c>
      <c r="M1648" s="173">
        <f t="shared" si="181"/>
        <v>3.0539355992844364</v>
      </c>
      <c r="N1648" s="174"/>
      <c r="O1648" s="173">
        <f t="shared" si="182"/>
        <v>4.2755098389982109</v>
      </c>
      <c r="P1648" s="173">
        <v>5</v>
      </c>
    </row>
    <row r="1649" spans="1:16" hidden="1" x14ac:dyDescent="0.35">
      <c r="A1649"/>
      <c r="C1649" s="596" t="s">
        <v>1611</v>
      </c>
      <c r="D1649" s="596"/>
      <c r="F1649" s="366">
        <v>4</v>
      </c>
      <c r="G1649" s="245" t="s">
        <v>505</v>
      </c>
      <c r="I1649" s="173">
        <v>1.65</v>
      </c>
      <c r="J1649">
        <v>6149</v>
      </c>
      <c r="K1649" s="173">
        <f t="shared" si="183"/>
        <v>5232</v>
      </c>
      <c r="L1649" s="402">
        <f t="shared" si="180"/>
        <v>1.4039355992844365</v>
      </c>
      <c r="M1649" s="173">
        <f t="shared" si="181"/>
        <v>3.0539355992844364</v>
      </c>
      <c r="N1649" s="174"/>
      <c r="O1649" s="173">
        <f t="shared" si="182"/>
        <v>4.2755098389982109</v>
      </c>
      <c r="P1649" s="173">
        <v>5</v>
      </c>
    </row>
    <row r="1650" spans="1:16" hidden="1" x14ac:dyDescent="0.35">
      <c r="A1650"/>
      <c r="C1650" s="596" t="s">
        <v>1611</v>
      </c>
      <c r="D1650" s="596"/>
      <c r="F1650" s="366">
        <v>4</v>
      </c>
      <c r="G1650" s="245" t="s">
        <v>505</v>
      </c>
      <c r="I1650" s="173">
        <v>1.65</v>
      </c>
      <c r="J1650">
        <v>6149</v>
      </c>
      <c r="K1650" s="173">
        <f t="shared" si="183"/>
        <v>5232</v>
      </c>
      <c r="L1650" s="402">
        <f t="shared" si="180"/>
        <v>1.4039355992844365</v>
      </c>
      <c r="M1650" s="173">
        <f t="shared" si="181"/>
        <v>3.0539355992844364</v>
      </c>
      <c r="N1650" s="174"/>
      <c r="O1650" s="173">
        <f t="shared" si="182"/>
        <v>4.2755098389982109</v>
      </c>
      <c r="P1650" s="173">
        <v>5</v>
      </c>
    </row>
    <row r="1651" spans="1:16" hidden="1" x14ac:dyDescent="0.35">
      <c r="A1651"/>
      <c r="C1651" s="596" t="s">
        <v>1611</v>
      </c>
      <c r="D1651" s="596"/>
      <c r="F1651" s="366">
        <v>4</v>
      </c>
      <c r="G1651" s="245" t="s">
        <v>505</v>
      </c>
      <c r="I1651" s="173">
        <v>1.65</v>
      </c>
      <c r="J1651">
        <v>6149</v>
      </c>
      <c r="K1651" s="173">
        <f t="shared" si="183"/>
        <v>5232</v>
      </c>
      <c r="L1651" s="402">
        <f t="shared" si="180"/>
        <v>1.4039355992844365</v>
      </c>
      <c r="M1651" s="173">
        <f t="shared" si="181"/>
        <v>3.0539355992844364</v>
      </c>
      <c r="N1651" s="174"/>
      <c r="O1651" s="173">
        <f t="shared" si="182"/>
        <v>4.2755098389982109</v>
      </c>
      <c r="P1651" s="173">
        <v>5</v>
      </c>
    </row>
    <row r="1652" spans="1:16" hidden="1" x14ac:dyDescent="0.35">
      <c r="A1652"/>
      <c r="C1652" s="596" t="s">
        <v>1611</v>
      </c>
      <c r="D1652" s="596"/>
      <c r="F1652" s="366">
        <v>4</v>
      </c>
      <c r="G1652" s="245" t="s">
        <v>505</v>
      </c>
      <c r="I1652" s="173">
        <v>1.65</v>
      </c>
      <c r="J1652">
        <v>6149</v>
      </c>
      <c r="K1652" s="173">
        <f t="shared" si="183"/>
        <v>5232</v>
      </c>
      <c r="L1652" s="402">
        <f t="shared" si="180"/>
        <v>1.4039355992844365</v>
      </c>
      <c r="M1652" s="173">
        <f t="shared" si="181"/>
        <v>3.0539355992844364</v>
      </c>
      <c r="N1652" s="174"/>
      <c r="O1652" s="173">
        <f t="shared" si="182"/>
        <v>4.2755098389982109</v>
      </c>
      <c r="P1652" s="173">
        <v>5</v>
      </c>
    </row>
    <row r="1653" spans="1:16" hidden="1" x14ac:dyDescent="0.35">
      <c r="A1653"/>
      <c r="C1653" s="596" t="s">
        <v>1611</v>
      </c>
      <c r="D1653" s="596"/>
      <c r="F1653" s="366">
        <v>4</v>
      </c>
      <c r="G1653" s="245" t="s">
        <v>505</v>
      </c>
      <c r="I1653" s="173">
        <v>1.65</v>
      </c>
      <c r="J1653">
        <v>6149</v>
      </c>
      <c r="K1653" s="173">
        <f t="shared" si="183"/>
        <v>5232</v>
      </c>
      <c r="L1653" s="402">
        <f t="shared" ref="L1653:L1684" si="184">+I1653/J1653*K1653</f>
        <v>1.4039355992844365</v>
      </c>
      <c r="M1653" s="173">
        <f t="shared" ref="M1653:M1684" si="185">+I1653+L1653</f>
        <v>3.0539355992844364</v>
      </c>
      <c r="N1653" s="174"/>
      <c r="O1653" s="173">
        <f t="shared" ref="O1653:O1684" si="186">+M1653*1.4</f>
        <v>4.2755098389982109</v>
      </c>
      <c r="P1653" s="173">
        <v>5</v>
      </c>
    </row>
    <row r="1654" spans="1:16" hidden="1" x14ac:dyDescent="0.35">
      <c r="A1654"/>
      <c r="C1654" s="596" t="s">
        <v>1611</v>
      </c>
      <c r="D1654" s="596"/>
      <c r="F1654" s="366">
        <v>4</v>
      </c>
      <c r="G1654" s="245" t="s">
        <v>505</v>
      </c>
      <c r="I1654" s="173">
        <v>1.65</v>
      </c>
      <c r="J1654">
        <v>6149</v>
      </c>
      <c r="K1654" s="173">
        <f t="shared" si="183"/>
        <v>5232</v>
      </c>
      <c r="L1654" s="402">
        <f t="shared" si="184"/>
        <v>1.4039355992844365</v>
      </c>
      <c r="M1654" s="173">
        <f t="shared" si="185"/>
        <v>3.0539355992844364</v>
      </c>
      <c r="N1654" s="174"/>
      <c r="O1654" s="173">
        <f t="shared" si="186"/>
        <v>4.2755098389982109</v>
      </c>
      <c r="P1654" s="173">
        <v>5</v>
      </c>
    </row>
    <row r="1655" spans="1:16" hidden="1" x14ac:dyDescent="0.35">
      <c r="A1655"/>
      <c r="C1655" s="596" t="s">
        <v>1611</v>
      </c>
      <c r="D1655" s="596"/>
      <c r="F1655" s="366">
        <v>4</v>
      </c>
      <c r="G1655" s="245" t="s">
        <v>505</v>
      </c>
      <c r="I1655" s="173">
        <v>1.65</v>
      </c>
      <c r="J1655">
        <v>6149</v>
      </c>
      <c r="K1655" s="173">
        <f t="shared" si="183"/>
        <v>5232</v>
      </c>
      <c r="L1655" s="402">
        <f t="shared" si="184"/>
        <v>1.4039355992844365</v>
      </c>
      <c r="M1655" s="173">
        <f t="shared" si="185"/>
        <v>3.0539355992844364</v>
      </c>
      <c r="N1655" s="174"/>
      <c r="O1655" s="173">
        <f t="shared" si="186"/>
        <v>4.2755098389982109</v>
      </c>
      <c r="P1655" s="173">
        <v>5</v>
      </c>
    </row>
    <row r="1656" spans="1:16" hidden="1" x14ac:dyDescent="0.35">
      <c r="A1656"/>
      <c r="C1656" s="596" t="s">
        <v>1611</v>
      </c>
      <c r="D1656" s="596"/>
      <c r="F1656" s="366">
        <v>4</v>
      </c>
      <c r="G1656" s="245" t="s">
        <v>505</v>
      </c>
      <c r="I1656" s="173">
        <v>1.65</v>
      </c>
      <c r="J1656">
        <v>6149</v>
      </c>
      <c r="K1656" s="173">
        <f t="shared" si="183"/>
        <v>5232</v>
      </c>
      <c r="L1656" s="402">
        <f t="shared" si="184"/>
        <v>1.4039355992844365</v>
      </c>
      <c r="M1656" s="173">
        <f t="shared" si="185"/>
        <v>3.0539355992844364</v>
      </c>
      <c r="N1656" s="174"/>
      <c r="O1656" s="173">
        <f t="shared" si="186"/>
        <v>4.2755098389982109</v>
      </c>
      <c r="P1656" s="173">
        <v>5</v>
      </c>
    </row>
    <row r="1657" spans="1:16" hidden="1" x14ac:dyDescent="0.35">
      <c r="A1657"/>
      <c r="C1657" s="596" t="s">
        <v>1611</v>
      </c>
      <c r="D1657" s="596"/>
      <c r="F1657" s="366">
        <v>4</v>
      </c>
      <c r="G1657" s="245" t="s">
        <v>505</v>
      </c>
      <c r="I1657" s="173">
        <v>1.65</v>
      </c>
      <c r="J1657">
        <v>6149</v>
      </c>
      <c r="K1657" s="173">
        <f t="shared" si="183"/>
        <v>5232</v>
      </c>
      <c r="L1657" s="402">
        <f t="shared" si="184"/>
        <v>1.4039355992844365</v>
      </c>
      <c r="M1657" s="173">
        <f t="shared" si="185"/>
        <v>3.0539355992844364</v>
      </c>
      <c r="N1657" s="174"/>
      <c r="O1657" s="173">
        <f t="shared" si="186"/>
        <v>4.2755098389982109</v>
      </c>
      <c r="P1657" s="173">
        <v>5</v>
      </c>
    </row>
    <row r="1658" spans="1:16" hidden="1" x14ac:dyDescent="0.35">
      <c r="A1658"/>
      <c r="C1658" s="596" t="s">
        <v>1611</v>
      </c>
      <c r="D1658" s="596"/>
      <c r="F1658" s="366">
        <v>4</v>
      </c>
      <c r="G1658" s="245" t="s">
        <v>505</v>
      </c>
      <c r="I1658" s="173">
        <v>1.65</v>
      </c>
      <c r="J1658">
        <v>6149</v>
      </c>
      <c r="K1658" s="173">
        <f t="shared" si="183"/>
        <v>5232</v>
      </c>
      <c r="L1658" s="402">
        <f t="shared" si="184"/>
        <v>1.4039355992844365</v>
      </c>
      <c r="M1658" s="173">
        <f t="shared" si="185"/>
        <v>3.0539355992844364</v>
      </c>
      <c r="N1658" s="174"/>
      <c r="O1658" s="173">
        <f t="shared" si="186"/>
        <v>4.2755098389982109</v>
      </c>
      <c r="P1658" s="173">
        <v>5</v>
      </c>
    </row>
    <row r="1659" spans="1:16" hidden="1" x14ac:dyDescent="0.35">
      <c r="A1659"/>
      <c r="C1659" s="596" t="s">
        <v>1611</v>
      </c>
      <c r="D1659" s="596"/>
      <c r="F1659" s="366">
        <v>4</v>
      </c>
      <c r="G1659" s="245" t="s">
        <v>505</v>
      </c>
      <c r="I1659" s="173">
        <v>1.65</v>
      </c>
      <c r="J1659">
        <v>6149</v>
      </c>
      <c r="K1659" s="173">
        <f t="shared" si="183"/>
        <v>5232</v>
      </c>
      <c r="L1659" s="402">
        <f t="shared" si="184"/>
        <v>1.4039355992844365</v>
      </c>
      <c r="M1659" s="173">
        <f t="shared" si="185"/>
        <v>3.0539355992844364</v>
      </c>
      <c r="N1659" s="174"/>
      <c r="O1659" s="173">
        <f t="shared" si="186"/>
        <v>4.2755098389982109</v>
      </c>
      <c r="P1659" s="173">
        <v>5</v>
      </c>
    </row>
    <row r="1660" spans="1:16" hidden="1" x14ac:dyDescent="0.35">
      <c r="A1660"/>
      <c r="C1660" s="596" t="s">
        <v>1611</v>
      </c>
      <c r="D1660" s="596"/>
      <c r="F1660" s="366">
        <v>4</v>
      </c>
      <c r="G1660" s="245" t="s">
        <v>505</v>
      </c>
      <c r="I1660" s="173">
        <v>1.65</v>
      </c>
      <c r="J1660">
        <v>6149</v>
      </c>
      <c r="K1660" s="173">
        <f t="shared" si="183"/>
        <v>5232</v>
      </c>
      <c r="L1660" s="402">
        <f t="shared" si="184"/>
        <v>1.4039355992844365</v>
      </c>
      <c r="M1660" s="173">
        <f t="shared" si="185"/>
        <v>3.0539355992844364</v>
      </c>
      <c r="N1660" s="174"/>
      <c r="O1660" s="173">
        <f t="shared" si="186"/>
        <v>4.2755098389982109</v>
      </c>
      <c r="P1660" s="173">
        <v>5</v>
      </c>
    </row>
    <row r="1661" spans="1:16" hidden="1" x14ac:dyDescent="0.35">
      <c r="A1661"/>
      <c r="C1661" s="596" t="s">
        <v>1611</v>
      </c>
      <c r="D1661" s="596"/>
      <c r="F1661" s="366">
        <v>4</v>
      </c>
      <c r="G1661" s="245" t="s">
        <v>505</v>
      </c>
      <c r="I1661" s="173">
        <v>1.65</v>
      </c>
      <c r="J1661">
        <v>6149</v>
      </c>
      <c r="K1661" s="173">
        <f t="shared" si="183"/>
        <v>5232</v>
      </c>
      <c r="L1661" s="402">
        <f t="shared" si="184"/>
        <v>1.4039355992844365</v>
      </c>
      <c r="M1661" s="173">
        <f t="shared" si="185"/>
        <v>3.0539355992844364</v>
      </c>
      <c r="N1661" s="174"/>
      <c r="O1661" s="173">
        <f t="shared" si="186"/>
        <v>4.2755098389982109</v>
      </c>
      <c r="P1661" s="173">
        <v>5</v>
      </c>
    </row>
    <row r="1662" spans="1:16" hidden="1" x14ac:dyDescent="0.35">
      <c r="A1662"/>
      <c r="C1662" s="596" t="s">
        <v>1611</v>
      </c>
      <c r="D1662" s="596"/>
      <c r="F1662" s="366">
        <v>4</v>
      </c>
      <c r="G1662" s="245" t="s">
        <v>505</v>
      </c>
      <c r="I1662" s="173">
        <v>1.65</v>
      </c>
      <c r="J1662">
        <v>6149</v>
      </c>
      <c r="K1662" s="173">
        <f t="shared" si="183"/>
        <v>5232</v>
      </c>
      <c r="L1662" s="402">
        <f t="shared" si="184"/>
        <v>1.4039355992844365</v>
      </c>
      <c r="M1662" s="173">
        <f t="shared" si="185"/>
        <v>3.0539355992844364</v>
      </c>
      <c r="N1662" s="174"/>
      <c r="O1662" s="173">
        <f t="shared" si="186"/>
        <v>4.2755098389982109</v>
      </c>
      <c r="P1662" s="173">
        <v>5</v>
      </c>
    </row>
    <row r="1663" spans="1:16" hidden="1" x14ac:dyDescent="0.35">
      <c r="A1663"/>
      <c r="C1663" s="596" t="s">
        <v>1611</v>
      </c>
      <c r="D1663" s="596"/>
      <c r="F1663" s="366">
        <v>4</v>
      </c>
      <c r="G1663" s="245" t="s">
        <v>505</v>
      </c>
      <c r="I1663" s="173">
        <v>1.65</v>
      </c>
      <c r="J1663">
        <v>6149</v>
      </c>
      <c r="K1663" s="173">
        <f t="shared" si="183"/>
        <v>5232</v>
      </c>
      <c r="L1663" s="402">
        <f t="shared" si="184"/>
        <v>1.4039355992844365</v>
      </c>
      <c r="M1663" s="173">
        <f t="shared" si="185"/>
        <v>3.0539355992844364</v>
      </c>
      <c r="N1663" s="174"/>
      <c r="O1663" s="173">
        <f t="shared" si="186"/>
        <v>4.2755098389982109</v>
      </c>
      <c r="P1663" s="173">
        <v>5</v>
      </c>
    </row>
    <row r="1664" spans="1:16" hidden="1" x14ac:dyDescent="0.35">
      <c r="A1664"/>
      <c r="C1664" s="596" t="s">
        <v>1611</v>
      </c>
      <c r="D1664" s="596"/>
      <c r="F1664" s="366">
        <v>4</v>
      </c>
      <c r="G1664" s="245" t="s">
        <v>505</v>
      </c>
      <c r="I1664" s="173">
        <v>1.65</v>
      </c>
      <c r="J1664">
        <v>6149</v>
      </c>
      <c r="K1664" s="173">
        <f t="shared" si="183"/>
        <v>5232</v>
      </c>
      <c r="L1664" s="402">
        <f t="shared" si="184"/>
        <v>1.4039355992844365</v>
      </c>
      <c r="M1664" s="173">
        <f t="shared" si="185"/>
        <v>3.0539355992844364</v>
      </c>
      <c r="N1664" s="174"/>
      <c r="O1664" s="173">
        <f t="shared" si="186"/>
        <v>4.2755098389982109</v>
      </c>
      <c r="P1664" s="173">
        <v>5</v>
      </c>
    </row>
    <row r="1665" spans="1:20" hidden="1" x14ac:dyDescent="0.35">
      <c r="A1665"/>
      <c r="C1665" s="596" t="s">
        <v>1611</v>
      </c>
      <c r="D1665" s="596"/>
      <c r="F1665" s="366">
        <v>4</v>
      </c>
      <c r="G1665" s="245" t="s">
        <v>505</v>
      </c>
      <c r="I1665" s="173">
        <v>1.65</v>
      </c>
      <c r="J1665">
        <v>6149</v>
      </c>
      <c r="K1665" s="173">
        <f t="shared" si="183"/>
        <v>5232</v>
      </c>
      <c r="L1665" s="402">
        <f t="shared" si="184"/>
        <v>1.4039355992844365</v>
      </c>
      <c r="M1665" s="173">
        <f t="shared" si="185"/>
        <v>3.0539355992844364</v>
      </c>
      <c r="N1665" s="174"/>
      <c r="O1665" s="173">
        <f t="shared" si="186"/>
        <v>4.2755098389982109</v>
      </c>
      <c r="P1665" s="173">
        <v>5</v>
      </c>
    </row>
    <row r="1666" spans="1:20" hidden="1" x14ac:dyDescent="0.35">
      <c r="A1666"/>
      <c r="C1666" s="596" t="s">
        <v>1611</v>
      </c>
      <c r="D1666" s="596"/>
      <c r="F1666" s="366">
        <v>4</v>
      </c>
      <c r="G1666" s="245" t="s">
        <v>505</v>
      </c>
      <c r="I1666" s="173">
        <v>1.65</v>
      </c>
      <c r="J1666">
        <v>6149</v>
      </c>
      <c r="K1666" s="173">
        <f t="shared" si="183"/>
        <v>5232</v>
      </c>
      <c r="L1666" s="402">
        <f t="shared" si="184"/>
        <v>1.4039355992844365</v>
      </c>
      <c r="M1666" s="173">
        <f t="shared" si="185"/>
        <v>3.0539355992844364</v>
      </c>
      <c r="N1666" s="174"/>
      <c r="O1666" s="173">
        <f t="shared" si="186"/>
        <v>4.2755098389982109</v>
      </c>
      <c r="P1666" s="173">
        <v>5</v>
      </c>
    </row>
    <row r="1667" spans="1:20" hidden="1" x14ac:dyDescent="0.35">
      <c r="A1667"/>
      <c r="C1667" s="596" t="s">
        <v>1611</v>
      </c>
      <c r="D1667" s="596"/>
      <c r="F1667" s="366">
        <v>4</v>
      </c>
      <c r="G1667" s="245" t="s">
        <v>505</v>
      </c>
      <c r="I1667" s="173">
        <v>1.65</v>
      </c>
      <c r="J1667">
        <v>6149</v>
      </c>
      <c r="K1667" s="173">
        <f t="shared" si="183"/>
        <v>5232</v>
      </c>
      <c r="L1667" s="402">
        <f t="shared" si="184"/>
        <v>1.4039355992844365</v>
      </c>
      <c r="M1667" s="173">
        <f t="shared" si="185"/>
        <v>3.0539355992844364</v>
      </c>
      <c r="N1667" s="174"/>
      <c r="O1667" s="173">
        <f t="shared" si="186"/>
        <v>4.2755098389982109</v>
      </c>
      <c r="P1667" s="173">
        <v>5</v>
      </c>
    </row>
    <row r="1668" spans="1:20" hidden="1" x14ac:dyDescent="0.35">
      <c r="A1668"/>
      <c r="C1668" s="596" t="s">
        <v>1611</v>
      </c>
      <c r="D1668" s="596"/>
      <c r="F1668" s="366">
        <v>4</v>
      </c>
      <c r="G1668" s="245" t="s">
        <v>505</v>
      </c>
      <c r="I1668" s="173">
        <v>1.65</v>
      </c>
      <c r="J1668">
        <v>6149</v>
      </c>
      <c r="K1668" s="173">
        <f t="shared" si="183"/>
        <v>5232</v>
      </c>
      <c r="L1668" s="402">
        <f t="shared" si="184"/>
        <v>1.4039355992844365</v>
      </c>
      <c r="M1668" s="173">
        <f t="shared" si="185"/>
        <v>3.0539355992844364</v>
      </c>
      <c r="N1668" s="174"/>
      <c r="O1668" s="173">
        <f t="shared" si="186"/>
        <v>4.2755098389982109</v>
      </c>
      <c r="P1668" s="173">
        <v>5</v>
      </c>
    </row>
    <row r="1669" spans="1:20" hidden="1" x14ac:dyDescent="0.35">
      <c r="A1669"/>
      <c r="C1669" s="596" t="s">
        <v>1611</v>
      </c>
      <c r="D1669" s="596"/>
      <c r="F1669" s="366">
        <v>4</v>
      </c>
      <c r="G1669" s="245" t="s">
        <v>505</v>
      </c>
      <c r="I1669" s="173">
        <v>1.65</v>
      </c>
      <c r="J1669">
        <v>6149</v>
      </c>
      <c r="K1669" s="173">
        <f t="shared" si="183"/>
        <v>5232</v>
      </c>
      <c r="L1669" s="402">
        <f t="shared" si="184"/>
        <v>1.4039355992844365</v>
      </c>
      <c r="M1669" s="173">
        <f t="shared" si="185"/>
        <v>3.0539355992844364</v>
      </c>
      <c r="N1669" s="174"/>
      <c r="O1669" s="173">
        <f t="shared" si="186"/>
        <v>4.2755098389982109</v>
      </c>
      <c r="P1669" s="173">
        <v>5</v>
      </c>
    </row>
    <row r="1670" spans="1:20" hidden="1" x14ac:dyDescent="0.35">
      <c r="A1670"/>
      <c r="C1670" s="596" t="s">
        <v>1611</v>
      </c>
      <c r="D1670" s="596"/>
      <c r="F1670" s="366">
        <v>5</v>
      </c>
      <c r="G1670" s="371" t="s">
        <v>505</v>
      </c>
      <c r="H1670" s="371"/>
      <c r="I1670" s="176">
        <v>1.65</v>
      </c>
      <c r="J1670">
        <v>6149</v>
      </c>
      <c r="K1670" s="173">
        <f t="shared" si="183"/>
        <v>5232</v>
      </c>
      <c r="L1670" s="402">
        <f t="shared" si="184"/>
        <v>1.4039355992844365</v>
      </c>
      <c r="M1670" s="173">
        <f t="shared" si="185"/>
        <v>3.0539355992844364</v>
      </c>
      <c r="N1670" s="174"/>
      <c r="O1670" s="173">
        <f t="shared" si="186"/>
        <v>4.2755098389982109</v>
      </c>
      <c r="P1670" s="173">
        <v>5</v>
      </c>
      <c r="Q1670" s="12"/>
      <c r="R1670" s="12"/>
      <c r="S1670" t="s">
        <v>12</v>
      </c>
      <c r="T1670" s="6">
        <v>45785</v>
      </c>
    </row>
    <row r="1671" spans="1:20" hidden="1" x14ac:dyDescent="0.35">
      <c r="A1671"/>
      <c r="C1671" s="596" t="s">
        <v>1611</v>
      </c>
      <c r="D1671" s="596"/>
      <c r="F1671" s="366">
        <v>5</v>
      </c>
      <c r="G1671" s="371" t="s">
        <v>505</v>
      </c>
      <c r="H1671" s="371"/>
      <c r="I1671" s="176">
        <v>1.65</v>
      </c>
      <c r="J1671">
        <v>6149</v>
      </c>
      <c r="K1671" s="173">
        <f t="shared" si="183"/>
        <v>5232</v>
      </c>
      <c r="L1671" s="402">
        <f t="shared" si="184"/>
        <v>1.4039355992844365</v>
      </c>
      <c r="M1671" s="173">
        <f t="shared" si="185"/>
        <v>3.0539355992844364</v>
      </c>
      <c r="N1671" s="174"/>
      <c r="O1671" s="173">
        <f t="shared" si="186"/>
        <v>4.2755098389982109</v>
      </c>
      <c r="P1671" s="173">
        <v>5</v>
      </c>
      <c r="Q1671" s="12"/>
      <c r="R1671" s="12"/>
      <c r="S1671" t="s">
        <v>12</v>
      </c>
      <c r="T1671" s="6">
        <v>45785</v>
      </c>
    </row>
    <row r="1672" spans="1:20" hidden="1" x14ac:dyDescent="0.35">
      <c r="A1672"/>
      <c r="C1672" s="596" t="s">
        <v>1611</v>
      </c>
      <c r="D1672" s="596"/>
      <c r="F1672" s="366">
        <v>5</v>
      </c>
      <c r="G1672" s="371" t="s">
        <v>505</v>
      </c>
      <c r="H1672" s="371"/>
      <c r="I1672" s="176">
        <v>1.65</v>
      </c>
      <c r="J1672">
        <v>6149</v>
      </c>
      <c r="K1672" s="173">
        <f t="shared" si="183"/>
        <v>5232</v>
      </c>
      <c r="L1672" s="402">
        <f t="shared" si="184"/>
        <v>1.4039355992844365</v>
      </c>
      <c r="M1672" s="173">
        <f t="shared" si="185"/>
        <v>3.0539355992844364</v>
      </c>
      <c r="N1672" s="174"/>
      <c r="O1672" s="173">
        <f t="shared" si="186"/>
        <v>4.2755098389982109</v>
      </c>
      <c r="P1672" s="173">
        <v>5</v>
      </c>
      <c r="Q1672" s="12"/>
      <c r="R1672" s="12"/>
      <c r="S1672" t="s">
        <v>12</v>
      </c>
      <c r="T1672" s="6">
        <v>45785</v>
      </c>
    </row>
    <row r="1673" spans="1:20" hidden="1" x14ac:dyDescent="0.35">
      <c r="A1673"/>
      <c r="C1673" s="596" t="s">
        <v>1611</v>
      </c>
      <c r="D1673" s="596"/>
      <c r="F1673" s="366">
        <v>5</v>
      </c>
      <c r="G1673" s="371" t="s">
        <v>505</v>
      </c>
      <c r="H1673" s="371"/>
      <c r="I1673" s="176">
        <v>1.65</v>
      </c>
      <c r="J1673">
        <v>6149</v>
      </c>
      <c r="K1673" s="173">
        <f t="shared" si="183"/>
        <v>5232</v>
      </c>
      <c r="L1673" s="402">
        <f t="shared" si="184"/>
        <v>1.4039355992844365</v>
      </c>
      <c r="M1673" s="173">
        <f t="shared" si="185"/>
        <v>3.0539355992844364</v>
      </c>
      <c r="N1673" s="174"/>
      <c r="O1673" s="173">
        <f t="shared" si="186"/>
        <v>4.2755098389982109</v>
      </c>
      <c r="P1673" s="173">
        <v>5</v>
      </c>
      <c r="Q1673" s="12"/>
      <c r="R1673" s="12"/>
      <c r="S1673" t="s">
        <v>12</v>
      </c>
      <c r="T1673" s="6">
        <v>45785</v>
      </c>
    </row>
    <row r="1674" spans="1:20" hidden="1" x14ac:dyDescent="0.35">
      <c r="A1674"/>
      <c r="C1674" s="596" t="s">
        <v>1611</v>
      </c>
      <c r="D1674" s="596"/>
      <c r="F1674" s="366">
        <v>5</v>
      </c>
      <c r="G1674" s="371" t="s">
        <v>505</v>
      </c>
      <c r="H1674" s="371"/>
      <c r="I1674" s="176">
        <v>1.65</v>
      </c>
      <c r="J1674">
        <v>6149</v>
      </c>
      <c r="K1674" s="173">
        <f t="shared" si="183"/>
        <v>5232</v>
      </c>
      <c r="L1674" s="402">
        <f t="shared" si="184"/>
        <v>1.4039355992844365</v>
      </c>
      <c r="M1674" s="173">
        <f t="shared" si="185"/>
        <v>3.0539355992844364</v>
      </c>
      <c r="N1674" s="174"/>
      <c r="O1674" s="173">
        <f t="shared" si="186"/>
        <v>4.2755098389982109</v>
      </c>
      <c r="P1674" s="173">
        <v>5</v>
      </c>
      <c r="Q1674" s="12"/>
      <c r="R1674" s="12"/>
      <c r="S1674" t="s">
        <v>12</v>
      </c>
      <c r="T1674" s="6">
        <v>45785</v>
      </c>
    </row>
    <row r="1675" spans="1:20" hidden="1" x14ac:dyDescent="0.35">
      <c r="A1675"/>
      <c r="C1675" s="596" t="s">
        <v>1611</v>
      </c>
      <c r="D1675" s="596"/>
      <c r="F1675" s="366">
        <v>5</v>
      </c>
      <c r="G1675" s="371" t="s">
        <v>505</v>
      </c>
      <c r="H1675" s="371"/>
      <c r="I1675" s="176">
        <v>1.65</v>
      </c>
      <c r="J1675">
        <v>6149</v>
      </c>
      <c r="K1675" s="173">
        <f t="shared" si="183"/>
        <v>5232</v>
      </c>
      <c r="L1675" s="402">
        <f t="shared" si="184"/>
        <v>1.4039355992844365</v>
      </c>
      <c r="M1675" s="173">
        <f t="shared" si="185"/>
        <v>3.0539355992844364</v>
      </c>
      <c r="N1675" s="174"/>
      <c r="O1675" s="173">
        <f t="shared" si="186"/>
        <v>4.2755098389982109</v>
      </c>
      <c r="P1675" s="173">
        <v>5</v>
      </c>
      <c r="Q1675" s="12"/>
      <c r="R1675" s="12"/>
      <c r="S1675" t="s">
        <v>12</v>
      </c>
      <c r="T1675" s="6">
        <v>45785</v>
      </c>
    </row>
    <row r="1676" spans="1:20" hidden="1" x14ac:dyDescent="0.35">
      <c r="A1676"/>
      <c r="C1676" s="596" t="s">
        <v>1611</v>
      </c>
      <c r="D1676" s="596"/>
      <c r="F1676" s="366">
        <v>5</v>
      </c>
      <c r="G1676" s="371" t="s">
        <v>505</v>
      </c>
      <c r="H1676" s="371"/>
      <c r="I1676" s="176">
        <v>1.65</v>
      </c>
      <c r="J1676">
        <v>6149</v>
      </c>
      <c r="K1676" s="173">
        <f t="shared" si="183"/>
        <v>5232</v>
      </c>
      <c r="L1676" s="402">
        <f t="shared" si="184"/>
        <v>1.4039355992844365</v>
      </c>
      <c r="M1676" s="173">
        <f t="shared" si="185"/>
        <v>3.0539355992844364</v>
      </c>
      <c r="N1676" s="174"/>
      <c r="O1676" s="173">
        <f t="shared" si="186"/>
        <v>4.2755098389982109</v>
      </c>
      <c r="P1676" s="173">
        <v>5</v>
      </c>
      <c r="Q1676" s="12"/>
      <c r="R1676" s="12"/>
      <c r="S1676" t="s">
        <v>12</v>
      </c>
      <c r="T1676" s="6">
        <v>45785</v>
      </c>
    </row>
    <row r="1677" spans="1:20" hidden="1" x14ac:dyDescent="0.35">
      <c r="A1677"/>
      <c r="C1677" s="596" t="s">
        <v>1611</v>
      </c>
      <c r="D1677" s="596"/>
      <c r="F1677" s="366">
        <v>5</v>
      </c>
      <c r="G1677" s="371" t="s">
        <v>505</v>
      </c>
      <c r="H1677" s="371"/>
      <c r="I1677" s="176">
        <v>1.65</v>
      </c>
      <c r="J1677">
        <v>6149</v>
      </c>
      <c r="K1677" s="173">
        <f t="shared" si="183"/>
        <v>5232</v>
      </c>
      <c r="L1677" s="402">
        <f t="shared" si="184"/>
        <v>1.4039355992844365</v>
      </c>
      <c r="M1677" s="173">
        <f t="shared" si="185"/>
        <v>3.0539355992844364</v>
      </c>
      <c r="N1677" s="174"/>
      <c r="O1677" s="173">
        <f t="shared" si="186"/>
        <v>4.2755098389982109</v>
      </c>
      <c r="P1677" s="173">
        <v>5</v>
      </c>
      <c r="Q1677" s="12"/>
      <c r="R1677" s="12"/>
      <c r="S1677" t="s">
        <v>12</v>
      </c>
      <c r="T1677" s="6">
        <v>45785</v>
      </c>
    </row>
    <row r="1678" spans="1:20" hidden="1" x14ac:dyDescent="0.35">
      <c r="A1678"/>
      <c r="C1678" s="596" t="s">
        <v>1611</v>
      </c>
      <c r="D1678" s="596"/>
      <c r="F1678" s="366">
        <v>5</v>
      </c>
      <c r="G1678" s="245" t="s">
        <v>505</v>
      </c>
      <c r="I1678" s="173">
        <v>1.65</v>
      </c>
      <c r="J1678">
        <v>6149</v>
      </c>
      <c r="K1678" s="173">
        <f t="shared" si="183"/>
        <v>5232</v>
      </c>
      <c r="L1678" s="402">
        <f t="shared" si="184"/>
        <v>1.4039355992844365</v>
      </c>
      <c r="M1678" s="173">
        <f t="shared" si="185"/>
        <v>3.0539355992844364</v>
      </c>
      <c r="N1678" s="174"/>
      <c r="O1678" s="173">
        <f t="shared" si="186"/>
        <v>4.2755098389982109</v>
      </c>
      <c r="P1678" s="173">
        <v>5</v>
      </c>
    </row>
    <row r="1679" spans="1:20" hidden="1" x14ac:dyDescent="0.35">
      <c r="A1679"/>
      <c r="C1679" s="596" t="s">
        <v>1611</v>
      </c>
      <c r="D1679" s="596"/>
      <c r="F1679" s="366">
        <v>5</v>
      </c>
      <c r="G1679" s="245" t="s">
        <v>505</v>
      </c>
      <c r="I1679" s="173">
        <v>1.65</v>
      </c>
      <c r="J1679">
        <v>6149</v>
      </c>
      <c r="K1679" s="173">
        <f t="shared" si="183"/>
        <v>5232</v>
      </c>
      <c r="L1679" s="402">
        <f t="shared" si="184"/>
        <v>1.4039355992844365</v>
      </c>
      <c r="M1679" s="173">
        <f t="shared" si="185"/>
        <v>3.0539355992844364</v>
      </c>
      <c r="N1679" s="174"/>
      <c r="O1679" s="173">
        <f t="shared" si="186"/>
        <v>4.2755098389982109</v>
      </c>
      <c r="P1679" s="173">
        <v>5</v>
      </c>
    </row>
    <row r="1680" spans="1:20" hidden="1" x14ac:dyDescent="0.35">
      <c r="A1680"/>
      <c r="C1680" s="596" t="s">
        <v>1611</v>
      </c>
      <c r="D1680" s="596"/>
      <c r="F1680" s="366">
        <v>5</v>
      </c>
      <c r="G1680" s="245" t="s">
        <v>505</v>
      </c>
      <c r="I1680" s="173">
        <v>1.65</v>
      </c>
      <c r="J1680">
        <v>6149</v>
      </c>
      <c r="K1680" s="173">
        <f t="shared" si="183"/>
        <v>5232</v>
      </c>
      <c r="L1680" s="402">
        <f t="shared" si="184"/>
        <v>1.4039355992844365</v>
      </c>
      <c r="M1680" s="173">
        <f t="shared" si="185"/>
        <v>3.0539355992844364</v>
      </c>
      <c r="N1680" s="174"/>
      <c r="O1680" s="173">
        <f t="shared" si="186"/>
        <v>4.2755098389982109</v>
      </c>
      <c r="P1680" s="173">
        <v>5</v>
      </c>
    </row>
    <row r="1681" spans="1:16" hidden="1" x14ac:dyDescent="0.35">
      <c r="A1681"/>
      <c r="C1681" s="596" t="s">
        <v>1611</v>
      </c>
      <c r="D1681" s="596"/>
      <c r="F1681" s="366">
        <v>5</v>
      </c>
      <c r="G1681" s="245" t="s">
        <v>505</v>
      </c>
      <c r="I1681" s="173">
        <v>1.65</v>
      </c>
      <c r="J1681">
        <v>6149</v>
      </c>
      <c r="K1681" s="173">
        <f t="shared" si="183"/>
        <v>5232</v>
      </c>
      <c r="L1681" s="402">
        <f t="shared" si="184"/>
        <v>1.4039355992844365</v>
      </c>
      <c r="M1681" s="173">
        <f t="shared" si="185"/>
        <v>3.0539355992844364</v>
      </c>
      <c r="N1681" s="174"/>
      <c r="O1681" s="173">
        <f t="shared" si="186"/>
        <v>4.2755098389982109</v>
      </c>
      <c r="P1681" s="173">
        <v>5</v>
      </c>
    </row>
    <row r="1682" spans="1:16" hidden="1" x14ac:dyDescent="0.35">
      <c r="A1682"/>
      <c r="C1682" s="596" t="s">
        <v>1611</v>
      </c>
      <c r="D1682" s="596"/>
      <c r="F1682" s="366">
        <v>5</v>
      </c>
      <c r="G1682" s="245" t="s">
        <v>505</v>
      </c>
      <c r="I1682" s="173">
        <v>1.65</v>
      </c>
      <c r="J1682">
        <v>6149</v>
      </c>
      <c r="K1682" s="173">
        <f t="shared" si="183"/>
        <v>5232</v>
      </c>
      <c r="L1682" s="402">
        <f t="shared" si="184"/>
        <v>1.4039355992844365</v>
      </c>
      <c r="M1682" s="173">
        <f t="shared" si="185"/>
        <v>3.0539355992844364</v>
      </c>
      <c r="N1682" s="174"/>
      <c r="O1682" s="173">
        <f t="shared" si="186"/>
        <v>4.2755098389982109</v>
      </c>
      <c r="P1682" s="173">
        <v>5</v>
      </c>
    </row>
    <row r="1683" spans="1:16" hidden="1" x14ac:dyDescent="0.35">
      <c r="A1683"/>
      <c r="C1683" s="596" t="s">
        <v>1611</v>
      </c>
      <c r="D1683" s="596"/>
      <c r="F1683" s="366">
        <v>5</v>
      </c>
      <c r="G1683" s="245" t="s">
        <v>505</v>
      </c>
      <c r="I1683" s="173">
        <v>1.65</v>
      </c>
      <c r="J1683">
        <v>6149</v>
      </c>
      <c r="K1683" s="173">
        <f t="shared" si="183"/>
        <v>5232</v>
      </c>
      <c r="L1683" s="402">
        <f t="shared" si="184"/>
        <v>1.4039355992844365</v>
      </c>
      <c r="M1683" s="173">
        <f t="shared" si="185"/>
        <v>3.0539355992844364</v>
      </c>
      <c r="N1683" s="174"/>
      <c r="O1683" s="173">
        <f t="shared" si="186"/>
        <v>4.2755098389982109</v>
      </c>
      <c r="P1683" s="173">
        <v>5</v>
      </c>
    </row>
    <row r="1684" spans="1:16" hidden="1" x14ac:dyDescent="0.35">
      <c r="C1684" s="596" t="s">
        <v>1611</v>
      </c>
      <c r="D1684" s="596"/>
      <c r="F1684" s="366">
        <v>5</v>
      </c>
      <c r="G1684" s="245" t="s">
        <v>505</v>
      </c>
      <c r="I1684" s="173">
        <v>1.65</v>
      </c>
      <c r="J1684">
        <v>6149</v>
      </c>
      <c r="K1684" s="173">
        <f t="shared" si="183"/>
        <v>5232</v>
      </c>
      <c r="L1684" s="402">
        <f t="shared" si="184"/>
        <v>1.4039355992844365</v>
      </c>
      <c r="M1684" s="173">
        <f t="shared" si="185"/>
        <v>3.0539355992844364</v>
      </c>
      <c r="N1684" s="174"/>
      <c r="O1684" s="173">
        <f t="shared" si="186"/>
        <v>4.2755098389982109</v>
      </c>
      <c r="P1684" s="173">
        <v>5</v>
      </c>
    </row>
    <row r="1685" spans="1:16" hidden="1" x14ac:dyDescent="0.35">
      <c r="C1685" s="596" t="s">
        <v>1611</v>
      </c>
      <c r="D1685" s="596"/>
      <c r="F1685" s="366">
        <v>5</v>
      </c>
      <c r="G1685" s="245" t="s">
        <v>505</v>
      </c>
      <c r="I1685" s="173">
        <v>1.65</v>
      </c>
      <c r="J1685">
        <v>6149</v>
      </c>
      <c r="K1685" s="173">
        <f t="shared" si="183"/>
        <v>5232</v>
      </c>
      <c r="L1685" s="402">
        <f t="shared" ref="L1685:L1716" si="187">+I1685/J1685*K1685</f>
        <v>1.4039355992844365</v>
      </c>
      <c r="M1685" s="173">
        <f t="shared" ref="M1685:M1716" si="188">+I1685+L1685</f>
        <v>3.0539355992844364</v>
      </c>
      <c r="N1685" s="174"/>
      <c r="O1685" s="173">
        <f t="shared" ref="O1685:O1716" si="189">+M1685*1.4</f>
        <v>4.2755098389982109</v>
      </c>
      <c r="P1685" s="173">
        <v>5</v>
      </c>
    </row>
    <row r="1686" spans="1:16" hidden="1" x14ac:dyDescent="0.35">
      <c r="C1686" s="596" t="s">
        <v>1611</v>
      </c>
      <c r="D1686" s="596"/>
      <c r="F1686" s="366">
        <v>5</v>
      </c>
      <c r="G1686" s="245" t="s">
        <v>505</v>
      </c>
      <c r="I1686" s="173">
        <v>1.65</v>
      </c>
      <c r="J1686">
        <v>6149</v>
      </c>
      <c r="K1686" s="173">
        <f t="shared" si="183"/>
        <v>5232</v>
      </c>
      <c r="L1686" s="402">
        <f t="shared" si="187"/>
        <v>1.4039355992844365</v>
      </c>
      <c r="M1686" s="173">
        <f t="shared" si="188"/>
        <v>3.0539355992844364</v>
      </c>
      <c r="N1686" s="174"/>
      <c r="O1686" s="173">
        <f t="shared" si="189"/>
        <v>4.2755098389982109</v>
      </c>
      <c r="P1686" s="173">
        <v>5</v>
      </c>
    </row>
    <row r="1687" spans="1:16" hidden="1" x14ac:dyDescent="0.35">
      <c r="C1687" s="596" t="s">
        <v>1611</v>
      </c>
      <c r="D1687" s="596"/>
      <c r="F1687" s="366">
        <v>5</v>
      </c>
      <c r="G1687" s="245" t="s">
        <v>505</v>
      </c>
      <c r="I1687" s="173">
        <v>1.65</v>
      </c>
      <c r="J1687">
        <v>6149</v>
      </c>
      <c r="K1687" s="173">
        <f t="shared" si="183"/>
        <v>5232</v>
      </c>
      <c r="L1687" s="402">
        <f t="shared" si="187"/>
        <v>1.4039355992844365</v>
      </c>
      <c r="M1687" s="173">
        <f t="shared" si="188"/>
        <v>3.0539355992844364</v>
      </c>
      <c r="N1687" s="174"/>
      <c r="O1687" s="173">
        <f t="shared" si="189"/>
        <v>4.2755098389982109</v>
      </c>
      <c r="P1687" s="173">
        <v>5</v>
      </c>
    </row>
    <row r="1688" spans="1:16" hidden="1" x14ac:dyDescent="0.35">
      <c r="C1688" s="596" t="s">
        <v>1611</v>
      </c>
      <c r="D1688" s="596"/>
      <c r="F1688" s="366">
        <v>5</v>
      </c>
      <c r="G1688" s="245" t="s">
        <v>505</v>
      </c>
      <c r="I1688" s="173">
        <v>1.65</v>
      </c>
      <c r="J1688">
        <v>6149</v>
      </c>
      <c r="K1688" s="173">
        <f t="shared" si="183"/>
        <v>5232</v>
      </c>
      <c r="L1688" s="402">
        <f t="shared" si="187"/>
        <v>1.4039355992844365</v>
      </c>
      <c r="M1688" s="173">
        <f t="shared" si="188"/>
        <v>3.0539355992844364</v>
      </c>
      <c r="N1688" s="174"/>
      <c r="O1688" s="173">
        <f t="shared" si="189"/>
        <v>4.2755098389982109</v>
      </c>
      <c r="P1688" s="173">
        <v>5</v>
      </c>
    </row>
    <row r="1689" spans="1:16" hidden="1" x14ac:dyDescent="0.35">
      <c r="C1689" s="596" t="s">
        <v>1611</v>
      </c>
      <c r="D1689" s="596"/>
      <c r="F1689" s="366">
        <v>5</v>
      </c>
      <c r="G1689" s="245" t="s">
        <v>505</v>
      </c>
      <c r="I1689" s="173">
        <v>1.65</v>
      </c>
      <c r="J1689">
        <v>6149</v>
      </c>
      <c r="K1689" s="173">
        <f t="shared" si="183"/>
        <v>5232</v>
      </c>
      <c r="L1689" s="402">
        <f t="shared" si="187"/>
        <v>1.4039355992844365</v>
      </c>
      <c r="M1689" s="173">
        <f t="shared" si="188"/>
        <v>3.0539355992844364</v>
      </c>
      <c r="N1689" s="174"/>
      <c r="O1689" s="173">
        <f t="shared" si="189"/>
        <v>4.2755098389982109</v>
      </c>
      <c r="P1689" s="173">
        <v>5</v>
      </c>
    </row>
    <row r="1690" spans="1:16" hidden="1" x14ac:dyDescent="0.35">
      <c r="C1690" s="596" t="s">
        <v>1611</v>
      </c>
      <c r="D1690" s="596"/>
      <c r="F1690" s="366">
        <v>5</v>
      </c>
      <c r="G1690" s="245" t="s">
        <v>505</v>
      </c>
      <c r="I1690" s="173">
        <v>1.65</v>
      </c>
      <c r="J1690">
        <v>6149</v>
      </c>
      <c r="K1690" s="173">
        <f t="shared" si="183"/>
        <v>5232</v>
      </c>
      <c r="L1690" s="402">
        <f t="shared" si="187"/>
        <v>1.4039355992844365</v>
      </c>
      <c r="M1690" s="173">
        <f t="shared" si="188"/>
        <v>3.0539355992844364</v>
      </c>
      <c r="N1690" s="174"/>
      <c r="O1690" s="173">
        <f t="shared" si="189"/>
        <v>4.2755098389982109</v>
      </c>
      <c r="P1690" s="173">
        <v>5</v>
      </c>
    </row>
    <row r="1691" spans="1:16" hidden="1" x14ac:dyDescent="0.35">
      <c r="C1691" s="596" t="s">
        <v>1611</v>
      </c>
      <c r="D1691" s="596"/>
      <c r="F1691" s="366">
        <v>5</v>
      </c>
      <c r="G1691" s="245" t="s">
        <v>505</v>
      </c>
      <c r="I1691" s="173">
        <v>1.65</v>
      </c>
      <c r="J1691">
        <v>6149</v>
      </c>
      <c r="K1691" s="173">
        <f t="shared" si="183"/>
        <v>5232</v>
      </c>
      <c r="L1691" s="402">
        <f t="shared" si="187"/>
        <v>1.4039355992844365</v>
      </c>
      <c r="M1691" s="173">
        <f t="shared" si="188"/>
        <v>3.0539355992844364</v>
      </c>
      <c r="N1691" s="174"/>
      <c r="O1691" s="173">
        <f t="shared" si="189"/>
        <v>4.2755098389982109</v>
      </c>
      <c r="P1691" s="173">
        <v>5</v>
      </c>
    </row>
    <row r="1692" spans="1:16" hidden="1" x14ac:dyDescent="0.35">
      <c r="C1692" s="596" t="s">
        <v>1611</v>
      </c>
      <c r="D1692" s="596"/>
      <c r="F1692" s="366">
        <v>5</v>
      </c>
      <c r="G1692" s="245" t="s">
        <v>505</v>
      </c>
      <c r="I1692" s="173">
        <v>1.65</v>
      </c>
      <c r="J1692">
        <v>6149</v>
      </c>
      <c r="K1692" s="173">
        <f t="shared" si="183"/>
        <v>5232</v>
      </c>
      <c r="L1692" s="402">
        <f t="shared" si="187"/>
        <v>1.4039355992844365</v>
      </c>
      <c r="M1692" s="173">
        <f t="shared" si="188"/>
        <v>3.0539355992844364</v>
      </c>
      <c r="N1692" s="174"/>
      <c r="O1692" s="173">
        <f t="shared" si="189"/>
        <v>4.2755098389982109</v>
      </c>
      <c r="P1692" s="173">
        <v>5</v>
      </c>
    </row>
    <row r="1693" spans="1:16" hidden="1" x14ac:dyDescent="0.35">
      <c r="C1693" s="596" t="s">
        <v>1611</v>
      </c>
      <c r="D1693" s="596"/>
      <c r="F1693" s="366">
        <v>5</v>
      </c>
      <c r="G1693" s="245" t="s">
        <v>505</v>
      </c>
      <c r="I1693" s="173">
        <v>1.65</v>
      </c>
      <c r="J1693">
        <v>6149</v>
      </c>
      <c r="K1693" s="173">
        <f t="shared" si="183"/>
        <v>5232</v>
      </c>
      <c r="L1693" s="402">
        <f t="shared" si="187"/>
        <v>1.4039355992844365</v>
      </c>
      <c r="M1693" s="173">
        <f t="shared" si="188"/>
        <v>3.0539355992844364</v>
      </c>
      <c r="N1693" s="174"/>
      <c r="O1693" s="173">
        <f t="shared" si="189"/>
        <v>4.2755098389982109</v>
      </c>
      <c r="P1693" s="173">
        <v>5</v>
      </c>
    </row>
    <row r="1694" spans="1:16" hidden="1" x14ac:dyDescent="0.35">
      <c r="C1694" s="596" t="s">
        <v>1611</v>
      </c>
      <c r="D1694" s="596"/>
      <c r="F1694" s="366">
        <v>5</v>
      </c>
      <c r="G1694" s="245" t="s">
        <v>505</v>
      </c>
      <c r="I1694" s="173">
        <v>1.65</v>
      </c>
      <c r="J1694">
        <v>6149</v>
      </c>
      <c r="K1694" s="173">
        <f t="shared" si="183"/>
        <v>5232</v>
      </c>
      <c r="L1694" s="402">
        <f t="shared" si="187"/>
        <v>1.4039355992844365</v>
      </c>
      <c r="M1694" s="173">
        <f t="shared" si="188"/>
        <v>3.0539355992844364</v>
      </c>
      <c r="N1694" s="174"/>
      <c r="O1694" s="173">
        <f t="shared" si="189"/>
        <v>4.2755098389982109</v>
      </c>
      <c r="P1694" s="173">
        <v>5</v>
      </c>
    </row>
    <row r="1695" spans="1:16" hidden="1" x14ac:dyDescent="0.35">
      <c r="C1695" s="596" t="s">
        <v>1611</v>
      </c>
      <c r="D1695" s="596"/>
      <c r="F1695" s="366">
        <v>5</v>
      </c>
      <c r="G1695" s="245" t="s">
        <v>505</v>
      </c>
      <c r="I1695" s="173">
        <v>1.65</v>
      </c>
      <c r="J1695">
        <v>6149</v>
      </c>
      <c r="K1695" s="173">
        <f t="shared" si="183"/>
        <v>5232</v>
      </c>
      <c r="L1695" s="402">
        <f t="shared" si="187"/>
        <v>1.4039355992844365</v>
      </c>
      <c r="M1695" s="173">
        <f t="shared" si="188"/>
        <v>3.0539355992844364</v>
      </c>
      <c r="N1695" s="174"/>
      <c r="O1695" s="173">
        <f t="shared" si="189"/>
        <v>4.2755098389982109</v>
      </c>
      <c r="P1695" s="173">
        <v>5</v>
      </c>
    </row>
    <row r="1696" spans="1:16" hidden="1" x14ac:dyDescent="0.35">
      <c r="C1696" s="596" t="s">
        <v>1611</v>
      </c>
      <c r="D1696" s="596"/>
      <c r="F1696" s="366">
        <v>5</v>
      </c>
      <c r="G1696" s="245" t="s">
        <v>505</v>
      </c>
      <c r="I1696" s="173">
        <v>1.65</v>
      </c>
      <c r="J1696">
        <v>6149</v>
      </c>
      <c r="K1696" s="173">
        <f t="shared" si="183"/>
        <v>5232</v>
      </c>
      <c r="L1696" s="402">
        <f t="shared" si="187"/>
        <v>1.4039355992844365</v>
      </c>
      <c r="M1696" s="173">
        <f t="shared" si="188"/>
        <v>3.0539355992844364</v>
      </c>
      <c r="N1696" s="174"/>
      <c r="O1696" s="173">
        <f t="shared" si="189"/>
        <v>4.2755098389982109</v>
      </c>
      <c r="P1696" s="173">
        <v>5</v>
      </c>
    </row>
    <row r="1697" spans="3:16" hidden="1" x14ac:dyDescent="0.35">
      <c r="C1697" s="596" t="s">
        <v>1611</v>
      </c>
      <c r="D1697" s="596"/>
      <c r="F1697" s="366">
        <v>5</v>
      </c>
      <c r="G1697" s="245" t="s">
        <v>505</v>
      </c>
      <c r="I1697" s="173">
        <v>1.65</v>
      </c>
      <c r="J1697">
        <v>6149</v>
      </c>
      <c r="K1697" s="173">
        <f t="shared" si="183"/>
        <v>5232</v>
      </c>
      <c r="L1697" s="402">
        <f t="shared" si="187"/>
        <v>1.4039355992844365</v>
      </c>
      <c r="M1697" s="173">
        <f t="shared" si="188"/>
        <v>3.0539355992844364</v>
      </c>
      <c r="N1697" s="174"/>
      <c r="O1697" s="173">
        <f t="shared" si="189"/>
        <v>4.2755098389982109</v>
      </c>
      <c r="P1697" s="173">
        <v>5</v>
      </c>
    </row>
    <row r="1698" spans="3:16" hidden="1" x14ac:dyDescent="0.35">
      <c r="C1698" s="596" t="s">
        <v>1611</v>
      </c>
      <c r="D1698" s="596"/>
      <c r="F1698" s="366">
        <v>5</v>
      </c>
      <c r="G1698" s="245" t="s">
        <v>505</v>
      </c>
      <c r="I1698" s="173">
        <v>1.65</v>
      </c>
      <c r="J1698">
        <v>6149</v>
      </c>
      <c r="K1698" s="173">
        <f t="shared" si="183"/>
        <v>5232</v>
      </c>
      <c r="L1698" s="402">
        <f t="shared" si="187"/>
        <v>1.4039355992844365</v>
      </c>
      <c r="M1698" s="173">
        <f t="shared" si="188"/>
        <v>3.0539355992844364</v>
      </c>
      <c r="N1698" s="174"/>
      <c r="O1698" s="173">
        <f t="shared" si="189"/>
        <v>4.2755098389982109</v>
      </c>
      <c r="P1698" s="173">
        <v>5</v>
      </c>
    </row>
    <row r="1699" spans="3:16" hidden="1" x14ac:dyDescent="0.35">
      <c r="C1699" s="596" t="s">
        <v>1611</v>
      </c>
      <c r="D1699" s="596"/>
      <c r="F1699" s="366">
        <v>5</v>
      </c>
      <c r="G1699" s="245" t="s">
        <v>505</v>
      </c>
      <c r="I1699" s="173">
        <v>1.65</v>
      </c>
      <c r="J1699">
        <v>6149</v>
      </c>
      <c r="K1699" s="173">
        <f t="shared" ref="K1699:K1753" si="190">5832-600</f>
        <v>5232</v>
      </c>
      <c r="L1699" s="402">
        <f t="shared" si="187"/>
        <v>1.4039355992844365</v>
      </c>
      <c r="M1699" s="173">
        <f t="shared" si="188"/>
        <v>3.0539355992844364</v>
      </c>
      <c r="N1699" s="174"/>
      <c r="O1699" s="173">
        <f t="shared" si="189"/>
        <v>4.2755098389982109</v>
      </c>
      <c r="P1699" s="173">
        <v>5</v>
      </c>
    </row>
    <row r="1700" spans="3:16" hidden="1" x14ac:dyDescent="0.35">
      <c r="C1700" s="596" t="s">
        <v>1611</v>
      </c>
      <c r="D1700" s="596"/>
      <c r="F1700" s="366">
        <v>5</v>
      </c>
      <c r="G1700" s="245" t="s">
        <v>505</v>
      </c>
      <c r="I1700" s="173">
        <v>1.65</v>
      </c>
      <c r="J1700">
        <v>6149</v>
      </c>
      <c r="K1700" s="173">
        <f t="shared" si="190"/>
        <v>5232</v>
      </c>
      <c r="L1700" s="402">
        <f t="shared" si="187"/>
        <v>1.4039355992844365</v>
      </c>
      <c r="M1700" s="173">
        <f t="shared" si="188"/>
        <v>3.0539355992844364</v>
      </c>
      <c r="N1700" s="174"/>
      <c r="O1700" s="173">
        <f t="shared" si="189"/>
        <v>4.2755098389982109</v>
      </c>
      <c r="P1700" s="173">
        <v>5</v>
      </c>
    </row>
    <row r="1701" spans="3:16" hidden="1" x14ac:dyDescent="0.35">
      <c r="C1701" s="596" t="s">
        <v>1611</v>
      </c>
      <c r="D1701" s="596"/>
      <c r="F1701" s="366">
        <v>5</v>
      </c>
      <c r="G1701" s="245" t="s">
        <v>505</v>
      </c>
      <c r="I1701" s="173">
        <v>1.65</v>
      </c>
      <c r="J1701">
        <v>6149</v>
      </c>
      <c r="K1701" s="173">
        <f t="shared" si="190"/>
        <v>5232</v>
      </c>
      <c r="L1701" s="402">
        <f t="shared" si="187"/>
        <v>1.4039355992844365</v>
      </c>
      <c r="M1701" s="173">
        <f t="shared" si="188"/>
        <v>3.0539355992844364</v>
      </c>
      <c r="N1701" s="174"/>
      <c r="O1701" s="173">
        <f t="shared" si="189"/>
        <v>4.2755098389982109</v>
      </c>
      <c r="P1701" s="173">
        <v>5</v>
      </c>
    </row>
    <row r="1702" spans="3:16" hidden="1" x14ac:dyDescent="0.35">
      <c r="C1702" s="596" t="s">
        <v>1611</v>
      </c>
      <c r="D1702" s="596"/>
      <c r="F1702" s="366">
        <v>5</v>
      </c>
      <c r="G1702" s="245" t="s">
        <v>505</v>
      </c>
      <c r="I1702" s="173">
        <v>1.65</v>
      </c>
      <c r="J1702">
        <v>6149</v>
      </c>
      <c r="K1702" s="173">
        <f t="shared" si="190"/>
        <v>5232</v>
      </c>
      <c r="L1702" s="402">
        <f t="shared" si="187"/>
        <v>1.4039355992844365</v>
      </c>
      <c r="M1702" s="173">
        <f t="shared" si="188"/>
        <v>3.0539355992844364</v>
      </c>
      <c r="N1702" s="174"/>
      <c r="O1702" s="173">
        <f t="shared" si="189"/>
        <v>4.2755098389982109</v>
      </c>
      <c r="P1702" s="173">
        <v>5</v>
      </c>
    </row>
    <row r="1703" spans="3:16" hidden="1" x14ac:dyDescent="0.35">
      <c r="C1703" s="596" t="s">
        <v>1611</v>
      </c>
      <c r="D1703" s="596"/>
      <c r="F1703" s="366">
        <v>5</v>
      </c>
      <c r="G1703" s="245" t="s">
        <v>505</v>
      </c>
      <c r="I1703" s="173">
        <v>1.65</v>
      </c>
      <c r="J1703">
        <v>6149</v>
      </c>
      <c r="K1703" s="173">
        <f t="shared" si="190"/>
        <v>5232</v>
      </c>
      <c r="L1703" s="402">
        <f t="shared" si="187"/>
        <v>1.4039355992844365</v>
      </c>
      <c r="M1703" s="173">
        <f t="shared" si="188"/>
        <v>3.0539355992844364</v>
      </c>
      <c r="N1703" s="174"/>
      <c r="O1703" s="173">
        <f t="shared" si="189"/>
        <v>4.2755098389982109</v>
      </c>
      <c r="P1703" s="173">
        <v>5</v>
      </c>
    </row>
    <row r="1704" spans="3:16" hidden="1" x14ac:dyDescent="0.35">
      <c r="C1704" s="596" t="s">
        <v>1611</v>
      </c>
      <c r="D1704" s="596"/>
      <c r="F1704" s="366">
        <v>5</v>
      </c>
      <c r="G1704" s="245" t="s">
        <v>505</v>
      </c>
      <c r="I1704" s="173">
        <v>1.65</v>
      </c>
      <c r="J1704">
        <v>6149</v>
      </c>
      <c r="K1704" s="173">
        <f t="shared" si="190"/>
        <v>5232</v>
      </c>
      <c r="L1704" s="402">
        <f t="shared" si="187"/>
        <v>1.4039355992844365</v>
      </c>
      <c r="M1704" s="173">
        <f t="shared" si="188"/>
        <v>3.0539355992844364</v>
      </c>
      <c r="N1704" s="174"/>
      <c r="O1704" s="173">
        <f t="shared" si="189"/>
        <v>4.2755098389982109</v>
      </c>
      <c r="P1704" s="173">
        <v>5</v>
      </c>
    </row>
    <row r="1705" spans="3:16" hidden="1" x14ac:dyDescent="0.35">
      <c r="C1705" s="596" t="s">
        <v>1611</v>
      </c>
      <c r="D1705" s="596"/>
      <c r="F1705" s="366">
        <v>5</v>
      </c>
      <c r="G1705" s="245" t="s">
        <v>505</v>
      </c>
      <c r="I1705" s="173">
        <v>1.65</v>
      </c>
      <c r="J1705">
        <v>6149</v>
      </c>
      <c r="K1705" s="173">
        <f t="shared" si="190"/>
        <v>5232</v>
      </c>
      <c r="L1705" s="402">
        <f t="shared" si="187"/>
        <v>1.4039355992844365</v>
      </c>
      <c r="M1705" s="173">
        <f t="shared" si="188"/>
        <v>3.0539355992844364</v>
      </c>
      <c r="N1705" s="174"/>
      <c r="O1705" s="173">
        <f t="shared" si="189"/>
        <v>4.2755098389982109</v>
      </c>
      <c r="P1705" s="173">
        <v>5</v>
      </c>
    </row>
    <row r="1706" spans="3:16" hidden="1" x14ac:dyDescent="0.35">
      <c r="C1706" s="596" t="s">
        <v>1611</v>
      </c>
      <c r="D1706" s="596"/>
      <c r="F1706" s="366">
        <v>6</v>
      </c>
      <c r="G1706" s="245" t="s">
        <v>505</v>
      </c>
      <c r="I1706" s="173">
        <v>1.65</v>
      </c>
      <c r="J1706">
        <v>6149</v>
      </c>
      <c r="K1706" s="173">
        <f t="shared" si="190"/>
        <v>5232</v>
      </c>
      <c r="L1706" s="402">
        <f t="shared" si="187"/>
        <v>1.4039355992844365</v>
      </c>
      <c r="M1706" s="173">
        <f t="shared" si="188"/>
        <v>3.0539355992844364</v>
      </c>
      <c r="N1706" s="174"/>
      <c r="O1706" s="173">
        <f t="shared" si="189"/>
        <v>4.2755098389982109</v>
      </c>
      <c r="P1706" s="173">
        <v>5</v>
      </c>
    </row>
    <row r="1707" spans="3:16" hidden="1" x14ac:dyDescent="0.35">
      <c r="C1707" s="596" t="s">
        <v>1611</v>
      </c>
      <c r="D1707" s="596"/>
      <c r="F1707" s="366">
        <v>6</v>
      </c>
      <c r="G1707" s="245" t="s">
        <v>505</v>
      </c>
      <c r="I1707" s="173">
        <v>1.65</v>
      </c>
      <c r="J1707">
        <v>6149</v>
      </c>
      <c r="K1707" s="173">
        <f t="shared" si="190"/>
        <v>5232</v>
      </c>
      <c r="L1707" s="402">
        <f t="shared" si="187"/>
        <v>1.4039355992844365</v>
      </c>
      <c r="M1707" s="173">
        <f t="shared" si="188"/>
        <v>3.0539355992844364</v>
      </c>
      <c r="N1707" s="174"/>
      <c r="O1707" s="173">
        <f t="shared" si="189"/>
        <v>4.2755098389982109</v>
      </c>
      <c r="P1707" s="173">
        <v>5</v>
      </c>
    </row>
    <row r="1708" spans="3:16" hidden="1" x14ac:dyDescent="0.35">
      <c r="C1708" s="596" t="s">
        <v>1611</v>
      </c>
      <c r="D1708" s="596"/>
      <c r="F1708" s="366">
        <v>6</v>
      </c>
      <c r="G1708" s="245" t="s">
        <v>505</v>
      </c>
      <c r="I1708" s="173">
        <v>1.65</v>
      </c>
      <c r="J1708">
        <v>6149</v>
      </c>
      <c r="K1708" s="173">
        <f t="shared" si="190"/>
        <v>5232</v>
      </c>
      <c r="L1708" s="402">
        <f t="shared" si="187"/>
        <v>1.4039355992844365</v>
      </c>
      <c r="M1708" s="173">
        <f t="shared" si="188"/>
        <v>3.0539355992844364</v>
      </c>
      <c r="N1708" s="174"/>
      <c r="O1708" s="173">
        <f t="shared" si="189"/>
        <v>4.2755098389982109</v>
      </c>
      <c r="P1708" s="173">
        <v>5</v>
      </c>
    </row>
    <row r="1709" spans="3:16" hidden="1" x14ac:dyDescent="0.35">
      <c r="C1709" s="596" t="s">
        <v>1611</v>
      </c>
      <c r="D1709" s="596"/>
      <c r="F1709" s="366">
        <v>6</v>
      </c>
      <c r="G1709" s="245" t="s">
        <v>505</v>
      </c>
      <c r="I1709" s="173">
        <v>1.65</v>
      </c>
      <c r="J1709">
        <v>6149</v>
      </c>
      <c r="K1709" s="173">
        <f t="shared" si="190"/>
        <v>5232</v>
      </c>
      <c r="L1709" s="402">
        <f t="shared" si="187"/>
        <v>1.4039355992844365</v>
      </c>
      <c r="M1709" s="173">
        <f t="shared" si="188"/>
        <v>3.0539355992844364</v>
      </c>
      <c r="N1709" s="174"/>
      <c r="O1709" s="173">
        <f t="shared" si="189"/>
        <v>4.2755098389982109</v>
      </c>
      <c r="P1709" s="173">
        <v>5</v>
      </c>
    </row>
    <row r="1710" spans="3:16" hidden="1" x14ac:dyDescent="0.35">
      <c r="C1710" s="596" t="s">
        <v>1611</v>
      </c>
      <c r="D1710" s="596"/>
      <c r="F1710" s="366">
        <v>6</v>
      </c>
      <c r="G1710" s="245" t="s">
        <v>505</v>
      </c>
      <c r="I1710" s="173">
        <v>1.65</v>
      </c>
      <c r="J1710">
        <v>6149</v>
      </c>
      <c r="K1710" s="173">
        <f t="shared" si="190"/>
        <v>5232</v>
      </c>
      <c r="L1710" s="402">
        <f t="shared" si="187"/>
        <v>1.4039355992844365</v>
      </c>
      <c r="M1710" s="173">
        <f t="shared" si="188"/>
        <v>3.0539355992844364</v>
      </c>
      <c r="N1710" s="174"/>
      <c r="O1710" s="173">
        <f t="shared" si="189"/>
        <v>4.2755098389982109</v>
      </c>
      <c r="P1710" s="173">
        <v>5</v>
      </c>
    </row>
    <row r="1711" spans="3:16" hidden="1" x14ac:dyDescent="0.35">
      <c r="C1711" s="596" t="s">
        <v>1611</v>
      </c>
      <c r="D1711" s="596"/>
      <c r="F1711" s="366">
        <v>6</v>
      </c>
      <c r="G1711" s="245" t="s">
        <v>505</v>
      </c>
      <c r="I1711" s="173">
        <v>1.65</v>
      </c>
      <c r="J1711">
        <v>6149</v>
      </c>
      <c r="K1711" s="173">
        <f t="shared" si="190"/>
        <v>5232</v>
      </c>
      <c r="L1711" s="402">
        <f t="shared" si="187"/>
        <v>1.4039355992844365</v>
      </c>
      <c r="M1711" s="173">
        <f t="shared" si="188"/>
        <v>3.0539355992844364</v>
      </c>
      <c r="N1711" s="174"/>
      <c r="O1711" s="173">
        <f t="shared" si="189"/>
        <v>4.2755098389982109</v>
      </c>
      <c r="P1711" s="173">
        <v>5</v>
      </c>
    </row>
    <row r="1712" spans="3:16" hidden="1" x14ac:dyDescent="0.35">
      <c r="C1712" s="596" t="s">
        <v>1611</v>
      </c>
      <c r="D1712" s="596"/>
      <c r="F1712" s="366">
        <v>6</v>
      </c>
      <c r="G1712" s="245" t="s">
        <v>505</v>
      </c>
      <c r="I1712" s="173">
        <v>1.65</v>
      </c>
      <c r="J1712">
        <v>6149</v>
      </c>
      <c r="K1712" s="173">
        <f t="shared" si="190"/>
        <v>5232</v>
      </c>
      <c r="L1712" s="402">
        <f t="shared" si="187"/>
        <v>1.4039355992844365</v>
      </c>
      <c r="M1712" s="173">
        <f t="shared" si="188"/>
        <v>3.0539355992844364</v>
      </c>
      <c r="N1712" s="174"/>
      <c r="O1712" s="173">
        <f t="shared" si="189"/>
        <v>4.2755098389982109</v>
      </c>
      <c r="P1712" s="173">
        <v>5</v>
      </c>
    </row>
    <row r="1713" spans="3:16" hidden="1" x14ac:dyDescent="0.35">
      <c r="C1713" s="596" t="s">
        <v>1611</v>
      </c>
      <c r="D1713" s="596"/>
      <c r="F1713" s="366">
        <v>6</v>
      </c>
      <c r="G1713" s="245" t="s">
        <v>505</v>
      </c>
      <c r="I1713" s="173">
        <v>1.65</v>
      </c>
      <c r="J1713">
        <v>6149</v>
      </c>
      <c r="K1713" s="173">
        <f t="shared" si="190"/>
        <v>5232</v>
      </c>
      <c r="L1713" s="402">
        <f t="shared" si="187"/>
        <v>1.4039355992844365</v>
      </c>
      <c r="M1713" s="173">
        <f t="shared" si="188"/>
        <v>3.0539355992844364</v>
      </c>
      <c r="N1713" s="174"/>
      <c r="O1713" s="173">
        <f t="shared" si="189"/>
        <v>4.2755098389982109</v>
      </c>
      <c r="P1713" s="173">
        <v>5</v>
      </c>
    </row>
    <row r="1714" spans="3:16" hidden="1" x14ac:dyDescent="0.35">
      <c r="C1714" s="596" t="s">
        <v>1611</v>
      </c>
      <c r="D1714" s="596"/>
      <c r="F1714" s="366">
        <v>6</v>
      </c>
      <c r="G1714" s="245" t="s">
        <v>505</v>
      </c>
      <c r="I1714" s="173">
        <v>1.65</v>
      </c>
      <c r="J1714">
        <v>6149</v>
      </c>
      <c r="K1714" s="173">
        <f t="shared" si="190"/>
        <v>5232</v>
      </c>
      <c r="L1714" s="402">
        <f t="shared" si="187"/>
        <v>1.4039355992844365</v>
      </c>
      <c r="M1714" s="173">
        <f t="shared" si="188"/>
        <v>3.0539355992844364</v>
      </c>
      <c r="N1714" s="174"/>
      <c r="O1714" s="173">
        <f t="shared" si="189"/>
        <v>4.2755098389982109</v>
      </c>
      <c r="P1714" s="173">
        <v>5</v>
      </c>
    </row>
    <row r="1715" spans="3:16" hidden="1" x14ac:dyDescent="0.35">
      <c r="C1715" s="596" t="s">
        <v>1611</v>
      </c>
      <c r="D1715" s="596"/>
      <c r="F1715" s="366">
        <v>6</v>
      </c>
      <c r="G1715" s="245" t="s">
        <v>505</v>
      </c>
      <c r="I1715" s="173">
        <v>1.65</v>
      </c>
      <c r="J1715">
        <v>6149</v>
      </c>
      <c r="K1715" s="173">
        <f t="shared" si="190"/>
        <v>5232</v>
      </c>
      <c r="L1715" s="402">
        <f t="shared" si="187"/>
        <v>1.4039355992844365</v>
      </c>
      <c r="M1715" s="173">
        <f t="shared" si="188"/>
        <v>3.0539355992844364</v>
      </c>
      <c r="N1715" s="174"/>
      <c r="O1715" s="173">
        <f t="shared" si="189"/>
        <v>4.2755098389982109</v>
      </c>
      <c r="P1715" s="173">
        <v>5</v>
      </c>
    </row>
    <row r="1716" spans="3:16" hidden="1" x14ac:dyDescent="0.35">
      <c r="C1716" s="596" t="s">
        <v>1611</v>
      </c>
      <c r="D1716" s="596"/>
      <c r="F1716" s="366">
        <v>6</v>
      </c>
      <c r="G1716" s="245" t="s">
        <v>505</v>
      </c>
      <c r="I1716" s="173">
        <v>1.65</v>
      </c>
      <c r="J1716">
        <v>6149</v>
      </c>
      <c r="K1716" s="173">
        <f t="shared" si="190"/>
        <v>5232</v>
      </c>
      <c r="L1716" s="402">
        <f t="shared" si="187"/>
        <v>1.4039355992844365</v>
      </c>
      <c r="M1716" s="173">
        <f t="shared" si="188"/>
        <v>3.0539355992844364</v>
      </c>
      <c r="N1716" s="174"/>
      <c r="O1716" s="173">
        <f t="shared" si="189"/>
        <v>4.2755098389982109</v>
      </c>
      <c r="P1716" s="173">
        <v>5</v>
      </c>
    </row>
    <row r="1717" spans="3:16" hidden="1" x14ac:dyDescent="0.35">
      <c r="C1717" s="596" t="s">
        <v>1611</v>
      </c>
      <c r="D1717" s="596"/>
      <c r="F1717" s="366">
        <v>6</v>
      </c>
      <c r="G1717" s="245" t="s">
        <v>505</v>
      </c>
      <c r="I1717" s="173">
        <v>1.65</v>
      </c>
      <c r="J1717">
        <v>6149</v>
      </c>
      <c r="K1717" s="173">
        <f t="shared" si="190"/>
        <v>5232</v>
      </c>
      <c r="L1717" s="402">
        <f t="shared" ref="L1717:L1748" si="191">+I1717/J1717*K1717</f>
        <v>1.4039355992844365</v>
      </c>
      <c r="M1717" s="173">
        <f t="shared" ref="M1717:M1748" si="192">+I1717+L1717</f>
        <v>3.0539355992844364</v>
      </c>
      <c r="N1717" s="174"/>
      <c r="O1717" s="173">
        <f t="shared" ref="O1717:O1753" si="193">+M1717*1.4</f>
        <v>4.2755098389982109</v>
      </c>
      <c r="P1717" s="173">
        <v>5</v>
      </c>
    </row>
    <row r="1718" spans="3:16" hidden="1" x14ac:dyDescent="0.35">
      <c r="C1718" s="596" t="s">
        <v>1611</v>
      </c>
      <c r="D1718" s="596"/>
      <c r="F1718" s="366">
        <v>6</v>
      </c>
      <c r="G1718" s="245" t="s">
        <v>505</v>
      </c>
      <c r="I1718" s="173">
        <v>1.65</v>
      </c>
      <c r="J1718">
        <v>6149</v>
      </c>
      <c r="K1718" s="173">
        <f t="shared" si="190"/>
        <v>5232</v>
      </c>
      <c r="L1718" s="402">
        <f t="shared" si="191"/>
        <v>1.4039355992844365</v>
      </c>
      <c r="M1718" s="173">
        <f t="shared" si="192"/>
        <v>3.0539355992844364</v>
      </c>
      <c r="N1718" s="174"/>
      <c r="O1718" s="173">
        <f t="shared" si="193"/>
        <v>4.2755098389982109</v>
      </c>
      <c r="P1718" s="173">
        <v>5</v>
      </c>
    </row>
    <row r="1719" spans="3:16" hidden="1" x14ac:dyDescent="0.35">
      <c r="C1719" s="596" t="s">
        <v>1611</v>
      </c>
      <c r="D1719" s="596"/>
      <c r="F1719" s="366">
        <v>6</v>
      </c>
      <c r="G1719" s="245" t="s">
        <v>505</v>
      </c>
      <c r="I1719" s="173">
        <v>1.65</v>
      </c>
      <c r="J1719">
        <v>6149</v>
      </c>
      <c r="K1719" s="173">
        <f t="shared" si="190"/>
        <v>5232</v>
      </c>
      <c r="L1719" s="402">
        <f t="shared" si="191"/>
        <v>1.4039355992844365</v>
      </c>
      <c r="M1719" s="173">
        <f t="shared" si="192"/>
        <v>3.0539355992844364</v>
      </c>
      <c r="N1719" s="174"/>
      <c r="O1719" s="173">
        <f t="shared" si="193"/>
        <v>4.2755098389982109</v>
      </c>
      <c r="P1719" s="173">
        <v>5</v>
      </c>
    </row>
    <row r="1720" spans="3:16" hidden="1" x14ac:dyDescent="0.35">
      <c r="C1720" s="596" t="s">
        <v>1611</v>
      </c>
      <c r="D1720" s="596"/>
      <c r="F1720" s="366">
        <v>6</v>
      </c>
      <c r="G1720" s="245" t="s">
        <v>505</v>
      </c>
      <c r="I1720" s="173">
        <v>1.65</v>
      </c>
      <c r="J1720">
        <v>6149</v>
      </c>
      <c r="K1720" s="173">
        <f t="shared" si="190"/>
        <v>5232</v>
      </c>
      <c r="L1720" s="402">
        <f t="shared" si="191"/>
        <v>1.4039355992844365</v>
      </c>
      <c r="M1720" s="173">
        <f t="shared" si="192"/>
        <v>3.0539355992844364</v>
      </c>
      <c r="N1720" s="174"/>
      <c r="O1720" s="173">
        <f t="shared" si="193"/>
        <v>4.2755098389982109</v>
      </c>
      <c r="P1720" s="173">
        <v>5</v>
      </c>
    </row>
    <row r="1721" spans="3:16" hidden="1" x14ac:dyDescent="0.35">
      <c r="C1721" s="596" t="s">
        <v>1611</v>
      </c>
      <c r="D1721" s="596"/>
      <c r="F1721" s="366">
        <v>6</v>
      </c>
      <c r="G1721" s="245" t="s">
        <v>505</v>
      </c>
      <c r="I1721" s="173">
        <v>1.65</v>
      </c>
      <c r="J1721">
        <v>6149</v>
      </c>
      <c r="K1721" s="173">
        <f t="shared" si="190"/>
        <v>5232</v>
      </c>
      <c r="L1721" s="402">
        <f t="shared" si="191"/>
        <v>1.4039355992844365</v>
      </c>
      <c r="M1721" s="173">
        <f t="shared" si="192"/>
        <v>3.0539355992844364</v>
      </c>
      <c r="N1721" s="174"/>
      <c r="O1721" s="173">
        <f t="shared" si="193"/>
        <v>4.2755098389982109</v>
      </c>
      <c r="P1721" s="173">
        <v>5</v>
      </c>
    </row>
    <row r="1722" spans="3:16" hidden="1" x14ac:dyDescent="0.35">
      <c r="C1722" s="596" t="s">
        <v>1611</v>
      </c>
      <c r="D1722" s="596"/>
      <c r="F1722" s="366">
        <v>6</v>
      </c>
      <c r="G1722" s="245" t="s">
        <v>505</v>
      </c>
      <c r="I1722" s="173">
        <v>1.65</v>
      </c>
      <c r="J1722">
        <v>6149</v>
      </c>
      <c r="K1722" s="173">
        <f t="shared" si="190"/>
        <v>5232</v>
      </c>
      <c r="L1722" s="402">
        <f t="shared" si="191"/>
        <v>1.4039355992844365</v>
      </c>
      <c r="M1722" s="173">
        <f t="shared" si="192"/>
        <v>3.0539355992844364</v>
      </c>
      <c r="N1722" s="174"/>
      <c r="O1722" s="173">
        <f t="shared" si="193"/>
        <v>4.2755098389982109</v>
      </c>
      <c r="P1722" s="173">
        <v>5</v>
      </c>
    </row>
    <row r="1723" spans="3:16" hidden="1" x14ac:dyDescent="0.35">
      <c r="C1723" s="596" t="s">
        <v>1611</v>
      </c>
      <c r="D1723" s="596"/>
      <c r="F1723" s="366">
        <v>6</v>
      </c>
      <c r="G1723" s="245" t="s">
        <v>505</v>
      </c>
      <c r="I1723" s="173">
        <v>1.65</v>
      </c>
      <c r="J1723">
        <v>6149</v>
      </c>
      <c r="K1723" s="173">
        <f t="shared" si="190"/>
        <v>5232</v>
      </c>
      <c r="L1723" s="402">
        <f t="shared" si="191"/>
        <v>1.4039355992844365</v>
      </c>
      <c r="M1723" s="173">
        <f t="shared" si="192"/>
        <v>3.0539355992844364</v>
      </c>
      <c r="N1723" s="174"/>
      <c r="O1723" s="173">
        <f t="shared" si="193"/>
        <v>4.2755098389982109</v>
      </c>
      <c r="P1723" s="173">
        <v>5</v>
      </c>
    </row>
    <row r="1724" spans="3:16" hidden="1" x14ac:dyDescent="0.35">
      <c r="C1724" s="596" t="s">
        <v>1611</v>
      </c>
      <c r="D1724" s="596"/>
      <c r="F1724" s="366">
        <v>6</v>
      </c>
      <c r="G1724" s="245" t="s">
        <v>505</v>
      </c>
      <c r="I1724" s="173">
        <v>1.65</v>
      </c>
      <c r="J1724">
        <v>6149</v>
      </c>
      <c r="K1724" s="173">
        <f t="shared" si="190"/>
        <v>5232</v>
      </c>
      <c r="L1724" s="402">
        <f t="shared" si="191"/>
        <v>1.4039355992844365</v>
      </c>
      <c r="M1724" s="173">
        <f t="shared" si="192"/>
        <v>3.0539355992844364</v>
      </c>
      <c r="N1724" s="174"/>
      <c r="O1724" s="173">
        <f t="shared" si="193"/>
        <v>4.2755098389982109</v>
      </c>
      <c r="P1724" s="173">
        <v>5</v>
      </c>
    </row>
    <row r="1725" spans="3:16" hidden="1" x14ac:dyDescent="0.35">
      <c r="C1725" s="596" t="s">
        <v>1611</v>
      </c>
      <c r="D1725" s="596"/>
      <c r="F1725" s="366">
        <v>6</v>
      </c>
      <c r="G1725" s="245" t="s">
        <v>505</v>
      </c>
      <c r="I1725" s="173">
        <v>1.65</v>
      </c>
      <c r="J1725">
        <v>6149</v>
      </c>
      <c r="K1725" s="173">
        <f t="shared" si="190"/>
        <v>5232</v>
      </c>
      <c r="L1725" s="402">
        <f t="shared" si="191"/>
        <v>1.4039355992844365</v>
      </c>
      <c r="M1725" s="173">
        <f t="shared" si="192"/>
        <v>3.0539355992844364</v>
      </c>
      <c r="N1725" s="174"/>
      <c r="O1725" s="173">
        <f t="shared" si="193"/>
        <v>4.2755098389982109</v>
      </c>
      <c r="P1725" s="173">
        <v>5</v>
      </c>
    </row>
    <row r="1726" spans="3:16" hidden="1" x14ac:dyDescent="0.35">
      <c r="C1726" s="596" t="s">
        <v>1611</v>
      </c>
      <c r="D1726" s="596"/>
      <c r="F1726" s="366">
        <v>6</v>
      </c>
      <c r="G1726" s="245" t="s">
        <v>505</v>
      </c>
      <c r="I1726" s="173">
        <v>1.65</v>
      </c>
      <c r="J1726">
        <v>6149</v>
      </c>
      <c r="K1726" s="173">
        <f t="shared" si="190"/>
        <v>5232</v>
      </c>
      <c r="L1726" s="402">
        <f t="shared" si="191"/>
        <v>1.4039355992844365</v>
      </c>
      <c r="M1726" s="173">
        <f t="shared" si="192"/>
        <v>3.0539355992844364</v>
      </c>
      <c r="N1726" s="174"/>
      <c r="O1726" s="173">
        <f t="shared" si="193"/>
        <v>4.2755098389982109</v>
      </c>
      <c r="P1726" s="173">
        <v>5</v>
      </c>
    </row>
    <row r="1727" spans="3:16" hidden="1" x14ac:dyDescent="0.35">
      <c r="C1727" s="596" t="s">
        <v>1611</v>
      </c>
      <c r="D1727" s="596"/>
      <c r="F1727" s="366">
        <v>6</v>
      </c>
      <c r="G1727" s="245" t="s">
        <v>505</v>
      </c>
      <c r="I1727" s="173">
        <v>1.65</v>
      </c>
      <c r="J1727">
        <v>6149</v>
      </c>
      <c r="K1727" s="173">
        <f t="shared" si="190"/>
        <v>5232</v>
      </c>
      <c r="L1727" s="402">
        <f t="shared" si="191"/>
        <v>1.4039355992844365</v>
      </c>
      <c r="M1727" s="173">
        <f t="shared" si="192"/>
        <v>3.0539355992844364</v>
      </c>
      <c r="N1727" s="174"/>
      <c r="O1727" s="173">
        <f t="shared" si="193"/>
        <v>4.2755098389982109</v>
      </c>
      <c r="P1727" s="173">
        <v>5</v>
      </c>
    </row>
    <row r="1728" spans="3:16" hidden="1" x14ac:dyDescent="0.35">
      <c r="C1728" s="596" t="s">
        <v>1611</v>
      </c>
      <c r="D1728" s="596"/>
      <c r="F1728" s="366">
        <v>6</v>
      </c>
      <c r="G1728" s="245" t="s">
        <v>505</v>
      </c>
      <c r="I1728" s="173">
        <v>1.65</v>
      </c>
      <c r="J1728">
        <v>6149</v>
      </c>
      <c r="K1728" s="173">
        <f t="shared" si="190"/>
        <v>5232</v>
      </c>
      <c r="L1728" s="402">
        <f t="shared" si="191"/>
        <v>1.4039355992844365</v>
      </c>
      <c r="M1728" s="173">
        <f t="shared" si="192"/>
        <v>3.0539355992844364</v>
      </c>
      <c r="N1728" s="174"/>
      <c r="O1728" s="173">
        <f t="shared" si="193"/>
        <v>4.2755098389982109</v>
      </c>
      <c r="P1728" s="173">
        <v>5</v>
      </c>
    </row>
    <row r="1729" spans="3:16" hidden="1" x14ac:dyDescent="0.35">
      <c r="C1729" s="596" t="s">
        <v>1611</v>
      </c>
      <c r="D1729" s="596"/>
      <c r="F1729" s="366">
        <v>6</v>
      </c>
      <c r="G1729" s="245" t="s">
        <v>505</v>
      </c>
      <c r="I1729" s="173">
        <v>1.65</v>
      </c>
      <c r="J1729">
        <v>6149</v>
      </c>
      <c r="K1729" s="173">
        <f t="shared" si="190"/>
        <v>5232</v>
      </c>
      <c r="L1729" s="402">
        <f t="shared" si="191"/>
        <v>1.4039355992844365</v>
      </c>
      <c r="M1729" s="173">
        <f t="shared" si="192"/>
        <v>3.0539355992844364</v>
      </c>
      <c r="N1729" s="174"/>
      <c r="O1729" s="173">
        <f t="shared" si="193"/>
        <v>4.2755098389982109</v>
      </c>
      <c r="P1729" s="173">
        <v>5</v>
      </c>
    </row>
    <row r="1730" spans="3:16" hidden="1" x14ac:dyDescent="0.35">
      <c r="C1730" s="596" t="s">
        <v>1611</v>
      </c>
      <c r="D1730" s="596"/>
      <c r="F1730" s="366">
        <v>6</v>
      </c>
      <c r="G1730" s="245" t="s">
        <v>505</v>
      </c>
      <c r="I1730" s="173">
        <v>1.65</v>
      </c>
      <c r="J1730">
        <v>6149</v>
      </c>
      <c r="K1730" s="173">
        <f t="shared" si="190"/>
        <v>5232</v>
      </c>
      <c r="L1730" s="402">
        <f t="shared" si="191"/>
        <v>1.4039355992844365</v>
      </c>
      <c r="M1730" s="173">
        <f t="shared" si="192"/>
        <v>3.0539355992844364</v>
      </c>
      <c r="N1730" s="174"/>
      <c r="O1730" s="173">
        <f t="shared" si="193"/>
        <v>4.2755098389982109</v>
      </c>
      <c r="P1730" s="173">
        <v>5</v>
      </c>
    </row>
    <row r="1731" spans="3:16" hidden="1" x14ac:dyDescent="0.35">
      <c r="C1731" s="596" t="s">
        <v>1611</v>
      </c>
      <c r="D1731" s="596"/>
      <c r="F1731" s="366">
        <v>6</v>
      </c>
      <c r="G1731" s="245" t="s">
        <v>505</v>
      </c>
      <c r="I1731" s="173">
        <v>1.65</v>
      </c>
      <c r="J1731">
        <v>6149</v>
      </c>
      <c r="K1731" s="173">
        <f t="shared" si="190"/>
        <v>5232</v>
      </c>
      <c r="L1731" s="402">
        <f t="shared" si="191"/>
        <v>1.4039355992844365</v>
      </c>
      <c r="M1731" s="173">
        <f t="shared" si="192"/>
        <v>3.0539355992844364</v>
      </c>
      <c r="N1731" s="174"/>
      <c r="O1731" s="173">
        <f t="shared" si="193"/>
        <v>4.2755098389982109</v>
      </c>
      <c r="P1731" s="173">
        <v>5</v>
      </c>
    </row>
    <row r="1732" spans="3:16" hidden="1" x14ac:dyDescent="0.35">
      <c r="C1732" s="596" t="s">
        <v>1611</v>
      </c>
      <c r="D1732" s="596"/>
      <c r="F1732" s="366">
        <v>6</v>
      </c>
      <c r="G1732" s="245" t="s">
        <v>505</v>
      </c>
      <c r="I1732" s="173">
        <v>1.65</v>
      </c>
      <c r="J1732">
        <v>6149</v>
      </c>
      <c r="K1732" s="173">
        <f t="shared" si="190"/>
        <v>5232</v>
      </c>
      <c r="L1732" s="402">
        <f t="shared" si="191"/>
        <v>1.4039355992844365</v>
      </c>
      <c r="M1732" s="173">
        <f t="shared" si="192"/>
        <v>3.0539355992844364</v>
      </c>
      <c r="N1732" s="174"/>
      <c r="O1732" s="173">
        <f t="shared" si="193"/>
        <v>4.2755098389982109</v>
      </c>
      <c r="P1732" s="173">
        <v>5</v>
      </c>
    </row>
    <row r="1733" spans="3:16" hidden="1" x14ac:dyDescent="0.35">
      <c r="C1733" s="596" t="s">
        <v>1611</v>
      </c>
      <c r="D1733" s="596"/>
      <c r="F1733" s="366">
        <v>6</v>
      </c>
      <c r="G1733" s="245" t="s">
        <v>505</v>
      </c>
      <c r="I1733" s="173">
        <v>1.65</v>
      </c>
      <c r="J1733">
        <v>6149</v>
      </c>
      <c r="K1733" s="173">
        <f t="shared" si="190"/>
        <v>5232</v>
      </c>
      <c r="L1733" s="402">
        <f t="shared" si="191"/>
        <v>1.4039355992844365</v>
      </c>
      <c r="M1733" s="173">
        <f t="shared" si="192"/>
        <v>3.0539355992844364</v>
      </c>
      <c r="N1733" s="174"/>
      <c r="O1733" s="173">
        <f t="shared" si="193"/>
        <v>4.2755098389982109</v>
      </c>
      <c r="P1733" s="173">
        <v>5</v>
      </c>
    </row>
    <row r="1734" spans="3:16" hidden="1" x14ac:dyDescent="0.35">
      <c r="C1734" s="596" t="s">
        <v>1611</v>
      </c>
      <c r="D1734" s="596"/>
      <c r="F1734" s="366">
        <v>6</v>
      </c>
      <c r="G1734" s="245" t="s">
        <v>505</v>
      </c>
      <c r="I1734" s="173">
        <v>1.65</v>
      </c>
      <c r="J1734">
        <v>6149</v>
      </c>
      <c r="K1734" s="173">
        <f t="shared" si="190"/>
        <v>5232</v>
      </c>
      <c r="L1734" s="402">
        <f t="shared" si="191"/>
        <v>1.4039355992844365</v>
      </c>
      <c r="M1734" s="173">
        <f t="shared" si="192"/>
        <v>3.0539355992844364</v>
      </c>
      <c r="N1734" s="174"/>
      <c r="O1734" s="173">
        <f t="shared" si="193"/>
        <v>4.2755098389982109</v>
      </c>
      <c r="P1734" s="173">
        <v>5</v>
      </c>
    </row>
    <row r="1735" spans="3:16" hidden="1" x14ac:dyDescent="0.35">
      <c r="C1735" s="596" t="s">
        <v>1611</v>
      </c>
      <c r="D1735" s="596"/>
      <c r="F1735" s="366">
        <v>6</v>
      </c>
      <c r="G1735" s="245" t="s">
        <v>505</v>
      </c>
      <c r="I1735" s="173">
        <v>1.65</v>
      </c>
      <c r="J1735">
        <v>6149</v>
      </c>
      <c r="K1735" s="173">
        <f t="shared" si="190"/>
        <v>5232</v>
      </c>
      <c r="L1735" s="402">
        <f t="shared" si="191"/>
        <v>1.4039355992844365</v>
      </c>
      <c r="M1735" s="173">
        <f t="shared" si="192"/>
        <v>3.0539355992844364</v>
      </c>
      <c r="N1735" s="174"/>
      <c r="O1735" s="173">
        <f t="shared" si="193"/>
        <v>4.2755098389982109</v>
      </c>
      <c r="P1735" s="173">
        <v>5</v>
      </c>
    </row>
    <row r="1736" spans="3:16" hidden="1" x14ac:dyDescent="0.35">
      <c r="C1736" s="596" t="s">
        <v>1611</v>
      </c>
      <c r="D1736" s="596"/>
      <c r="F1736" s="366">
        <v>6</v>
      </c>
      <c r="G1736" s="245" t="s">
        <v>505</v>
      </c>
      <c r="I1736" s="173">
        <v>1.65</v>
      </c>
      <c r="J1736">
        <v>6149</v>
      </c>
      <c r="K1736" s="173">
        <f t="shared" si="190"/>
        <v>5232</v>
      </c>
      <c r="L1736" s="402">
        <f t="shared" si="191"/>
        <v>1.4039355992844365</v>
      </c>
      <c r="M1736" s="173">
        <f t="shared" si="192"/>
        <v>3.0539355992844364</v>
      </c>
      <c r="N1736" s="174"/>
      <c r="O1736" s="173">
        <f t="shared" si="193"/>
        <v>4.2755098389982109</v>
      </c>
      <c r="P1736" s="173">
        <v>5</v>
      </c>
    </row>
    <row r="1737" spans="3:16" hidden="1" x14ac:dyDescent="0.35">
      <c r="C1737" s="596" t="s">
        <v>1611</v>
      </c>
      <c r="D1737" s="596"/>
      <c r="F1737" s="366">
        <v>6</v>
      </c>
      <c r="G1737" s="245" t="s">
        <v>505</v>
      </c>
      <c r="I1737" s="173">
        <v>1.65</v>
      </c>
      <c r="J1737">
        <v>6149</v>
      </c>
      <c r="K1737" s="173">
        <f t="shared" si="190"/>
        <v>5232</v>
      </c>
      <c r="L1737" s="402">
        <f t="shared" si="191"/>
        <v>1.4039355992844365</v>
      </c>
      <c r="M1737" s="173">
        <f t="shared" si="192"/>
        <v>3.0539355992844364</v>
      </c>
      <c r="N1737" s="174"/>
      <c r="O1737" s="173">
        <f t="shared" si="193"/>
        <v>4.2755098389982109</v>
      </c>
      <c r="P1737" s="173">
        <v>5</v>
      </c>
    </row>
    <row r="1738" spans="3:16" hidden="1" x14ac:dyDescent="0.35">
      <c r="C1738" s="596" t="s">
        <v>1611</v>
      </c>
      <c r="D1738" s="596"/>
      <c r="F1738" s="366">
        <v>6</v>
      </c>
      <c r="G1738" s="245" t="s">
        <v>505</v>
      </c>
      <c r="I1738" s="173">
        <v>1.65</v>
      </c>
      <c r="J1738">
        <v>6149</v>
      </c>
      <c r="K1738" s="173">
        <f t="shared" si="190"/>
        <v>5232</v>
      </c>
      <c r="L1738" s="402">
        <f t="shared" si="191"/>
        <v>1.4039355992844365</v>
      </c>
      <c r="M1738" s="173">
        <f t="shared" si="192"/>
        <v>3.0539355992844364</v>
      </c>
      <c r="N1738" s="174"/>
      <c r="O1738" s="173">
        <f t="shared" si="193"/>
        <v>4.2755098389982109</v>
      </c>
      <c r="P1738" s="173">
        <v>5</v>
      </c>
    </row>
    <row r="1739" spans="3:16" hidden="1" x14ac:dyDescent="0.35">
      <c r="C1739" s="596" t="s">
        <v>1611</v>
      </c>
      <c r="D1739" s="596"/>
      <c r="F1739" s="366">
        <v>6</v>
      </c>
      <c r="G1739" s="245" t="s">
        <v>505</v>
      </c>
      <c r="I1739" s="173">
        <v>1.65</v>
      </c>
      <c r="J1739">
        <v>6149</v>
      </c>
      <c r="K1739" s="173">
        <f t="shared" si="190"/>
        <v>5232</v>
      </c>
      <c r="L1739" s="402">
        <f t="shared" si="191"/>
        <v>1.4039355992844365</v>
      </c>
      <c r="M1739" s="173">
        <f t="shared" si="192"/>
        <v>3.0539355992844364</v>
      </c>
      <c r="N1739" s="174"/>
      <c r="O1739" s="173">
        <f t="shared" si="193"/>
        <v>4.2755098389982109</v>
      </c>
      <c r="P1739" s="173">
        <v>5</v>
      </c>
    </row>
    <row r="1740" spans="3:16" hidden="1" x14ac:dyDescent="0.35">
      <c r="C1740" s="596" t="s">
        <v>1611</v>
      </c>
      <c r="D1740" s="596"/>
      <c r="F1740" s="366">
        <v>6</v>
      </c>
      <c r="G1740" s="245" t="s">
        <v>505</v>
      </c>
      <c r="I1740" s="173">
        <v>1.65</v>
      </c>
      <c r="J1740">
        <v>6149</v>
      </c>
      <c r="K1740" s="173">
        <f t="shared" si="190"/>
        <v>5232</v>
      </c>
      <c r="L1740" s="402">
        <f t="shared" si="191"/>
        <v>1.4039355992844365</v>
      </c>
      <c r="M1740" s="173">
        <f t="shared" si="192"/>
        <v>3.0539355992844364</v>
      </c>
      <c r="N1740" s="174"/>
      <c r="O1740" s="173">
        <f t="shared" si="193"/>
        <v>4.2755098389982109</v>
      </c>
      <c r="P1740" s="173">
        <v>5</v>
      </c>
    </row>
    <row r="1741" spans="3:16" hidden="1" x14ac:dyDescent="0.35">
      <c r="C1741" s="596" t="s">
        <v>1611</v>
      </c>
      <c r="D1741" s="596"/>
      <c r="F1741" s="366">
        <v>6</v>
      </c>
      <c r="G1741" s="245" t="s">
        <v>505</v>
      </c>
      <c r="I1741" s="173">
        <v>1.65</v>
      </c>
      <c r="J1741">
        <v>6149</v>
      </c>
      <c r="K1741" s="173">
        <f t="shared" si="190"/>
        <v>5232</v>
      </c>
      <c r="L1741" s="402">
        <f t="shared" si="191"/>
        <v>1.4039355992844365</v>
      </c>
      <c r="M1741" s="173">
        <f t="shared" si="192"/>
        <v>3.0539355992844364</v>
      </c>
      <c r="N1741" s="174"/>
      <c r="O1741" s="173">
        <f t="shared" si="193"/>
        <v>4.2755098389982109</v>
      </c>
      <c r="P1741" s="173">
        <v>5</v>
      </c>
    </row>
    <row r="1742" spans="3:16" hidden="1" x14ac:dyDescent="0.35">
      <c r="C1742" s="596" t="s">
        <v>1611</v>
      </c>
      <c r="D1742" s="596"/>
      <c r="F1742" s="366">
        <v>8</v>
      </c>
      <c r="G1742" s="245" t="s">
        <v>505</v>
      </c>
      <c r="I1742" s="173">
        <v>1.65</v>
      </c>
      <c r="J1742">
        <v>6149</v>
      </c>
      <c r="K1742" s="173">
        <f t="shared" si="190"/>
        <v>5232</v>
      </c>
      <c r="L1742" s="402">
        <f t="shared" si="191"/>
        <v>1.4039355992844365</v>
      </c>
      <c r="M1742" s="173">
        <f t="shared" si="192"/>
        <v>3.0539355992844364</v>
      </c>
      <c r="N1742" s="174"/>
      <c r="O1742" s="173">
        <f t="shared" si="193"/>
        <v>4.2755098389982109</v>
      </c>
      <c r="P1742" s="173">
        <v>5</v>
      </c>
    </row>
    <row r="1743" spans="3:16" hidden="1" x14ac:dyDescent="0.35">
      <c r="C1743" s="596" t="s">
        <v>1611</v>
      </c>
      <c r="D1743" s="596"/>
      <c r="F1743" s="366">
        <v>8</v>
      </c>
      <c r="G1743" s="245" t="s">
        <v>505</v>
      </c>
      <c r="I1743" s="173">
        <v>1.65</v>
      </c>
      <c r="J1743">
        <v>6149</v>
      </c>
      <c r="K1743" s="173">
        <f t="shared" si="190"/>
        <v>5232</v>
      </c>
      <c r="L1743" s="402">
        <f t="shared" si="191"/>
        <v>1.4039355992844365</v>
      </c>
      <c r="M1743" s="173">
        <f t="shared" si="192"/>
        <v>3.0539355992844364</v>
      </c>
      <c r="N1743" s="174"/>
      <c r="O1743" s="173">
        <f t="shared" si="193"/>
        <v>4.2755098389982109</v>
      </c>
      <c r="P1743" s="173">
        <v>5</v>
      </c>
    </row>
    <row r="1744" spans="3:16" hidden="1" x14ac:dyDescent="0.35">
      <c r="C1744" s="596" t="s">
        <v>1611</v>
      </c>
      <c r="D1744" s="596"/>
      <c r="F1744" s="366">
        <v>8</v>
      </c>
      <c r="G1744" s="245" t="s">
        <v>505</v>
      </c>
      <c r="I1744" s="173">
        <v>1.65</v>
      </c>
      <c r="J1744">
        <v>6149</v>
      </c>
      <c r="K1744" s="173">
        <f t="shared" si="190"/>
        <v>5232</v>
      </c>
      <c r="L1744" s="402">
        <f t="shared" si="191"/>
        <v>1.4039355992844365</v>
      </c>
      <c r="M1744" s="173">
        <f t="shared" si="192"/>
        <v>3.0539355992844364</v>
      </c>
      <c r="N1744" s="174"/>
      <c r="O1744" s="173">
        <f t="shared" si="193"/>
        <v>4.2755098389982109</v>
      </c>
      <c r="P1744" s="173">
        <v>5</v>
      </c>
    </row>
    <row r="1745" spans="3:16" hidden="1" x14ac:dyDescent="0.35">
      <c r="C1745" s="596" t="s">
        <v>1611</v>
      </c>
      <c r="D1745" s="596"/>
      <c r="F1745" s="366">
        <v>8</v>
      </c>
      <c r="G1745" s="245" t="s">
        <v>505</v>
      </c>
      <c r="I1745" s="173">
        <v>1.65</v>
      </c>
      <c r="J1745">
        <v>6149</v>
      </c>
      <c r="K1745" s="173">
        <f t="shared" si="190"/>
        <v>5232</v>
      </c>
      <c r="L1745" s="402">
        <f t="shared" si="191"/>
        <v>1.4039355992844365</v>
      </c>
      <c r="M1745" s="173">
        <f t="shared" si="192"/>
        <v>3.0539355992844364</v>
      </c>
      <c r="N1745" s="174"/>
      <c r="O1745" s="173">
        <f t="shared" si="193"/>
        <v>4.2755098389982109</v>
      </c>
      <c r="P1745" s="173">
        <v>5</v>
      </c>
    </row>
    <row r="1746" spans="3:16" hidden="1" x14ac:dyDescent="0.35">
      <c r="C1746" s="596" t="s">
        <v>1611</v>
      </c>
      <c r="D1746" s="596"/>
      <c r="F1746" s="366">
        <v>8</v>
      </c>
      <c r="G1746" s="245" t="s">
        <v>505</v>
      </c>
      <c r="I1746" s="173">
        <v>1.65</v>
      </c>
      <c r="J1746">
        <v>6149</v>
      </c>
      <c r="K1746" s="173">
        <f t="shared" si="190"/>
        <v>5232</v>
      </c>
      <c r="L1746" s="402">
        <f t="shared" si="191"/>
        <v>1.4039355992844365</v>
      </c>
      <c r="M1746" s="173">
        <f t="shared" si="192"/>
        <v>3.0539355992844364</v>
      </c>
      <c r="N1746" s="174"/>
      <c r="O1746" s="173">
        <f t="shared" si="193"/>
        <v>4.2755098389982109</v>
      </c>
      <c r="P1746" s="173">
        <v>5</v>
      </c>
    </row>
    <row r="1747" spans="3:16" hidden="1" x14ac:dyDescent="0.35">
      <c r="C1747" s="596" t="s">
        <v>1611</v>
      </c>
      <c r="D1747" s="596"/>
      <c r="F1747" s="366">
        <v>8</v>
      </c>
      <c r="G1747" s="245" t="s">
        <v>505</v>
      </c>
      <c r="I1747" s="173">
        <v>1.65</v>
      </c>
      <c r="J1747">
        <v>6149</v>
      </c>
      <c r="K1747" s="173">
        <f t="shared" si="190"/>
        <v>5232</v>
      </c>
      <c r="L1747" s="402">
        <f t="shared" si="191"/>
        <v>1.4039355992844365</v>
      </c>
      <c r="M1747" s="173">
        <f t="shared" si="192"/>
        <v>3.0539355992844364</v>
      </c>
      <c r="N1747" s="174"/>
      <c r="O1747" s="173">
        <f t="shared" si="193"/>
        <v>4.2755098389982109</v>
      </c>
      <c r="P1747" s="173">
        <v>5</v>
      </c>
    </row>
    <row r="1748" spans="3:16" hidden="1" x14ac:dyDescent="0.35">
      <c r="C1748" s="596" t="s">
        <v>1611</v>
      </c>
      <c r="D1748" s="596"/>
      <c r="F1748" s="366">
        <v>8</v>
      </c>
      <c r="G1748" s="245" t="s">
        <v>505</v>
      </c>
      <c r="I1748" s="173">
        <v>1.65</v>
      </c>
      <c r="J1748">
        <v>6149</v>
      </c>
      <c r="K1748" s="173">
        <f t="shared" si="190"/>
        <v>5232</v>
      </c>
      <c r="L1748" s="402">
        <f t="shared" si="191"/>
        <v>1.4039355992844365</v>
      </c>
      <c r="M1748" s="173">
        <f t="shared" si="192"/>
        <v>3.0539355992844364</v>
      </c>
      <c r="N1748" s="174"/>
      <c r="O1748" s="173">
        <f t="shared" si="193"/>
        <v>4.2755098389982109</v>
      </c>
      <c r="P1748" s="173">
        <v>5</v>
      </c>
    </row>
    <row r="1749" spans="3:16" hidden="1" x14ac:dyDescent="0.35">
      <c r="C1749" s="596" t="s">
        <v>1611</v>
      </c>
      <c r="D1749" s="596"/>
      <c r="F1749" s="366">
        <v>8</v>
      </c>
      <c r="G1749" s="245" t="s">
        <v>505</v>
      </c>
      <c r="I1749" s="173">
        <v>1.65</v>
      </c>
      <c r="J1749">
        <v>6149</v>
      </c>
      <c r="K1749" s="173">
        <f t="shared" si="190"/>
        <v>5232</v>
      </c>
      <c r="L1749" s="402">
        <f>+I1749/J1749*K1749</f>
        <v>1.4039355992844365</v>
      </c>
      <c r="M1749" s="173">
        <f>+I1749+L1749</f>
        <v>3.0539355992844364</v>
      </c>
      <c r="N1749" s="174"/>
      <c r="O1749" s="173">
        <f t="shared" si="193"/>
        <v>4.2755098389982109</v>
      </c>
      <c r="P1749" s="173">
        <v>5</v>
      </c>
    </row>
    <row r="1750" spans="3:16" hidden="1" x14ac:dyDescent="0.35">
      <c r="C1750" s="596" t="s">
        <v>1611</v>
      </c>
      <c r="D1750" s="596"/>
      <c r="F1750" s="366">
        <v>8</v>
      </c>
      <c r="G1750" s="245" t="s">
        <v>505</v>
      </c>
      <c r="I1750" s="173">
        <v>1.65</v>
      </c>
      <c r="J1750">
        <v>6149</v>
      </c>
      <c r="K1750" s="173">
        <f t="shared" si="190"/>
        <v>5232</v>
      </c>
      <c r="L1750" s="402">
        <f>+I1750/J1750*K1750</f>
        <v>1.4039355992844365</v>
      </c>
      <c r="M1750" s="173">
        <f>+I1750+L1750</f>
        <v>3.0539355992844364</v>
      </c>
      <c r="N1750" s="174"/>
      <c r="O1750" s="173">
        <f t="shared" si="193"/>
        <v>4.2755098389982109</v>
      </c>
      <c r="P1750" s="173">
        <v>5</v>
      </c>
    </row>
    <row r="1751" spans="3:16" hidden="1" x14ac:dyDescent="0.35">
      <c r="C1751" s="596" t="s">
        <v>1611</v>
      </c>
      <c r="D1751" s="596"/>
      <c r="F1751" s="366">
        <v>8</v>
      </c>
      <c r="G1751" s="245" t="s">
        <v>505</v>
      </c>
      <c r="I1751" s="173">
        <v>1.65</v>
      </c>
      <c r="J1751">
        <v>6149</v>
      </c>
      <c r="K1751" s="173">
        <f t="shared" si="190"/>
        <v>5232</v>
      </c>
      <c r="L1751" s="402">
        <f>+I1751/J1751*K1751</f>
        <v>1.4039355992844365</v>
      </c>
      <c r="M1751" s="173">
        <f>+I1751+L1751</f>
        <v>3.0539355992844364</v>
      </c>
      <c r="N1751" s="174"/>
      <c r="O1751" s="173">
        <f t="shared" si="193"/>
        <v>4.2755098389982109</v>
      </c>
      <c r="P1751" s="173">
        <v>5</v>
      </c>
    </row>
    <row r="1752" spans="3:16" hidden="1" x14ac:dyDescent="0.35">
      <c r="C1752" s="596" t="s">
        <v>1611</v>
      </c>
      <c r="D1752" s="596"/>
      <c r="F1752" s="366">
        <v>8</v>
      </c>
      <c r="G1752" s="245" t="s">
        <v>505</v>
      </c>
      <c r="I1752" s="173">
        <v>1.65</v>
      </c>
      <c r="J1752">
        <v>6149</v>
      </c>
      <c r="K1752" s="173">
        <f t="shared" si="190"/>
        <v>5232</v>
      </c>
      <c r="L1752" s="402">
        <f>+I1752/J1752*K1752</f>
        <v>1.4039355992844365</v>
      </c>
      <c r="M1752" s="173">
        <f>+I1752+L1752</f>
        <v>3.0539355992844364</v>
      </c>
      <c r="N1752" s="174"/>
      <c r="O1752" s="173">
        <f t="shared" si="193"/>
        <v>4.2755098389982109</v>
      </c>
      <c r="P1752" s="173">
        <v>5</v>
      </c>
    </row>
    <row r="1753" spans="3:16" hidden="1" x14ac:dyDescent="0.35">
      <c r="C1753" s="596" t="s">
        <v>1611</v>
      </c>
      <c r="D1753" s="596"/>
      <c r="F1753" s="366">
        <v>8</v>
      </c>
      <c r="G1753" s="245" t="s">
        <v>505</v>
      </c>
      <c r="I1753" s="173">
        <v>1.65</v>
      </c>
      <c r="J1753">
        <v>6149</v>
      </c>
      <c r="K1753" s="173">
        <f t="shared" si="190"/>
        <v>5232</v>
      </c>
      <c r="L1753" s="402">
        <f>+I1753/J1753*K1753</f>
        <v>1.4039355992844365</v>
      </c>
      <c r="M1753" s="173">
        <f>+I1753+L1753</f>
        <v>3.0539355992844364</v>
      </c>
      <c r="N1753" s="174"/>
      <c r="O1753" s="173">
        <f t="shared" si="193"/>
        <v>4.2755098389982109</v>
      </c>
      <c r="P1753" s="173">
        <v>5</v>
      </c>
    </row>
    <row r="1754" spans="3:16" hidden="1" x14ac:dyDescent="0.35">
      <c r="C1754" s="596"/>
      <c r="D1754" s="596"/>
      <c r="J1754" s="173"/>
      <c r="N1754" s="173"/>
    </row>
    <row r="1755" spans="3:16" hidden="1" x14ac:dyDescent="0.35">
      <c r="P1755" s="402"/>
    </row>
    <row r="1756" spans="3:16" ht="18.5" hidden="1" x14ac:dyDescent="0.45">
      <c r="G1756" s="307" t="s">
        <v>1612</v>
      </c>
      <c r="H1756" s="307"/>
    </row>
    <row r="1757" spans="3:16" hidden="1" x14ac:dyDescent="0.35">
      <c r="C1757" s="233" t="s">
        <v>1154</v>
      </c>
      <c r="G1757" s="245" t="s">
        <v>1618</v>
      </c>
      <c r="I1757" s="173">
        <v>23</v>
      </c>
      <c r="J1757">
        <v>814</v>
      </c>
      <c r="K1757" s="173">
        <v>584</v>
      </c>
      <c r="L1757" s="402">
        <f t="shared" ref="L1757:L1789" si="194">+I1757/J1757*K1757</f>
        <v>16.501228501228503</v>
      </c>
      <c r="M1757" s="173">
        <f t="shared" ref="M1757:M1789" si="195">+I1757+L1757</f>
        <v>39.501228501228503</v>
      </c>
      <c r="N1757" s="174"/>
      <c r="O1757" s="173">
        <f t="shared" ref="O1757:O1789" si="196">+M1757*1.4</f>
        <v>55.301719901719899</v>
      </c>
      <c r="P1757" s="173">
        <v>65</v>
      </c>
    </row>
    <row r="1758" spans="3:16" hidden="1" x14ac:dyDescent="0.35">
      <c r="C1758" s="233" t="s">
        <v>1154</v>
      </c>
      <c r="G1758" s="245" t="s">
        <v>1618</v>
      </c>
      <c r="I1758" s="173">
        <v>23</v>
      </c>
      <c r="J1758">
        <v>814</v>
      </c>
      <c r="K1758" s="173">
        <v>584</v>
      </c>
      <c r="L1758" s="402">
        <f t="shared" si="194"/>
        <v>16.501228501228503</v>
      </c>
      <c r="M1758" s="173">
        <f t="shared" si="195"/>
        <v>39.501228501228503</v>
      </c>
      <c r="N1758" s="174"/>
      <c r="O1758" s="173">
        <f t="shared" si="196"/>
        <v>55.301719901719899</v>
      </c>
      <c r="P1758" s="173">
        <v>65</v>
      </c>
    </row>
    <row r="1759" spans="3:16" hidden="1" x14ac:dyDescent="0.35">
      <c r="C1759" s="233" t="s">
        <v>1154</v>
      </c>
      <c r="G1759" s="245" t="s">
        <v>1618</v>
      </c>
      <c r="I1759" s="173">
        <v>23</v>
      </c>
      <c r="J1759">
        <v>814</v>
      </c>
      <c r="K1759" s="173">
        <v>584</v>
      </c>
      <c r="L1759" s="402">
        <f t="shared" si="194"/>
        <v>16.501228501228503</v>
      </c>
      <c r="M1759" s="173">
        <f t="shared" si="195"/>
        <v>39.501228501228503</v>
      </c>
      <c r="N1759" s="174"/>
      <c r="O1759" s="173">
        <f t="shared" si="196"/>
        <v>55.301719901719899</v>
      </c>
      <c r="P1759" s="173">
        <v>65</v>
      </c>
    </row>
    <row r="1760" spans="3:16" hidden="1" x14ac:dyDescent="0.35">
      <c r="C1760" s="233" t="s">
        <v>1154</v>
      </c>
      <c r="G1760" s="245" t="s">
        <v>1618</v>
      </c>
      <c r="I1760" s="173">
        <v>23</v>
      </c>
      <c r="J1760">
        <v>814</v>
      </c>
      <c r="K1760" s="173">
        <v>584</v>
      </c>
      <c r="L1760" s="402">
        <f t="shared" si="194"/>
        <v>16.501228501228503</v>
      </c>
      <c r="M1760" s="173">
        <f t="shared" si="195"/>
        <v>39.501228501228503</v>
      </c>
      <c r="N1760" s="174"/>
      <c r="O1760" s="173">
        <f t="shared" si="196"/>
        <v>55.301719901719899</v>
      </c>
      <c r="P1760" s="173">
        <v>65</v>
      </c>
    </row>
    <row r="1761" spans="3:16" hidden="1" x14ac:dyDescent="0.35">
      <c r="C1761" s="233" t="s">
        <v>1154</v>
      </c>
      <c r="G1761" s="245" t="s">
        <v>1618</v>
      </c>
      <c r="I1761" s="173">
        <v>23</v>
      </c>
      <c r="J1761">
        <v>814</v>
      </c>
      <c r="K1761" s="173">
        <v>584</v>
      </c>
      <c r="L1761" s="402">
        <f t="shared" si="194"/>
        <v>16.501228501228503</v>
      </c>
      <c r="M1761" s="173">
        <f t="shared" si="195"/>
        <v>39.501228501228503</v>
      </c>
      <c r="N1761" s="174"/>
      <c r="O1761" s="173">
        <f t="shared" si="196"/>
        <v>55.301719901719899</v>
      </c>
      <c r="P1761" s="173">
        <v>65</v>
      </c>
    </row>
    <row r="1762" spans="3:16" hidden="1" x14ac:dyDescent="0.35">
      <c r="C1762" s="233" t="s">
        <v>1154</v>
      </c>
      <c r="G1762" s="245" t="s">
        <v>1618</v>
      </c>
      <c r="I1762" s="173">
        <v>23</v>
      </c>
      <c r="J1762">
        <v>814</v>
      </c>
      <c r="K1762" s="173">
        <v>584</v>
      </c>
      <c r="L1762" s="402">
        <f t="shared" si="194"/>
        <v>16.501228501228503</v>
      </c>
      <c r="M1762" s="173">
        <f t="shared" si="195"/>
        <v>39.501228501228503</v>
      </c>
      <c r="N1762" s="174"/>
      <c r="O1762" s="173">
        <f t="shared" si="196"/>
        <v>55.301719901719899</v>
      </c>
      <c r="P1762" s="173">
        <v>65</v>
      </c>
    </row>
    <row r="1763" spans="3:16" hidden="1" x14ac:dyDescent="0.35">
      <c r="C1763" s="233" t="s">
        <v>1154</v>
      </c>
      <c r="G1763" s="245" t="s">
        <v>1618</v>
      </c>
      <c r="I1763" s="173">
        <v>23</v>
      </c>
      <c r="J1763">
        <v>814</v>
      </c>
      <c r="K1763" s="173">
        <v>584</v>
      </c>
      <c r="L1763" s="402">
        <f t="shared" si="194"/>
        <v>16.501228501228503</v>
      </c>
      <c r="M1763" s="173">
        <f t="shared" si="195"/>
        <v>39.501228501228503</v>
      </c>
      <c r="N1763" s="174"/>
      <c r="O1763" s="173">
        <f t="shared" si="196"/>
        <v>55.301719901719899</v>
      </c>
      <c r="P1763" s="173">
        <v>65</v>
      </c>
    </row>
    <row r="1764" spans="3:16" hidden="1" x14ac:dyDescent="0.35">
      <c r="C1764" s="233" t="s">
        <v>1154</v>
      </c>
      <c r="G1764" s="245" t="s">
        <v>1618</v>
      </c>
      <c r="I1764" s="173">
        <v>23</v>
      </c>
      <c r="J1764">
        <v>814</v>
      </c>
      <c r="K1764" s="173">
        <v>584</v>
      </c>
      <c r="L1764" s="402">
        <f t="shared" si="194"/>
        <v>16.501228501228503</v>
      </c>
      <c r="M1764" s="173">
        <f t="shared" si="195"/>
        <v>39.501228501228503</v>
      </c>
      <c r="N1764" s="174"/>
      <c r="O1764" s="173">
        <f t="shared" si="196"/>
        <v>55.301719901719899</v>
      </c>
      <c r="P1764" s="173">
        <v>65</v>
      </c>
    </row>
    <row r="1765" spans="3:16" hidden="1" x14ac:dyDescent="0.35">
      <c r="C1765" s="233" t="s">
        <v>1154</v>
      </c>
      <c r="G1765" s="245" t="s">
        <v>1618</v>
      </c>
      <c r="I1765" s="173">
        <v>23</v>
      </c>
      <c r="J1765">
        <v>814</v>
      </c>
      <c r="K1765" s="173">
        <v>584</v>
      </c>
      <c r="L1765" s="402">
        <f t="shared" si="194"/>
        <v>16.501228501228503</v>
      </c>
      <c r="M1765" s="173">
        <f t="shared" si="195"/>
        <v>39.501228501228503</v>
      </c>
      <c r="N1765" s="174"/>
      <c r="O1765" s="173">
        <f t="shared" si="196"/>
        <v>55.301719901719899</v>
      </c>
      <c r="P1765" s="173">
        <v>65</v>
      </c>
    </row>
    <row r="1766" spans="3:16" hidden="1" x14ac:dyDescent="0.35">
      <c r="C1766" s="233" t="s">
        <v>1154</v>
      </c>
      <c r="G1766" s="245" t="s">
        <v>1618</v>
      </c>
      <c r="I1766" s="173">
        <v>23</v>
      </c>
      <c r="J1766">
        <v>814</v>
      </c>
      <c r="K1766" s="173">
        <v>584</v>
      </c>
      <c r="L1766" s="402">
        <f t="shared" si="194"/>
        <v>16.501228501228503</v>
      </c>
      <c r="M1766" s="173">
        <f t="shared" si="195"/>
        <v>39.501228501228503</v>
      </c>
      <c r="N1766" s="174"/>
      <c r="O1766" s="173">
        <f t="shared" si="196"/>
        <v>55.301719901719899</v>
      </c>
      <c r="P1766" s="173">
        <v>65</v>
      </c>
    </row>
    <row r="1767" spans="3:16" hidden="1" x14ac:dyDescent="0.35">
      <c r="C1767" s="233" t="s">
        <v>1154</v>
      </c>
      <c r="G1767" s="245" t="s">
        <v>1618</v>
      </c>
      <c r="I1767" s="173">
        <v>23</v>
      </c>
      <c r="J1767">
        <v>814</v>
      </c>
      <c r="K1767" s="173">
        <v>584</v>
      </c>
      <c r="L1767" s="402">
        <f t="shared" si="194"/>
        <v>16.501228501228503</v>
      </c>
      <c r="M1767" s="173">
        <f t="shared" si="195"/>
        <v>39.501228501228503</v>
      </c>
      <c r="N1767" s="174"/>
      <c r="O1767" s="173">
        <f t="shared" si="196"/>
        <v>55.301719901719899</v>
      </c>
      <c r="P1767" s="173">
        <v>65</v>
      </c>
    </row>
    <row r="1768" spans="3:16" hidden="1" x14ac:dyDescent="0.35">
      <c r="C1768" s="233" t="s">
        <v>1154</v>
      </c>
      <c r="G1768" s="245" t="s">
        <v>1618</v>
      </c>
      <c r="I1768" s="173">
        <v>23</v>
      </c>
      <c r="J1768">
        <v>814</v>
      </c>
      <c r="K1768" s="173">
        <v>584</v>
      </c>
      <c r="L1768" s="402">
        <f t="shared" si="194"/>
        <v>16.501228501228503</v>
      </c>
      <c r="M1768" s="173">
        <f t="shared" si="195"/>
        <v>39.501228501228503</v>
      </c>
      <c r="N1768" s="174"/>
      <c r="O1768" s="173">
        <f t="shared" si="196"/>
        <v>55.301719901719899</v>
      </c>
      <c r="P1768" s="173">
        <v>65</v>
      </c>
    </row>
    <row r="1769" spans="3:16" hidden="1" x14ac:dyDescent="0.35">
      <c r="C1769" s="233" t="s">
        <v>1154</v>
      </c>
      <c r="G1769" s="245" t="s">
        <v>1619</v>
      </c>
      <c r="I1769" s="173">
        <v>23</v>
      </c>
      <c r="J1769">
        <v>814</v>
      </c>
      <c r="K1769" s="173">
        <v>584</v>
      </c>
      <c r="L1769" s="402">
        <f t="shared" si="194"/>
        <v>16.501228501228503</v>
      </c>
      <c r="M1769" s="173">
        <f t="shared" si="195"/>
        <v>39.501228501228503</v>
      </c>
      <c r="N1769" s="174"/>
      <c r="O1769" s="173">
        <f t="shared" si="196"/>
        <v>55.301719901719899</v>
      </c>
      <c r="P1769" s="173">
        <v>125</v>
      </c>
    </row>
    <row r="1770" spans="3:16" hidden="1" x14ac:dyDescent="0.35">
      <c r="C1770" s="233" t="s">
        <v>1154</v>
      </c>
      <c r="G1770" s="245" t="s">
        <v>1619</v>
      </c>
      <c r="I1770" s="173">
        <v>23</v>
      </c>
      <c r="J1770">
        <v>814</v>
      </c>
      <c r="K1770" s="173">
        <v>584</v>
      </c>
      <c r="L1770" s="402">
        <f t="shared" si="194"/>
        <v>16.501228501228503</v>
      </c>
      <c r="M1770" s="173">
        <f t="shared" si="195"/>
        <v>39.501228501228503</v>
      </c>
      <c r="N1770" s="174"/>
      <c r="O1770" s="173">
        <f t="shared" si="196"/>
        <v>55.301719901719899</v>
      </c>
      <c r="P1770" s="173">
        <v>125</v>
      </c>
    </row>
    <row r="1771" spans="3:16" hidden="1" x14ac:dyDescent="0.35">
      <c r="C1771" s="233" t="s">
        <v>1154</v>
      </c>
      <c r="G1771" s="245" t="s">
        <v>1619</v>
      </c>
      <c r="I1771" s="173">
        <v>23</v>
      </c>
      <c r="J1771">
        <v>814</v>
      </c>
      <c r="K1771" s="173">
        <v>584</v>
      </c>
      <c r="L1771" s="402">
        <f t="shared" si="194"/>
        <v>16.501228501228503</v>
      </c>
      <c r="M1771" s="173">
        <f t="shared" si="195"/>
        <v>39.501228501228503</v>
      </c>
      <c r="N1771" s="174"/>
      <c r="O1771" s="173">
        <f t="shared" si="196"/>
        <v>55.301719901719899</v>
      </c>
      <c r="P1771" s="173">
        <v>125</v>
      </c>
    </row>
    <row r="1772" spans="3:16" hidden="1" x14ac:dyDescent="0.35">
      <c r="C1772" s="233" t="s">
        <v>1154</v>
      </c>
      <c r="G1772" s="245" t="s">
        <v>1619</v>
      </c>
      <c r="I1772" s="173">
        <v>23</v>
      </c>
      <c r="J1772">
        <v>814</v>
      </c>
      <c r="K1772" s="173">
        <v>584</v>
      </c>
      <c r="L1772" s="402">
        <f t="shared" si="194"/>
        <v>16.501228501228503</v>
      </c>
      <c r="M1772" s="173">
        <f t="shared" si="195"/>
        <v>39.501228501228503</v>
      </c>
      <c r="N1772" s="174"/>
      <c r="O1772" s="173">
        <f t="shared" si="196"/>
        <v>55.301719901719899</v>
      </c>
      <c r="P1772" s="173">
        <v>125</v>
      </c>
    </row>
    <row r="1773" spans="3:16" hidden="1" x14ac:dyDescent="0.35">
      <c r="C1773" s="233" t="s">
        <v>1154</v>
      </c>
      <c r="G1773" s="245" t="s">
        <v>1619</v>
      </c>
      <c r="I1773" s="173">
        <v>23</v>
      </c>
      <c r="J1773">
        <v>814</v>
      </c>
      <c r="K1773" s="173">
        <v>584</v>
      </c>
      <c r="L1773" s="402">
        <f t="shared" si="194"/>
        <v>16.501228501228503</v>
      </c>
      <c r="M1773" s="173">
        <f t="shared" si="195"/>
        <v>39.501228501228503</v>
      </c>
      <c r="N1773" s="174"/>
      <c r="O1773" s="173">
        <f t="shared" si="196"/>
        <v>55.301719901719899</v>
      </c>
      <c r="P1773" s="173">
        <v>125</v>
      </c>
    </row>
    <row r="1774" spans="3:16" hidden="1" x14ac:dyDescent="0.35">
      <c r="C1774" s="233" t="s">
        <v>1154</v>
      </c>
      <c r="G1774" s="245" t="s">
        <v>1619</v>
      </c>
      <c r="I1774" s="173">
        <v>23</v>
      </c>
      <c r="J1774">
        <v>814</v>
      </c>
      <c r="K1774" s="173">
        <v>584</v>
      </c>
      <c r="L1774" s="402">
        <f t="shared" si="194"/>
        <v>16.501228501228503</v>
      </c>
      <c r="M1774" s="173">
        <f t="shared" si="195"/>
        <v>39.501228501228503</v>
      </c>
      <c r="N1774" s="174"/>
      <c r="O1774" s="173">
        <f t="shared" si="196"/>
        <v>55.301719901719899</v>
      </c>
      <c r="P1774" s="173">
        <v>125</v>
      </c>
    </row>
    <row r="1775" spans="3:16" hidden="1" x14ac:dyDescent="0.35">
      <c r="C1775" s="233" t="s">
        <v>1154</v>
      </c>
      <c r="G1775" s="245" t="s">
        <v>1619</v>
      </c>
      <c r="I1775" s="173">
        <v>23</v>
      </c>
      <c r="J1775">
        <v>814</v>
      </c>
      <c r="K1775" s="173">
        <v>584</v>
      </c>
      <c r="L1775" s="402">
        <f t="shared" si="194"/>
        <v>16.501228501228503</v>
      </c>
      <c r="M1775" s="173">
        <f t="shared" si="195"/>
        <v>39.501228501228503</v>
      </c>
      <c r="N1775" s="174"/>
      <c r="O1775" s="173">
        <f t="shared" si="196"/>
        <v>55.301719901719899</v>
      </c>
      <c r="P1775" s="173">
        <v>125</v>
      </c>
    </row>
    <row r="1776" spans="3:16" hidden="1" x14ac:dyDescent="0.35">
      <c r="C1776" s="233" t="s">
        <v>1154</v>
      </c>
      <c r="G1776" s="245" t="s">
        <v>1619</v>
      </c>
      <c r="I1776" s="173">
        <v>23</v>
      </c>
      <c r="J1776">
        <v>814</v>
      </c>
      <c r="K1776" s="173">
        <v>584</v>
      </c>
      <c r="L1776" s="402">
        <f t="shared" si="194"/>
        <v>16.501228501228503</v>
      </c>
      <c r="M1776" s="173">
        <f t="shared" si="195"/>
        <v>39.501228501228503</v>
      </c>
      <c r="N1776" s="174"/>
      <c r="O1776" s="173">
        <f t="shared" si="196"/>
        <v>55.301719901719899</v>
      </c>
      <c r="P1776" s="173">
        <v>125</v>
      </c>
    </row>
    <row r="1777" spans="3:16" hidden="1" x14ac:dyDescent="0.35">
      <c r="C1777" s="233" t="s">
        <v>1154</v>
      </c>
      <c r="G1777" s="245" t="s">
        <v>1619</v>
      </c>
      <c r="I1777" s="173">
        <v>23</v>
      </c>
      <c r="J1777">
        <v>814</v>
      </c>
      <c r="K1777" s="173">
        <v>584</v>
      </c>
      <c r="L1777" s="402">
        <f t="shared" si="194"/>
        <v>16.501228501228503</v>
      </c>
      <c r="M1777" s="173">
        <f t="shared" si="195"/>
        <v>39.501228501228503</v>
      </c>
      <c r="N1777" s="174"/>
      <c r="O1777" s="173">
        <f t="shared" si="196"/>
        <v>55.301719901719899</v>
      </c>
      <c r="P1777" s="173">
        <v>125</v>
      </c>
    </row>
    <row r="1778" spans="3:16" hidden="1" x14ac:dyDescent="0.35">
      <c r="C1778" s="233" t="s">
        <v>1154</v>
      </c>
      <c r="G1778" s="245" t="s">
        <v>1619</v>
      </c>
      <c r="I1778" s="173">
        <v>23</v>
      </c>
      <c r="J1778">
        <v>814</v>
      </c>
      <c r="K1778" s="173">
        <v>584</v>
      </c>
      <c r="L1778" s="402">
        <f t="shared" si="194"/>
        <v>16.501228501228503</v>
      </c>
      <c r="M1778" s="173">
        <f t="shared" si="195"/>
        <v>39.501228501228503</v>
      </c>
      <c r="N1778" s="174"/>
      <c r="O1778" s="173">
        <f t="shared" si="196"/>
        <v>55.301719901719899</v>
      </c>
      <c r="P1778" s="173">
        <v>125</v>
      </c>
    </row>
    <row r="1779" spans="3:16" hidden="1" x14ac:dyDescent="0.35">
      <c r="C1779" s="233" t="s">
        <v>1154</v>
      </c>
      <c r="G1779" s="245" t="s">
        <v>1619</v>
      </c>
      <c r="I1779" s="173">
        <v>23</v>
      </c>
      <c r="J1779">
        <v>814</v>
      </c>
      <c r="K1779" s="173">
        <v>584</v>
      </c>
      <c r="L1779" s="402">
        <f t="shared" si="194"/>
        <v>16.501228501228503</v>
      </c>
      <c r="M1779" s="173">
        <f t="shared" si="195"/>
        <v>39.501228501228503</v>
      </c>
      <c r="N1779" s="174"/>
      <c r="O1779" s="173">
        <f t="shared" si="196"/>
        <v>55.301719901719899</v>
      </c>
      <c r="P1779" s="173">
        <v>125</v>
      </c>
    </row>
    <row r="1780" spans="3:16" hidden="1" x14ac:dyDescent="0.35">
      <c r="C1780" s="233" t="s">
        <v>1154</v>
      </c>
      <c r="G1780" s="245" t="s">
        <v>1119</v>
      </c>
      <c r="I1780" s="173">
        <v>25</v>
      </c>
      <c r="J1780">
        <v>814</v>
      </c>
      <c r="K1780" s="173">
        <v>584</v>
      </c>
      <c r="L1780" s="402">
        <f t="shared" si="194"/>
        <v>17.936117936117938</v>
      </c>
      <c r="M1780" s="173">
        <f t="shared" si="195"/>
        <v>42.936117936117938</v>
      </c>
      <c r="N1780" s="174"/>
      <c r="O1780" s="173">
        <f t="shared" si="196"/>
        <v>60.110565110565112</v>
      </c>
      <c r="P1780" s="173">
        <v>125</v>
      </c>
    </row>
    <row r="1781" spans="3:16" hidden="1" x14ac:dyDescent="0.35">
      <c r="C1781" s="233" t="s">
        <v>1154</v>
      </c>
      <c r="G1781" s="245" t="s">
        <v>1119</v>
      </c>
      <c r="I1781" s="173">
        <v>25</v>
      </c>
      <c r="J1781">
        <v>814</v>
      </c>
      <c r="K1781" s="173">
        <v>584</v>
      </c>
      <c r="L1781" s="402">
        <f t="shared" si="194"/>
        <v>17.936117936117938</v>
      </c>
      <c r="M1781" s="173">
        <f t="shared" si="195"/>
        <v>42.936117936117938</v>
      </c>
      <c r="N1781" s="174"/>
      <c r="O1781" s="173">
        <f t="shared" si="196"/>
        <v>60.110565110565112</v>
      </c>
      <c r="P1781" s="173">
        <v>125</v>
      </c>
    </row>
    <row r="1782" spans="3:16" hidden="1" x14ac:dyDescent="0.35">
      <c r="C1782" s="233" t="s">
        <v>1154</v>
      </c>
      <c r="G1782" s="245" t="s">
        <v>1119</v>
      </c>
      <c r="I1782" s="173">
        <v>25</v>
      </c>
      <c r="J1782">
        <v>814</v>
      </c>
      <c r="K1782" s="173">
        <v>584</v>
      </c>
      <c r="L1782" s="402">
        <f t="shared" si="194"/>
        <v>17.936117936117938</v>
      </c>
      <c r="M1782" s="173">
        <f t="shared" si="195"/>
        <v>42.936117936117938</v>
      </c>
      <c r="N1782" s="174"/>
      <c r="O1782" s="173">
        <f t="shared" si="196"/>
        <v>60.110565110565112</v>
      </c>
      <c r="P1782" s="173">
        <v>125</v>
      </c>
    </row>
    <row r="1783" spans="3:16" hidden="1" x14ac:dyDescent="0.35">
      <c r="C1783" s="233" t="s">
        <v>1154</v>
      </c>
      <c r="G1783" s="245" t="s">
        <v>1119</v>
      </c>
      <c r="I1783" s="173">
        <v>25</v>
      </c>
      <c r="J1783">
        <v>814</v>
      </c>
      <c r="K1783" s="173">
        <v>584</v>
      </c>
      <c r="L1783" s="402">
        <f t="shared" si="194"/>
        <v>17.936117936117938</v>
      </c>
      <c r="M1783" s="173">
        <f t="shared" si="195"/>
        <v>42.936117936117938</v>
      </c>
      <c r="N1783" s="174"/>
      <c r="O1783" s="173">
        <f t="shared" si="196"/>
        <v>60.110565110565112</v>
      </c>
      <c r="P1783" s="173">
        <v>125</v>
      </c>
    </row>
    <row r="1784" spans="3:16" hidden="1" x14ac:dyDescent="0.35">
      <c r="C1784" s="233" t="s">
        <v>1154</v>
      </c>
      <c r="G1784" s="245" t="s">
        <v>1119</v>
      </c>
      <c r="I1784" s="173">
        <v>25</v>
      </c>
      <c r="J1784">
        <v>814</v>
      </c>
      <c r="K1784" s="173">
        <v>584</v>
      </c>
      <c r="L1784" s="402">
        <f t="shared" si="194"/>
        <v>17.936117936117938</v>
      </c>
      <c r="M1784" s="173">
        <f t="shared" si="195"/>
        <v>42.936117936117938</v>
      </c>
      <c r="N1784" s="174"/>
      <c r="O1784" s="173">
        <f t="shared" si="196"/>
        <v>60.110565110565112</v>
      </c>
      <c r="P1784" s="173">
        <v>125</v>
      </c>
    </row>
    <row r="1785" spans="3:16" hidden="1" x14ac:dyDescent="0.35">
      <c r="C1785" s="233" t="s">
        <v>1154</v>
      </c>
      <c r="G1785" s="245" t="s">
        <v>1119</v>
      </c>
      <c r="I1785" s="173">
        <v>40</v>
      </c>
      <c r="J1785">
        <v>814</v>
      </c>
      <c r="K1785" s="173">
        <v>584</v>
      </c>
      <c r="L1785" s="402">
        <f t="shared" si="194"/>
        <v>28.697788697788695</v>
      </c>
      <c r="M1785" s="173">
        <f t="shared" si="195"/>
        <v>68.697788697788695</v>
      </c>
      <c r="N1785" s="174"/>
      <c r="O1785" s="173">
        <f t="shared" si="196"/>
        <v>96.176904176904173</v>
      </c>
      <c r="P1785" s="173">
        <v>125</v>
      </c>
    </row>
    <row r="1786" spans="3:16" hidden="1" x14ac:dyDescent="0.35">
      <c r="C1786" s="233" t="s">
        <v>1154</v>
      </c>
      <c r="G1786" s="245" t="s">
        <v>1119</v>
      </c>
      <c r="I1786" s="173">
        <v>40</v>
      </c>
      <c r="J1786">
        <v>814</v>
      </c>
      <c r="K1786" s="173">
        <v>584</v>
      </c>
      <c r="L1786" s="402">
        <f t="shared" si="194"/>
        <v>28.697788697788695</v>
      </c>
      <c r="M1786" s="173">
        <f t="shared" si="195"/>
        <v>68.697788697788695</v>
      </c>
      <c r="N1786" s="174"/>
      <c r="O1786" s="173">
        <f t="shared" si="196"/>
        <v>96.176904176904173</v>
      </c>
      <c r="P1786" s="173">
        <v>125</v>
      </c>
    </row>
    <row r="1787" spans="3:16" hidden="1" x14ac:dyDescent="0.35">
      <c r="C1787" s="233" t="s">
        <v>1154</v>
      </c>
      <c r="G1787" s="245" t="s">
        <v>1119</v>
      </c>
      <c r="I1787" s="173">
        <v>40</v>
      </c>
      <c r="J1787">
        <v>814</v>
      </c>
      <c r="K1787" s="173">
        <v>584</v>
      </c>
      <c r="L1787" s="402">
        <f t="shared" si="194"/>
        <v>28.697788697788695</v>
      </c>
      <c r="M1787" s="173">
        <f t="shared" si="195"/>
        <v>68.697788697788695</v>
      </c>
      <c r="N1787" s="174"/>
      <c r="O1787" s="173">
        <f t="shared" si="196"/>
        <v>96.176904176904173</v>
      </c>
      <c r="P1787" s="173">
        <v>125</v>
      </c>
    </row>
    <row r="1788" spans="3:16" hidden="1" x14ac:dyDescent="0.35">
      <c r="C1788" s="233" t="s">
        <v>1154</v>
      </c>
      <c r="G1788" s="245" t="s">
        <v>1119</v>
      </c>
      <c r="I1788" s="173">
        <v>40</v>
      </c>
      <c r="J1788">
        <v>814</v>
      </c>
      <c r="K1788" s="173">
        <v>584</v>
      </c>
      <c r="L1788" s="402">
        <f t="shared" si="194"/>
        <v>28.697788697788695</v>
      </c>
      <c r="M1788" s="173">
        <f t="shared" si="195"/>
        <v>68.697788697788695</v>
      </c>
      <c r="N1788" s="174"/>
      <c r="O1788" s="173">
        <f t="shared" si="196"/>
        <v>96.176904176904173</v>
      </c>
      <c r="P1788" s="173">
        <v>125</v>
      </c>
    </row>
    <row r="1789" spans="3:16" hidden="1" x14ac:dyDescent="0.35">
      <c r="C1789" s="233" t="s">
        <v>1154</v>
      </c>
      <c r="G1789" s="245" t="s">
        <v>1119</v>
      </c>
      <c r="I1789" s="173">
        <v>40</v>
      </c>
      <c r="J1789">
        <v>814</v>
      </c>
      <c r="K1789" s="173">
        <v>584</v>
      </c>
      <c r="L1789" s="402">
        <f t="shared" si="194"/>
        <v>28.697788697788695</v>
      </c>
      <c r="M1789" s="173">
        <f t="shared" si="195"/>
        <v>68.697788697788695</v>
      </c>
      <c r="N1789" s="174"/>
      <c r="O1789" s="173">
        <f t="shared" si="196"/>
        <v>96.176904176904173</v>
      </c>
      <c r="P1789" s="173">
        <v>125</v>
      </c>
    </row>
    <row r="1790" spans="3:16" hidden="1" x14ac:dyDescent="0.35">
      <c r="G1790"/>
      <c r="H1790"/>
    </row>
    <row r="1791" spans="3:16" hidden="1" x14ac:dyDescent="0.35">
      <c r="C1791" s="233" t="s">
        <v>1613</v>
      </c>
      <c r="G1791" s="245" t="s">
        <v>1614</v>
      </c>
      <c r="I1791" s="173">
        <v>50</v>
      </c>
      <c r="J1791">
        <v>800</v>
      </c>
      <c r="K1791" s="173">
        <f>8*14</f>
        <v>112</v>
      </c>
      <c r="L1791" s="402">
        <f t="shared" ref="L1791:L1822" si="197">+I1791/J1791*K1791</f>
        <v>7</v>
      </c>
      <c r="M1791" s="173">
        <f t="shared" ref="M1791:M1822" si="198">+I1791+L1791</f>
        <v>57</v>
      </c>
      <c r="N1791" s="174"/>
      <c r="O1791" s="173">
        <f t="shared" ref="O1791:O1822" si="199">+M1791*1.4</f>
        <v>79.8</v>
      </c>
      <c r="P1791" s="173">
        <v>150</v>
      </c>
    </row>
    <row r="1792" spans="3:16" hidden="1" x14ac:dyDescent="0.35">
      <c r="C1792" s="233" t="s">
        <v>1613</v>
      </c>
      <c r="G1792" s="245" t="s">
        <v>1614</v>
      </c>
      <c r="I1792" s="173">
        <v>50</v>
      </c>
      <c r="J1792">
        <v>800</v>
      </c>
      <c r="K1792" s="173">
        <f t="shared" ref="K1792:K1806" si="200">8*14</f>
        <v>112</v>
      </c>
      <c r="L1792" s="402">
        <f t="shared" si="197"/>
        <v>7</v>
      </c>
      <c r="M1792" s="173">
        <f t="shared" si="198"/>
        <v>57</v>
      </c>
      <c r="N1792" s="174"/>
      <c r="O1792" s="173">
        <f t="shared" si="199"/>
        <v>79.8</v>
      </c>
      <c r="P1792" s="173">
        <v>150</v>
      </c>
    </row>
    <row r="1793" spans="3:16" hidden="1" x14ac:dyDescent="0.35">
      <c r="C1793" s="233" t="s">
        <v>1613</v>
      </c>
      <c r="G1793" s="245" t="s">
        <v>1614</v>
      </c>
      <c r="I1793" s="173">
        <v>50</v>
      </c>
      <c r="J1793">
        <v>800</v>
      </c>
      <c r="K1793" s="173">
        <f t="shared" si="200"/>
        <v>112</v>
      </c>
      <c r="L1793" s="402">
        <f t="shared" si="197"/>
        <v>7</v>
      </c>
      <c r="M1793" s="173">
        <f t="shared" si="198"/>
        <v>57</v>
      </c>
      <c r="N1793" s="174"/>
      <c r="O1793" s="173">
        <f t="shared" si="199"/>
        <v>79.8</v>
      </c>
      <c r="P1793" s="173">
        <v>150</v>
      </c>
    </row>
    <row r="1794" spans="3:16" hidden="1" x14ac:dyDescent="0.35">
      <c r="C1794" s="233" t="s">
        <v>1613</v>
      </c>
      <c r="G1794" s="245" t="s">
        <v>1614</v>
      </c>
      <c r="I1794" s="173">
        <v>50</v>
      </c>
      <c r="J1794">
        <v>800</v>
      </c>
      <c r="K1794" s="173">
        <f t="shared" si="200"/>
        <v>112</v>
      </c>
      <c r="L1794" s="402">
        <f t="shared" si="197"/>
        <v>7</v>
      </c>
      <c r="M1794" s="173">
        <f t="shared" si="198"/>
        <v>57</v>
      </c>
      <c r="N1794" s="174"/>
      <c r="O1794" s="173">
        <f t="shared" si="199"/>
        <v>79.8</v>
      </c>
      <c r="P1794" s="173">
        <v>150</v>
      </c>
    </row>
    <row r="1795" spans="3:16" hidden="1" x14ac:dyDescent="0.35">
      <c r="C1795" s="233" t="s">
        <v>1613</v>
      </c>
      <c r="G1795" s="245" t="s">
        <v>1615</v>
      </c>
      <c r="I1795" s="173">
        <v>50</v>
      </c>
      <c r="J1795">
        <v>800</v>
      </c>
      <c r="K1795" s="173">
        <f t="shared" si="200"/>
        <v>112</v>
      </c>
      <c r="L1795" s="402">
        <f t="shared" si="197"/>
        <v>7</v>
      </c>
      <c r="M1795" s="173">
        <f t="shared" si="198"/>
        <v>57</v>
      </c>
      <c r="N1795" s="174"/>
      <c r="O1795" s="173">
        <f t="shared" si="199"/>
        <v>79.8</v>
      </c>
      <c r="P1795" s="173">
        <v>125</v>
      </c>
    </row>
    <row r="1796" spans="3:16" hidden="1" x14ac:dyDescent="0.35">
      <c r="C1796" s="233" t="s">
        <v>1613</v>
      </c>
      <c r="G1796" s="245" t="s">
        <v>1615</v>
      </c>
      <c r="I1796" s="173">
        <v>50</v>
      </c>
      <c r="J1796">
        <v>800</v>
      </c>
      <c r="K1796" s="173">
        <f t="shared" si="200"/>
        <v>112</v>
      </c>
      <c r="L1796" s="402">
        <f t="shared" si="197"/>
        <v>7</v>
      </c>
      <c r="M1796" s="173">
        <f t="shared" si="198"/>
        <v>57</v>
      </c>
      <c r="N1796" s="174"/>
      <c r="O1796" s="173">
        <f t="shared" si="199"/>
        <v>79.8</v>
      </c>
      <c r="P1796" s="173">
        <v>125</v>
      </c>
    </row>
    <row r="1797" spans="3:16" hidden="1" x14ac:dyDescent="0.35">
      <c r="C1797" s="233" t="s">
        <v>1613</v>
      </c>
      <c r="G1797" s="245" t="s">
        <v>1615</v>
      </c>
      <c r="I1797" s="173">
        <v>50</v>
      </c>
      <c r="J1797">
        <v>800</v>
      </c>
      <c r="K1797" s="173">
        <f t="shared" si="200"/>
        <v>112</v>
      </c>
      <c r="L1797" s="402">
        <f t="shared" si="197"/>
        <v>7</v>
      </c>
      <c r="M1797" s="173">
        <f t="shared" si="198"/>
        <v>57</v>
      </c>
      <c r="N1797" s="174"/>
      <c r="O1797" s="173">
        <f t="shared" si="199"/>
        <v>79.8</v>
      </c>
      <c r="P1797" s="173">
        <v>125</v>
      </c>
    </row>
    <row r="1798" spans="3:16" hidden="1" x14ac:dyDescent="0.35">
      <c r="C1798" s="233" t="s">
        <v>1613</v>
      </c>
      <c r="G1798" s="245" t="s">
        <v>1615</v>
      </c>
      <c r="I1798" s="173">
        <v>50</v>
      </c>
      <c r="J1798">
        <v>800</v>
      </c>
      <c r="K1798" s="173">
        <f t="shared" si="200"/>
        <v>112</v>
      </c>
      <c r="L1798" s="402">
        <f t="shared" si="197"/>
        <v>7</v>
      </c>
      <c r="M1798" s="173">
        <f t="shared" si="198"/>
        <v>57</v>
      </c>
      <c r="N1798" s="174"/>
      <c r="O1798" s="173">
        <f t="shared" si="199"/>
        <v>79.8</v>
      </c>
      <c r="P1798" s="173">
        <v>125</v>
      </c>
    </row>
    <row r="1799" spans="3:16" hidden="1" x14ac:dyDescent="0.35">
      <c r="C1799" s="233" t="s">
        <v>1613</v>
      </c>
      <c r="G1799" s="245" t="s">
        <v>1616</v>
      </c>
      <c r="I1799" s="173">
        <v>50</v>
      </c>
      <c r="J1799">
        <v>800</v>
      </c>
      <c r="K1799" s="173">
        <f t="shared" si="200"/>
        <v>112</v>
      </c>
      <c r="L1799" s="402">
        <f t="shared" si="197"/>
        <v>7</v>
      </c>
      <c r="M1799" s="173">
        <f t="shared" si="198"/>
        <v>57</v>
      </c>
      <c r="N1799" s="174"/>
      <c r="O1799" s="173">
        <f t="shared" si="199"/>
        <v>79.8</v>
      </c>
      <c r="P1799" s="173">
        <v>150</v>
      </c>
    </row>
    <row r="1800" spans="3:16" hidden="1" x14ac:dyDescent="0.35">
      <c r="C1800" s="233" t="s">
        <v>1613</v>
      </c>
      <c r="G1800" s="245" t="s">
        <v>1616</v>
      </c>
      <c r="I1800" s="173">
        <v>50</v>
      </c>
      <c r="J1800">
        <v>800</v>
      </c>
      <c r="K1800" s="173">
        <f t="shared" si="200"/>
        <v>112</v>
      </c>
      <c r="L1800" s="402">
        <f t="shared" si="197"/>
        <v>7</v>
      </c>
      <c r="M1800" s="173">
        <f t="shared" si="198"/>
        <v>57</v>
      </c>
      <c r="N1800" s="174"/>
      <c r="O1800" s="173">
        <f t="shared" si="199"/>
        <v>79.8</v>
      </c>
      <c r="P1800" s="173">
        <v>150</v>
      </c>
    </row>
    <row r="1801" spans="3:16" hidden="1" x14ac:dyDescent="0.35">
      <c r="C1801" s="233" t="s">
        <v>1613</v>
      </c>
      <c r="G1801" s="245" t="s">
        <v>1616</v>
      </c>
      <c r="I1801" s="173">
        <v>50</v>
      </c>
      <c r="J1801">
        <v>800</v>
      </c>
      <c r="K1801" s="173">
        <f t="shared" si="200"/>
        <v>112</v>
      </c>
      <c r="L1801" s="402">
        <f t="shared" si="197"/>
        <v>7</v>
      </c>
      <c r="M1801" s="173">
        <f t="shared" si="198"/>
        <v>57</v>
      </c>
      <c r="N1801" s="174"/>
      <c r="O1801" s="173">
        <f t="shared" si="199"/>
        <v>79.8</v>
      </c>
      <c r="P1801" s="173">
        <v>150</v>
      </c>
    </row>
    <row r="1802" spans="3:16" hidden="1" x14ac:dyDescent="0.35">
      <c r="C1802" s="233" t="s">
        <v>1613</v>
      </c>
      <c r="G1802" s="245" t="s">
        <v>1616</v>
      </c>
      <c r="I1802" s="173">
        <v>50</v>
      </c>
      <c r="J1802">
        <v>800</v>
      </c>
      <c r="K1802" s="173">
        <f t="shared" si="200"/>
        <v>112</v>
      </c>
      <c r="L1802" s="402">
        <f t="shared" si="197"/>
        <v>7</v>
      </c>
      <c r="M1802" s="173">
        <f t="shared" si="198"/>
        <v>57</v>
      </c>
      <c r="N1802" s="174"/>
      <c r="O1802" s="173">
        <f t="shared" si="199"/>
        <v>79.8</v>
      </c>
      <c r="P1802" s="173">
        <v>150</v>
      </c>
    </row>
    <row r="1803" spans="3:16" hidden="1" x14ac:dyDescent="0.35">
      <c r="C1803" s="233" t="s">
        <v>1613</v>
      </c>
      <c r="G1803" s="245" t="s">
        <v>1617</v>
      </c>
      <c r="I1803" s="173">
        <v>50</v>
      </c>
      <c r="J1803">
        <v>800</v>
      </c>
      <c r="K1803" s="173">
        <f t="shared" si="200"/>
        <v>112</v>
      </c>
      <c r="L1803" s="402">
        <f t="shared" si="197"/>
        <v>7</v>
      </c>
      <c r="M1803" s="173">
        <f t="shared" si="198"/>
        <v>57</v>
      </c>
      <c r="N1803" s="174"/>
      <c r="O1803" s="173">
        <f t="shared" si="199"/>
        <v>79.8</v>
      </c>
      <c r="P1803" s="173">
        <v>150</v>
      </c>
    </row>
    <row r="1804" spans="3:16" hidden="1" x14ac:dyDescent="0.35">
      <c r="C1804" s="233" t="s">
        <v>1613</v>
      </c>
      <c r="G1804" s="245" t="s">
        <v>1617</v>
      </c>
      <c r="I1804" s="173">
        <v>50</v>
      </c>
      <c r="J1804">
        <v>800</v>
      </c>
      <c r="K1804" s="173">
        <f t="shared" si="200"/>
        <v>112</v>
      </c>
      <c r="L1804" s="402">
        <f t="shared" si="197"/>
        <v>7</v>
      </c>
      <c r="M1804" s="173">
        <f t="shared" si="198"/>
        <v>57</v>
      </c>
      <c r="N1804" s="174"/>
      <c r="O1804" s="173">
        <f t="shared" si="199"/>
        <v>79.8</v>
      </c>
      <c r="P1804" s="173">
        <v>150</v>
      </c>
    </row>
    <row r="1805" spans="3:16" hidden="1" x14ac:dyDescent="0.35">
      <c r="C1805" s="233" t="s">
        <v>1613</v>
      </c>
      <c r="G1805" s="245" t="s">
        <v>1617</v>
      </c>
      <c r="I1805" s="173">
        <v>50</v>
      </c>
      <c r="J1805">
        <v>800</v>
      </c>
      <c r="K1805" s="173">
        <f t="shared" si="200"/>
        <v>112</v>
      </c>
      <c r="L1805" s="402">
        <f t="shared" si="197"/>
        <v>7</v>
      </c>
      <c r="M1805" s="173">
        <f t="shared" si="198"/>
        <v>57</v>
      </c>
      <c r="N1805" s="174"/>
      <c r="O1805" s="173">
        <f t="shared" si="199"/>
        <v>79.8</v>
      </c>
      <c r="P1805" s="173">
        <v>150</v>
      </c>
    </row>
    <row r="1806" spans="3:16" hidden="1" x14ac:dyDescent="0.35">
      <c r="C1806" s="233" t="s">
        <v>1613</v>
      </c>
      <c r="G1806" s="245" t="s">
        <v>1617</v>
      </c>
      <c r="I1806" s="173">
        <v>50</v>
      </c>
      <c r="J1806">
        <v>800</v>
      </c>
      <c r="K1806" s="173">
        <f t="shared" si="200"/>
        <v>112</v>
      </c>
      <c r="L1806" s="402">
        <f t="shared" si="197"/>
        <v>7</v>
      </c>
      <c r="M1806" s="173">
        <f t="shared" si="198"/>
        <v>57</v>
      </c>
      <c r="N1806" s="174"/>
      <c r="O1806" s="173">
        <f t="shared" si="199"/>
        <v>79.8</v>
      </c>
      <c r="P1806" s="173">
        <v>150</v>
      </c>
    </row>
    <row r="1807" spans="3:16" hidden="1" x14ac:dyDescent="0.35">
      <c r="C1807" s="233" t="s">
        <v>1623</v>
      </c>
      <c r="F1807" s="366">
        <v>44</v>
      </c>
      <c r="G1807" s="245" t="s">
        <v>1624</v>
      </c>
      <c r="I1807" s="173">
        <v>53</v>
      </c>
      <c r="J1807">
        <v>904</v>
      </c>
      <c r="K1807" s="173">
        <v>140</v>
      </c>
      <c r="L1807" s="402">
        <f t="shared" si="197"/>
        <v>8.2079646017699108</v>
      </c>
      <c r="M1807" s="173">
        <f t="shared" si="198"/>
        <v>61.207964601769909</v>
      </c>
      <c r="N1807" s="174"/>
      <c r="O1807" s="173">
        <f t="shared" si="199"/>
        <v>85.691150442477863</v>
      </c>
      <c r="P1807" s="173">
        <v>150</v>
      </c>
    </row>
    <row r="1808" spans="3:16" hidden="1" x14ac:dyDescent="0.35">
      <c r="C1808" s="233" t="s">
        <v>1623</v>
      </c>
      <c r="F1808" s="366">
        <v>46</v>
      </c>
      <c r="G1808" s="245" t="s">
        <v>1624</v>
      </c>
      <c r="I1808" s="173">
        <v>53</v>
      </c>
      <c r="J1808">
        <v>904</v>
      </c>
      <c r="K1808" s="173">
        <v>140</v>
      </c>
      <c r="L1808" s="402">
        <f t="shared" si="197"/>
        <v>8.2079646017699108</v>
      </c>
      <c r="M1808" s="173">
        <f t="shared" si="198"/>
        <v>61.207964601769909</v>
      </c>
      <c r="N1808" s="174"/>
      <c r="O1808" s="173">
        <f t="shared" si="199"/>
        <v>85.691150442477863</v>
      </c>
      <c r="P1808" s="173">
        <v>150</v>
      </c>
    </row>
    <row r="1809" spans="3:16" hidden="1" x14ac:dyDescent="0.35">
      <c r="C1809" s="233" t="s">
        <v>1623</v>
      </c>
      <c r="F1809" s="366">
        <v>48</v>
      </c>
      <c r="G1809" s="245" t="s">
        <v>1624</v>
      </c>
      <c r="I1809" s="173">
        <v>53</v>
      </c>
      <c r="J1809">
        <v>904</v>
      </c>
      <c r="K1809" s="173">
        <v>140</v>
      </c>
      <c r="L1809" s="402">
        <f t="shared" si="197"/>
        <v>8.2079646017699108</v>
      </c>
      <c r="M1809" s="173">
        <f t="shared" si="198"/>
        <v>61.207964601769909</v>
      </c>
      <c r="N1809" s="174"/>
      <c r="O1809" s="173">
        <f t="shared" si="199"/>
        <v>85.691150442477863</v>
      </c>
      <c r="P1809" s="173">
        <v>150</v>
      </c>
    </row>
    <row r="1810" spans="3:16" hidden="1" x14ac:dyDescent="0.35">
      <c r="C1810" s="233" t="s">
        <v>1623</v>
      </c>
      <c r="F1810" s="366">
        <v>50</v>
      </c>
      <c r="G1810" s="245" t="s">
        <v>1624</v>
      </c>
      <c r="I1810" s="173">
        <v>53</v>
      </c>
      <c r="J1810">
        <v>904</v>
      </c>
      <c r="K1810" s="173">
        <v>140</v>
      </c>
      <c r="L1810" s="402">
        <f t="shared" si="197"/>
        <v>8.2079646017699108</v>
      </c>
      <c r="M1810" s="173">
        <f t="shared" si="198"/>
        <v>61.207964601769909</v>
      </c>
      <c r="N1810" s="174"/>
      <c r="O1810" s="173">
        <f t="shared" si="199"/>
        <v>85.691150442477863</v>
      </c>
      <c r="P1810" s="173">
        <v>150</v>
      </c>
    </row>
    <row r="1811" spans="3:16" hidden="1" x14ac:dyDescent="0.35">
      <c r="C1811" s="233" t="s">
        <v>1623</v>
      </c>
      <c r="F1811" s="366">
        <v>44</v>
      </c>
      <c r="G1811" s="245" t="s">
        <v>1625</v>
      </c>
      <c r="I1811" s="173">
        <v>53</v>
      </c>
      <c r="J1811">
        <v>904</v>
      </c>
      <c r="K1811" s="173">
        <v>140</v>
      </c>
      <c r="L1811" s="402">
        <f t="shared" si="197"/>
        <v>8.2079646017699108</v>
      </c>
      <c r="M1811" s="173">
        <f t="shared" si="198"/>
        <v>61.207964601769909</v>
      </c>
      <c r="N1811" s="174"/>
      <c r="O1811" s="173">
        <f t="shared" si="199"/>
        <v>85.691150442477863</v>
      </c>
      <c r="P1811" s="173">
        <v>150</v>
      </c>
    </row>
    <row r="1812" spans="3:16" hidden="1" x14ac:dyDescent="0.35">
      <c r="C1812" s="233" t="s">
        <v>1623</v>
      </c>
      <c r="F1812" s="366">
        <v>46</v>
      </c>
      <c r="G1812" s="245" t="s">
        <v>1625</v>
      </c>
      <c r="I1812" s="173">
        <v>53</v>
      </c>
      <c r="J1812">
        <v>904</v>
      </c>
      <c r="K1812" s="173">
        <v>140</v>
      </c>
      <c r="L1812" s="402">
        <f t="shared" si="197"/>
        <v>8.2079646017699108</v>
      </c>
      <c r="M1812" s="173">
        <f t="shared" si="198"/>
        <v>61.207964601769909</v>
      </c>
      <c r="N1812" s="174"/>
      <c r="O1812" s="173">
        <f t="shared" si="199"/>
        <v>85.691150442477863</v>
      </c>
      <c r="P1812" s="173">
        <v>150</v>
      </c>
    </row>
    <row r="1813" spans="3:16" hidden="1" x14ac:dyDescent="0.35">
      <c r="C1813" s="233" t="s">
        <v>1623</v>
      </c>
      <c r="F1813" s="366">
        <v>48</v>
      </c>
      <c r="G1813" s="245" t="s">
        <v>1625</v>
      </c>
      <c r="I1813" s="173">
        <v>53</v>
      </c>
      <c r="J1813">
        <v>904</v>
      </c>
      <c r="K1813" s="173">
        <v>140</v>
      </c>
      <c r="L1813" s="402">
        <f t="shared" si="197"/>
        <v>8.2079646017699108</v>
      </c>
      <c r="M1813" s="173">
        <f t="shared" si="198"/>
        <v>61.207964601769909</v>
      </c>
      <c r="N1813" s="174"/>
      <c r="O1813" s="173">
        <f t="shared" si="199"/>
        <v>85.691150442477863</v>
      </c>
      <c r="P1813" s="173">
        <v>150</v>
      </c>
    </row>
    <row r="1814" spans="3:16" hidden="1" x14ac:dyDescent="0.35">
      <c r="C1814" s="233" t="s">
        <v>1623</v>
      </c>
      <c r="F1814" s="366">
        <v>50</v>
      </c>
      <c r="G1814" s="245" t="s">
        <v>1625</v>
      </c>
      <c r="I1814" s="173">
        <v>53</v>
      </c>
      <c r="J1814">
        <v>904</v>
      </c>
      <c r="K1814" s="173">
        <v>140</v>
      </c>
      <c r="L1814" s="402">
        <f t="shared" si="197"/>
        <v>8.2079646017699108</v>
      </c>
      <c r="M1814" s="173">
        <f t="shared" si="198"/>
        <v>61.207964601769909</v>
      </c>
      <c r="N1814" s="174"/>
      <c r="O1814" s="173">
        <f t="shared" si="199"/>
        <v>85.691150442477863</v>
      </c>
      <c r="P1814" s="173">
        <v>150</v>
      </c>
    </row>
    <row r="1815" spans="3:16" hidden="1" x14ac:dyDescent="0.35">
      <c r="C1815" s="233" t="s">
        <v>1623</v>
      </c>
      <c r="F1815" s="366">
        <v>50</v>
      </c>
      <c r="G1815" s="245" t="s">
        <v>1626</v>
      </c>
      <c r="I1815" s="173">
        <v>55</v>
      </c>
      <c r="J1815">
        <v>904</v>
      </c>
      <c r="K1815" s="173">
        <v>140</v>
      </c>
      <c r="L1815" s="402">
        <f t="shared" si="197"/>
        <v>8.5176991150442483</v>
      </c>
      <c r="M1815" s="173">
        <f t="shared" si="198"/>
        <v>63.517699115044252</v>
      </c>
      <c r="N1815" s="174"/>
      <c r="O1815" s="173">
        <f t="shared" si="199"/>
        <v>88.924778761061944</v>
      </c>
      <c r="P1815" s="173">
        <v>150</v>
      </c>
    </row>
    <row r="1816" spans="3:16" hidden="1" x14ac:dyDescent="0.35">
      <c r="C1816" s="233" t="s">
        <v>1623</v>
      </c>
      <c r="F1816" s="366">
        <v>52</v>
      </c>
      <c r="G1816" s="245" t="s">
        <v>1626</v>
      </c>
      <c r="I1816" s="173">
        <v>55</v>
      </c>
      <c r="J1816">
        <v>904</v>
      </c>
      <c r="K1816" s="173">
        <v>140</v>
      </c>
      <c r="L1816" s="402">
        <f t="shared" si="197"/>
        <v>8.5176991150442483</v>
      </c>
      <c r="M1816" s="173">
        <f t="shared" si="198"/>
        <v>63.517699115044252</v>
      </c>
      <c r="N1816" s="174"/>
      <c r="O1816" s="173">
        <f t="shared" si="199"/>
        <v>88.924778761061944</v>
      </c>
      <c r="P1816" s="173">
        <v>150</v>
      </c>
    </row>
    <row r="1817" spans="3:16" hidden="1" x14ac:dyDescent="0.35">
      <c r="C1817" s="233" t="s">
        <v>1623</v>
      </c>
      <c r="F1817" s="366">
        <v>54</v>
      </c>
      <c r="G1817" s="245" t="s">
        <v>1626</v>
      </c>
      <c r="I1817" s="173">
        <v>55</v>
      </c>
      <c r="J1817">
        <v>904</v>
      </c>
      <c r="K1817" s="173">
        <v>140</v>
      </c>
      <c r="L1817" s="402">
        <f t="shared" si="197"/>
        <v>8.5176991150442483</v>
      </c>
      <c r="M1817" s="173">
        <f t="shared" si="198"/>
        <v>63.517699115044252</v>
      </c>
      <c r="N1817" s="174"/>
      <c r="O1817" s="173">
        <f t="shared" si="199"/>
        <v>88.924778761061944</v>
      </c>
      <c r="P1817" s="173">
        <v>150</v>
      </c>
    </row>
    <row r="1818" spans="3:16" hidden="1" x14ac:dyDescent="0.35">
      <c r="C1818" s="233" t="s">
        <v>1623</v>
      </c>
      <c r="F1818" s="366">
        <v>56</v>
      </c>
      <c r="G1818" s="245" t="s">
        <v>1626</v>
      </c>
      <c r="I1818" s="173">
        <v>55</v>
      </c>
      <c r="J1818">
        <v>904</v>
      </c>
      <c r="K1818" s="173">
        <v>140</v>
      </c>
      <c r="L1818" s="402">
        <f t="shared" si="197"/>
        <v>8.5176991150442483</v>
      </c>
      <c r="M1818" s="173">
        <f t="shared" si="198"/>
        <v>63.517699115044252</v>
      </c>
      <c r="N1818" s="174"/>
      <c r="O1818" s="173">
        <f t="shared" si="199"/>
        <v>88.924778761061944</v>
      </c>
      <c r="P1818" s="173">
        <v>150</v>
      </c>
    </row>
    <row r="1819" spans="3:16" hidden="1" x14ac:dyDescent="0.35">
      <c r="C1819" s="233" t="s">
        <v>1623</v>
      </c>
      <c r="F1819" s="366">
        <v>44</v>
      </c>
      <c r="G1819" s="245" t="s">
        <v>1706</v>
      </c>
      <c r="I1819" s="173">
        <v>65</v>
      </c>
      <c r="J1819">
        <v>904</v>
      </c>
      <c r="K1819" s="173">
        <v>140</v>
      </c>
      <c r="L1819" s="402">
        <f t="shared" si="197"/>
        <v>10.06637168141593</v>
      </c>
      <c r="M1819" s="173">
        <f t="shared" si="198"/>
        <v>75.06637168141593</v>
      </c>
      <c r="N1819" s="174"/>
      <c r="O1819" s="173">
        <f t="shared" si="199"/>
        <v>105.09292035398229</v>
      </c>
      <c r="P1819" s="173">
        <v>150</v>
      </c>
    </row>
    <row r="1820" spans="3:16" hidden="1" x14ac:dyDescent="0.35">
      <c r="C1820" s="233" t="s">
        <v>1623</v>
      </c>
      <c r="F1820" s="366">
        <v>46</v>
      </c>
      <c r="G1820" s="245" t="s">
        <v>1706</v>
      </c>
      <c r="I1820" s="173">
        <v>65</v>
      </c>
      <c r="J1820">
        <v>904</v>
      </c>
      <c r="K1820" s="173">
        <v>140</v>
      </c>
      <c r="L1820" s="402">
        <f t="shared" si="197"/>
        <v>10.06637168141593</v>
      </c>
      <c r="M1820" s="173">
        <f t="shared" si="198"/>
        <v>75.06637168141593</v>
      </c>
      <c r="N1820" s="174"/>
      <c r="O1820" s="173">
        <f t="shared" si="199"/>
        <v>105.09292035398229</v>
      </c>
      <c r="P1820" s="173">
        <v>150</v>
      </c>
    </row>
    <row r="1821" spans="3:16" hidden="1" x14ac:dyDescent="0.35">
      <c r="C1821" s="233" t="s">
        <v>1623</v>
      </c>
      <c r="F1821" s="366">
        <v>48</v>
      </c>
      <c r="G1821" s="245" t="s">
        <v>1706</v>
      </c>
      <c r="I1821" s="173">
        <v>65</v>
      </c>
      <c r="J1821">
        <v>904</v>
      </c>
      <c r="K1821" s="173">
        <v>140</v>
      </c>
      <c r="L1821" s="402">
        <f t="shared" si="197"/>
        <v>10.06637168141593</v>
      </c>
      <c r="M1821" s="173">
        <f t="shared" si="198"/>
        <v>75.06637168141593</v>
      </c>
      <c r="N1821" s="174"/>
      <c r="O1821" s="173">
        <f t="shared" si="199"/>
        <v>105.09292035398229</v>
      </c>
      <c r="P1821" s="173">
        <v>150</v>
      </c>
    </row>
    <row r="1822" spans="3:16" hidden="1" x14ac:dyDescent="0.35">
      <c r="C1822" s="233" t="s">
        <v>1623</v>
      </c>
      <c r="F1822" s="366">
        <v>50</v>
      </c>
      <c r="G1822" s="245" t="s">
        <v>1706</v>
      </c>
      <c r="I1822" s="173">
        <v>65</v>
      </c>
      <c r="J1822">
        <v>904</v>
      </c>
      <c r="K1822" s="173">
        <v>140</v>
      </c>
      <c r="L1822" s="402">
        <f t="shared" si="197"/>
        <v>10.06637168141593</v>
      </c>
      <c r="M1822" s="173">
        <f t="shared" si="198"/>
        <v>75.06637168141593</v>
      </c>
      <c r="N1822" s="174"/>
      <c r="O1822" s="173">
        <f t="shared" si="199"/>
        <v>105.09292035398229</v>
      </c>
      <c r="P1822" s="173">
        <v>150</v>
      </c>
    </row>
    <row r="1823" spans="3:16" hidden="1" x14ac:dyDescent="0.35"/>
    <row r="1824" spans="3:16" hidden="1" x14ac:dyDescent="0.35">
      <c r="C1824" s="233" t="s">
        <v>1707</v>
      </c>
    </row>
    <row r="1825" spans="3:16" hidden="1" x14ac:dyDescent="0.35">
      <c r="C1825" s="233" t="s">
        <v>1707</v>
      </c>
      <c r="G1825" s="245" t="s">
        <v>1710</v>
      </c>
      <c r="I1825" s="173">
        <v>16</v>
      </c>
      <c r="J1825">
        <v>394</v>
      </c>
      <c r="K1825" s="173">
        <v>225</v>
      </c>
      <c r="L1825" s="402">
        <f t="shared" ref="L1825:L1852" si="201">+I1825/J1825*K1825</f>
        <v>9.1370558375634516</v>
      </c>
      <c r="M1825" s="173">
        <f t="shared" ref="M1825:M1852" si="202">+I1825+L1825</f>
        <v>25.137055837563452</v>
      </c>
      <c r="N1825" s="174"/>
      <c r="O1825" s="173">
        <f t="shared" ref="O1825:O1852" si="203">+M1825*1.4</f>
        <v>35.191878172588829</v>
      </c>
      <c r="P1825" s="173">
        <v>45</v>
      </c>
    </row>
    <row r="1826" spans="3:16" hidden="1" x14ac:dyDescent="0.35">
      <c r="C1826" s="233" t="s">
        <v>1707</v>
      </c>
      <c r="G1826" s="245" t="s">
        <v>1710</v>
      </c>
      <c r="I1826" s="173">
        <v>16</v>
      </c>
      <c r="J1826">
        <v>394</v>
      </c>
      <c r="K1826" s="173">
        <v>225</v>
      </c>
      <c r="L1826" s="402">
        <f t="shared" si="201"/>
        <v>9.1370558375634516</v>
      </c>
      <c r="M1826" s="173">
        <f t="shared" si="202"/>
        <v>25.137055837563452</v>
      </c>
      <c r="N1826" s="174"/>
      <c r="O1826" s="173">
        <f t="shared" si="203"/>
        <v>35.191878172588829</v>
      </c>
      <c r="P1826" s="173">
        <v>45</v>
      </c>
    </row>
    <row r="1827" spans="3:16" hidden="1" x14ac:dyDescent="0.35">
      <c r="C1827" s="233" t="s">
        <v>1707</v>
      </c>
      <c r="G1827" s="245" t="s">
        <v>1711</v>
      </c>
      <c r="I1827" s="173">
        <v>16</v>
      </c>
      <c r="J1827">
        <v>394</v>
      </c>
      <c r="K1827" s="173">
        <v>225</v>
      </c>
      <c r="L1827" s="402">
        <f t="shared" si="201"/>
        <v>9.1370558375634516</v>
      </c>
      <c r="M1827" s="173">
        <f t="shared" si="202"/>
        <v>25.137055837563452</v>
      </c>
      <c r="N1827" s="174"/>
      <c r="O1827" s="173">
        <f t="shared" si="203"/>
        <v>35.191878172588829</v>
      </c>
      <c r="P1827" s="173">
        <v>45</v>
      </c>
    </row>
    <row r="1828" spans="3:16" hidden="1" x14ac:dyDescent="0.35">
      <c r="C1828" s="233" t="s">
        <v>1707</v>
      </c>
      <c r="G1828" s="245" t="s">
        <v>1711</v>
      </c>
      <c r="I1828" s="173">
        <v>16</v>
      </c>
      <c r="J1828">
        <v>394</v>
      </c>
      <c r="K1828" s="173">
        <v>225</v>
      </c>
      <c r="L1828" s="402">
        <f t="shared" si="201"/>
        <v>9.1370558375634516</v>
      </c>
      <c r="M1828" s="173">
        <f t="shared" si="202"/>
        <v>25.137055837563452</v>
      </c>
      <c r="N1828" s="174"/>
      <c r="O1828" s="173">
        <f t="shared" si="203"/>
        <v>35.191878172588829</v>
      </c>
      <c r="P1828" s="173">
        <v>45</v>
      </c>
    </row>
    <row r="1829" spans="3:16" hidden="1" x14ac:dyDescent="0.35">
      <c r="C1829" s="233" t="s">
        <v>1707</v>
      </c>
      <c r="G1829" s="245" t="s">
        <v>1712</v>
      </c>
      <c r="I1829" s="173">
        <v>12</v>
      </c>
      <c r="J1829">
        <v>394</v>
      </c>
      <c r="K1829" s="173">
        <v>225</v>
      </c>
      <c r="L1829" s="402">
        <f t="shared" si="201"/>
        <v>6.8527918781725887</v>
      </c>
      <c r="M1829" s="173">
        <f t="shared" si="202"/>
        <v>18.852791878172589</v>
      </c>
      <c r="N1829" s="174"/>
      <c r="O1829" s="173">
        <f t="shared" si="203"/>
        <v>26.393908629441622</v>
      </c>
      <c r="P1829" s="173">
        <v>45</v>
      </c>
    </row>
    <row r="1830" spans="3:16" hidden="1" x14ac:dyDescent="0.35">
      <c r="C1830" s="233" t="s">
        <v>1707</v>
      </c>
      <c r="G1830" s="245" t="s">
        <v>1712</v>
      </c>
      <c r="I1830" s="173">
        <v>12</v>
      </c>
      <c r="J1830">
        <v>394</v>
      </c>
      <c r="K1830" s="173">
        <v>225</v>
      </c>
      <c r="L1830" s="402">
        <f t="shared" si="201"/>
        <v>6.8527918781725887</v>
      </c>
      <c r="M1830" s="173">
        <f t="shared" si="202"/>
        <v>18.852791878172589</v>
      </c>
      <c r="N1830" s="174"/>
      <c r="O1830" s="173">
        <f t="shared" si="203"/>
        <v>26.393908629441622</v>
      </c>
      <c r="P1830" s="173">
        <v>45</v>
      </c>
    </row>
    <row r="1831" spans="3:16" hidden="1" x14ac:dyDescent="0.35">
      <c r="C1831" s="233" t="s">
        <v>1707</v>
      </c>
      <c r="G1831" s="245" t="s">
        <v>1713</v>
      </c>
      <c r="I1831" s="173">
        <v>12</v>
      </c>
      <c r="J1831">
        <v>394</v>
      </c>
      <c r="K1831" s="173">
        <v>225</v>
      </c>
      <c r="L1831" s="402">
        <f t="shared" si="201"/>
        <v>6.8527918781725887</v>
      </c>
      <c r="M1831" s="173">
        <f t="shared" si="202"/>
        <v>18.852791878172589</v>
      </c>
      <c r="N1831" s="174"/>
      <c r="O1831" s="173">
        <f t="shared" si="203"/>
        <v>26.393908629441622</v>
      </c>
      <c r="P1831" s="173">
        <v>45</v>
      </c>
    </row>
    <row r="1832" spans="3:16" hidden="1" x14ac:dyDescent="0.35">
      <c r="C1832" s="233" t="s">
        <v>1707</v>
      </c>
      <c r="G1832" s="245" t="s">
        <v>1713</v>
      </c>
      <c r="I1832" s="173">
        <v>12</v>
      </c>
      <c r="J1832">
        <v>394</v>
      </c>
      <c r="K1832" s="173">
        <v>225</v>
      </c>
      <c r="L1832" s="402">
        <f t="shared" si="201"/>
        <v>6.8527918781725887</v>
      </c>
      <c r="M1832" s="173">
        <f t="shared" si="202"/>
        <v>18.852791878172589</v>
      </c>
      <c r="N1832" s="174"/>
      <c r="O1832" s="173">
        <f t="shared" si="203"/>
        <v>26.393908629441622</v>
      </c>
      <c r="P1832" s="173">
        <v>45</v>
      </c>
    </row>
    <row r="1833" spans="3:16" hidden="1" x14ac:dyDescent="0.35">
      <c r="C1833" s="233" t="s">
        <v>1707</v>
      </c>
      <c r="G1833" s="245" t="s">
        <v>1714</v>
      </c>
      <c r="I1833" s="173">
        <v>16</v>
      </c>
      <c r="J1833">
        <v>394</v>
      </c>
      <c r="K1833" s="173">
        <v>225</v>
      </c>
      <c r="L1833" s="402">
        <f t="shared" si="201"/>
        <v>9.1370558375634516</v>
      </c>
      <c r="M1833" s="173">
        <f t="shared" si="202"/>
        <v>25.137055837563452</v>
      </c>
      <c r="N1833" s="174"/>
      <c r="O1833" s="173">
        <f t="shared" si="203"/>
        <v>35.191878172588829</v>
      </c>
      <c r="P1833" s="173">
        <v>45</v>
      </c>
    </row>
    <row r="1834" spans="3:16" hidden="1" x14ac:dyDescent="0.35">
      <c r="C1834" s="233" t="s">
        <v>1707</v>
      </c>
      <c r="G1834" s="245" t="s">
        <v>1714</v>
      </c>
      <c r="I1834" s="173">
        <v>16</v>
      </c>
      <c r="J1834">
        <v>394</v>
      </c>
      <c r="K1834" s="173">
        <v>225</v>
      </c>
      <c r="L1834" s="402">
        <f t="shared" si="201"/>
        <v>9.1370558375634516</v>
      </c>
      <c r="M1834" s="173">
        <f t="shared" si="202"/>
        <v>25.137055837563452</v>
      </c>
      <c r="N1834" s="174"/>
      <c r="O1834" s="173">
        <f t="shared" si="203"/>
        <v>35.191878172588829</v>
      </c>
      <c r="P1834" s="173">
        <v>45</v>
      </c>
    </row>
    <row r="1835" spans="3:16" hidden="1" x14ac:dyDescent="0.35">
      <c r="C1835" s="233" t="s">
        <v>1707</v>
      </c>
      <c r="G1835" s="245" t="s">
        <v>1715</v>
      </c>
      <c r="I1835" s="173">
        <v>16</v>
      </c>
      <c r="J1835">
        <v>394</v>
      </c>
      <c r="K1835" s="173">
        <v>225</v>
      </c>
      <c r="L1835" s="402">
        <f t="shared" si="201"/>
        <v>9.1370558375634516</v>
      </c>
      <c r="M1835" s="173">
        <f t="shared" si="202"/>
        <v>25.137055837563452</v>
      </c>
      <c r="N1835" s="174"/>
      <c r="O1835" s="173">
        <f t="shared" si="203"/>
        <v>35.191878172588829</v>
      </c>
      <c r="P1835" s="173">
        <v>45</v>
      </c>
    </row>
    <row r="1836" spans="3:16" hidden="1" x14ac:dyDescent="0.35">
      <c r="C1836" s="233" t="s">
        <v>1707</v>
      </c>
      <c r="G1836" s="245" t="s">
        <v>1715</v>
      </c>
      <c r="I1836" s="173">
        <v>16</v>
      </c>
      <c r="J1836">
        <v>394</v>
      </c>
      <c r="K1836" s="173">
        <v>225</v>
      </c>
      <c r="L1836" s="402">
        <f t="shared" si="201"/>
        <v>9.1370558375634516</v>
      </c>
      <c r="M1836" s="173">
        <f t="shared" si="202"/>
        <v>25.137055837563452</v>
      </c>
      <c r="N1836" s="174"/>
      <c r="O1836" s="173">
        <f t="shared" si="203"/>
        <v>35.191878172588829</v>
      </c>
      <c r="P1836" s="173">
        <v>45</v>
      </c>
    </row>
    <row r="1837" spans="3:16" hidden="1" x14ac:dyDescent="0.35">
      <c r="C1837" s="233" t="s">
        <v>1707</v>
      </c>
      <c r="G1837" s="245" t="s">
        <v>1716</v>
      </c>
      <c r="I1837" s="173">
        <v>16</v>
      </c>
      <c r="J1837">
        <v>394</v>
      </c>
      <c r="K1837" s="173">
        <v>225</v>
      </c>
      <c r="L1837" s="402">
        <f t="shared" si="201"/>
        <v>9.1370558375634516</v>
      </c>
      <c r="M1837" s="173">
        <f t="shared" si="202"/>
        <v>25.137055837563452</v>
      </c>
      <c r="N1837" s="174"/>
      <c r="O1837" s="173">
        <f t="shared" si="203"/>
        <v>35.191878172588829</v>
      </c>
      <c r="P1837" s="173">
        <v>45</v>
      </c>
    </row>
    <row r="1838" spans="3:16" hidden="1" x14ac:dyDescent="0.35">
      <c r="C1838" s="233" t="s">
        <v>1707</v>
      </c>
      <c r="G1838" s="245" t="s">
        <v>1716</v>
      </c>
      <c r="I1838" s="173">
        <v>16</v>
      </c>
      <c r="J1838">
        <v>394</v>
      </c>
      <c r="K1838" s="173">
        <v>225</v>
      </c>
      <c r="L1838" s="402">
        <f t="shared" si="201"/>
        <v>9.1370558375634516</v>
      </c>
      <c r="M1838" s="173">
        <f t="shared" si="202"/>
        <v>25.137055837563452</v>
      </c>
      <c r="N1838" s="174"/>
      <c r="O1838" s="173">
        <f t="shared" si="203"/>
        <v>35.191878172588829</v>
      </c>
      <c r="P1838" s="173">
        <v>45</v>
      </c>
    </row>
    <row r="1839" spans="3:16" hidden="1" x14ac:dyDescent="0.35">
      <c r="C1839" s="233" t="s">
        <v>1707</v>
      </c>
      <c r="G1839" s="245" t="s">
        <v>1717</v>
      </c>
      <c r="I1839" s="173">
        <v>16</v>
      </c>
      <c r="J1839">
        <v>394</v>
      </c>
      <c r="K1839" s="173">
        <v>225</v>
      </c>
      <c r="L1839" s="402">
        <f t="shared" si="201"/>
        <v>9.1370558375634516</v>
      </c>
      <c r="M1839" s="173">
        <f t="shared" si="202"/>
        <v>25.137055837563452</v>
      </c>
      <c r="N1839" s="174"/>
      <c r="O1839" s="173">
        <f t="shared" si="203"/>
        <v>35.191878172588829</v>
      </c>
      <c r="P1839" s="173">
        <v>45</v>
      </c>
    </row>
    <row r="1840" spans="3:16" hidden="1" x14ac:dyDescent="0.35">
      <c r="C1840" s="233" t="s">
        <v>1707</v>
      </c>
      <c r="G1840" s="245" t="s">
        <v>1717</v>
      </c>
      <c r="I1840" s="173">
        <v>16</v>
      </c>
      <c r="J1840">
        <v>394</v>
      </c>
      <c r="K1840" s="173">
        <v>225</v>
      </c>
      <c r="L1840" s="402">
        <f t="shared" si="201"/>
        <v>9.1370558375634516</v>
      </c>
      <c r="M1840" s="173">
        <f t="shared" si="202"/>
        <v>25.137055837563452</v>
      </c>
      <c r="N1840" s="174"/>
      <c r="O1840" s="173">
        <f t="shared" si="203"/>
        <v>35.191878172588829</v>
      </c>
      <c r="P1840" s="173">
        <v>45</v>
      </c>
    </row>
    <row r="1841" spans="3:16" hidden="1" x14ac:dyDescent="0.35">
      <c r="C1841" s="233" t="s">
        <v>1707</v>
      </c>
      <c r="G1841" s="245" t="s">
        <v>1718</v>
      </c>
      <c r="I1841" s="173">
        <v>20</v>
      </c>
      <c r="J1841">
        <v>394</v>
      </c>
      <c r="K1841" s="173">
        <v>225</v>
      </c>
      <c r="L1841" s="402">
        <f t="shared" si="201"/>
        <v>11.421319796954315</v>
      </c>
      <c r="M1841" s="173">
        <f t="shared" si="202"/>
        <v>31.421319796954315</v>
      </c>
      <c r="N1841" s="174"/>
      <c r="O1841" s="173">
        <f t="shared" si="203"/>
        <v>43.98984771573604</v>
      </c>
      <c r="P1841" s="173">
        <v>55</v>
      </c>
    </row>
    <row r="1842" spans="3:16" hidden="1" x14ac:dyDescent="0.35">
      <c r="C1842" s="233" t="s">
        <v>1707</v>
      </c>
      <c r="G1842" s="245" t="s">
        <v>1719</v>
      </c>
      <c r="I1842" s="173">
        <v>20</v>
      </c>
      <c r="J1842">
        <v>394</v>
      </c>
      <c r="K1842" s="173">
        <v>225</v>
      </c>
      <c r="L1842" s="402">
        <f t="shared" si="201"/>
        <v>11.421319796954315</v>
      </c>
      <c r="M1842" s="173">
        <f t="shared" si="202"/>
        <v>31.421319796954315</v>
      </c>
      <c r="N1842" s="174"/>
      <c r="O1842" s="173">
        <f t="shared" si="203"/>
        <v>43.98984771573604</v>
      </c>
      <c r="P1842" s="173">
        <v>55</v>
      </c>
    </row>
    <row r="1843" spans="3:16" hidden="1" x14ac:dyDescent="0.35">
      <c r="C1843" s="233" t="s">
        <v>1707</v>
      </c>
      <c r="G1843" s="245" t="s">
        <v>1720</v>
      </c>
      <c r="I1843" s="173">
        <v>19</v>
      </c>
      <c r="J1843">
        <v>394</v>
      </c>
      <c r="K1843" s="173">
        <v>225</v>
      </c>
      <c r="L1843" s="402">
        <f t="shared" si="201"/>
        <v>10.850253807106599</v>
      </c>
      <c r="M1843" s="173">
        <f t="shared" si="202"/>
        <v>29.850253807106597</v>
      </c>
      <c r="N1843" s="174"/>
      <c r="O1843" s="173">
        <f t="shared" si="203"/>
        <v>41.790355329949236</v>
      </c>
      <c r="P1843" s="173">
        <v>55</v>
      </c>
    </row>
    <row r="1844" spans="3:16" hidden="1" x14ac:dyDescent="0.35">
      <c r="C1844" s="233" t="s">
        <v>1707</v>
      </c>
      <c r="G1844" s="245" t="s">
        <v>1720</v>
      </c>
      <c r="I1844" s="173">
        <v>19</v>
      </c>
      <c r="J1844">
        <v>394</v>
      </c>
      <c r="K1844" s="173">
        <v>225</v>
      </c>
      <c r="L1844" s="402">
        <f t="shared" si="201"/>
        <v>10.850253807106599</v>
      </c>
      <c r="M1844" s="173">
        <f t="shared" si="202"/>
        <v>29.850253807106597</v>
      </c>
      <c r="N1844" s="174"/>
      <c r="O1844" s="173">
        <f t="shared" si="203"/>
        <v>41.790355329949236</v>
      </c>
      <c r="P1844" s="173">
        <v>55</v>
      </c>
    </row>
    <row r="1845" spans="3:16" hidden="1" x14ac:dyDescent="0.35">
      <c r="C1845" s="233" t="s">
        <v>1707</v>
      </c>
      <c r="G1845" s="245" t="s">
        <v>1720</v>
      </c>
      <c r="I1845" s="173">
        <v>19</v>
      </c>
      <c r="J1845">
        <v>394</v>
      </c>
      <c r="K1845" s="173">
        <v>225</v>
      </c>
      <c r="L1845" s="402">
        <f t="shared" si="201"/>
        <v>10.850253807106599</v>
      </c>
      <c r="M1845" s="173">
        <f t="shared" si="202"/>
        <v>29.850253807106597</v>
      </c>
      <c r="N1845" s="174"/>
      <c r="O1845" s="173">
        <f t="shared" si="203"/>
        <v>41.790355329949236</v>
      </c>
      <c r="P1845" s="173">
        <v>55</v>
      </c>
    </row>
    <row r="1846" spans="3:16" hidden="1" x14ac:dyDescent="0.35">
      <c r="C1846" s="233" t="s">
        <v>1707</v>
      </c>
      <c r="G1846" s="245" t="s">
        <v>1720</v>
      </c>
      <c r="I1846" s="173">
        <v>19</v>
      </c>
      <c r="J1846">
        <v>394</v>
      </c>
      <c r="K1846" s="173">
        <v>225</v>
      </c>
      <c r="L1846" s="402">
        <f t="shared" si="201"/>
        <v>10.850253807106599</v>
      </c>
      <c r="M1846" s="173">
        <f t="shared" si="202"/>
        <v>29.850253807106597</v>
      </c>
      <c r="N1846" s="174"/>
      <c r="O1846" s="173">
        <f t="shared" si="203"/>
        <v>41.790355329949236</v>
      </c>
      <c r="P1846" s="173">
        <v>55</v>
      </c>
    </row>
    <row r="1847" spans="3:16" hidden="1" x14ac:dyDescent="0.35">
      <c r="C1847" s="233" t="s">
        <v>1707</v>
      </c>
      <c r="G1847" s="245" t="s">
        <v>1720</v>
      </c>
      <c r="I1847" s="173">
        <v>19</v>
      </c>
      <c r="J1847">
        <v>394</v>
      </c>
      <c r="K1847" s="173">
        <v>225</v>
      </c>
      <c r="L1847" s="402">
        <f t="shared" si="201"/>
        <v>10.850253807106599</v>
      </c>
      <c r="M1847" s="173">
        <f t="shared" si="202"/>
        <v>29.850253807106597</v>
      </c>
      <c r="N1847" s="174"/>
      <c r="O1847" s="173">
        <f t="shared" si="203"/>
        <v>41.790355329949236</v>
      </c>
      <c r="P1847" s="173">
        <v>55</v>
      </c>
    </row>
    <row r="1848" spans="3:16" hidden="1" x14ac:dyDescent="0.35">
      <c r="C1848" s="233" t="s">
        <v>1707</v>
      </c>
      <c r="G1848" s="245" t="s">
        <v>1720</v>
      </c>
      <c r="I1848" s="173">
        <v>19</v>
      </c>
      <c r="J1848">
        <v>394</v>
      </c>
      <c r="K1848" s="173">
        <v>225</v>
      </c>
      <c r="L1848" s="402">
        <f t="shared" si="201"/>
        <v>10.850253807106599</v>
      </c>
      <c r="M1848" s="173">
        <f t="shared" si="202"/>
        <v>29.850253807106597</v>
      </c>
      <c r="N1848" s="174"/>
      <c r="O1848" s="173">
        <f t="shared" si="203"/>
        <v>41.790355329949236</v>
      </c>
      <c r="P1848" s="173">
        <v>55</v>
      </c>
    </row>
    <row r="1849" spans="3:16" hidden="1" x14ac:dyDescent="0.35">
      <c r="C1849" s="233" t="s">
        <v>1708</v>
      </c>
      <c r="G1849" s="245" t="s">
        <v>1709</v>
      </c>
      <c r="I1849" s="173">
        <v>37</v>
      </c>
      <c r="J1849">
        <v>148</v>
      </c>
      <c r="K1849" s="173">
        <f>8*16</f>
        <v>128</v>
      </c>
      <c r="L1849" s="402">
        <f t="shared" si="201"/>
        <v>32</v>
      </c>
      <c r="M1849" s="173">
        <f t="shared" si="202"/>
        <v>69</v>
      </c>
      <c r="N1849" s="174"/>
      <c r="O1849" s="173">
        <f t="shared" si="203"/>
        <v>96.6</v>
      </c>
      <c r="P1849" s="173">
        <v>150</v>
      </c>
    </row>
    <row r="1850" spans="3:16" hidden="1" x14ac:dyDescent="0.35">
      <c r="C1850" s="233" t="s">
        <v>1708</v>
      </c>
      <c r="G1850" s="245" t="s">
        <v>1709</v>
      </c>
      <c r="I1850" s="173">
        <v>37</v>
      </c>
      <c r="J1850">
        <v>148</v>
      </c>
      <c r="K1850" s="173">
        <f>8*16</f>
        <v>128</v>
      </c>
      <c r="L1850" s="402">
        <f t="shared" si="201"/>
        <v>32</v>
      </c>
      <c r="M1850" s="173">
        <f t="shared" si="202"/>
        <v>69</v>
      </c>
      <c r="N1850" s="174"/>
      <c r="O1850" s="173">
        <f t="shared" si="203"/>
        <v>96.6</v>
      </c>
      <c r="P1850" s="173">
        <v>0</v>
      </c>
    </row>
    <row r="1851" spans="3:16" hidden="1" x14ac:dyDescent="0.35">
      <c r="C1851" s="233" t="s">
        <v>1708</v>
      </c>
      <c r="G1851" s="245" t="s">
        <v>1709</v>
      </c>
      <c r="I1851" s="173">
        <v>37</v>
      </c>
      <c r="J1851">
        <v>148</v>
      </c>
      <c r="K1851" s="173">
        <f>8*16</f>
        <v>128</v>
      </c>
      <c r="L1851" s="402">
        <f t="shared" si="201"/>
        <v>32</v>
      </c>
      <c r="M1851" s="173">
        <f t="shared" si="202"/>
        <v>69</v>
      </c>
      <c r="N1851" s="174"/>
      <c r="O1851" s="173">
        <f t="shared" si="203"/>
        <v>96.6</v>
      </c>
      <c r="P1851" s="173">
        <v>150</v>
      </c>
    </row>
    <row r="1852" spans="3:16" hidden="1" x14ac:dyDescent="0.35">
      <c r="C1852" s="233" t="s">
        <v>1708</v>
      </c>
      <c r="G1852" s="245" t="s">
        <v>1709</v>
      </c>
      <c r="I1852" s="173">
        <v>37</v>
      </c>
      <c r="J1852">
        <v>148</v>
      </c>
      <c r="K1852" s="173">
        <f>8*16</f>
        <v>128</v>
      </c>
      <c r="L1852" s="402">
        <f t="shared" si="201"/>
        <v>32</v>
      </c>
      <c r="M1852" s="173">
        <f t="shared" si="202"/>
        <v>69</v>
      </c>
      <c r="N1852" s="174"/>
      <c r="O1852" s="173">
        <f t="shared" si="203"/>
        <v>96.6</v>
      </c>
      <c r="P1852" s="173">
        <v>150</v>
      </c>
    </row>
    <row r="1853" spans="3:16" hidden="1" x14ac:dyDescent="0.35"/>
    <row r="1854" spans="3:16" hidden="1" x14ac:dyDescent="0.35">
      <c r="C1854" s="233" t="s">
        <v>1343</v>
      </c>
      <c r="G1854" s="245" t="s">
        <v>1721</v>
      </c>
      <c r="I1854" s="173">
        <v>25</v>
      </c>
      <c r="J1854">
        <v>200</v>
      </c>
      <c r="K1854" s="173">
        <f>8*14</f>
        <v>112</v>
      </c>
      <c r="L1854" s="402">
        <f t="shared" ref="L1854:L1861" si="204">+I1854/J1854*K1854</f>
        <v>14</v>
      </c>
      <c r="M1854" s="173">
        <f t="shared" ref="M1854:M1861" si="205">+I1854+L1854</f>
        <v>39</v>
      </c>
      <c r="N1854" s="174"/>
      <c r="O1854" s="173">
        <f t="shared" ref="O1854:O1861" si="206">+M1854*1.4</f>
        <v>54.599999999999994</v>
      </c>
      <c r="P1854" s="173">
        <v>90</v>
      </c>
    </row>
    <row r="1855" spans="3:16" hidden="1" x14ac:dyDescent="0.35">
      <c r="C1855" s="233" t="s">
        <v>1343</v>
      </c>
      <c r="G1855" s="245" t="s">
        <v>1721</v>
      </c>
      <c r="I1855" s="173">
        <v>25</v>
      </c>
      <c r="J1855">
        <v>200</v>
      </c>
      <c r="K1855" s="173">
        <f t="shared" ref="K1855:K1861" si="207">8*14</f>
        <v>112</v>
      </c>
      <c r="L1855" s="402">
        <f t="shared" si="204"/>
        <v>14</v>
      </c>
      <c r="M1855" s="173">
        <f t="shared" si="205"/>
        <v>39</v>
      </c>
      <c r="N1855" s="174"/>
      <c r="O1855" s="173">
        <f t="shared" si="206"/>
        <v>54.599999999999994</v>
      </c>
      <c r="P1855" s="173">
        <v>90</v>
      </c>
    </row>
    <row r="1856" spans="3:16" hidden="1" x14ac:dyDescent="0.35">
      <c r="C1856" s="233" t="s">
        <v>1343</v>
      </c>
      <c r="G1856" s="245" t="s">
        <v>1721</v>
      </c>
      <c r="I1856" s="173">
        <v>25</v>
      </c>
      <c r="J1856">
        <v>200</v>
      </c>
      <c r="K1856" s="173">
        <f t="shared" si="207"/>
        <v>112</v>
      </c>
      <c r="L1856" s="402">
        <f t="shared" si="204"/>
        <v>14</v>
      </c>
      <c r="M1856" s="173">
        <f t="shared" si="205"/>
        <v>39</v>
      </c>
      <c r="N1856" s="174"/>
      <c r="O1856" s="173">
        <f t="shared" si="206"/>
        <v>54.599999999999994</v>
      </c>
      <c r="P1856" s="173">
        <v>90</v>
      </c>
    </row>
    <row r="1857" spans="3:16" hidden="1" x14ac:dyDescent="0.35">
      <c r="C1857" s="233" t="s">
        <v>1343</v>
      </c>
      <c r="G1857" s="245" t="s">
        <v>1721</v>
      </c>
      <c r="I1857" s="173">
        <v>25</v>
      </c>
      <c r="J1857">
        <v>200</v>
      </c>
      <c r="K1857" s="173">
        <f t="shared" si="207"/>
        <v>112</v>
      </c>
      <c r="L1857" s="402">
        <f t="shared" si="204"/>
        <v>14</v>
      </c>
      <c r="M1857" s="173">
        <f t="shared" si="205"/>
        <v>39</v>
      </c>
      <c r="N1857" s="174"/>
      <c r="O1857" s="173">
        <f t="shared" si="206"/>
        <v>54.599999999999994</v>
      </c>
      <c r="P1857" s="173">
        <v>90</v>
      </c>
    </row>
    <row r="1858" spans="3:16" hidden="1" x14ac:dyDescent="0.35">
      <c r="C1858" s="233" t="s">
        <v>1343</v>
      </c>
      <c r="G1858" s="245" t="s">
        <v>1722</v>
      </c>
      <c r="I1858" s="173">
        <v>25</v>
      </c>
      <c r="J1858">
        <v>200</v>
      </c>
      <c r="K1858" s="173">
        <f t="shared" si="207"/>
        <v>112</v>
      </c>
      <c r="L1858" s="402">
        <f t="shared" si="204"/>
        <v>14</v>
      </c>
      <c r="M1858" s="173">
        <f t="shared" si="205"/>
        <v>39</v>
      </c>
      <c r="N1858" s="174"/>
      <c r="O1858" s="173">
        <f t="shared" si="206"/>
        <v>54.599999999999994</v>
      </c>
      <c r="P1858" s="173">
        <v>90</v>
      </c>
    </row>
    <row r="1859" spans="3:16" hidden="1" x14ac:dyDescent="0.35">
      <c r="C1859" s="233" t="s">
        <v>1343</v>
      </c>
      <c r="G1859" s="245" t="s">
        <v>1722</v>
      </c>
      <c r="I1859" s="173">
        <v>25</v>
      </c>
      <c r="J1859">
        <v>200</v>
      </c>
      <c r="K1859" s="173">
        <f t="shared" si="207"/>
        <v>112</v>
      </c>
      <c r="L1859" s="402">
        <f t="shared" si="204"/>
        <v>14</v>
      </c>
      <c r="M1859" s="173">
        <f t="shared" si="205"/>
        <v>39</v>
      </c>
      <c r="N1859" s="174"/>
      <c r="O1859" s="173">
        <f t="shared" si="206"/>
        <v>54.599999999999994</v>
      </c>
      <c r="P1859" s="173">
        <v>90</v>
      </c>
    </row>
    <row r="1860" spans="3:16" hidden="1" x14ac:dyDescent="0.35">
      <c r="C1860" s="233" t="s">
        <v>1343</v>
      </c>
      <c r="G1860" s="245" t="s">
        <v>1722</v>
      </c>
      <c r="I1860" s="173">
        <v>25</v>
      </c>
      <c r="J1860">
        <v>200</v>
      </c>
      <c r="K1860" s="173">
        <f t="shared" si="207"/>
        <v>112</v>
      </c>
      <c r="L1860" s="402">
        <f t="shared" si="204"/>
        <v>14</v>
      </c>
      <c r="M1860" s="173">
        <f t="shared" si="205"/>
        <v>39</v>
      </c>
      <c r="N1860" s="174"/>
      <c r="O1860" s="173">
        <f t="shared" si="206"/>
        <v>54.599999999999994</v>
      </c>
      <c r="P1860" s="173">
        <v>90</v>
      </c>
    </row>
    <row r="1861" spans="3:16" hidden="1" x14ac:dyDescent="0.35">
      <c r="C1861" s="233" t="s">
        <v>1343</v>
      </c>
      <c r="G1861" s="245" t="s">
        <v>1722</v>
      </c>
      <c r="I1861" s="173">
        <v>25</v>
      </c>
      <c r="J1861">
        <v>200</v>
      </c>
      <c r="K1861" s="173">
        <f t="shared" si="207"/>
        <v>112</v>
      </c>
      <c r="L1861" s="402">
        <f t="shared" si="204"/>
        <v>14</v>
      </c>
      <c r="M1861" s="173">
        <f t="shared" si="205"/>
        <v>39</v>
      </c>
      <c r="N1861" s="174"/>
      <c r="O1861" s="173">
        <f t="shared" si="206"/>
        <v>54.599999999999994</v>
      </c>
      <c r="P1861" s="173">
        <v>90</v>
      </c>
    </row>
    <row r="1862" spans="3:16" hidden="1" x14ac:dyDescent="0.35"/>
    <row r="1863" spans="3:16" s="279" customFormat="1" ht="21" hidden="1" x14ac:dyDescent="0.5">
      <c r="F1863" s="662"/>
      <c r="G1863" s="663" t="s">
        <v>1807</v>
      </c>
      <c r="H1863" s="663"/>
      <c r="I1863" s="664">
        <f>SUM(I1355:I1862)</f>
        <v>9628.9499999999516</v>
      </c>
      <c r="K1863" s="664"/>
      <c r="L1863" s="664"/>
      <c r="M1863" s="664"/>
      <c r="O1863" s="664"/>
      <c r="P1863" s="664"/>
    </row>
    <row r="1864" spans="3:16" s="279" customFormat="1" ht="21" hidden="1" x14ac:dyDescent="0.5">
      <c r="F1864" s="662"/>
      <c r="G1864" s="663"/>
      <c r="H1864" s="663"/>
      <c r="I1864" s="664"/>
      <c r="K1864" s="664"/>
      <c r="L1864" s="664"/>
      <c r="M1864" s="664"/>
      <c r="O1864" s="664"/>
      <c r="P1864" s="664"/>
    </row>
    <row r="1865" spans="3:16" ht="21" hidden="1" x14ac:dyDescent="0.5">
      <c r="C1865" s="279" t="s">
        <v>1740</v>
      </c>
      <c r="D1865" s="279"/>
      <c r="G1865" s="245" t="s">
        <v>1584</v>
      </c>
    </row>
    <row r="1866" spans="3:16" hidden="1" x14ac:dyDescent="0.35">
      <c r="C1866" s="233" t="s">
        <v>808</v>
      </c>
      <c r="F1866" s="366">
        <v>38</v>
      </c>
      <c r="G1866" s="245" t="s">
        <v>1622</v>
      </c>
      <c r="I1866" s="173">
        <v>58</v>
      </c>
      <c r="J1866">
        <v>870</v>
      </c>
      <c r="K1866" s="173">
        <v>300</v>
      </c>
      <c r="L1866" s="402">
        <f t="shared" ref="L1866:L1880" si="208">+I1866/J1866*K1866</f>
        <v>20</v>
      </c>
      <c r="M1866" s="173">
        <f t="shared" ref="M1866:M1880" si="209">+I1866+L1866</f>
        <v>78</v>
      </c>
      <c r="N1866" s="174"/>
      <c r="O1866" s="173">
        <f t="shared" ref="O1866:O1880" si="210">+M1866*1.4</f>
        <v>109.19999999999999</v>
      </c>
      <c r="P1866" s="173">
        <v>150</v>
      </c>
    </row>
    <row r="1867" spans="3:16" hidden="1" x14ac:dyDescent="0.35">
      <c r="C1867" s="233" t="s">
        <v>808</v>
      </c>
      <c r="F1867" s="366">
        <v>40</v>
      </c>
      <c r="G1867" s="245" t="s">
        <v>1622</v>
      </c>
      <c r="I1867" s="173">
        <v>58</v>
      </c>
      <c r="J1867">
        <v>870</v>
      </c>
      <c r="K1867" s="173">
        <v>300</v>
      </c>
      <c r="L1867" s="402">
        <f t="shared" si="208"/>
        <v>20</v>
      </c>
      <c r="M1867" s="173">
        <f t="shared" si="209"/>
        <v>78</v>
      </c>
      <c r="N1867" s="174"/>
      <c r="O1867" s="173">
        <f t="shared" si="210"/>
        <v>109.19999999999999</v>
      </c>
      <c r="P1867" s="173">
        <v>150</v>
      </c>
    </row>
    <row r="1868" spans="3:16" hidden="1" x14ac:dyDescent="0.35">
      <c r="C1868" s="233" t="s">
        <v>808</v>
      </c>
      <c r="F1868" s="366">
        <v>42</v>
      </c>
      <c r="G1868" s="245" t="s">
        <v>1622</v>
      </c>
      <c r="I1868" s="173">
        <v>58</v>
      </c>
      <c r="J1868">
        <v>870</v>
      </c>
      <c r="K1868" s="173">
        <v>300</v>
      </c>
      <c r="L1868" s="402">
        <f t="shared" si="208"/>
        <v>20</v>
      </c>
      <c r="M1868" s="173">
        <f t="shared" si="209"/>
        <v>78</v>
      </c>
      <c r="N1868" s="174"/>
      <c r="O1868" s="173">
        <f t="shared" si="210"/>
        <v>109.19999999999999</v>
      </c>
      <c r="P1868" s="173">
        <v>150</v>
      </c>
    </row>
    <row r="1869" spans="3:16" hidden="1" x14ac:dyDescent="0.35">
      <c r="C1869" s="233" t="s">
        <v>808</v>
      </c>
      <c r="F1869" s="366">
        <v>44</v>
      </c>
      <c r="G1869" s="245" t="s">
        <v>1622</v>
      </c>
      <c r="I1869" s="173">
        <v>58</v>
      </c>
      <c r="J1869">
        <v>870</v>
      </c>
      <c r="K1869" s="173">
        <v>300</v>
      </c>
      <c r="L1869" s="402">
        <f t="shared" si="208"/>
        <v>20</v>
      </c>
      <c r="M1869" s="173">
        <f t="shared" si="209"/>
        <v>78</v>
      </c>
      <c r="N1869" s="174"/>
      <c r="O1869" s="173">
        <f t="shared" si="210"/>
        <v>109.19999999999999</v>
      </c>
      <c r="P1869" s="173">
        <v>150</v>
      </c>
    </row>
    <row r="1870" spans="3:16" hidden="1" x14ac:dyDescent="0.35">
      <c r="C1870" s="233" t="s">
        <v>808</v>
      </c>
      <c r="F1870" s="366">
        <v>46</v>
      </c>
      <c r="G1870" s="245" t="s">
        <v>1622</v>
      </c>
      <c r="I1870" s="173">
        <v>58</v>
      </c>
      <c r="J1870">
        <v>870</v>
      </c>
      <c r="K1870" s="173">
        <v>300</v>
      </c>
      <c r="L1870" s="402">
        <f t="shared" si="208"/>
        <v>20</v>
      </c>
      <c r="M1870" s="173">
        <f t="shared" si="209"/>
        <v>78</v>
      </c>
      <c r="N1870" s="174"/>
      <c r="O1870" s="173">
        <f t="shared" si="210"/>
        <v>109.19999999999999</v>
      </c>
      <c r="P1870" s="173">
        <v>150</v>
      </c>
    </row>
    <row r="1871" spans="3:16" hidden="1" x14ac:dyDescent="0.35">
      <c r="C1871" s="233" t="s">
        <v>808</v>
      </c>
      <c r="F1871" s="366">
        <v>44</v>
      </c>
      <c r="G1871" s="245" t="s">
        <v>1621</v>
      </c>
      <c r="I1871" s="173">
        <v>58</v>
      </c>
      <c r="J1871">
        <v>870</v>
      </c>
      <c r="K1871" s="173">
        <v>300</v>
      </c>
      <c r="L1871" s="402">
        <f t="shared" si="208"/>
        <v>20</v>
      </c>
      <c r="M1871" s="173">
        <f t="shared" si="209"/>
        <v>78</v>
      </c>
      <c r="N1871" s="174"/>
      <c r="O1871" s="173">
        <f t="shared" si="210"/>
        <v>109.19999999999999</v>
      </c>
      <c r="P1871" s="173">
        <v>150</v>
      </c>
    </row>
    <row r="1872" spans="3:16" hidden="1" x14ac:dyDescent="0.35">
      <c r="C1872" s="233" t="s">
        <v>808</v>
      </c>
      <c r="F1872" s="366">
        <v>46</v>
      </c>
      <c r="G1872" s="245" t="s">
        <v>1621</v>
      </c>
      <c r="I1872" s="173">
        <v>58</v>
      </c>
      <c r="J1872">
        <v>870</v>
      </c>
      <c r="K1872" s="173">
        <v>300</v>
      </c>
      <c r="L1872" s="402">
        <f t="shared" si="208"/>
        <v>20</v>
      </c>
      <c r="M1872" s="173">
        <f t="shared" si="209"/>
        <v>78</v>
      </c>
      <c r="N1872" s="174"/>
      <c r="O1872" s="173">
        <f t="shared" si="210"/>
        <v>109.19999999999999</v>
      </c>
      <c r="P1872" s="173">
        <v>150</v>
      </c>
    </row>
    <row r="1873" spans="3:16" hidden="1" x14ac:dyDescent="0.35">
      <c r="C1873" s="233" t="s">
        <v>808</v>
      </c>
      <c r="F1873" s="366">
        <v>48</v>
      </c>
      <c r="G1873" s="245" t="s">
        <v>1621</v>
      </c>
      <c r="I1873" s="173">
        <v>58</v>
      </c>
      <c r="J1873">
        <v>870</v>
      </c>
      <c r="K1873" s="173">
        <v>300</v>
      </c>
      <c r="L1873" s="402">
        <f t="shared" si="208"/>
        <v>20</v>
      </c>
      <c r="M1873" s="173">
        <f t="shared" si="209"/>
        <v>78</v>
      </c>
      <c r="N1873" s="174"/>
      <c r="O1873" s="173">
        <f t="shared" si="210"/>
        <v>109.19999999999999</v>
      </c>
      <c r="P1873" s="173">
        <v>150</v>
      </c>
    </row>
    <row r="1874" spans="3:16" hidden="1" x14ac:dyDescent="0.35">
      <c r="C1874" s="233" t="s">
        <v>808</v>
      </c>
      <c r="F1874" s="366">
        <v>50</v>
      </c>
      <c r="G1874" s="245" t="s">
        <v>1621</v>
      </c>
      <c r="I1874" s="173">
        <v>58</v>
      </c>
      <c r="J1874">
        <v>870</v>
      </c>
      <c r="K1874" s="173">
        <v>300</v>
      </c>
      <c r="L1874" s="402">
        <f t="shared" si="208"/>
        <v>20</v>
      </c>
      <c r="M1874" s="173">
        <f t="shared" si="209"/>
        <v>78</v>
      </c>
      <c r="N1874" s="174"/>
      <c r="O1874" s="173">
        <f t="shared" si="210"/>
        <v>109.19999999999999</v>
      </c>
      <c r="P1874" s="173">
        <v>150</v>
      </c>
    </row>
    <row r="1875" spans="3:16" hidden="1" x14ac:dyDescent="0.35">
      <c r="C1875" s="233" t="s">
        <v>808</v>
      </c>
      <c r="F1875" s="366">
        <v>52</v>
      </c>
      <c r="G1875" s="245" t="s">
        <v>1621</v>
      </c>
      <c r="I1875" s="173">
        <v>58</v>
      </c>
      <c r="J1875">
        <v>870</v>
      </c>
      <c r="K1875" s="173">
        <v>300</v>
      </c>
      <c r="L1875" s="402">
        <f t="shared" si="208"/>
        <v>20</v>
      </c>
      <c r="M1875" s="173">
        <f t="shared" si="209"/>
        <v>78</v>
      </c>
      <c r="N1875" s="174"/>
      <c r="O1875" s="173">
        <f t="shared" si="210"/>
        <v>109.19999999999999</v>
      </c>
      <c r="P1875" s="173">
        <v>150</v>
      </c>
    </row>
    <row r="1876" spans="3:16" hidden="1" x14ac:dyDescent="0.35">
      <c r="C1876" s="233" t="s">
        <v>808</v>
      </c>
      <c r="F1876" s="366">
        <v>42</v>
      </c>
      <c r="G1876" s="245" t="s">
        <v>1620</v>
      </c>
      <c r="I1876" s="173">
        <v>58</v>
      </c>
      <c r="J1876">
        <v>870</v>
      </c>
      <c r="K1876" s="173">
        <v>300</v>
      </c>
      <c r="L1876" s="402">
        <f t="shared" si="208"/>
        <v>20</v>
      </c>
      <c r="M1876" s="173">
        <f t="shared" si="209"/>
        <v>78</v>
      </c>
      <c r="N1876" s="174"/>
      <c r="O1876" s="173">
        <f t="shared" si="210"/>
        <v>109.19999999999999</v>
      </c>
      <c r="P1876" s="173">
        <v>150</v>
      </c>
    </row>
    <row r="1877" spans="3:16" hidden="1" x14ac:dyDescent="0.35">
      <c r="C1877" s="233" t="s">
        <v>808</v>
      </c>
      <c r="F1877" s="366">
        <v>44</v>
      </c>
      <c r="G1877" s="245" t="s">
        <v>1620</v>
      </c>
      <c r="I1877" s="173">
        <v>58</v>
      </c>
      <c r="J1877">
        <v>870</v>
      </c>
      <c r="K1877" s="173">
        <v>300</v>
      </c>
      <c r="L1877" s="402">
        <f t="shared" si="208"/>
        <v>20</v>
      </c>
      <c r="M1877" s="173">
        <f t="shared" si="209"/>
        <v>78</v>
      </c>
      <c r="N1877" s="174"/>
      <c r="O1877" s="173">
        <f t="shared" si="210"/>
        <v>109.19999999999999</v>
      </c>
      <c r="P1877" s="173">
        <v>150</v>
      </c>
    </row>
    <row r="1878" spans="3:16" hidden="1" x14ac:dyDescent="0.35">
      <c r="C1878" s="233" t="s">
        <v>808</v>
      </c>
      <c r="F1878" s="366">
        <v>46</v>
      </c>
      <c r="G1878" s="245" t="s">
        <v>1620</v>
      </c>
      <c r="I1878" s="173">
        <v>58</v>
      </c>
      <c r="J1878">
        <v>870</v>
      </c>
      <c r="K1878" s="173">
        <v>300</v>
      </c>
      <c r="L1878" s="402">
        <f t="shared" si="208"/>
        <v>20</v>
      </c>
      <c r="M1878" s="173">
        <f t="shared" si="209"/>
        <v>78</v>
      </c>
      <c r="N1878" s="174"/>
      <c r="O1878" s="173">
        <f t="shared" si="210"/>
        <v>109.19999999999999</v>
      </c>
      <c r="P1878" s="173">
        <v>150</v>
      </c>
    </row>
    <row r="1879" spans="3:16" hidden="1" x14ac:dyDescent="0.35">
      <c r="C1879" s="233" t="s">
        <v>808</v>
      </c>
      <c r="F1879" s="366">
        <v>48</v>
      </c>
      <c r="G1879" s="245" t="s">
        <v>1620</v>
      </c>
      <c r="I1879" s="173">
        <v>58</v>
      </c>
      <c r="J1879">
        <v>870</v>
      </c>
      <c r="K1879" s="173">
        <v>300</v>
      </c>
      <c r="L1879" s="402">
        <f t="shared" si="208"/>
        <v>20</v>
      </c>
      <c r="M1879" s="173">
        <f t="shared" si="209"/>
        <v>78</v>
      </c>
      <c r="N1879" s="174"/>
      <c r="O1879" s="173">
        <f t="shared" si="210"/>
        <v>109.19999999999999</v>
      </c>
      <c r="P1879" s="173">
        <v>150</v>
      </c>
    </row>
    <row r="1880" spans="3:16" hidden="1" x14ac:dyDescent="0.35">
      <c r="C1880" s="233" t="s">
        <v>808</v>
      </c>
      <c r="F1880" s="366">
        <v>50</v>
      </c>
      <c r="G1880" s="245" t="s">
        <v>1620</v>
      </c>
      <c r="I1880" s="173">
        <v>58</v>
      </c>
      <c r="J1880">
        <v>870</v>
      </c>
      <c r="K1880" s="173">
        <v>300</v>
      </c>
      <c r="L1880" s="402">
        <f t="shared" si="208"/>
        <v>20</v>
      </c>
      <c r="M1880" s="173">
        <f t="shared" si="209"/>
        <v>78</v>
      </c>
      <c r="N1880" s="174"/>
      <c r="O1880" s="173">
        <f t="shared" si="210"/>
        <v>109.19999999999999</v>
      </c>
      <c r="P1880" s="173">
        <v>150</v>
      </c>
    </row>
    <row r="1881" spans="3:16" hidden="1" x14ac:dyDescent="0.35"/>
    <row r="1882" spans="3:16" hidden="1" x14ac:dyDescent="0.35">
      <c r="G1882" s="245" t="s">
        <v>247</v>
      </c>
    </row>
    <row r="1883" spans="3:16" hidden="1" x14ac:dyDescent="0.35">
      <c r="C1883" s="233" t="s">
        <v>1627</v>
      </c>
      <c r="F1883" s="366" t="s">
        <v>408</v>
      </c>
      <c r="G1883" s="245" t="s">
        <v>1731</v>
      </c>
      <c r="I1883" s="173">
        <v>35</v>
      </c>
      <c r="J1883">
        <v>1304</v>
      </c>
      <c r="K1883" s="173">
        <v>700</v>
      </c>
      <c r="L1883" s="402">
        <f t="shared" ref="L1883:L1930" si="211">+I1883/J1883*K1883</f>
        <v>18.788343558282211</v>
      </c>
      <c r="M1883" s="173">
        <f t="shared" ref="M1883:M1930" si="212">+I1883+L1883</f>
        <v>53.788343558282207</v>
      </c>
      <c r="N1883" s="174"/>
      <c r="O1883" s="173">
        <f t="shared" ref="O1883:O1930" si="213">+M1883*1.4</f>
        <v>75.303680981595079</v>
      </c>
      <c r="P1883" s="173">
        <v>120</v>
      </c>
    </row>
    <row r="1884" spans="3:16" hidden="1" x14ac:dyDescent="0.35">
      <c r="C1884" s="233" t="s">
        <v>1627</v>
      </c>
      <c r="F1884" s="366" t="s">
        <v>407</v>
      </c>
      <c r="G1884" s="245" t="s">
        <v>1731</v>
      </c>
      <c r="I1884" s="173">
        <v>35</v>
      </c>
      <c r="J1884">
        <v>1304</v>
      </c>
      <c r="K1884" s="173">
        <v>580</v>
      </c>
      <c r="L1884" s="402">
        <f t="shared" si="211"/>
        <v>15.567484662576687</v>
      </c>
      <c r="M1884" s="173">
        <f t="shared" si="212"/>
        <v>50.567484662576689</v>
      </c>
      <c r="N1884" s="174"/>
      <c r="O1884" s="173">
        <f t="shared" si="213"/>
        <v>70.794478527607353</v>
      </c>
      <c r="P1884" s="173">
        <v>120</v>
      </c>
    </row>
    <row r="1885" spans="3:16" hidden="1" x14ac:dyDescent="0.35">
      <c r="C1885" s="233" t="s">
        <v>1627</v>
      </c>
      <c r="F1885" s="366" t="s">
        <v>409</v>
      </c>
      <c r="G1885" s="245" t="s">
        <v>1731</v>
      </c>
      <c r="I1885" s="173">
        <v>35</v>
      </c>
      <c r="J1885">
        <v>1304</v>
      </c>
      <c r="K1885" s="173">
        <v>580</v>
      </c>
      <c r="L1885" s="402">
        <f t="shared" si="211"/>
        <v>15.567484662576687</v>
      </c>
      <c r="M1885" s="173">
        <f t="shared" si="212"/>
        <v>50.567484662576689</v>
      </c>
      <c r="N1885" s="174"/>
      <c r="O1885" s="173">
        <f t="shared" si="213"/>
        <v>70.794478527607353</v>
      </c>
      <c r="P1885" s="173">
        <v>120</v>
      </c>
    </row>
    <row r="1886" spans="3:16" hidden="1" x14ac:dyDescent="0.35">
      <c r="C1886" s="233" t="s">
        <v>1627</v>
      </c>
      <c r="F1886" s="366" t="s">
        <v>412</v>
      </c>
      <c r="G1886" s="245" t="s">
        <v>1731</v>
      </c>
      <c r="I1886" s="173">
        <v>35</v>
      </c>
      <c r="J1886">
        <v>1304</v>
      </c>
      <c r="K1886" s="173">
        <v>580</v>
      </c>
      <c r="L1886" s="402">
        <f t="shared" si="211"/>
        <v>15.567484662576687</v>
      </c>
      <c r="M1886" s="173">
        <f t="shared" si="212"/>
        <v>50.567484662576689</v>
      </c>
      <c r="N1886" s="174"/>
      <c r="O1886" s="173">
        <f t="shared" si="213"/>
        <v>70.794478527607353</v>
      </c>
      <c r="P1886" s="173">
        <v>120</v>
      </c>
    </row>
    <row r="1887" spans="3:16" hidden="1" x14ac:dyDescent="0.35">
      <c r="C1887" s="233" t="s">
        <v>1627</v>
      </c>
      <c r="F1887" s="366" t="s">
        <v>408</v>
      </c>
      <c r="G1887" s="245" t="s">
        <v>1732</v>
      </c>
      <c r="I1887" s="173">
        <v>35</v>
      </c>
      <c r="J1887">
        <v>1304</v>
      </c>
      <c r="K1887" s="173">
        <v>580</v>
      </c>
      <c r="L1887" s="402">
        <f t="shared" si="211"/>
        <v>15.567484662576687</v>
      </c>
      <c r="M1887" s="173">
        <f t="shared" si="212"/>
        <v>50.567484662576689</v>
      </c>
      <c r="N1887" s="174"/>
      <c r="O1887" s="173">
        <f t="shared" si="213"/>
        <v>70.794478527607353</v>
      </c>
      <c r="P1887" s="173">
        <v>120</v>
      </c>
    </row>
    <row r="1888" spans="3:16" hidden="1" x14ac:dyDescent="0.35">
      <c r="C1888" s="233" t="s">
        <v>1627</v>
      </c>
      <c r="F1888" s="366" t="s">
        <v>407</v>
      </c>
      <c r="G1888" s="245" t="s">
        <v>1732</v>
      </c>
      <c r="I1888" s="173">
        <v>35</v>
      </c>
      <c r="J1888">
        <v>1304</v>
      </c>
      <c r="K1888" s="173">
        <v>580</v>
      </c>
      <c r="L1888" s="402">
        <f t="shared" si="211"/>
        <v>15.567484662576687</v>
      </c>
      <c r="M1888" s="173">
        <f t="shared" si="212"/>
        <v>50.567484662576689</v>
      </c>
      <c r="N1888" s="174"/>
      <c r="O1888" s="173">
        <f t="shared" si="213"/>
        <v>70.794478527607353</v>
      </c>
      <c r="P1888" s="173">
        <v>120</v>
      </c>
    </row>
    <row r="1889" spans="3:16" hidden="1" x14ac:dyDescent="0.35">
      <c r="C1889" s="233" t="s">
        <v>1627</v>
      </c>
      <c r="F1889" s="366" t="s">
        <v>409</v>
      </c>
      <c r="G1889" s="245" t="s">
        <v>1732</v>
      </c>
      <c r="I1889" s="173">
        <v>35</v>
      </c>
      <c r="J1889">
        <v>1304</v>
      </c>
      <c r="K1889" s="173">
        <v>580</v>
      </c>
      <c r="L1889" s="402">
        <f t="shared" si="211"/>
        <v>15.567484662576687</v>
      </c>
      <c r="M1889" s="173">
        <f t="shared" si="212"/>
        <v>50.567484662576689</v>
      </c>
      <c r="N1889" s="174"/>
      <c r="O1889" s="173">
        <f t="shared" si="213"/>
        <v>70.794478527607353</v>
      </c>
      <c r="P1889" s="173">
        <v>120</v>
      </c>
    </row>
    <row r="1890" spans="3:16" hidden="1" x14ac:dyDescent="0.35">
      <c r="C1890" s="233" t="s">
        <v>1627</v>
      </c>
      <c r="F1890" s="366" t="s">
        <v>412</v>
      </c>
      <c r="G1890" s="245" t="s">
        <v>1732</v>
      </c>
      <c r="I1890" s="173">
        <v>35</v>
      </c>
      <c r="J1890">
        <v>1304</v>
      </c>
      <c r="K1890" s="173">
        <v>580</v>
      </c>
      <c r="L1890" s="402">
        <f t="shared" si="211"/>
        <v>15.567484662576687</v>
      </c>
      <c r="M1890" s="173">
        <f t="shared" si="212"/>
        <v>50.567484662576689</v>
      </c>
      <c r="N1890" s="174"/>
      <c r="O1890" s="173">
        <f t="shared" si="213"/>
        <v>70.794478527607353</v>
      </c>
      <c r="P1890" s="173">
        <v>120</v>
      </c>
    </row>
    <row r="1891" spans="3:16" hidden="1" x14ac:dyDescent="0.35">
      <c r="C1891" s="233" t="s">
        <v>1627</v>
      </c>
      <c r="F1891" s="366" t="s">
        <v>407</v>
      </c>
      <c r="G1891" s="245" t="s">
        <v>1733</v>
      </c>
      <c r="I1891" s="173">
        <v>25</v>
      </c>
      <c r="J1891">
        <v>1304</v>
      </c>
      <c r="K1891" s="173">
        <v>580</v>
      </c>
      <c r="L1891" s="402">
        <f t="shared" si="211"/>
        <v>11.11963190184049</v>
      </c>
      <c r="M1891" s="173">
        <f t="shared" si="212"/>
        <v>36.119631901840492</v>
      </c>
      <c r="N1891" s="174"/>
      <c r="O1891" s="173">
        <f t="shared" si="213"/>
        <v>50.567484662576689</v>
      </c>
      <c r="P1891" s="173">
        <v>100</v>
      </c>
    </row>
    <row r="1892" spans="3:16" hidden="1" x14ac:dyDescent="0.35">
      <c r="C1892" s="233" t="s">
        <v>1627</v>
      </c>
      <c r="F1892" s="366" t="s">
        <v>409</v>
      </c>
      <c r="G1892" s="245" t="s">
        <v>1733</v>
      </c>
      <c r="I1892" s="173">
        <v>25</v>
      </c>
      <c r="J1892">
        <v>1304</v>
      </c>
      <c r="K1892" s="173">
        <v>580</v>
      </c>
      <c r="L1892" s="402">
        <f t="shared" si="211"/>
        <v>11.11963190184049</v>
      </c>
      <c r="M1892" s="173">
        <f t="shared" si="212"/>
        <v>36.119631901840492</v>
      </c>
      <c r="N1892" s="174"/>
      <c r="O1892" s="173">
        <f t="shared" si="213"/>
        <v>50.567484662576689</v>
      </c>
      <c r="P1892" s="173">
        <v>100</v>
      </c>
    </row>
    <row r="1893" spans="3:16" hidden="1" x14ac:dyDescent="0.35">
      <c r="C1893" s="233" t="s">
        <v>1627</v>
      </c>
      <c r="F1893" s="366" t="s">
        <v>410</v>
      </c>
      <c r="G1893" s="245" t="s">
        <v>1733</v>
      </c>
      <c r="I1893" s="173">
        <v>25</v>
      </c>
      <c r="J1893">
        <v>1304</v>
      </c>
      <c r="K1893" s="173">
        <v>580</v>
      </c>
      <c r="L1893" s="402">
        <f t="shared" si="211"/>
        <v>11.11963190184049</v>
      </c>
      <c r="M1893" s="173">
        <f t="shared" si="212"/>
        <v>36.119631901840492</v>
      </c>
      <c r="N1893" s="174"/>
      <c r="O1893" s="173">
        <f t="shared" si="213"/>
        <v>50.567484662576689</v>
      </c>
      <c r="P1893" s="173">
        <v>100</v>
      </c>
    </row>
    <row r="1894" spans="3:16" hidden="1" x14ac:dyDescent="0.35">
      <c r="C1894" s="233" t="s">
        <v>1627</v>
      </c>
      <c r="F1894" s="366" t="s">
        <v>760</v>
      </c>
      <c r="G1894" s="245" t="s">
        <v>1733</v>
      </c>
      <c r="I1894" s="173">
        <v>25</v>
      </c>
      <c r="J1894">
        <v>1304</v>
      </c>
      <c r="K1894" s="173">
        <v>580</v>
      </c>
      <c r="L1894" s="402">
        <f t="shared" si="211"/>
        <v>11.11963190184049</v>
      </c>
      <c r="M1894" s="173">
        <f t="shared" si="212"/>
        <v>36.119631901840492</v>
      </c>
      <c r="N1894" s="174"/>
      <c r="O1894" s="173">
        <f t="shared" si="213"/>
        <v>50.567484662576689</v>
      </c>
      <c r="P1894" s="173">
        <v>100</v>
      </c>
    </row>
    <row r="1895" spans="3:16" hidden="1" x14ac:dyDescent="0.35">
      <c r="C1895" s="233" t="s">
        <v>1627</v>
      </c>
      <c r="F1895" s="366" t="s">
        <v>597</v>
      </c>
      <c r="G1895" s="245" t="s">
        <v>1733</v>
      </c>
      <c r="I1895" s="173">
        <v>25</v>
      </c>
      <c r="J1895">
        <v>1304</v>
      </c>
      <c r="K1895" s="173">
        <v>580</v>
      </c>
      <c r="L1895" s="402">
        <f t="shared" si="211"/>
        <v>11.11963190184049</v>
      </c>
      <c r="M1895" s="173">
        <f t="shared" si="212"/>
        <v>36.119631901840492</v>
      </c>
      <c r="N1895" s="174"/>
      <c r="O1895" s="173">
        <f t="shared" si="213"/>
        <v>50.567484662576689</v>
      </c>
      <c r="P1895" s="173">
        <v>100</v>
      </c>
    </row>
    <row r="1896" spans="3:16" hidden="1" x14ac:dyDescent="0.35">
      <c r="C1896" s="233" t="s">
        <v>1627</v>
      </c>
      <c r="F1896" s="366" t="s">
        <v>598</v>
      </c>
      <c r="G1896" s="245" t="s">
        <v>1733</v>
      </c>
      <c r="I1896" s="173">
        <v>25</v>
      </c>
      <c r="J1896">
        <v>1304</v>
      </c>
      <c r="K1896" s="173">
        <v>580</v>
      </c>
      <c r="L1896" s="402">
        <f t="shared" si="211"/>
        <v>11.11963190184049</v>
      </c>
      <c r="M1896" s="173">
        <f t="shared" si="212"/>
        <v>36.119631901840492</v>
      </c>
      <c r="N1896" s="174"/>
      <c r="O1896" s="173">
        <f t="shared" si="213"/>
        <v>50.567484662576689</v>
      </c>
      <c r="P1896" s="173">
        <v>100</v>
      </c>
    </row>
    <row r="1897" spans="3:16" hidden="1" x14ac:dyDescent="0.35">
      <c r="C1897" s="233" t="s">
        <v>1627</v>
      </c>
      <c r="F1897" s="366" t="s">
        <v>407</v>
      </c>
      <c r="G1897" s="245" t="s">
        <v>1734</v>
      </c>
      <c r="I1897" s="173">
        <v>25</v>
      </c>
      <c r="J1897">
        <v>1304</v>
      </c>
      <c r="K1897" s="173">
        <v>580</v>
      </c>
      <c r="L1897" s="402">
        <f t="shared" si="211"/>
        <v>11.11963190184049</v>
      </c>
      <c r="M1897" s="173">
        <f t="shared" si="212"/>
        <v>36.119631901840492</v>
      </c>
      <c r="N1897" s="174"/>
      <c r="O1897" s="173">
        <f t="shared" si="213"/>
        <v>50.567484662576689</v>
      </c>
      <c r="P1897" s="173">
        <v>100</v>
      </c>
    </row>
    <row r="1898" spans="3:16" hidden="1" x14ac:dyDescent="0.35">
      <c r="C1898" s="233" t="s">
        <v>1627</v>
      </c>
      <c r="F1898" s="366" t="s">
        <v>409</v>
      </c>
      <c r="G1898" s="245" t="s">
        <v>1734</v>
      </c>
      <c r="I1898" s="173">
        <v>25</v>
      </c>
      <c r="J1898">
        <v>1304</v>
      </c>
      <c r="K1898" s="173">
        <v>580</v>
      </c>
      <c r="L1898" s="402">
        <f t="shared" si="211"/>
        <v>11.11963190184049</v>
      </c>
      <c r="M1898" s="173">
        <f t="shared" si="212"/>
        <v>36.119631901840492</v>
      </c>
      <c r="N1898" s="174"/>
      <c r="O1898" s="173">
        <f t="shared" si="213"/>
        <v>50.567484662576689</v>
      </c>
      <c r="P1898" s="173">
        <v>100</v>
      </c>
    </row>
    <row r="1899" spans="3:16" hidden="1" x14ac:dyDescent="0.35">
      <c r="C1899" s="233" t="s">
        <v>1627</v>
      </c>
      <c r="F1899" s="366" t="s">
        <v>410</v>
      </c>
      <c r="G1899" s="245" t="s">
        <v>1734</v>
      </c>
      <c r="I1899" s="173">
        <v>25</v>
      </c>
      <c r="J1899">
        <v>1304</v>
      </c>
      <c r="K1899" s="173">
        <v>580</v>
      </c>
      <c r="L1899" s="402">
        <f t="shared" si="211"/>
        <v>11.11963190184049</v>
      </c>
      <c r="M1899" s="173">
        <f t="shared" si="212"/>
        <v>36.119631901840492</v>
      </c>
      <c r="N1899" s="174"/>
      <c r="O1899" s="173">
        <f t="shared" si="213"/>
        <v>50.567484662576689</v>
      </c>
      <c r="P1899" s="173">
        <v>100</v>
      </c>
    </row>
    <row r="1900" spans="3:16" hidden="1" x14ac:dyDescent="0.35">
      <c r="C1900" s="233" t="s">
        <v>1627</v>
      </c>
      <c r="F1900" s="366" t="s">
        <v>760</v>
      </c>
      <c r="G1900" s="245" t="s">
        <v>1734</v>
      </c>
      <c r="I1900" s="173">
        <v>25</v>
      </c>
      <c r="J1900">
        <v>1304</v>
      </c>
      <c r="K1900" s="173">
        <v>580</v>
      </c>
      <c r="L1900" s="402">
        <f t="shared" si="211"/>
        <v>11.11963190184049</v>
      </c>
      <c r="M1900" s="173">
        <f t="shared" si="212"/>
        <v>36.119631901840492</v>
      </c>
      <c r="N1900" s="174"/>
      <c r="O1900" s="173">
        <f t="shared" si="213"/>
        <v>50.567484662576689</v>
      </c>
      <c r="P1900" s="173">
        <v>100</v>
      </c>
    </row>
    <row r="1901" spans="3:16" hidden="1" x14ac:dyDescent="0.35">
      <c r="C1901" s="233" t="s">
        <v>1627</v>
      </c>
      <c r="F1901" s="366" t="s">
        <v>597</v>
      </c>
      <c r="G1901" s="245" t="s">
        <v>1734</v>
      </c>
      <c r="I1901" s="173">
        <v>25</v>
      </c>
      <c r="J1901">
        <v>1304</v>
      </c>
      <c r="K1901" s="173">
        <v>580</v>
      </c>
      <c r="L1901" s="402">
        <f t="shared" si="211"/>
        <v>11.11963190184049</v>
      </c>
      <c r="M1901" s="173">
        <f t="shared" si="212"/>
        <v>36.119631901840492</v>
      </c>
      <c r="N1901" s="174"/>
      <c r="O1901" s="173">
        <f t="shared" si="213"/>
        <v>50.567484662576689</v>
      </c>
      <c r="P1901" s="173">
        <v>100</v>
      </c>
    </row>
    <row r="1902" spans="3:16" hidden="1" x14ac:dyDescent="0.35">
      <c r="C1902" s="233" t="s">
        <v>1627</v>
      </c>
      <c r="F1902" s="366" t="s">
        <v>598</v>
      </c>
      <c r="G1902" s="245" t="s">
        <v>1734</v>
      </c>
      <c r="I1902" s="173">
        <v>25</v>
      </c>
      <c r="J1902">
        <v>1304</v>
      </c>
      <c r="K1902" s="173">
        <v>580</v>
      </c>
      <c r="L1902" s="402">
        <f t="shared" si="211"/>
        <v>11.11963190184049</v>
      </c>
      <c r="M1902" s="173">
        <f t="shared" si="212"/>
        <v>36.119631901840492</v>
      </c>
      <c r="N1902" s="174"/>
      <c r="O1902" s="173">
        <f t="shared" si="213"/>
        <v>50.567484662576689</v>
      </c>
      <c r="P1902" s="173">
        <v>100</v>
      </c>
    </row>
    <row r="1903" spans="3:16" hidden="1" x14ac:dyDescent="0.35">
      <c r="C1903" s="233" t="s">
        <v>1065</v>
      </c>
      <c r="F1903" s="366" t="s">
        <v>407</v>
      </c>
      <c r="G1903" s="245" t="s">
        <v>1735</v>
      </c>
      <c r="I1903" s="173">
        <v>22</v>
      </c>
      <c r="J1903">
        <v>1304</v>
      </c>
      <c r="K1903" s="173">
        <v>580</v>
      </c>
      <c r="L1903" s="402">
        <f t="shared" si="211"/>
        <v>9.7852760736196309</v>
      </c>
      <c r="M1903" s="173">
        <f t="shared" si="212"/>
        <v>31.785276073619631</v>
      </c>
      <c r="N1903" s="174"/>
      <c r="O1903" s="173">
        <f t="shared" si="213"/>
        <v>44.499386503067484</v>
      </c>
      <c r="P1903" s="173">
        <v>75</v>
      </c>
    </row>
    <row r="1904" spans="3:16" hidden="1" x14ac:dyDescent="0.35">
      <c r="C1904" s="233" t="s">
        <v>1065</v>
      </c>
      <c r="F1904" s="366" t="s">
        <v>409</v>
      </c>
      <c r="G1904" s="245" t="s">
        <v>1735</v>
      </c>
      <c r="I1904" s="173">
        <v>22</v>
      </c>
      <c r="J1904">
        <v>1304</v>
      </c>
      <c r="K1904" s="173">
        <v>580</v>
      </c>
      <c r="L1904" s="402">
        <f t="shared" si="211"/>
        <v>9.7852760736196309</v>
      </c>
      <c r="M1904" s="173">
        <f t="shared" si="212"/>
        <v>31.785276073619631</v>
      </c>
      <c r="N1904" s="174"/>
      <c r="O1904" s="173">
        <f t="shared" si="213"/>
        <v>44.499386503067484</v>
      </c>
      <c r="P1904" s="173">
        <v>75</v>
      </c>
    </row>
    <row r="1905" spans="3:16" hidden="1" x14ac:dyDescent="0.35">
      <c r="C1905" s="233" t="s">
        <v>1065</v>
      </c>
      <c r="F1905" s="366" t="s">
        <v>410</v>
      </c>
      <c r="G1905" s="245" t="s">
        <v>1735</v>
      </c>
      <c r="I1905" s="173">
        <v>22</v>
      </c>
      <c r="J1905">
        <v>1304</v>
      </c>
      <c r="K1905" s="173">
        <v>580</v>
      </c>
      <c r="L1905" s="402">
        <f t="shared" si="211"/>
        <v>9.7852760736196309</v>
      </c>
      <c r="M1905" s="173">
        <f t="shared" si="212"/>
        <v>31.785276073619631</v>
      </c>
      <c r="N1905" s="174"/>
      <c r="O1905" s="173">
        <f t="shared" si="213"/>
        <v>44.499386503067484</v>
      </c>
      <c r="P1905" s="173">
        <v>75</v>
      </c>
    </row>
    <row r="1906" spans="3:16" hidden="1" x14ac:dyDescent="0.35">
      <c r="C1906" s="233" t="s">
        <v>1065</v>
      </c>
      <c r="F1906" s="366" t="s">
        <v>760</v>
      </c>
      <c r="G1906" s="245" t="s">
        <v>1735</v>
      </c>
      <c r="I1906" s="173">
        <v>22</v>
      </c>
      <c r="J1906">
        <v>1304</v>
      </c>
      <c r="K1906" s="173">
        <v>580</v>
      </c>
      <c r="L1906" s="402">
        <f t="shared" si="211"/>
        <v>9.7852760736196309</v>
      </c>
      <c r="M1906" s="173">
        <f t="shared" si="212"/>
        <v>31.785276073619631</v>
      </c>
      <c r="N1906" s="174"/>
      <c r="O1906" s="173">
        <f t="shared" si="213"/>
        <v>44.499386503067484</v>
      </c>
      <c r="P1906" s="173">
        <v>75</v>
      </c>
    </row>
    <row r="1907" spans="3:16" hidden="1" x14ac:dyDescent="0.35">
      <c r="C1907" s="233" t="s">
        <v>1065</v>
      </c>
      <c r="F1907" s="366" t="s">
        <v>597</v>
      </c>
      <c r="G1907" s="245" t="s">
        <v>1735</v>
      </c>
      <c r="I1907" s="173">
        <v>22</v>
      </c>
      <c r="J1907">
        <v>1304</v>
      </c>
      <c r="K1907" s="173">
        <v>580</v>
      </c>
      <c r="L1907" s="402">
        <f t="shared" si="211"/>
        <v>9.7852760736196309</v>
      </c>
      <c r="M1907" s="173">
        <f t="shared" si="212"/>
        <v>31.785276073619631</v>
      </c>
      <c r="N1907" s="174"/>
      <c r="O1907" s="173">
        <f t="shared" si="213"/>
        <v>44.499386503067484</v>
      </c>
      <c r="P1907" s="173">
        <v>75</v>
      </c>
    </row>
    <row r="1908" spans="3:16" hidden="1" x14ac:dyDescent="0.35">
      <c r="C1908" s="233" t="s">
        <v>1065</v>
      </c>
      <c r="F1908" s="366" t="s">
        <v>598</v>
      </c>
      <c r="G1908" s="245" t="s">
        <v>1735</v>
      </c>
      <c r="I1908" s="173">
        <v>22</v>
      </c>
      <c r="J1908">
        <v>1304</v>
      </c>
      <c r="K1908" s="173">
        <v>580</v>
      </c>
      <c r="L1908" s="402">
        <f t="shared" si="211"/>
        <v>9.7852760736196309</v>
      </c>
      <c r="M1908" s="173">
        <f t="shared" si="212"/>
        <v>31.785276073619631</v>
      </c>
      <c r="N1908" s="174"/>
      <c r="O1908" s="173">
        <f t="shared" si="213"/>
        <v>44.499386503067484</v>
      </c>
      <c r="P1908" s="173">
        <v>75</v>
      </c>
    </row>
    <row r="1909" spans="3:16" hidden="1" x14ac:dyDescent="0.35">
      <c r="C1909" s="233" t="s">
        <v>1065</v>
      </c>
      <c r="F1909" s="366">
        <v>44</v>
      </c>
      <c r="G1909" s="245" t="s">
        <v>1736</v>
      </c>
      <c r="I1909" s="173">
        <v>40</v>
      </c>
      <c r="J1909">
        <v>1304</v>
      </c>
      <c r="K1909" s="173">
        <v>580</v>
      </c>
      <c r="L1909" s="402">
        <f t="shared" si="211"/>
        <v>17.791411042944784</v>
      </c>
      <c r="M1909" s="173">
        <f t="shared" si="212"/>
        <v>57.791411042944787</v>
      </c>
      <c r="N1909" s="174"/>
      <c r="O1909" s="173">
        <f t="shared" si="213"/>
        <v>80.907975460122699</v>
      </c>
      <c r="P1909" s="173">
        <v>120</v>
      </c>
    </row>
    <row r="1910" spans="3:16" hidden="1" x14ac:dyDescent="0.35">
      <c r="C1910" s="233" t="s">
        <v>1065</v>
      </c>
      <c r="F1910" s="366">
        <v>46</v>
      </c>
      <c r="G1910" s="245" t="s">
        <v>1736</v>
      </c>
      <c r="I1910" s="173">
        <v>40</v>
      </c>
      <c r="J1910">
        <v>1304</v>
      </c>
      <c r="K1910" s="173">
        <v>580</v>
      </c>
      <c r="L1910" s="402">
        <f t="shared" si="211"/>
        <v>17.791411042944784</v>
      </c>
      <c r="M1910" s="173">
        <f t="shared" si="212"/>
        <v>57.791411042944787</v>
      </c>
      <c r="N1910" s="174"/>
      <c r="O1910" s="173">
        <f t="shared" si="213"/>
        <v>80.907975460122699</v>
      </c>
      <c r="P1910" s="173">
        <v>120</v>
      </c>
    </row>
    <row r="1911" spans="3:16" hidden="1" x14ac:dyDescent="0.35">
      <c r="C1911" s="233" t="s">
        <v>1065</v>
      </c>
      <c r="F1911" s="366">
        <v>48</v>
      </c>
      <c r="G1911" s="245" t="s">
        <v>1736</v>
      </c>
      <c r="I1911" s="173">
        <v>40</v>
      </c>
      <c r="J1911">
        <v>1304</v>
      </c>
      <c r="K1911" s="173">
        <v>580</v>
      </c>
      <c r="L1911" s="402">
        <f t="shared" si="211"/>
        <v>17.791411042944784</v>
      </c>
      <c r="M1911" s="173">
        <f t="shared" si="212"/>
        <v>57.791411042944787</v>
      </c>
      <c r="N1911" s="174"/>
      <c r="O1911" s="173">
        <f t="shared" si="213"/>
        <v>80.907975460122699</v>
      </c>
      <c r="P1911" s="173">
        <v>120</v>
      </c>
    </row>
    <row r="1912" spans="3:16" hidden="1" x14ac:dyDescent="0.35">
      <c r="C1912" s="233" t="s">
        <v>1065</v>
      </c>
      <c r="F1912" s="366">
        <v>50</v>
      </c>
      <c r="G1912" s="245" t="s">
        <v>1736</v>
      </c>
      <c r="I1912" s="173">
        <v>40</v>
      </c>
      <c r="J1912">
        <v>1304</v>
      </c>
      <c r="K1912" s="173">
        <v>580</v>
      </c>
      <c r="L1912" s="402">
        <f t="shared" si="211"/>
        <v>17.791411042944784</v>
      </c>
      <c r="M1912" s="173">
        <f t="shared" si="212"/>
        <v>57.791411042944787</v>
      </c>
      <c r="N1912" s="174"/>
      <c r="O1912" s="173">
        <f t="shared" si="213"/>
        <v>80.907975460122699</v>
      </c>
      <c r="P1912" s="173">
        <v>120</v>
      </c>
    </row>
    <row r="1913" spans="3:16" hidden="1" x14ac:dyDescent="0.35">
      <c r="C1913" s="233" t="s">
        <v>1065</v>
      </c>
      <c r="F1913" s="366">
        <v>44</v>
      </c>
      <c r="G1913" s="245" t="s">
        <v>1737</v>
      </c>
      <c r="I1913" s="173">
        <v>40</v>
      </c>
      <c r="J1913">
        <v>1304</v>
      </c>
      <c r="K1913" s="173">
        <v>580</v>
      </c>
      <c r="L1913" s="402">
        <f t="shared" si="211"/>
        <v>17.791411042944784</v>
      </c>
      <c r="M1913" s="173">
        <f t="shared" si="212"/>
        <v>57.791411042944787</v>
      </c>
      <c r="N1913" s="174"/>
      <c r="O1913" s="173">
        <f t="shared" si="213"/>
        <v>80.907975460122699</v>
      </c>
      <c r="P1913" s="173">
        <v>120</v>
      </c>
    </row>
    <row r="1914" spans="3:16" hidden="1" x14ac:dyDescent="0.35">
      <c r="C1914" s="233" t="s">
        <v>1065</v>
      </c>
      <c r="F1914" s="366">
        <v>46</v>
      </c>
      <c r="G1914" s="245" t="s">
        <v>1737</v>
      </c>
      <c r="I1914" s="173">
        <v>40</v>
      </c>
      <c r="J1914">
        <v>1304</v>
      </c>
      <c r="K1914" s="173">
        <v>580</v>
      </c>
      <c r="L1914" s="402">
        <f t="shared" si="211"/>
        <v>17.791411042944784</v>
      </c>
      <c r="M1914" s="173">
        <f t="shared" si="212"/>
        <v>57.791411042944787</v>
      </c>
      <c r="N1914" s="174"/>
      <c r="O1914" s="173">
        <f t="shared" si="213"/>
        <v>80.907975460122699</v>
      </c>
      <c r="P1914" s="173">
        <v>120</v>
      </c>
    </row>
    <row r="1915" spans="3:16" hidden="1" x14ac:dyDescent="0.35">
      <c r="C1915" s="233" t="s">
        <v>1065</v>
      </c>
      <c r="F1915" s="366">
        <v>48</v>
      </c>
      <c r="G1915" s="245" t="s">
        <v>1737</v>
      </c>
      <c r="I1915" s="173">
        <v>40</v>
      </c>
      <c r="J1915">
        <v>1304</v>
      </c>
      <c r="K1915" s="173">
        <v>580</v>
      </c>
      <c r="L1915" s="402">
        <f t="shared" si="211"/>
        <v>17.791411042944784</v>
      </c>
      <c r="M1915" s="173">
        <f t="shared" si="212"/>
        <v>57.791411042944787</v>
      </c>
      <c r="N1915" s="174"/>
      <c r="O1915" s="173">
        <f t="shared" si="213"/>
        <v>80.907975460122699</v>
      </c>
      <c r="P1915" s="173">
        <v>120</v>
      </c>
    </row>
    <row r="1916" spans="3:16" hidden="1" x14ac:dyDescent="0.35">
      <c r="C1916" s="233" t="s">
        <v>1065</v>
      </c>
      <c r="F1916" s="366">
        <v>50</v>
      </c>
      <c r="G1916" s="245" t="s">
        <v>1737</v>
      </c>
      <c r="I1916" s="173">
        <v>40</v>
      </c>
      <c r="J1916">
        <v>1304</v>
      </c>
      <c r="K1916" s="173">
        <v>580</v>
      </c>
      <c r="L1916" s="402">
        <f t="shared" si="211"/>
        <v>17.791411042944784</v>
      </c>
      <c r="M1916" s="173">
        <f t="shared" si="212"/>
        <v>57.791411042944787</v>
      </c>
      <c r="N1916" s="174"/>
      <c r="O1916" s="173">
        <f t="shared" si="213"/>
        <v>80.907975460122699</v>
      </c>
      <c r="P1916" s="173">
        <v>120</v>
      </c>
    </row>
    <row r="1917" spans="3:16" hidden="1" x14ac:dyDescent="0.35">
      <c r="C1917" s="233" t="s">
        <v>1065</v>
      </c>
      <c r="F1917" s="366">
        <v>44</v>
      </c>
      <c r="G1917" s="245" t="s">
        <v>1737</v>
      </c>
      <c r="I1917" s="173">
        <v>40</v>
      </c>
      <c r="J1917">
        <v>1304</v>
      </c>
      <c r="K1917" s="173">
        <v>580</v>
      </c>
      <c r="L1917" s="402">
        <f t="shared" si="211"/>
        <v>17.791411042944784</v>
      </c>
      <c r="M1917" s="173">
        <f t="shared" si="212"/>
        <v>57.791411042944787</v>
      </c>
      <c r="N1917" s="174"/>
      <c r="O1917" s="173">
        <f t="shared" si="213"/>
        <v>80.907975460122699</v>
      </c>
      <c r="P1917" s="173">
        <v>120</v>
      </c>
    </row>
    <row r="1918" spans="3:16" hidden="1" x14ac:dyDescent="0.35">
      <c r="C1918" s="233" t="s">
        <v>1065</v>
      </c>
      <c r="F1918" s="366">
        <v>46</v>
      </c>
      <c r="G1918" s="245" t="s">
        <v>1737</v>
      </c>
      <c r="I1918" s="173">
        <v>40</v>
      </c>
      <c r="J1918">
        <v>1304</v>
      </c>
      <c r="K1918" s="173">
        <v>580</v>
      </c>
      <c r="L1918" s="402">
        <f t="shared" si="211"/>
        <v>17.791411042944784</v>
      </c>
      <c r="M1918" s="173">
        <f t="shared" si="212"/>
        <v>57.791411042944787</v>
      </c>
      <c r="N1918" s="174"/>
      <c r="O1918" s="173">
        <f t="shared" si="213"/>
        <v>80.907975460122699</v>
      </c>
      <c r="P1918" s="173">
        <v>120</v>
      </c>
    </row>
    <row r="1919" spans="3:16" hidden="1" x14ac:dyDescent="0.35">
      <c r="C1919" s="233" t="s">
        <v>1065</v>
      </c>
      <c r="F1919" s="366">
        <v>48</v>
      </c>
      <c r="G1919" s="245" t="s">
        <v>1737</v>
      </c>
      <c r="I1919" s="173">
        <v>40</v>
      </c>
      <c r="J1919">
        <v>1304</v>
      </c>
      <c r="K1919" s="173">
        <v>580</v>
      </c>
      <c r="L1919" s="402">
        <f t="shared" si="211"/>
        <v>17.791411042944784</v>
      </c>
      <c r="M1919" s="173">
        <f t="shared" si="212"/>
        <v>57.791411042944787</v>
      </c>
      <c r="N1919" s="174"/>
      <c r="O1919" s="173">
        <f t="shared" si="213"/>
        <v>80.907975460122699</v>
      </c>
      <c r="P1919" s="173">
        <v>120</v>
      </c>
    </row>
    <row r="1920" spans="3:16" hidden="1" x14ac:dyDescent="0.35">
      <c r="C1920" s="233" t="s">
        <v>1065</v>
      </c>
      <c r="F1920" s="366">
        <v>50</v>
      </c>
      <c r="G1920" s="245" t="s">
        <v>1737</v>
      </c>
      <c r="I1920" s="173">
        <v>40</v>
      </c>
      <c r="J1920">
        <v>1304</v>
      </c>
      <c r="K1920" s="173">
        <v>580</v>
      </c>
      <c r="L1920" s="402">
        <f t="shared" si="211"/>
        <v>17.791411042944784</v>
      </c>
      <c r="M1920" s="173">
        <f t="shared" si="212"/>
        <v>57.791411042944787</v>
      </c>
      <c r="N1920" s="174"/>
      <c r="O1920" s="173">
        <f t="shared" si="213"/>
        <v>80.907975460122699</v>
      </c>
      <c r="P1920" s="173">
        <v>120</v>
      </c>
    </row>
    <row r="1921" spans="3:16" hidden="1" x14ac:dyDescent="0.35">
      <c r="C1921" s="233" t="s">
        <v>1065</v>
      </c>
      <c r="G1921" s="245" t="s">
        <v>1738</v>
      </c>
      <c r="I1921" s="173">
        <v>10</v>
      </c>
      <c r="J1921">
        <v>1304</v>
      </c>
      <c r="K1921" s="173">
        <v>580</v>
      </c>
      <c r="L1921" s="402">
        <f t="shared" si="211"/>
        <v>4.447852760736196</v>
      </c>
      <c r="M1921" s="173">
        <f t="shared" si="212"/>
        <v>14.447852760736197</v>
      </c>
      <c r="N1921" s="174"/>
      <c r="O1921" s="173">
        <f t="shared" si="213"/>
        <v>20.226993865030675</v>
      </c>
      <c r="P1921" s="173">
        <v>35</v>
      </c>
    </row>
    <row r="1922" spans="3:16" hidden="1" x14ac:dyDescent="0.35">
      <c r="C1922" s="233" t="s">
        <v>1065</v>
      </c>
      <c r="G1922" s="245" t="s">
        <v>1738</v>
      </c>
      <c r="I1922" s="173">
        <v>10</v>
      </c>
      <c r="J1922">
        <v>1304</v>
      </c>
      <c r="K1922" s="173">
        <v>580</v>
      </c>
      <c r="L1922" s="402">
        <f t="shared" si="211"/>
        <v>4.447852760736196</v>
      </c>
      <c r="M1922" s="173">
        <f t="shared" si="212"/>
        <v>14.447852760736197</v>
      </c>
      <c r="N1922" s="174"/>
      <c r="O1922" s="173">
        <f t="shared" si="213"/>
        <v>20.226993865030675</v>
      </c>
      <c r="P1922" s="173">
        <v>35</v>
      </c>
    </row>
    <row r="1923" spans="3:16" hidden="1" x14ac:dyDescent="0.35">
      <c r="C1923" s="233" t="s">
        <v>1065</v>
      </c>
      <c r="G1923" s="245" t="s">
        <v>1738</v>
      </c>
      <c r="I1923" s="173">
        <v>10</v>
      </c>
      <c r="J1923">
        <v>1304</v>
      </c>
      <c r="K1923" s="173">
        <v>580</v>
      </c>
      <c r="L1923" s="402">
        <f t="shared" si="211"/>
        <v>4.447852760736196</v>
      </c>
      <c r="M1923" s="173">
        <f t="shared" si="212"/>
        <v>14.447852760736197</v>
      </c>
      <c r="N1923" s="174"/>
      <c r="O1923" s="173">
        <f t="shared" si="213"/>
        <v>20.226993865030675</v>
      </c>
      <c r="P1923" s="173">
        <v>35</v>
      </c>
    </row>
    <row r="1924" spans="3:16" hidden="1" x14ac:dyDescent="0.35">
      <c r="C1924" s="233" t="s">
        <v>1065</v>
      </c>
      <c r="G1924" s="245" t="s">
        <v>1738</v>
      </c>
      <c r="I1924" s="173">
        <v>10</v>
      </c>
      <c r="J1924">
        <v>1304</v>
      </c>
      <c r="K1924" s="173">
        <v>580</v>
      </c>
      <c r="L1924" s="402">
        <f t="shared" si="211"/>
        <v>4.447852760736196</v>
      </c>
      <c r="M1924" s="173">
        <f t="shared" si="212"/>
        <v>14.447852760736197</v>
      </c>
      <c r="N1924" s="174"/>
      <c r="O1924" s="173">
        <f t="shared" si="213"/>
        <v>20.226993865030675</v>
      </c>
      <c r="P1924" s="173">
        <v>35</v>
      </c>
    </row>
    <row r="1925" spans="3:16" hidden="1" x14ac:dyDescent="0.35">
      <c r="C1925" s="233" t="s">
        <v>1065</v>
      </c>
      <c r="G1925" s="245" t="s">
        <v>1738</v>
      </c>
      <c r="I1925" s="173">
        <v>10</v>
      </c>
      <c r="J1925">
        <v>1304</v>
      </c>
      <c r="K1925" s="173">
        <v>580</v>
      </c>
      <c r="L1925" s="402">
        <f t="shared" si="211"/>
        <v>4.447852760736196</v>
      </c>
      <c r="M1925" s="173">
        <f t="shared" si="212"/>
        <v>14.447852760736197</v>
      </c>
      <c r="N1925" s="174"/>
      <c r="O1925" s="173">
        <f t="shared" si="213"/>
        <v>20.226993865030675</v>
      </c>
      <c r="P1925" s="173">
        <v>35</v>
      </c>
    </row>
    <row r="1926" spans="3:16" hidden="1" x14ac:dyDescent="0.35">
      <c r="C1926" s="233" t="s">
        <v>1065</v>
      </c>
      <c r="G1926" s="245" t="s">
        <v>1738</v>
      </c>
      <c r="I1926" s="173">
        <v>10</v>
      </c>
      <c r="J1926">
        <v>1304</v>
      </c>
      <c r="K1926" s="173">
        <v>580</v>
      </c>
      <c r="L1926" s="402">
        <f t="shared" si="211"/>
        <v>4.447852760736196</v>
      </c>
      <c r="M1926" s="173">
        <f t="shared" si="212"/>
        <v>14.447852760736197</v>
      </c>
      <c r="N1926" s="174"/>
      <c r="O1926" s="173">
        <f t="shared" si="213"/>
        <v>20.226993865030675</v>
      </c>
      <c r="P1926" s="173">
        <v>35</v>
      </c>
    </row>
    <row r="1927" spans="3:16" hidden="1" x14ac:dyDescent="0.35">
      <c r="C1927" s="233" t="s">
        <v>1065</v>
      </c>
      <c r="G1927" s="245" t="s">
        <v>1739</v>
      </c>
      <c r="I1927" s="173">
        <v>13</v>
      </c>
      <c r="J1927">
        <v>1304</v>
      </c>
      <c r="K1927" s="173">
        <v>580</v>
      </c>
      <c r="L1927" s="402">
        <f t="shared" si="211"/>
        <v>5.7822085889570554</v>
      </c>
      <c r="M1927" s="173">
        <f t="shared" si="212"/>
        <v>18.782208588957054</v>
      </c>
      <c r="N1927" s="174"/>
      <c r="O1927" s="173">
        <f t="shared" si="213"/>
        <v>26.295092024539876</v>
      </c>
      <c r="P1927" s="173">
        <v>40</v>
      </c>
    </row>
    <row r="1928" spans="3:16" hidden="1" x14ac:dyDescent="0.35">
      <c r="C1928" s="233" t="s">
        <v>1065</v>
      </c>
      <c r="G1928" s="245" t="s">
        <v>1739</v>
      </c>
      <c r="I1928" s="173">
        <v>13</v>
      </c>
      <c r="J1928">
        <v>1304</v>
      </c>
      <c r="K1928" s="173">
        <v>580</v>
      </c>
      <c r="L1928" s="402">
        <f t="shared" si="211"/>
        <v>5.7822085889570554</v>
      </c>
      <c r="M1928" s="173">
        <f t="shared" si="212"/>
        <v>18.782208588957054</v>
      </c>
      <c r="N1928" s="174"/>
      <c r="O1928" s="173">
        <f t="shared" si="213"/>
        <v>26.295092024539876</v>
      </c>
      <c r="P1928" s="173">
        <v>40</v>
      </c>
    </row>
    <row r="1929" spans="3:16" hidden="1" x14ac:dyDescent="0.35">
      <c r="C1929" s="233" t="s">
        <v>1065</v>
      </c>
      <c r="G1929" s="245" t="s">
        <v>1739</v>
      </c>
      <c r="I1929" s="173">
        <v>13</v>
      </c>
      <c r="J1929">
        <v>1304</v>
      </c>
      <c r="K1929" s="173">
        <v>580</v>
      </c>
      <c r="L1929" s="402">
        <f t="shared" si="211"/>
        <v>5.7822085889570554</v>
      </c>
      <c r="M1929" s="173">
        <f t="shared" si="212"/>
        <v>18.782208588957054</v>
      </c>
      <c r="N1929" s="174"/>
      <c r="O1929" s="173">
        <f t="shared" si="213"/>
        <v>26.295092024539876</v>
      </c>
      <c r="P1929" s="173">
        <v>40</v>
      </c>
    </row>
    <row r="1930" spans="3:16" hidden="1" x14ac:dyDescent="0.35">
      <c r="C1930" s="233" t="s">
        <v>1065</v>
      </c>
      <c r="G1930" s="245" t="s">
        <v>1739</v>
      </c>
      <c r="I1930" s="173">
        <v>13</v>
      </c>
      <c r="J1930">
        <v>1304</v>
      </c>
      <c r="K1930" s="173">
        <v>580</v>
      </c>
      <c r="L1930" s="402">
        <f t="shared" si="211"/>
        <v>5.7822085889570554</v>
      </c>
      <c r="M1930" s="173">
        <f t="shared" si="212"/>
        <v>18.782208588957054</v>
      </c>
      <c r="N1930" s="174"/>
      <c r="O1930" s="173">
        <f t="shared" si="213"/>
        <v>26.295092024539876</v>
      </c>
      <c r="P1930" s="173">
        <v>40</v>
      </c>
    </row>
    <row r="1931" spans="3:16" hidden="1" x14ac:dyDescent="0.35">
      <c r="C1931" s="232"/>
      <c r="D1931" s="232"/>
    </row>
    <row r="1932" spans="3:16" hidden="1" x14ac:dyDescent="0.35">
      <c r="C1932" s="233" t="s">
        <v>1162</v>
      </c>
      <c r="G1932" s="245" t="s">
        <v>1748</v>
      </c>
      <c r="I1932" s="173">
        <v>8</v>
      </c>
      <c r="O1932" s="173">
        <f t="shared" ref="O1932:O1946" si="214">+I1932*1.4</f>
        <v>11.2</v>
      </c>
      <c r="P1932" s="173">
        <v>15</v>
      </c>
    </row>
    <row r="1933" spans="3:16" hidden="1" x14ac:dyDescent="0.35">
      <c r="C1933" s="233" t="s">
        <v>1162</v>
      </c>
      <c r="G1933" s="245" t="s">
        <v>1748</v>
      </c>
      <c r="I1933" s="173">
        <v>8</v>
      </c>
      <c r="O1933" s="173">
        <f t="shared" si="214"/>
        <v>11.2</v>
      </c>
      <c r="P1933" s="173">
        <v>15</v>
      </c>
    </row>
    <row r="1934" spans="3:16" hidden="1" x14ac:dyDescent="0.35">
      <c r="C1934" s="233" t="s">
        <v>1162</v>
      </c>
      <c r="G1934" s="245" t="s">
        <v>1748</v>
      </c>
      <c r="I1934" s="173">
        <v>8</v>
      </c>
      <c r="O1934" s="173">
        <f t="shared" si="214"/>
        <v>11.2</v>
      </c>
      <c r="P1934" s="173">
        <v>15</v>
      </c>
    </row>
    <row r="1935" spans="3:16" hidden="1" x14ac:dyDescent="0.35">
      <c r="C1935" s="233" t="s">
        <v>1162</v>
      </c>
      <c r="G1935" s="245" t="s">
        <v>1748</v>
      </c>
      <c r="I1935" s="173">
        <v>8</v>
      </c>
      <c r="O1935" s="173">
        <f t="shared" si="214"/>
        <v>11.2</v>
      </c>
      <c r="P1935" s="173">
        <v>15</v>
      </c>
    </row>
    <row r="1936" spans="3:16" hidden="1" x14ac:dyDescent="0.35">
      <c r="C1936" s="233" t="s">
        <v>1162</v>
      </c>
      <c r="G1936" s="245" t="s">
        <v>1748</v>
      </c>
      <c r="I1936" s="173">
        <v>8</v>
      </c>
      <c r="O1936" s="173">
        <f t="shared" si="214"/>
        <v>11.2</v>
      </c>
      <c r="P1936" s="173">
        <v>15</v>
      </c>
    </row>
    <row r="1937" spans="3:16" hidden="1" x14ac:dyDescent="0.35">
      <c r="C1937" s="233" t="s">
        <v>1162</v>
      </c>
      <c r="G1937" s="245" t="s">
        <v>1748</v>
      </c>
      <c r="I1937" s="173">
        <v>8</v>
      </c>
      <c r="O1937" s="173">
        <f t="shared" si="214"/>
        <v>11.2</v>
      </c>
      <c r="P1937" s="173">
        <v>15</v>
      </c>
    </row>
    <row r="1938" spans="3:16" hidden="1" x14ac:dyDescent="0.35">
      <c r="C1938" s="233" t="s">
        <v>1162</v>
      </c>
      <c r="G1938" s="245" t="s">
        <v>1748</v>
      </c>
      <c r="I1938" s="173">
        <v>8</v>
      </c>
      <c r="O1938" s="173">
        <f t="shared" si="214"/>
        <v>11.2</v>
      </c>
      <c r="P1938" s="173">
        <v>15</v>
      </c>
    </row>
    <row r="1939" spans="3:16" hidden="1" x14ac:dyDescent="0.35">
      <c r="C1939" s="233" t="s">
        <v>1162</v>
      </c>
      <c r="G1939" s="245" t="s">
        <v>1748</v>
      </c>
      <c r="I1939" s="173">
        <v>8</v>
      </c>
      <c r="O1939" s="173">
        <f t="shared" si="214"/>
        <v>11.2</v>
      </c>
      <c r="P1939" s="173">
        <v>15</v>
      </c>
    </row>
    <row r="1940" spans="3:16" hidden="1" x14ac:dyDescent="0.35">
      <c r="C1940" s="233" t="s">
        <v>1162</v>
      </c>
      <c r="G1940" s="245" t="s">
        <v>1748</v>
      </c>
      <c r="I1940" s="173">
        <v>8</v>
      </c>
      <c r="O1940" s="173">
        <f t="shared" si="214"/>
        <v>11.2</v>
      </c>
      <c r="P1940" s="173">
        <v>15</v>
      </c>
    </row>
    <row r="1941" spans="3:16" hidden="1" x14ac:dyDescent="0.35">
      <c r="C1941" s="233" t="s">
        <v>1162</v>
      </c>
      <c r="G1941" s="245" t="s">
        <v>1748</v>
      </c>
      <c r="I1941" s="173">
        <v>8</v>
      </c>
      <c r="O1941" s="173">
        <f t="shared" si="214"/>
        <v>11.2</v>
      </c>
      <c r="P1941" s="173">
        <v>15</v>
      </c>
    </row>
    <row r="1942" spans="3:16" hidden="1" x14ac:dyDescent="0.35">
      <c r="C1942" s="233" t="s">
        <v>1162</v>
      </c>
      <c r="G1942" s="245" t="s">
        <v>1748</v>
      </c>
      <c r="I1942" s="173">
        <v>8</v>
      </c>
      <c r="O1942" s="173">
        <f t="shared" si="214"/>
        <v>11.2</v>
      </c>
      <c r="P1942" s="173">
        <v>15</v>
      </c>
    </row>
    <row r="1943" spans="3:16" hidden="1" x14ac:dyDescent="0.35">
      <c r="C1943" s="233" t="s">
        <v>1162</v>
      </c>
      <c r="G1943" s="245" t="s">
        <v>1748</v>
      </c>
      <c r="I1943" s="173">
        <v>8</v>
      </c>
      <c r="O1943" s="173">
        <f t="shared" si="214"/>
        <v>11.2</v>
      </c>
      <c r="P1943" s="173">
        <v>15</v>
      </c>
    </row>
    <row r="1944" spans="3:16" hidden="1" x14ac:dyDescent="0.35">
      <c r="C1944" s="233" t="s">
        <v>1162</v>
      </c>
      <c r="G1944" s="245" t="s">
        <v>1748</v>
      </c>
      <c r="I1944" s="173">
        <v>8</v>
      </c>
      <c r="O1944" s="173">
        <f t="shared" si="214"/>
        <v>11.2</v>
      </c>
      <c r="P1944" s="173">
        <v>15</v>
      </c>
    </row>
    <row r="1945" spans="3:16" hidden="1" x14ac:dyDescent="0.35">
      <c r="C1945" s="233" t="s">
        <v>1162</v>
      </c>
      <c r="G1945" s="245" t="s">
        <v>1748</v>
      </c>
      <c r="I1945" s="173">
        <v>8</v>
      </c>
      <c r="O1945" s="173">
        <f t="shared" si="214"/>
        <v>11.2</v>
      </c>
      <c r="P1945" s="173">
        <v>15</v>
      </c>
    </row>
    <row r="1946" spans="3:16" hidden="1" x14ac:dyDescent="0.35">
      <c r="C1946" s="233" t="s">
        <v>1162</v>
      </c>
      <c r="G1946" s="245" t="s">
        <v>1748</v>
      </c>
      <c r="I1946" s="173">
        <v>8</v>
      </c>
      <c r="O1946" s="173">
        <f t="shared" si="214"/>
        <v>11.2</v>
      </c>
      <c r="P1946" s="173">
        <v>15</v>
      </c>
    </row>
    <row r="1947" spans="3:16" hidden="1" x14ac:dyDescent="0.35"/>
    <row r="1948" spans="3:16" hidden="1" x14ac:dyDescent="0.35">
      <c r="C1948" s="245" t="s">
        <v>1763</v>
      </c>
      <c r="D1948" s="245"/>
      <c r="G1948" s="245" t="s">
        <v>1764</v>
      </c>
      <c r="I1948" s="173">
        <v>55</v>
      </c>
      <c r="J1948">
        <f>441*1.05</f>
        <v>463.05</v>
      </c>
      <c r="K1948" s="173">
        <f>11*14</f>
        <v>154</v>
      </c>
      <c r="L1948" s="402">
        <f t="shared" ref="L1948:L1956" si="215">+I1948/J1948*K1948</f>
        <v>18.291761148904005</v>
      </c>
      <c r="M1948" s="173">
        <f t="shared" ref="M1948:M1956" si="216">+I1948+L1948</f>
        <v>73.291761148904001</v>
      </c>
      <c r="O1948" s="173">
        <f t="shared" ref="O1948:O1956" si="217">+M1948*1.4</f>
        <v>102.60846560846559</v>
      </c>
      <c r="P1948" s="173">
        <v>180</v>
      </c>
    </row>
    <row r="1949" spans="3:16" hidden="1" x14ac:dyDescent="0.35">
      <c r="C1949" s="245" t="s">
        <v>1763</v>
      </c>
      <c r="D1949" s="245"/>
      <c r="G1949" s="245" t="s">
        <v>1764</v>
      </c>
      <c r="I1949" s="173">
        <v>55</v>
      </c>
      <c r="J1949">
        <f t="shared" ref="J1949:J1956" si="218">441*1.05</f>
        <v>463.05</v>
      </c>
      <c r="K1949" s="173">
        <f t="shared" ref="K1949:K1955" si="219">11*14</f>
        <v>154</v>
      </c>
      <c r="L1949" s="402">
        <f t="shared" si="215"/>
        <v>18.291761148904005</v>
      </c>
      <c r="M1949" s="173">
        <f t="shared" si="216"/>
        <v>73.291761148904001</v>
      </c>
      <c r="O1949" s="173">
        <f t="shared" si="217"/>
        <v>102.60846560846559</v>
      </c>
      <c r="P1949" s="173">
        <v>180</v>
      </c>
    </row>
    <row r="1950" spans="3:16" hidden="1" x14ac:dyDescent="0.35">
      <c r="C1950" s="245" t="s">
        <v>1763</v>
      </c>
      <c r="D1950" s="245"/>
      <c r="G1950" s="245" t="s">
        <v>1764</v>
      </c>
      <c r="I1950" s="173">
        <v>55</v>
      </c>
      <c r="J1950">
        <f t="shared" si="218"/>
        <v>463.05</v>
      </c>
      <c r="K1950" s="173">
        <f t="shared" si="219"/>
        <v>154</v>
      </c>
      <c r="L1950" s="402">
        <f t="shared" si="215"/>
        <v>18.291761148904005</v>
      </c>
      <c r="M1950" s="173">
        <f t="shared" si="216"/>
        <v>73.291761148904001</v>
      </c>
      <c r="O1950" s="173">
        <f t="shared" si="217"/>
        <v>102.60846560846559</v>
      </c>
      <c r="P1950" s="173">
        <v>180</v>
      </c>
    </row>
    <row r="1951" spans="3:16" hidden="1" x14ac:dyDescent="0.35">
      <c r="C1951" s="245" t="s">
        <v>1763</v>
      </c>
      <c r="D1951" s="245"/>
      <c r="G1951" s="245" t="s">
        <v>1764</v>
      </c>
      <c r="I1951" s="173">
        <v>55</v>
      </c>
      <c r="J1951">
        <f t="shared" si="218"/>
        <v>463.05</v>
      </c>
      <c r="K1951" s="173">
        <f t="shared" si="219"/>
        <v>154</v>
      </c>
      <c r="L1951" s="402">
        <f t="shared" si="215"/>
        <v>18.291761148904005</v>
      </c>
      <c r="M1951" s="173">
        <f t="shared" si="216"/>
        <v>73.291761148904001</v>
      </c>
      <c r="O1951" s="173">
        <f t="shared" si="217"/>
        <v>102.60846560846559</v>
      </c>
      <c r="P1951" s="173">
        <v>180</v>
      </c>
    </row>
    <row r="1952" spans="3:16" hidden="1" x14ac:dyDescent="0.35">
      <c r="C1952" s="245" t="s">
        <v>1763</v>
      </c>
      <c r="D1952" s="245"/>
      <c r="G1952" s="245" t="s">
        <v>1764</v>
      </c>
      <c r="I1952" s="173">
        <v>55</v>
      </c>
      <c r="J1952">
        <f t="shared" si="218"/>
        <v>463.05</v>
      </c>
      <c r="K1952" s="173">
        <f t="shared" si="219"/>
        <v>154</v>
      </c>
      <c r="L1952" s="402">
        <f t="shared" si="215"/>
        <v>18.291761148904005</v>
      </c>
      <c r="M1952" s="173">
        <f t="shared" si="216"/>
        <v>73.291761148904001</v>
      </c>
      <c r="O1952" s="173">
        <f t="shared" si="217"/>
        <v>102.60846560846559</v>
      </c>
      <c r="P1952" s="173">
        <v>180</v>
      </c>
    </row>
    <row r="1953" spans="3:18" hidden="1" x14ac:dyDescent="0.35">
      <c r="C1953" s="245" t="s">
        <v>1763</v>
      </c>
      <c r="D1953" s="245"/>
      <c r="G1953" s="245" t="s">
        <v>1764</v>
      </c>
      <c r="I1953" s="173">
        <v>55</v>
      </c>
      <c r="J1953">
        <f t="shared" si="218"/>
        <v>463.05</v>
      </c>
      <c r="K1953" s="173">
        <f t="shared" si="219"/>
        <v>154</v>
      </c>
      <c r="L1953" s="402">
        <f t="shared" si="215"/>
        <v>18.291761148904005</v>
      </c>
      <c r="M1953" s="173">
        <f t="shared" si="216"/>
        <v>73.291761148904001</v>
      </c>
      <c r="O1953" s="173">
        <f t="shared" si="217"/>
        <v>102.60846560846559</v>
      </c>
      <c r="P1953" s="173">
        <v>180</v>
      </c>
    </row>
    <row r="1954" spans="3:18" hidden="1" x14ac:dyDescent="0.35">
      <c r="C1954" s="245" t="s">
        <v>1763</v>
      </c>
      <c r="D1954" s="245"/>
      <c r="G1954" s="245" t="s">
        <v>1765</v>
      </c>
      <c r="I1954" s="173">
        <v>36.75</v>
      </c>
      <c r="J1954">
        <f t="shared" si="218"/>
        <v>463.05</v>
      </c>
      <c r="K1954" s="173">
        <f t="shared" si="219"/>
        <v>154</v>
      </c>
      <c r="L1954" s="402">
        <f t="shared" si="215"/>
        <v>12.222222222222221</v>
      </c>
      <c r="M1954" s="173">
        <f t="shared" si="216"/>
        <v>48.972222222222221</v>
      </c>
      <c r="O1954" s="173">
        <f t="shared" si="217"/>
        <v>68.561111111111103</v>
      </c>
      <c r="P1954" s="173">
        <v>125</v>
      </c>
    </row>
    <row r="1955" spans="3:18" hidden="1" x14ac:dyDescent="0.35">
      <c r="C1955" s="245" t="s">
        <v>1763</v>
      </c>
      <c r="D1955" s="245"/>
      <c r="G1955" s="245" t="s">
        <v>1765</v>
      </c>
      <c r="I1955" s="173">
        <v>37</v>
      </c>
      <c r="J1955">
        <f t="shared" si="218"/>
        <v>463.05</v>
      </c>
      <c r="K1955" s="173">
        <f t="shared" si="219"/>
        <v>154</v>
      </c>
      <c r="L1955" s="402">
        <f t="shared" si="215"/>
        <v>12.305366591080876</v>
      </c>
      <c r="M1955" s="173">
        <f t="shared" si="216"/>
        <v>49.305366591080876</v>
      </c>
      <c r="O1955" s="173">
        <f t="shared" si="217"/>
        <v>69.027513227513225</v>
      </c>
      <c r="P1955" s="173">
        <v>125</v>
      </c>
      <c r="R1955">
        <f>463*3</f>
        <v>1389</v>
      </c>
    </row>
    <row r="1956" spans="3:18" hidden="1" x14ac:dyDescent="0.35">
      <c r="C1956" s="245" t="s">
        <v>1763</v>
      </c>
      <c r="D1956" s="245"/>
      <c r="G1956" s="245" t="s">
        <v>1765</v>
      </c>
      <c r="I1956" s="173">
        <v>37</v>
      </c>
      <c r="J1956">
        <f t="shared" si="218"/>
        <v>463.05</v>
      </c>
      <c r="K1956" s="173">
        <f>11*14</f>
        <v>154</v>
      </c>
      <c r="L1956" s="402">
        <f t="shared" si="215"/>
        <v>12.305366591080876</v>
      </c>
      <c r="M1956" s="173">
        <f t="shared" si="216"/>
        <v>49.305366591080876</v>
      </c>
      <c r="O1956" s="173">
        <f t="shared" si="217"/>
        <v>69.027513227513225</v>
      </c>
      <c r="P1956" s="173">
        <v>125</v>
      </c>
    </row>
    <row r="1957" spans="3:18" hidden="1" x14ac:dyDescent="0.35"/>
    <row r="1958" spans="3:18" s="279" customFormat="1" ht="21" hidden="1" x14ac:dyDescent="0.5">
      <c r="F1958" s="662"/>
      <c r="G1958" s="663" t="s">
        <v>1295</v>
      </c>
      <c r="H1958" s="663"/>
      <c r="I1958" s="664">
        <f>SUM(I1866:I1957)</f>
        <v>2734.75</v>
      </c>
      <c r="K1958" s="664"/>
      <c r="L1958" s="664"/>
      <c r="M1958" s="664"/>
      <c r="O1958" s="664"/>
      <c r="P1958" s="664"/>
    </row>
    <row r="1959" spans="3:18" s="279" customFormat="1" ht="21" hidden="1" x14ac:dyDescent="0.5">
      <c r="F1959" s="662"/>
      <c r="G1959" s="663"/>
      <c r="H1959" s="663"/>
      <c r="I1959" s="664"/>
      <c r="K1959" s="664"/>
      <c r="L1959" s="664"/>
      <c r="M1959" s="664"/>
      <c r="O1959" s="664"/>
      <c r="P1959" s="664"/>
    </row>
    <row r="1960" spans="3:18" ht="21" hidden="1" x14ac:dyDescent="0.5">
      <c r="C1960" s="279" t="s">
        <v>1163</v>
      </c>
      <c r="D1960" s="279"/>
    </row>
    <row r="1961" spans="3:18" hidden="1" x14ac:dyDescent="0.35">
      <c r="C1961" s="233" t="s">
        <v>1768</v>
      </c>
      <c r="F1961" s="366">
        <v>8</v>
      </c>
      <c r="G1961" s="245" t="s">
        <v>1767</v>
      </c>
      <c r="I1961" s="173">
        <v>20</v>
      </c>
      <c r="P1961" s="173">
        <v>65</v>
      </c>
    </row>
    <row r="1962" spans="3:18" hidden="1" x14ac:dyDescent="0.35"/>
    <row r="1963" spans="3:18" hidden="1" x14ac:dyDescent="0.35">
      <c r="C1963" s="233" t="s">
        <v>944</v>
      </c>
      <c r="F1963" s="366">
        <v>44</v>
      </c>
      <c r="G1963" s="245" t="s">
        <v>1769</v>
      </c>
      <c r="I1963" s="173">
        <v>55</v>
      </c>
      <c r="J1963">
        <f>477*1.05</f>
        <v>500.85</v>
      </c>
      <c r="K1963" s="173">
        <v>100</v>
      </c>
      <c r="L1963" s="402">
        <f t="shared" ref="L1963:L1990" si="220">+I1963/J1963*K1963</f>
        <v>10.981331736048716</v>
      </c>
      <c r="M1963" s="173">
        <f t="shared" ref="M1963:M1990" si="221">+I1963+L1963</f>
        <v>65.981331736048716</v>
      </c>
      <c r="O1963" s="173">
        <f t="shared" ref="O1963:O1990" si="222">+M1963*1.4</f>
        <v>92.373864430468203</v>
      </c>
      <c r="P1963" s="173">
        <v>180</v>
      </c>
    </row>
    <row r="1964" spans="3:18" hidden="1" x14ac:dyDescent="0.35">
      <c r="C1964" s="233" t="s">
        <v>944</v>
      </c>
      <c r="F1964" s="366">
        <v>46</v>
      </c>
      <c r="G1964" s="245" t="s">
        <v>1769</v>
      </c>
      <c r="I1964" s="173">
        <v>55</v>
      </c>
      <c r="J1964">
        <f t="shared" ref="J1964:J1971" si="223">477*1.05</f>
        <v>500.85</v>
      </c>
      <c r="K1964" s="173">
        <v>100</v>
      </c>
      <c r="L1964" s="402">
        <f t="shared" si="220"/>
        <v>10.981331736048716</v>
      </c>
      <c r="M1964" s="173">
        <f t="shared" si="221"/>
        <v>65.981331736048716</v>
      </c>
      <c r="O1964" s="173">
        <f t="shared" si="222"/>
        <v>92.373864430468203</v>
      </c>
      <c r="P1964" s="173">
        <v>180</v>
      </c>
    </row>
    <row r="1965" spans="3:18" hidden="1" x14ac:dyDescent="0.35">
      <c r="C1965" s="233" t="s">
        <v>944</v>
      </c>
      <c r="F1965" s="366">
        <v>48</v>
      </c>
      <c r="G1965" s="245" t="s">
        <v>1769</v>
      </c>
      <c r="I1965" s="173">
        <v>55</v>
      </c>
      <c r="J1965">
        <f t="shared" si="223"/>
        <v>500.85</v>
      </c>
      <c r="K1965" s="173">
        <v>100</v>
      </c>
      <c r="L1965" s="402">
        <f t="shared" si="220"/>
        <v>10.981331736048716</v>
      </c>
      <c r="M1965" s="173">
        <f t="shared" si="221"/>
        <v>65.981331736048716</v>
      </c>
      <c r="O1965" s="173">
        <f t="shared" si="222"/>
        <v>92.373864430468203</v>
      </c>
      <c r="P1965" s="173">
        <v>180</v>
      </c>
    </row>
    <row r="1966" spans="3:18" hidden="1" x14ac:dyDescent="0.35">
      <c r="C1966" s="233" t="s">
        <v>944</v>
      </c>
      <c r="F1966" s="366">
        <v>52</v>
      </c>
      <c r="G1966" s="245" t="s">
        <v>1769</v>
      </c>
      <c r="I1966" s="173">
        <v>55</v>
      </c>
      <c r="J1966">
        <f t="shared" si="223"/>
        <v>500.85</v>
      </c>
      <c r="K1966" s="173">
        <v>100</v>
      </c>
      <c r="L1966" s="402">
        <f t="shared" si="220"/>
        <v>10.981331736048716</v>
      </c>
      <c r="M1966" s="173">
        <f t="shared" si="221"/>
        <v>65.981331736048716</v>
      </c>
      <c r="O1966" s="173">
        <f t="shared" si="222"/>
        <v>92.373864430468203</v>
      </c>
      <c r="P1966" s="173">
        <v>180</v>
      </c>
    </row>
    <row r="1967" spans="3:18" hidden="1" x14ac:dyDescent="0.35">
      <c r="C1967" s="233" t="s">
        <v>944</v>
      </c>
      <c r="F1967" s="366">
        <v>54</v>
      </c>
      <c r="G1967" s="245" t="s">
        <v>1769</v>
      </c>
      <c r="I1967" s="173">
        <v>55</v>
      </c>
      <c r="J1967">
        <f t="shared" si="223"/>
        <v>500.85</v>
      </c>
      <c r="K1967" s="173">
        <v>100</v>
      </c>
      <c r="L1967" s="402">
        <f t="shared" si="220"/>
        <v>10.981331736048716</v>
      </c>
      <c r="M1967" s="173">
        <f t="shared" si="221"/>
        <v>65.981331736048716</v>
      </c>
      <c r="O1967" s="173">
        <f t="shared" si="222"/>
        <v>92.373864430468203</v>
      </c>
      <c r="P1967" s="173">
        <v>180</v>
      </c>
    </row>
    <row r="1968" spans="3:18" hidden="1" x14ac:dyDescent="0.35">
      <c r="C1968" s="233" t="s">
        <v>944</v>
      </c>
      <c r="F1968" s="366">
        <v>56</v>
      </c>
      <c r="G1968" s="245" t="s">
        <v>1769</v>
      </c>
      <c r="I1968" s="173">
        <v>55</v>
      </c>
      <c r="J1968">
        <f t="shared" si="223"/>
        <v>500.85</v>
      </c>
      <c r="K1968" s="173">
        <v>100</v>
      </c>
      <c r="L1968" s="402">
        <f t="shared" si="220"/>
        <v>10.981331736048716</v>
      </c>
      <c r="M1968" s="173">
        <f t="shared" si="221"/>
        <v>65.981331736048716</v>
      </c>
      <c r="O1968" s="173">
        <f t="shared" si="222"/>
        <v>92.373864430468203</v>
      </c>
      <c r="P1968" s="173">
        <v>125</v>
      </c>
    </row>
    <row r="1969" spans="3:16" hidden="1" x14ac:dyDescent="0.35">
      <c r="C1969" s="233" t="s">
        <v>944</v>
      </c>
      <c r="F1969" s="366">
        <v>52</v>
      </c>
      <c r="G1969" s="245" t="s">
        <v>1776</v>
      </c>
      <c r="I1969" s="173">
        <v>49</v>
      </c>
      <c r="J1969">
        <f t="shared" si="223"/>
        <v>500.85</v>
      </c>
      <c r="K1969" s="173">
        <v>100</v>
      </c>
      <c r="L1969" s="402">
        <f t="shared" si="220"/>
        <v>9.7833682739343111</v>
      </c>
      <c r="M1969" s="173">
        <f t="shared" si="221"/>
        <v>58.783368273934315</v>
      </c>
      <c r="O1969" s="173">
        <f t="shared" si="222"/>
        <v>82.296715583508032</v>
      </c>
      <c r="P1969" s="173">
        <v>125</v>
      </c>
    </row>
    <row r="1970" spans="3:16" hidden="1" x14ac:dyDescent="0.35">
      <c r="C1970" s="233" t="s">
        <v>944</v>
      </c>
      <c r="F1970" s="366">
        <v>54</v>
      </c>
      <c r="G1970" s="245" t="s">
        <v>1776</v>
      </c>
      <c r="I1970" s="173">
        <v>49</v>
      </c>
      <c r="J1970">
        <f t="shared" si="223"/>
        <v>500.85</v>
      </c>
      <c r="K1970" s="173">
        <v>100</v>
      </c>
      <c r="L1970" s="402">
        <f t="shared" si="220"/>
        <v>9.7833682739343111</v>
      </c>
      <c r="M1970" s="173">
        <f t="shared" si="221"/>
        <v>58.783368273934315</v>
      </c>
      <c r="O1970" s="173">
        <f t="shared" si="222"/>
        <v>82.296715583508032</v>
      </c>
      <c r="P1970" s="173">
        <v>125</v>
      </c>
    </row>
    <row r="1971" spans="3:16" hidden="1" x14ac:dyDescent="0.35">
      <c r="C1971" s="233" t="s">
        <v>944</v>
      </c>
      <c r="F1971" s="366">
        <v>56</v>
      </c>
      <c r="G1971" s="245" t="s">
        <v>1776</v>
      </c>
      <c r="I1971" s="173">
        <v>49</v>
      </c>
      <c r="J1971">
        <f t="shared" si="223"/>
        <v>500.85</v>
      </c>
      <c r="K1971" s="173">
        <v>100</v>
      </c>
      <c r="L1971" s="402">
        <f t="shared" si="220"/>
        <v>9.7833682739343111</v>
      </c>
      <c r="M1971" s="173">
        <f t="shared" si="221"/>
        <v>58.783368273934315</v>
      </c>
      <c r="O1971" s="173">
        <f t="shared" si="222"/>
        <v>82.296715583508032</v>
      </c>
      <c r="P1971" s="173">
        <v>125</v>
      </c>
    </row>
    <row r="1972" spans="3:16" hidden="1" x14ac:dyDescent="0.35">
      <c r="C1972" s="233" t="s">
        <v>1770</v>
      </c>
      <c r="F1972" s="366">
        <v>44</v>
      </c>
      <c r="G1972" s="245" t="s">
        <v>1771</v>
      </c>
      <c r="I1972" s="173">
        <v>80</v>
      </c>
      <c r="J1972">
        <f>320*1.05</f>
        <v>336</v>
      </c>
      <c r="K1972" s="173">
        <v>70</v>
      </c>
      <c r="L1972" s="402">
        <f t="shared" si="220"/>
        <v>16.666666666666664</v>
      </c>
      <c r="M1972" s="173">
        <f t="shared" si="221"/>
        <v>96.666666666666657</v>
      </c>
      <c r="O1972" s="173">
        <f t="shared" si="222"/>
        <v>135.33333333333331</v>
      </c>
      <c r="P1972" s="173">
        <v>180</v>
      </c>
    </row>
    <row r="1973" spans="3:16" hidden="1" x14ac:dyDescent="0.35">
      <c r="C1973" s="233" t="s">
        <v>1770</v>
      </c>
      <c r="F1973" s="366">
        <v>46</v>
      </c>
      <c r="G1973" s="245" t="s">
        <v>1771</v>
      </c>
      <c r="I1973" s="173">
        <v>80</v>
      </c>
      <c r="J1973">
        <f>320*1.05</f>
        <v>336</v>
      </c>
      <c r="K1973" s="173">
        <v>70</v>
      </c>
      <c r="L1973" s="402">
        <f t="shared" si="220"/>
        <v>16.666666666666664</v>
      </c>
      <c r="M1973" s="173">
        <f t="shared" si="221"/>
        <v>96.666666666666657</v>
      </c>
      <c r="O1973" s="173">
        <f t="shared" si="222"/>
        <v>135.33333333333331</v>
      </c>
      <c r="P1973" s="173">
        <v>180</v>
      </c>
    </row>
    <row r="1974" spans="3:16" hidden="1" x14ac:dyDescent="0.35">
      <c r="C1974" s="233" t="s">
        <v>1770</v>
      </c>
      <c r="F1974" s="366">
        <v>48</v>
      </c>
      <c r="G1974" s="245" t="s">
        <v>1771</v>
      </c>
      <c r="I1974" s="173">
        <v>80</v>
      </c>
      <c r="J1974">
        <f>320*1.05</f>
        <v>336</v>
      </c>
      <c r="K1974" s="173">
        <v>70</v>
      </c>
      <c r="L1974" s="402">
        <f t="shared" si="220"/>
        <v>16.666666666666664</v>
      </c>
      <c r="M1974" s="173">
        <f t="shared" si="221"/>
        <v>96.666666666666657</v>
      </c>
      <c r="O1974" s="173">
        <f t="shared" si="222"/>
        <v>135.33333333333331</v>
      </c>
      <c r="P1974" s="173">
        <v>180</v>
      </c>
    </row>
    <row r="1975" spans="3:16" hidden="1" x14ac:dyDescent="0.35">
      <c r="C1975" s="233" t="s">
        <v>1770</v>
      </c>
      <c r="F1975" s="366">
        <v>50</v>
      </c>
      <c r="G1975" s="245" t="s">
        <v>1771</v>
      </c>
      <c r="I1975" s="173">
        <v>80</v>
      </c>
      <c r="J1975">
        <f>320*1.05</f>
        <v>336</v>
      </c>
      <c r="K1975" s="173">
        <v>70</v>
      </c>
      <c r="L1975" s="402">
        <f t="shared" si="220"/>
        <v>16.666666666666664</v>
      </c>
      <c r="M1975" s="173">
        <f t="shared" si="221"/>
        <v>96.666666666666657</v>
      </c>
      <c r="O1975" s="173">
        <f t="shared" si="222"/>
        <v>135.33333333333331</v>
      </c>
      <c r="P1975" s="173">
        <v>180</v>
      </c>
    </row>
    <row r="1976" spans="3:16" hidden="1" x14ac:dyDescent="0.35">
      <c r="C1976" s="233" t="s">
        <v>783</v>
      </c>
      <c r="F1976" s="366">
        <v>36</v>
      </c>
      <c r="G1976" s="245" t="s">
        <v>1772</v>
      </c>
      <c r="I1976" s="173">
        <v>25</v>
      </c>
      <c r="J1976">
        <f>350*1.05</f>
        <v>367.5</v>
      </c>
      <c r="K1976" s="173">
        <v>140</v>
      </c>
      <c r="L1976" s="402">
        <f t="shared" si="220"/>
        <v>9.5238095238095255</v>
      </c>
      <c r="M1976" s="173">
        <f t="shared" si="221"/>
        <v>34.523809523809526</v>
      </c>
      <c r="O1976" s="173">
        <f t="shared" si="222"/>
        <v>48.333333333333336</v>
      </c>
      <c r="P1976" s="173">
        <v>110</v>
      </c>
    </row>
    <row r="1977" spans="3:16" hidden="1" x14ac:dyDescent="0.35">
      <c r="C1977" s="233" t="s">
        <v>783</v>
      </c>
      <c r="F1977" s="366">
        <v>38</v>
      </c>
      <c r="G1977" s="245" t="s">
        <v>1772</v>
      </c>
      <c r="I1977" s="173">
        <v>25</v>
      </c>
      <c r="J1977">
        <f t="shared" ref="J1977:J1990" si="224">350*1.05</f>
        <v>367.5</v>
      </c>
      <c r="K1977" s="173">
        <v>140</v>
      </c>
      <c r="L1977" s="402">
        <f t="shared" si="220"/>
        <v>9.5238095238095255</v>
      </c>
      <c r="M1977" s="173">
        <f t="shared" si="221"/>
        <v>34.523809523809526</v>
      </c>
      <c r="O1977" s="173">
        <f t="shared" si="222"/>
        <v>48.333333333333336</v>
      </c>
      <c r="P1977" s="173">
        <v>110</v>
      </c>
    </row>
    <row r="1978" spans="3:16" hidden="1" x14ac:dyDescent="0.35">
      <c r="C1978" s="233" t="s">
        <v>783</v>
      </c>
      <c r="F1978" s="366">
        <v>40</v>
      </c>
      <c r="G1978" s="245" t="s">
        <v>1772</v>
      </c>
      <c r="I1978" s="173">
        <v>25</v>
      </c>
      <c r="J1978">
        <f t="shared" si="224"/>
        <v>367.5</v>
      </c>
      <c r="K1978" s="173">
        <v>140</v>
      </c>
      <c r="L1978" s="402">
        <f t="shared" si="220"/>
        <v>9.5238095238095255</v>
      </c>
      <c r="M1978" s="173">
        <f t="shared" si="221"/>
        <v>34.523809523809526</v>
      </c>
      <c r="O1978" s="173">
        <f t="shared" si="222"/>
        <v>48.333333333333336</v>
      </c>
      <c r="P1978" s="173">
        <v>110</v>
      </c>
    </row>
    <row r="1979" spans="3:16" hidden="1" x14ac:dyDescent="0.35">
      <c r="C1979" s="233" t="s">
        <v>783</v>
      </c>
      <c r="F1979" s="366">
        <v>42</v>
      </c>
      <c r="G1979" s="245" t="s">
        <v>1772</v>
      </c>
      <c r="I1979" s="173">
        <v>25</v>
      </c>
      <c r="J1979">
        <f t="shared" si="224"/>
        <v>367.5</v>
      </c>
      <c r="K1979" s="173">
        <v>140</v>
      </c>
      <c r="L1979" s="402">
        <f t="shared" si="220"/>
        <v>9.5238095238095255</v>
      </c>
      <c r="M1979" s="173">
        <f t="shared" si="221"/>
        <v>34.523809523809526</v>
      </c>
      <c r="O1979" s="173">
        <f t="shared" si="222"/>
        <v>48.333333333333336</v>
      </c>
      <c r="P1979" s="173">
        <v>110</v>
      </c>
    </row>
    <row r="1980" spans="3:16" hidden="1" x14ac:dyDescent="0.35">
      <c r="C1980" s="233" t="s">
        <v>783</v>
      </c>
      <c r="F1980" s="366">
        <v>36</v>
      </c>
      <c r="G1980" s="245" t="s">
        <v>1773</v>
      </c>
      <c r="I1980" s="173">
        <v>25</v>
      </c>
      <c r="J1980">
        <f t="shared" si="224"/>
        <v>367.5</v>
      </c>
      <c r="K1980" s="173">
        <v>140</v>
      </c>
      <c r="L1980" s="402">
        <f t="shared" si="220"/>
        <v>9.5238095238095255</v>
      </c>
      <c r="M1980" s="173">
        <f t="shared" si="221"/>
        <v>34.523809523809526</v>
      </c>
      <c r="O1980" s="173">
        <f t="shared" si="222"/>
        <v>48.333333333333336</v>
      </c>
      <c r="P1980" s="173">
        <v>110</v>
      </c>
    </row>
    <row r="1981" spans="3:16" hidden="1" x14ac:dyDescent="0.35">
      <c r="C1981" s="233" t="s">
        <v>783</v>
      </c>
      <c r="F1981" s="366">
        <v>38</v>
      </c>
      <c r="G1981" s="245" t="s">
        <v>1773</v>
      </c>
      <c r="I1981" s="173">
        <v>25</v>
      </c>
      <c r="J1981">
        <f t="shared" si="224"/>
        <v>367.5</v>
      </c>
      <c r="K1981" s="173">
        <v>140</v>
      </c>
      <c r="L1981" s="402">
        <f t="shared" si="220"/>
        <v>9.5238095238095255</v>
      </c>
      <c r="M1981" s="173">
        <f t="shared" si="221"/>
        <v>34.523809523809526</v>
      </c>
      <c r="O1981" s="173">
        <f t="shared" si="222"/>
        <v>48.333333333333336</v>
      </c>
      <c r="P1981" s="173">
        <v>110</v>
      </c>
    </row>
    <row r="1982" spans="3:16" hidden="1" x14ac:dyDescent="0.35">
      <c r="C1982" s="233" t="s">
        <v>783</v>
      </c>
      <c r="F1982" s="366">
        <v>40</v>
      </c>
      <c r="G1982" s="245" t="s">
        <v>1773</v>
      </c>
      <c r="I1982" s="173">
        <v>25</v>
      </c>
      <c r="J1982">
        <f t="shared" si="224"/>
        <v>367.5</v>
      </c>
      <c r="K1982" s="173">
        <v>140</v>
      </c>
      <c r="L1982" s="402">
        <f t="shared" si="220"/>
        <v>9.5238095238095255</v>
      </c>
      <c r="M1982" s="173">
        <f t="shared" si="221"/>
        <v>34.523809523809526</v>
      </c>
      <c r="O1982" s="173">
        <f t="shared" si="222"/>
        <v>48.333333333333336</v>
      </c>
      <c r="P1982" s="173">
        <v>110</v>
      </c>
    </row>
    <row r="1983" spans="3:16" hidden="1" x14ac:dyDescent="0.35">
      <c r="C1983" s="233" t="s">
        <v>783</v>
      </c>
      <c r="F1983" s="366">
        <v>42</v>
      </c>
      <c r="G1983" s="245" t="s">
        <v>1773</v>
      </c>
      <c r="I1983" s="173">
        <v>25</v>
      </c>
      <c r="J1983">
        <f t="shared" si="224"/>
        <v>367.5</v>
      </c>
      <c r="K1983" s="173">
        <v>140</v>
      </c>
      <c r="L1983" s="402">
        <f t="shared" si="220"/>
        <v>9.5238095238095255</v>
      </c>
      <c r="M1983" s="173">
        <f t="shared" si="221"/>
        <v>34.523809523809526</v>
      </c>
      <c r="O1983" s="173">
        <f t="shared" si="222"/>
        <v>48.333333333333336</v>
      </c>
      <c r="P1983" s="173">
        <v>110</v>
      </c>
    </row>
    <row r="1984" spans="3:16" hidden="1" x14ac:dyDescent="0.35">
      <c r="C1984" s="233" t="s">
        <v>783</v>
      </c>
      <c r="F1984" s="366">
        <v>36</v>
      </c>
      <c r="G1984" s="245" t="s">
        <v>1774</v>
      </c>
      <c r="I1984" s="173">
        <v>25</v>
      </c>
      <c r="J1984">
        <f t="shared" si="224"/>
        <v>367.5</v>
      </c>
      <c r="K1984" s="173">
        <v>140</v>
      </c>
      <c r="L1984" s="402">
        <f t="shared" si="220"/>
        <v>9.5238095238095255</v>
      </c>
      <c r="M1984" s="173">
        <f t="shared" si="221"/>
        <v>34.523809523809526</v>
      </c>
      <c r="O1984" s="173">
        <f t="shared" si="222"/>
        <v>48.333333333333336</v>
      </c>
      <c r="P1984" s="173">
        <v>110</v>
      </c>
    </row>
    <row r="1985" spans="3:18" hidden="1" x14ac:dyDescent="0.35">
      <c r="C1985" s="233" t="s">
        <v>783</v>
      </c>
      <c r="F1985" s="366">
        <v>38</v>
      </c>
      <c r="G1985" s="245" t="s">
        <v>1774</v>
      </c>
      <c r="I1985" s="173">
        <v>25</v>
      </c>
      <c r="J1985">
        <f t="shared" si="224"/>
        <v>367.5</v>
      </c>
      <c r="K1985" s="173">
        <v>140</v>
      </c>
      <c r="L1985" s="402">
        <f t="shared" si="220"/>
        <v>9.5238095238095255</v>
      </c>
      <c r="M1985" s="173">
        <f t="shared" si="221"/>
        <v>34.523809523809526</v>
      </c>
      <c r="O1985" s="173">
        <f t="shared" si="222"/>
        <v>48.333333333333336</v>
      </c>
      <c r="P1985" s="173">
        <v>110</v>
      </c>
    </row>
    <row r="1986" spans="3:18" hidden="1" x14ac:dyDescent="0.35">
      <c r="C1986" s="233" t="s">
        <v>783</v>
      </c>
      <c r="F1986" s="366">
        <v>40</v>
      </c>
      <c r="G1986" s="245" t="s">
        <v>1774</v>
      </c>
      <c r="I1986" s="173">
        <v>25</v>
      </c>
      <c r="J1986">
        <f t="shared" si="224"/>
        <v>367.5</v>
      </c>
      <c r="K1986" s="173">
        <v>140</v>
      </c>
      <c r="L1986" s="402">
        <f t="shared" si="220"/>
        <v>9.5238095238095255</v>
      </c>
      <c r="M1986" s="173">
        <f t="shared" si="221"/>
        <v>34.523809523809526</v>
      </c>
      <c r="O1986" s="173">
        <f t="shared" si="222"/>
        <v>48.333333333333336</v>
      </c>
      <c r="P1986" s="173">
        <v>110</v>
      </c>
    </row>
    <row r="1987" spans="3:18" hidden="1" x14ac:dyDescent="0.35">
      <c r="C1987" s="233" t="s">
        <v>783</v>
      </c>
      <c r="F1987" s="366">
        <v>42</v>
      </c>
      <c r="G1987" s="245" t="s">
        <v>1774</v>
      </c>
      <c r="I1987" s="173">
        <v>25</v>
      </c>
      <c r="J1987">
        <f t="shared" si="224"/>
        <v>367.5</v>
      </c>
      <c r="K1987" s="173">
        <v>140</v>
      </c>
      <c r="L1987" s="402">
        <f t="shared" si="220"/>
        <v>9.5238095238095255</v>
      </c>
      <c r="M1987" s="173">
        <f t="shared" si="221"/>
        <v>34.523809523809526</v>
      </c>
      <c r="O1987" s="173">
        <f t="shared" si="222"/>
        <v>48.333333333333336</v>
      </c>
      <c r="P1987" s="173">
        <v>110</v>
      </c>
    </row>
    <row r="1988" spans="3:18" hidden="1" x14ac:dyDescent="0.35">
      <c r="C1988" s="233" t="s">
        <v>783</v>
      </c>
      <c r="F1988" s="366">
        <v>50</v>
      </c>
      <c r="G1988" s="245" t="s">
        <v>1775</v>
      </c>
      <c r="I1988" s="173">
        <v>25</v>
      </c>
      <c r="J1988">
        <f t="shared" si="224"/>
        <v>367.5</v>
      </c>
      <c r="K1988" s="173">
        <v>140</v>
      </c>
      <c r="L1988" s="402">
        <f t="shared" si="220"/>
        <v>9.5238095238095255</v>
      </c>
      <c r="M1988" s="173">
        <f t="shared" si="221"/>
        <v>34.523809523809526</v>
      </c>
      <c r="O1988" s="173">
        <f t="shared" si="222"/>
        <v>48.333333333333336</v>
      </c>
      <c r="P1988" s="173">
        <v>110</v>
      </c>
    </row>
    <row r="1989" spans="3:18" hidden="1" x14ac:dyDescent="0.35">
      <c r="C1989" s="233" t="s">
        <v>783</v>
      </c>
      <c r="F1989" s="366">
        <v>52</v>
      </c>
      <c r="G1989" s="245" t="s">
        <v>1775</v>
      </c>
      <c r="I1989" s="173">
        <v>25</v>
      </c>
      <c r="J1989">
        <f t="shared" si="224"/>
        <v>367.5</v>
      </c>
      <c r="K1989" s="173">
        <v>140</v>
      </c>
      <c r="L1989" s="402">
        <f t="shared" si="220"/>
        <v>9.5238095238095255</v>
      </c>
      <c r="M1989" s="173">
        <f t="shared" si="221"/>
        <v>34.523809523809526</v>
      </c>
      <c r="O1989" s="173">
        <f t="shared" si="222"/>
        <v>48.333333333333336</v>
      </c>
      <c r="P1989" s="173">
        <v>110</v>
      </c>
    </row>
    <row r="1990" spans="3:18" hidden="1" x14ac:dyDescent="0.35">
      <c r="C1990" s="233" t="s">
        <v>783</v>
      </c>
      <c r="F1990" s="366">
        <v>54</v>
      </c>
      <c r="G1990" s="245" t="s">
        <v>1775</v>
      </c>
      <c r="I1990" s="173">
        <v>25</v>
      </c>
      <c r="J1990">
        <f t="shared" si="224"/>
        <v>367.5</v>
      </c>
      <c r="K1990" s="173">
        <v>140</v>
      </c>
      <c r="L1990" s="402">
        <f t="shared" si="220"/>
        <v>9.5238095238095255</v>
      </c>
      <c r="M1990" s="173">
        <f t="shared" si="221"/>
        <v>34.523809523809526</v>
      </c>
      <c r="O1990" s="173">
        <f t="shared" si="222"/>
        <v>48.333333333333336</v>
      </c>
      <c r="P1990" s="173">
        <v>110</v>
      </c>
      <c r="R1990" s="4"/>
    </row>
    <row r="1991" spans="3:18" hidden="1" x14ac:dyDescent="0.35"/>
    <row r="1992" spans="3:18" hidden="1" x14ac:dyDescent="0.35">
      <c r="C1992" s="398">
        <v>45839</v>
      </c>
      <c r="D1992" s="398"/>
    </row>
    <row r="1993" spans="3:18" hidden="1" x14ac:dyDescent="0.35">
      <c r="C1993" s="233" t="s">
        <v>1782</v>
      </c>
      <c r="F1993" s="366">
        <v>52</v>
      </c>
      <c r="G1993" s="245" t="s">
        <v>1783</v>
      </c>
      <c r="I1993" s="173">
        <v>40</v>
      </c>
      <c r="J1993">
        <v>320</v>
      </c>
      <c r="K1993" s="173">
        <v>90</v>
      </c>
      <c r="L1993" s="402">
        <f t="shared" ref="L1993:L2007" si="225">+I1993/J1993*K1993</f>
        <v>11.25</v>
      </c>
      <c r="M1993" s="173">
        <f t="shared" ref="M1993:M2007" si="226">+I1993+L1993</f>
        <v>51.25</v>
      </c>
      <c r="O1993" s="173">
        <f t="shared" ref="O1993:O2007" si="227">+M1993*1.4</f>
        <v>71.75</v>
      </c>
      <c r="P1993" s="173">
        <v>110</v>
      </c>
    </row>
    <row r="1994" spans="3:18" hidden="1" x14ac:dyDescent="0.35">
      <c r="C1994" s="233" t="s">
        <v>1782</v>
      </c>
      <c r="F1994" s="366">
        <v>54</v>
      </c>
      <c r="G1994" s="245" t="s">
        <v>1783</v>
      </c>
      <c r="I1994" s="173">
        <v>40</v>
      </c>
      <c r="J1994">
        <v>320</v>
      </c>
      <c r="K1994" s="173">
        <v>90</v>
      </c>
      <c r="L1994" s="402">
        <f t="shared" si="225"/>
        <v>11.25</v>
      </c>
      <c r="M1994" s="173">
        <f t="shared" si="226"/>
        <v>51.25</v>
      </c>
      <c r="O1994" s="173">
        <f t="shared" si="227"/>
        <v>71.75</v>
      </c>
      <c r="P1994" s="173">
        <v>110</v>
      </c>
    </row>
    <row r="1995" spans="3:18" hidden="1" x14ac:dyDescent="0.35">
      <c r="C1995" s="233" t="s">
        <v>1782</v>
      </c>
      <c r="F1995" s="366">
        <v>56</v>
      </c>
      <c r="G1995" s="245" t="s">
        <v>1783</v>
      </c>
      <c r="I1995" s="173">
        <v>40</v>
      </c>
      <c r="J1995">
        <v>320</v>
      </c>
      <c r="K1995" s="173">
        <v>90</v>
      </c>
      <c r="L1995" s="402">
        <f t="shared" si="225"/>
        <v>11.25</v>
      </c>
      <c r="M1995" s="173">
        <f t="shared" si="226"/>
        <v>51.25</v>
      </c>
      <c r="O1995" s="173">
        <f t="shared" si="227"/>
        <v>71.75</v>
      </c>
      <c r="P1995" s="173">
        <v>110</v>
      </c>
    </row>
    <row r="1996" spans="3:18" hidden="1" x14ac:dyDescent="0.35">
      <c r="C1996" s="233" t="s">
        <v>1782</v>
      </c>
      <c r="F1996" s="366">
        <v>58</v>
      </c>
      <c r="G1996" s="245" t="s">
        <v>1783</v>
      </c>
      <c r="I1996" s="173">
        <v>40</v>
      </c>
      <c r="J1996">
        <v>320</v>
      </c>
      <c r="K1996" s="173">
        <v>90</v>
      </c>
      <c r="L1996" s="402">
        <f t="shared" si="225"/>
        <v>11.25</v>
      </c>
      <c r="M1996" s="173">
        <f t="shared" si="226"/>
        <v>51.25</v>
      </c>
      <c r="O1996" s="173">
        <f t="shared" si="227"/>
        <v>71.75</v>
      </c>
      <c r="P1996" s="173">
        <v>110</v>
      </c>
    </row>
    <row r="1997" spans="3:18" hidden="1" x14ac:dyDescent="0.35">
      <c r="C1997" s="233" t="s">
        <v>1782</v>
      </c>
      <c r="F1997" s="366">
        <v>50</v>
      </c>
      <c r="G1997" s="245" t="s">
        <v>1784</v>
      </c>
      <c r="I1997" s="173">
        <v>40</v>
      </c>
      <c r="J1997">
        <v>320</v>
      </c>
      <c r="K1997" s="173">
        <v>90</v>
      </c>
      <c r="L1997" s="402">
        <f t="shared" si="225"/>
        <v>11.25</v>
      </c>
      <c r="M1997" s="173">
        <f t="shared" si="226"/>
        <v>51.25</v>
      </c>
      <c r="O1997" s="173">
        <f t="shared" si="227"/>
        <v>71.75</v>
      </c>
      <c r="P1997" s="173">
        <v>110</v>
      </c>
    </row>
    <row r="1998" spans="3:18" hidden="1" x14ac:dyDescent="0.35">
      <c r="C1998" s="233" t="s">
        <v>1782</v>
      </c>
      <c r="F1998" s="366">
        <v>52</v>
      </c>
      <c r="G1998" s="245" t="s">
        <v>1784</v>
      </c>
      <c r="I1998" s="173">
        <v>40</v>
      </c>
      <c r="J1998">
        <v>320</v>
      </c>
      <c r="K1998" s="173">
        <v>90</v>
      </c>
      <c r="L1998" s="402">
        <f t="shared" si="225"/>
        <v>11.25</v>
      </c>
      <c r="M1998" s="173">
        <f t="shared" si="226"/>
        <v>51.25</v>
      </c>
      <c r="O1998" s="173">
        <f t="shared" si="227"/>
        <v>71.75</v>
      </c>
      <c r="P1998" s="173">
        <v>110</v>
      </c>
    </row>
    <row r="1999" spans="3:18" hidden="1" x14ac:dyDescent="0.35">
      <c r="C1999" s="233" t="s">
        <v>1782</v>
      </c>
      <c r="F1999" s="366">
        <v>54</v>
      </c>
      <c r="G1999" s="245" t="s">
        <v>1784</v>
      </c>
      <c r="I1999" s="173">
        <v>40</v>
      </c>
      <c r="J1999">
        <v>320</v>
      </c>
      <c r="K1999" s="173">
        <v>90</v>
      </c>
      <c r="L1999" s="402">
        <f t="shared" si="225"/>
        <v>11.25</v>
      </c>
      <c r="M1999" s="173">
        <f t="shared" si="226"/>
        <v>51.25</v>
      </c>
      <c r="O1999" s="173">
        <f t="shared" si="227"/>
        <v>71.75</v>
      </c>
      <c r="P1999" s="173">
        <v>110</v>
      </c>
    </row>
    <row r="2000" spans="3:18" hidden="1" x14ac:dyDescent="0.35">
      <c r="C2000" s="233" t="s">
        <v>1782</v>
      </c>
      <c r="F2000" s="366">
        <v>56</v>
      </c>
      <c r="G2000" s="245" t="s">
        <v>1784</v>
      </c>
      <c r="I2000" s="173">
        <v>40</v>
      </c>
      <c r="J2000">
        <v>320</v>
      </c>
      <c r="K2000" s="173">
        <v>90</v>
      </c>
      <c r="L2000" s="402">
        <f t="shared" si="225"/>
        <v>11.25</v>
      </c>
      <c r="M2000" s="173">
        <f t="shared" si="226"/>
        <v>51.25</v>
      </c>
      <c r="O2000" s="173">
        <f t="shared" si="227"/>
        <v>71.75</v>
      </c>
      <c r="P2000" s="173">
        <v>110</v>
      </c>
    </row>
    <row r="2001" spans="3:16" hidden="1" x14ac:dyDescent="0.35">
      <c r="C2001" s="233" t="s">
        <v>1785</v>
      </c>
      <c r="E2001" t="s">
        <v>1787</v>
      </c>
      <c r="F2001" s="366">
        <v>44</v>
      </c>
      <c r="G2001" s="245" t="s">
        <v>1786</v>
      </c>
      <c r="I2001" s="173">
        <v>44</v>
      </c>
      <c r="J2001">
        <v>200</v>
      </c>
      <c r="K2001" s="173">
        <v>90</v>
      </c>
      <c r="L2001" s="402">
        <f t="shared" si="225"/>
        <v>19.8</v>
      </c>
      <c r="M2001" s="173">
        <f t="shared" si="226"/>
        <v>63.8</v>
      </c>
      <c r="O2001" s="173">
        <f t="shared" si="227"/>
        <v>89.32</v>
      </c>
      <c r="P2001" s="173">
        <v>125</v>
      </c>
    </row>
    <row r="2002" spans="3:16" hidden="1" x14ac:dyDescent="0.35">
      <c r="C2002" s="233" t="s">
        <v>1785</v>
      </c>
      <c r="E2002" t="s">
        <v>1787</v>
      </c>
      <c r="F2002" s="366">
        <v>46</v>
      </c>
      <c r="G2002" s="245" t="s">
        <v>1786</v>
      </c>
      <c r="I2002" s="173">
        <v>44</v>
      </c>
      <c r="J2002">
        <v>200</v>
      </c>
      <c r="K2002" s="173">
        <v>90</v>
      </c>
      <c r="L2002" s="402">
        <f t="shared" si="225"/>
        <v>19.8</v>
      </c>
      <c r="M2002" s="173">
        <f t="shared" si="226"/>
        <v>63.8</v>
      </c>
      <c r="O2002" s="173">
        <f t="shared" si="227"/>
        <v>89.32</v>
      </c>
      <c r="P2002" s="173">
        <v>125</v>
      </c>
    </row>
    <row r="2003" spans="3:16" hidden="1" x14ac:dyDescent="0.35">
      <c r="C2003" s="233" t="s">
        <v>1785</v>
      </c>
      <c r="E2003" t="s">
        <v>1787</v>
      </c>
      <c r="F2003" s="366">
        <v>48</v>
      </c>
      <c r="G2003" s="245" t="s">
        <v>1786</v>
      </c>
      <c r="I2003" s="173">
        <v>44</v>
      </c>
      <c r="J2003">
        <v>200</v>
      </c>
      <c r="K2003" s="173">
        <v>90</v>
      </c>
      <c r="L2003" s="402">
        <f t="shared" si="225"/>
        <v>19.8</v>
      </c>
      <c r="M2003" s="173">
        <f t="shared" si="226"/>
        <v>63.8</v>
      </c>
      <c r="O2003" s="173">
        <f t="shared" si="227"/>
        <v>89.32</v>
      </c>
      <c r="P2003" s="173">
        <v>125</v>
      </c>
    </row>
    <row r="2004" spans="3:16" hidden="1" x14ac:dyDescent="0.35">
      <c r="C2004" s="233" t="s">
        <v>1785</v>
      </c>
      <c r="E2004" t="s">
        <v>1787</v>
      </c>
      <c r="F2004" s="366">
        <v>50</v>
      </c>
      <c r="G2004" s="245" t="s">
        <v>1786</v>
      </c>
      <c r="I2004" s="173">
        <v>44</v>
      </c>
      <c r="J2004">
        <v>200</v>
      </c>
      <c r="K2004" s="173">
        <v>90</v>
      </c>
      <c r="L2004" s="402">
        <f t="shared" si="225"/>
        <v>19.8</v>
      </c>
      <c r="M2004" s="173">
        <f t="shared" si="226"/>
        <v>63.8</v>
      </c>
      <c r="O2004" s="173">
        <f t="shared" si="227"/>
        <v>89.32</v>
      </c>
      <c r="P2004" s="173">
        <v>125</v>
      </c>
    </row>
    <row r="2005" spans="3:16" hidden="1" x14ac:dyDescent="0.35">
      <c r="C2005" s="233" t="s">
        <v>1789</v>
      </c>
      <c r="E2005" s="233" t="s">
        <v>1789</v>
      </c>
      <c r="F2005" s="366">
        <v>44</v>
      </c>
      <c r="G2005" s="245" t="s">
        <v>1790</v>
      </c>
      <c r="I2005" s="173">
        <v>68</v>
      </c>
      <c r="J2005">
        <v>204</v>
      </c>
      <c r="K2005" s="173">
        <f>10+36</f>
        <v>46</v>
      </c>
      <c r="L2005" s="402">
        <f t="shared" si="225"/>
        <v>15.333333333333332</v>
      </c>
      <c r="M2005" s="173">
        <f t="shared" si="226"/>
        <v>83.333333333333329</v>
      </c>
      <c r="O2005" s="173">
        <f t="shared" si="227"/>
        <v>116.66666666666666</v>
      </c>
      <c r="P2005" s="173">
        <v>150</v>
      </c>
    </row>
    <row r="2006" spans="3:16" hidden="1" x14ac:dyDescent="0.35">
      <c r="C2006" s="233" t="s">
        <v>1789</v>
      </c>
      <c r="E2006" s="233" t="s">
        <v>1789</v>
      </c>
      <c r="F2006" s="366">
        <v>46</v>
      </c>
      <c r="G2006" s="245" t="s">
        <v>1790</v>
      </c>
      <c r="I2006" s="173">
        <v>68</v>
      </c>
      <c r="J2006">
        <v>204</v>
      </c>
      <c r="K2006" s="173">
        <f>10+36</f>
        <v>46</v>
      </c>
      <c r="L2006" s="402">
        <f t="shared" si="225"/>
        <v>15.333333333333332</v>
      </c>
      <c r="M2006" s="173">
        <f t="shared" si="226"/>
        <v>83.333333333333329</v>
      </c>
      <c r="O2006" s="173">
        <f t="shared" si="227"/>
        <v>116.66666666666666</v>
      </c>
      <c r="P2006" s="173">
        <v>150</v>
      </c>
    </row>
    <row r="2007" spans="3:16" hidden="1" x14ac:dyDescent="0.35">
      <c r="C2007" s="233" t="s">
        <v>1789</v>
      </c>
      <c r="E2007" s="233" t="s">
        <v>1789</v>
      </c>
      <c r="F2007" s="366">
        <v>48</v>
      </c>
      <c r="G2007" s="245" t="s">
        <v>1790</v>
      </c>
      <c r="I2007" s="173">
        <v>68</v>
      </c>
      <c r="J2007">
        <v>204</v>
      </c>
      <c r="K2007" s="173">
        <f>10+36</f>
        <v>46</v>
      </c>
      <c r="L2007" s="402">
        <f t="shared" si="225"/>
        <v>15.333333333333332</v>
      </c>
      <c r="M2007" s="173">
        <f t="shared" si="226"/>
        <v>83.333333333333329</v>
      </c>
      <c r="O2007" s="173">
        <f t="shared" si="227"/>
        <v>116.66666666666666</v>
      </c>
      <c r="P2007" s="173">
        <v>150</v>
      </c>
    </row>
    <row r="2008" spans="3:16" hidden="1" x14ac:dyDescent="0.35"/>
    <row r="2009" spans="3:16" s="279" customFormat="1" ht="21" hidden="1" x14ac:dyDescent="0.5">
      <c r="F2009" s="662"/>
      <c r="G2009" s="663" t="s">
        <v>1290</v>
      </c>
      <c r="H2009" s="663"/>
      <c r="I2009" s="664">
        <f>SUM(I1961:I2008)</f>
        <v>1892</v>
      </c>
      <c r="K2009" s="664"/>
      <c r="L2009" s="664"/>
      <c r="M2009" s="664"/>
      <c r="O2009" s="664"/>
      <c r="P2009" s="664"/>
    </row>
    <row r="2010" spans="3:16" hidden="1" x14ac:dyDescent="0.35"/>
    <row r="2011" spans="3:16" hidden="1" x14ac:dyDescent="0.35">
      <c r="C2011" s="233" t="s">
        <v>872</v>
      </c>
    </row>
    <row r="2012" spans="3:16" hidden="1" x14ac:dyDescent="0.35">
      <c r="C2012" s="233" t="s">
        <v>1808</v>
      </c>
      <c r="F2012" s="366">
        <v>44</v>
      </c>
      <c r="G2012" s="245" t="s">
        <v>1813</v>
      </c>
      <c r="I2012" s="173">
        <v>13</v>
      </c>
      <c r="J2012">
        <v>330</v>
      </c>
      <c r="K2012" s="173">
        <v>191</v>
      </c>
      <c r="L2012" s="402">
        <f t="shared" ref="L2012:L2043" si="228">+I2012/J2012*K2012</f>
        <v>7.5242424242424235</v>
      </c>
      <c r="M2012" s="173">
        <f t="shared" ref="M2012:M2043" si="229">+I2012+L2012</f>
        <v>20.524242424242424</v>
      </c>
      <c r="O2012" s="173">
        <f t="shared" ref="O2012:O2043" si="230">+M2012*1.5</f>
        <v>30.786363636363635</v>
      </c>
      <c r="P2012" s="173">
        <v>55</v>
      </c>
    </row>
    <row r="2013" spans="3:16" hidden="1" x14ac:dyDescent="0.35">
      <c r="C2013" s="233" t="s">
        <v>1808</v>
      </c>
      <c r="F2013" s="366">
        <v>46</v>
      </c>
      <c r="G2013" s="245" t="s">
        <v>1813</v>
      </c>
      <c r="I2013" s="173">
        <v>13</v>
      </c>
      <c r="J2013">
        <v>330</v>
      </c>
      <c r="K2013" s="173">
        <v>191</v>
      </c>
      <c r="L2013" s="402">
        <f t="shared" si="228"/>
        <v>7.5242424242424235</v>
      </c>
      <c r="M2013" s="173">
        <f t="shared" si="229"/>
        <v>20.524242424242424</v>
      </c>
      <c r="O2013" s="173">
        <f t="shared" si="230"/>
        <v>30.786363636363635</v>
      </c>
      <c r="P2013" s="173">
        <v>55</v>
      </c>
    </row>
    <row r="2014" spans="3:16" hidden="1" x14ac:dyDescent="0.35">
      <c r="C2014" s="233" t="s">
        <v>1808</v>
      </c>
      <c r="F2014" s="366">
        <v>48</v>
      </c>
      <c r="G2014" s="245" t="s">
        <v>1813</v>
      </c>
      <c r="I2014" s="173">
        <v>13</v>
      </c>
      <c r="J2014">
        <v>330</v>
      </c>
      <c r="K2014" s="173">
        <v>191</v>
      </c>
      <c r="L2014" s="402">
        <f t="shared" si="228"/>
        <v>7.5242424242424235</v>
      </c>
      <c r="M2014" s="173">
        <f t="shared" si="229"/>
        <v>20.524242424242424</v>
      </c>
      <c r="O2014" s="173">
        <f t="shared" si="230"/>
        <v>30.786363636363635</v>
      </c>
      <c r="P2014" s="173">
        <v>55</v>
      </c>
    </row>
    <row r="2015" spans="3:16" hidden="1" x14ac:dyDescent="0.35">
      <c r="C2015" s="233" t="s">
        <v>1808</v>
      </c>
      <c r="F2015" s="366">
        <v>50</v>
      </c>
      <c r="G2015" s="245" t="s">
        <v>1813</v>
      </c>
      <c r="I2015" s="173">
        <v>13</v>
      </c>
      <c r="J2015">
        <v>330</v>
      </c>
      <c r="K2015" s="173">
        <v>191</v>
      </c>
      <c r="L2015" s="402">
        <f t="shared" si="228"/>
        <v>7.5242424242424235</v>
      </c>
      <c r="M2015" s="173">
        <f t="shared" si="229"/>
        <v>20.524242424242424</v>
      </c>
      <c r="O2015" s="173">
        <f t="shared" si="230"/>
        <v>30.786363636363635</v>
      </c>
      <c r="P2015" s="173">
        <v>55</v>
      </c>
    </row>
    <row r="2016" spans="3:16" hidden="1" x14ac:dyDescent="0.35">
      <c r="C2016" s="233" t="s">
        <v>1808</v>
      </c>
      <c r="F2016" s="366">
        <v>44</v>
      </c>
      <c r="G2016" s="245" t="s">
        <v>1814</v>
      </c>
      <c r="I2016" s="173">
        <v>13</v>
      </c>
      <c r="J2016">
        <v>330</v>
      </c>
      <c r="K2016" s="173">
        <v>191</v>
      </c>
      <c r="L2016" s="402">
        <f t="shared" si="228"/>
        <v>7.5242424242424235</v>
      </c>
      <c r="M2016" s="173">
        <f t="shared" si="229"/>
        <v>20.524242424242424</v>
      </c>
      <c r="O2016" s="173">
        <f t="shared" si="230"/>
        <v>30.786363636363635</v>
      </c>
      <c r="P2016" s="173">
        <v>55</v>
      </c>
    </row>
    <row r="2017" spans="3:16" hidden="1" x14ac:dyDescent="0.35">
      <c r="C2017" s="233" t="s">
        <v>1808</v>
      </c>
      <c r="F2017" s="366">
        <v>46</v>
      </c>
      <c r="G2017" s="245" t="s">
        <v>1814</v>
      </c>
      <c r="I2017" s="173">
        <v>13</v>
      </c>
      <c r="J2017">
        <v>330</v>
      </c>
      <c r="K2017" s="173">
        <v>191</v>
      </c>
      <c r="L2017" s="402">
        <f t="shared" si="228"/>
        <v>7.5242424242424235</v>
      </c>
      <c r="M2017" s="173">
        <f t="shared" si="229"/>
        <v>20.524242424242424</v>
      </c>
      <c r="O2017" s="173">
        <f t="shared" si="230"/>
        <v>30.786363636363635</v>
      </c>
      <c r="P2017" s="173">
        <v>55</v>
      </c>
    </row>
    <row r="2018" spans="3:16" hidden="1" x14ac:dyDescent="0.35">
      <c r="C2018" s="233" t="s">
        <v>1808</v>
      </c>
      <c r="F2018" s="366">
        <v>48</v>
      </c>
      <c r="G2018" s="245" t="s">
        <v>1814</v>
      </c>
      <c r="I2018" s="173">
        <v>13</v>
      </c>
      <c r="J2018">
        <v>330</v>
      </c>
      <c r="K2018" s="173">
        <v>191</v>
      </c>
      <c r="L2018" s="402">
        <f t="shared" si="228"/>
        <v>7.5242424242424235</v>
      </c>
      <c r="M2018" s="173">
        <f t="shared" si="229"/>
        <v>20.524242424242424</v>
      </c>
      <c r="O2018" s="173">
        <f t="shared" si="230"/>
        <v>30.786363636363635</v>
      </c>
      <c r="P2018" s="173">
        <v>55</v>
      </c>
    </row>
    <row r="2019" spans="3:16" hidden="1" x14ac:dyDescent="0.35">
      <c r="C2019" s="233" t="s">
        <v>1808</v>
      </c>
      <c r="F2019" s="366">
        <v>50</v>
      </c>
      <c r="G2019" s="245" t="s">
        <v>1814</v>
      </c>
      <c r="I2019" s="173">
        <v>13</v>
      </c>
      <c r="J2019">
        <v>330</v>
      </c>
      <c r="K2019" s="173">
        <v>191</v>
      </c>
      <c r="L2019" s="402">
        <f t="shared" si="228"/>
        <v>7.5242424242424235</v>
      </c>
      <c r="M2019" s="173">
        <f t="shared" si="229"/>
        <v>20.524242424242424</v>
      </c>
      <c r="O2019" s="173">
        <f t="shared" si="230"/>
        <v>30.786363636363635</v>
      </c>
      <c r="P2019" s="173">
        <v>55</v>
      </c>
    </row>
    <row r="2020" spans="3:16" hidden="1" x14ac:dyDescent="0.35">
      <c r="C2020" s="233" t="s">
        <v>1808</v>
      </c>
      <c r="F2020" s="366">
        <v>44</v>
      </c>
      <c r="G2020" s="245" t="s">
        <v>1815</v>
      </c>
      <c r="I2020" s="173">
        <v>13</v>
      </c>
      <c r="J2020">
        <v>330</v>
      </c>
      <c r="K2020" s="173">
        <v>191</v>
      </c>
      <c r="L2020" s="402">
        <f t="shared" si="228"/>
        <v>7.5242424242424235</v>
      </c>
      <c r="M2020" s="173">
        <f t="shared" si="229"/>
        <v>20.524242424242424</v>
      </c>
      <c r="O2020" s="173">
        <f t="shared" si="230"/>
        <v>30.786363636363635</v>
      </c>
      <c r="P2020" s="173">
        <v>55</v>
      </c>
    </row>
    <row r="2021" spans="3:16" hidden="1" x14ac:dyDescent="0.35">
      <c r="C2021" s="233" t="s">
        <v>1808</v>
      </c>
      <c r="F2021" s="366">
        <v>46</v>
      </c>
      <c r="G2021" s="245" t="s">
        <v>1815</v>
      </c>
      <c r="I2021" s="173">
        <v>13</v>
      </c>
      <c r="J2021">
        <v>330</v>
      </c>
      <c r="K2021" s="173">
        <v>191</v>
      </c>
      <c r="L2021" s="402">
        <f t="shared" si="228"/>
        <v>7.5242424242424235</v>
      </c>
      <c r="M2021" s="173">
        <f t="shared" si="229"/>
        <v>20.524242424242424</v>
      </c>
      <c r="O2021" s="173">
        <f t="shared" si="230"/>
        <v>30.786363636363635</v>
      </c>
      <c r="P2021" s="173">
        <v>55</v>
      </c>
    </row>
    <row r="2022" spans="3:16" hidden="1" x14ac:dyDescent="0.35">
      <c r="C2022" s="233" t="s">
        <v>1808</v>
      </c>
      <c r="F2022" s="366">
        <v>48</v>
      </c>
      <c r="G2022" s="245" t="s">
        <v>1815</v>
      </c>
      <c r="I2022" s="173">
        <v>13</v>
      </c>
      <c r="J2022">
        <v>330</v>
      </c>
      <c r="K2022" s="173">
        <v>191</v>
      </c>
      <c r="L2022" s="402">
        <f t="shared" si="228"/>
        <v>7.5242424242424235</v>
      </c>
      <c r="M2022" s="173">
        <f t="shared" si="229"/>
        <v>20.524242424242424</v>
      </c>
      <c r="O2022" s="173">
        <f t="shared" si="230"/>
        <v>30.786363636363635</v>
      </c>
      <c r="P2022" s="173">
        <v>55</v>
      </c>
    </row>
    <row r="2023" spans="3:16" hidden="1" x14ac:dyDescent="0.35">
      <c r="C2023" s="233" t="s">
        <v>1808</v>
      </c>
      <c r="F2023" s="366">
        <v>50</v>
      </c>
      <c r="G2023" s="245" t="s">
        <v>1815</v>
      </c>
      <c r="I2023" s="173">
        <v>13</v>
      </c>
      <c r="J2023">
        <v>330</v>
      </c>
      <c r="K2023" s="173">
        <v>191</v>
      </c>
      <c r="L2023" s="402">
        <f t="shared" si="228"/>
        <v>7.5242424242424235</v>
      </c>
      <c r="M2023" s="173">
        <f t="shared" si="229"/>
        <v>20.524242424242424</v>
      </c>
      <c r="O2023" s="173">
        <f t="shared" si="230"/>
        <v>30.786363636363635</v>
      </c>
      <c r="P2023" s="173">
        <v>55</v>
      </c>
    </row>
    <row r="2024" spans="3:16" hidden="1" x14ac:dyDescent="0.35">
      <c r="C2024" s="233" t="s">
        <v>1808</v>
      </c>
      <c r="F2024" s="366">
        <v>44</v>
      </c>
      <c r="G2024" s="245" t="s">
        <v>1816</v>
      </c>
      <c r="I2024" s="173">
        <v>13</v>
      </c>
      <c r="J2024">
        <v>330</v>
      </c>
      <c r="K2024" s="173">
        <v>191</v>
      </c>
      <c r="L2024" s="402">
        <f t="shared" si="228"/>
        <v>7.5242424242424235</v>
      </c>
      <c r="M2024" s="173">
        <f t="shared" si="229"/>
        <v>20.524242424242424</v>
      </c>
      <c r="O2024" s="173">
        <f t="shared" si="230"/>
        <v>30.786363636363635</v>
      </c>
      <c r="P2024" s="173">
        <v>55</v>
      </c>
    </row>
    <row r="2025" spans="3:16" hidden="1" x14ac:dyDescent="0.35">
      <c r="C2025" s="233" t="s">
        <v>1808</v>
      </c>
      <c r="F2025" s="366">
        <v>46</v>
      </c>
      <c r="G2025" s="245" t="s">
        <v>1816</v>
      </c>
      <c r="I2025" s="173">
        <v>13</v>
      </c>
      <c r="J2025">
        <v>330</v>
      </c>
      <c r="K2025" s="173">
        <v>191</v>
      </c>
      <c r="L2025" s="402">
        <f t="shared" si="228"/>
        <v>7.5242424242424235</v>
      </c>
      <c r="M2025" s="173">
        <f t="shared" si="229"/>
        <v>20.524242424242424</v>
      </c>
      <c r="O2025" s="173">
        <f t="shared" si="230"/>
        <v>30.786363636363635</v>
      </c>
      <c r="P2025" s="173">
        <v>55</v>
      </c>
    </row>
    <row r="2026" spans="3:16" hidden="1" x14ac:dyDescent="0.35">
      <c r="C2026" s="233" t="s">
        <v>1808</v>
      </c>
      <c r="F2026" s="366">
        <v>48</v>
      </c>
      <c r="G2026" s="245" t="s">
        <v>1816</v>
      </c>
      <c r="I2026" s="173">
        <v>13</v>
      </c>
      <c r="J2026">
        <v>330</v>
      </c>
      <c r="K2026" s="173">
        <v>191</v>
      </c>
      <c r="L2026" s="402">
        <f t="shared" si="228"/>
        <v>7.5242424242424235</v>
      </c>
      <c r="M2026" s="173">
        <f t="shared" si="229"/>
        <v>20.524242424242424</v>
      </c>
      <c r="O2026" s="173">
        <f t="shared" si="230"/>
        <v>30.786363636363635</v>
      </c>
      <c r="P2026" s="173">
        <v>55</v>
      </c>
    </row>
    <row r="2027" spans="3:16" hidden="1" x14ac:dyDescent="0.35">
      <c r="C2027" s="233" t="s">
        <v>1808</v>
      </c>
      <c r="F2027" s="366">
        <v>50</v>
      </c>
      <c r="G2027" s="245" t="s">
        <v>1816</v>
      </c>
      <c r="I2027" s="173">
        <v>13</v>
      </c>
      <c r="J2027">
        <v>330</v>
      </c>
      <c r="K2027" s="173">
        <v>191</v>
      </c>
      <c r="L2027" s="402">
        <f t="shared" si="228"/>
        <v>7.5242424242424235</v>
      </c>
      <c r="M2027" s="173">
        <f t="shared" si="229"/>
        <v>20.524242424242424</v>
      </c>
      <c r="O2027" s="173">
        <f t="shared" si="230"/>
        <v>30.786363636363635</v>
      </c>
      <c r="P2027" s="173">
        <v>55</v>
      </c>
    </row>
    <row r="2028" spans="3:16" hidden="1" x14ac:dyDescent="0.35">
      <c r="C2028" s="233" t="s">
        <v>1808</v>
      </c>
      <c r="F2028" s="366">
        <v>44</v>
      </c>
      <c r="G2028" s="245" t="s">
        <v>1809</v>
      </c>
      <c r="I2028" s="173">
        <v>13</v>
      </c>
      <c r="J2028">
        <v>330</v>
      </c>
      <c r="K2028" s="173">
        <v>191</v>
      </c>
      <c r="L2028" s="402">
        <f t="shared" si="228"/>
        <v>7.5242424242424235</v>
      </c>
      <c r="M2028" s="173">
        <f t="shared" si="229"/>
        <v>20.524242424242424</v>
      </c>
      <c r="O2028" s="173">
        <f t="shared" si="230"/>
        <v>30.786363636363635</v>
      </c>
      <c r="P2028" s="173">
        <v>55</v>
      </c>
    </row>
    <row r="2029" spans="3:16" hidden="1" x14ac:dyDescent="0.35">
      <c r="C2029" s="233" t="s">
        <v>1808</v>
      </c>
      <c r="F2029" s="366">
        <v>46</v>
      </c>
      <c r="G2029" s="245" t="s">
        <v>1809</v>
      </c>
      <c r="I2029" s="173">
        <v>13</v>
      </c>
      <c r="J2029">
        <v>330</v>
      </c>
      <c r="K2029" s="173">
        <v>191</v>
      </c>
      <c r="L2029" s="402">
        <f t="shared" si="228"/>
        <v>7.5242424242424235</v>
      </c>
      <c r="M2029" s="173">
        <f t="shared" si="229"/>
        <v>20.524242424242424</v>
      </c>
      <c r="O2029" s="173">
        <f t="shared" si="230"/>
        <v>30.786363636363635</v>
      </c>
      <c r="P2029" s="173">
        <v>55</v>
      </c>
    </row>
    <row r="2030" spans="3:16" hidden="1" x14ac:dyDescent="0.35">
      <c r="C2030" s="233" t="s">
        <v>1808</v>
      </c>
      <c r="F2030" s="366">
        <v>48</v>
      </c>
      <c r="G2030" s="245" t="s">
        <v>1809</v>
      </c>
      <c r="I2030" s="173">
        <v>13</v>
      </c>
      <c r="J2030">
        <v>330</v>
      </c>
      <c r="K2030" s="173">
        <v>191</v>
      </c>
      <c r="L2030" s="402">
        <f t="shared" si="228"/>
        <v>7.5242424242424235</v>
      </c>
      <c r="M2030" s="173">
        <f t="shared" si="229"/>
        <v>20.524242424242424</v>
      </c>
      <c r="O2030" s="173">
        <f t="shared" si="230"/>
        <v>30.786363636363635</v>
      </c>
      <c r="P2030" s="173">
        <v>55</v>
      </c>
    </row>
    <row r="2031" spans="3:16" hidden="1" x14ac:dyDescent="0.35">
      <c r="C2031" s="233" t="s">
        <v>1808</v>
      </c>
      <c r="F2031" s="366">
        <v>50</v>
      </c>
      <c r="G2031" s="245" t="s">
        <v>1809</v>
      </c>
      <c r="I2031" s="173">
        <v>13</v>
      </c>
      <c r="J2031">
        <v>330</v>
      </c>
      <c r="K2031" s="173">
        <v>191</v>
      </c>
      <c r="L2031" s="402">
        <f t="shared" si="228"/>
        <v>7.5242424242424235</v>
      </c>
      <c r="M2031" s="173">
        <f t="shared" si="229"/>
        <v>20.524242424242424</v>
      </c>
      <c r="O2031" s="173">
        <f t="shared" si="230"/>
        <v>30.786363636363635</v>
      </c>
      <c r="P2031" s="173">
        <v>55</v>
      </c>
    </row>
    <row r="2032" spans="3:16" hidden="1" x14ac:dyDescent="0.35">
      <c r="C2032" s="233" t="s">
        <v>1808</v>
      </c>
      <c r="F2032" s="366">
        <v>44</v>
      </c>
      <c r="G2032" s="245" t="s">
        <v>1810</v>
      </c>
      <c r="I2032" s="173">
        <v>13</v>
      </c>
      <c r="J2032">
        <v>330</v>
      </c>
      <c r="K2032" s="173">
        <v>191</v>
      </c>
      <c r="L2032" s="402">
        <f t="shared" si="228"/>
        <v>7.5242424242424235</v>
      </c>
      <c r="M2032" s="173">
        <f t="shared" si="229"/>
        <v>20.524242424242424</v>
      </c>
      <c r="O2032" s="173">
        <f t="shared" si="230"/>
        <v>30.786363636363635</v>
      </c>
      <c r="P2032" s="173">
        <v>55</v>
      </c>
    </row>
    <row r="2033" spans="3:16" hidden="1" x14ac:dyDescent="0.35">
      <c r="C2033" s="233" t="s">
        <v>1808</v>
      </c>
      <c r="F2033" s="366">
        <v>46</v>
      </c>
      <c r="G2033" s="245" t="s">
        <v>1810</v>
      </c>
      <c r="I2033" s="173">
        <v>13</v>
      </c>
      <c r="J2033">
        <v>330</v>
      </c>
      <c r="K2033" s="173">
        <v>191</v>
      </c>
      <c r="L2033" s="402">
        <f t="shared" si="228"/>
        <v>7.5242424242424235</v>
      </c>
      <c r="M2033" s="173">
        <f t="shared" si="229"/>
        <v>20.524242424242424</v>
      </c>
      <c r="O2033" s="173">
        <f t="shared" si="230"/>
        <v>30.786363636363635</v>
      </c>
      <c r="P2033" s="173">
        <v>55</v>
      </c>
    </row>
    <row r="2034" spans="3:16" hidden="1" x14ac:dyDescent="0.35">
      <c r="C2034" s="233" t="s">
        <v>1808</v>
      </c>
      <c r="F2034" s="366">
        <v>48</v>
      </c>
      <c r="G2034" s="245" t="s">
        <v>1810</v>
      </c>
      <c r="I2034" s="173">
        <v>13</v>
      </c>
      <c r="J2034">
        <v>330</v>
      </c>
      <c r="K2034" s="173">
        <v>191</v>
      </c>
      <c r="L2034" s="402">
        <f t="shared" si="228"/>
        <v>7.5242424242424235</v>
      </c>
      <c r="M2034" s="173">
        <f t="shared" si="229"/>
        <v>20.524242424242424</v>
      </c>
      <c r="O2034" s="173">
        <f t="shared" si="230"/>
        <v>30.786363636363635</v>
      </c>
      <c r="P2034" s="173">
        <v>55</v>
      </c>
    </row>
    <row r="2035" spans="3:16" hidden="1" x14ac:dyDescent="0.35">
      <c r="C2035" s="233" t="s">
        <v>1808</v>
      </c>
      <c r="F2035" s="366">
        <v>50</v>
      </c>
      <c r="G2035" s="245" t="s">
        <v>1810</v>
      </c>
      <c r="I2035" s="173">
        <v>13</v>
      </c>
      <c r="J2035">
        <v>330</v>
      </c>
      <c r="K2035" s="173">
        <v>191</v>
      </c>
      <c r="L2035" s="402">
        <f t="shared" si="228"/>
        <v>7.5242424242424235</v>
      </c>
      <c r="M2035" s="173">
        <f t="shared" si="229"/>
        <v>20.524242424242424</v>
      </c>
      <c r="O2035" s="173">
        <f t="shared" si="230"/>
        <v>30.786363636363635</v>
      </c>
      <c r="P2035" s="173">
        <v>55</v>
      </c>
    </row>
    <row r="2036" spans="3:16" hidden="1" x14ac:dyDescent="0.35">
      <c r="C2036" s="233" t="s">
        <v>731</v>
      </c>
      <c r="F2036" s="366">
        <v>44</v>
      </c>
      <c r="G2036" s="245" t="s">
        <v>1811</v>
      </c>
      <c r="I2036" s="173">
        <v>65</v>
      </c>
      <c r="J2036">
        <f>520*1.05</f>
        <v>546</v>
      </c>
      <c r="K2036" s="173">
        <f>7*15</f>
        <v>105</v>
      </c>
      <c r="L2036" s="402">
        <f t="shared" si="228"/>
        <v>12.5</v>
      </c>
      <c r="M2036" s="173">
        <f t="shared" si="229"/>
        <v>77.5</v>
      </c>
      <c r="O2036" s="173">
        <f t="shared" si="230"/>
        <v>116.25</v>
      </c>
      <c r="P2036" s="173">
        <v>150</v>
      </c>
    </row>
    <row r="2037" spans="3:16" hidden="1" x14ac:dyDescent="0.35">
      <c r="C2037" s="233" t="s">
        <v>731</v>
      </c>
      <c r="F2037" s="366">
        <v>46</v>
      </c>
      <c r="G2037" s="245" t="s">
        <v>1811</v>
      </c>
      <c r="I2037" s="173">
        <v>65</v>
      </c>
      <c r="J2037">
        <v>330</v>
      </c>
      <c r="K2037" s="173">
        <v>191</v>
      </c>
      <c r="L2037" s="402">
        <f t="shared" si="228"/>
        <v>37.621212121212118</v>
      </c>
      <c r="M2037" s="173">
        <f t="shared" si="229"/>
        <v>102.62121212121212</v>
      </c>
      <c r="O2037" s="173">
        <f t="shared" si="230"/>
        <v>153.93181818181819</v>
      </c>
      <c r="P2037" s="173">
        <v>150</v>
      </c>
    </row>
    <row r="2038" spans="3:16" hidden="1" x14ac:dyDescent="0.35">
      <c r="C2038" s="233" t="s">
        <v>731</v>
      </c>
      <c r="F2038" s="366">
        <v>48</v>
      </c>
      <c r="G2038" s="245" t="s">
        <v>1811</v>
      </c>
      <c r="I2038" s="173">
        <v>65</v>
      </c>
      <c r="J2038">
        <v>330</v>
      </c>
      <c r="K2038" s="173">
        <v>191</v>
      </c>
      <c r="L2038" s="402">
        <f t="shared" si="228"/>
        <v>37.621212121212118</v>
      </c>
      <c r="M2038" s="173">
        <f t="shared" si="229"/>
        <v>102.62121212121212</v>
      </c>
      <c r="O2038" s="173">
        <f t="shared" si="230"/>
        <v>153.93181818181819</v>
      </c>
      <c r="P2038" s="173">
        <v>150</v>
      </c>
    </row>
    <row r="2039" spans="3:16" hidden="1" x14ac:dyDescent="0.35">
      <c r="C2039" s="233" t="s">
        <v>731</v>
      </c>
      <c r="F2039" s="366">
        <v>50</v>
      </c>
      <c r="G2039" s="245" t="s">
        <v>1811</v>
      </c>
      <c r="I2039" s="173">
        <v>65</v>
      </c>
      <c r="J2039">
        <v>330</v>
      </c>
      <c r="K2039" s="173">
        <v>191</v>
      </c>
      <c r="L2039" s="402">
        <f t="shared" si="228"/>
        <v>37.621212121212118</v>
      </c>
      <c r="M2039" s="173">
        <f t="shared" si="229"/>
        <v>102.62121212121212</v>
      </c>
      <c r="O2039" s="173">
        <f t="shared" si="230"/>
        <v>153.93181818181819</v>
      </c>
      <c r="P2039" s="173">
        <v>150</v>
      </c>
    </row>
    <row r="2040" spans="3:16" hidden="1" x14ac:dyDescent="0.35">
      <c r="C2040" s="233" t="s">
        <v>731</v>
      </c>
      <c r="F2040" s="366">
        <v>44</v>
      </c>
      <c r="G2040" s="245" t="s">
        <v>1812</v>
      </c>
      <c r="I2040" s="173">
        <v>65</v>
      </c>
      <c r="J2040">
        <v>330</v>
      </c>
      <c r="K2040" s="173">
        <v>191</v>
      </c>
      <c r="L2040" s="402">
        <f t="shared" si="228"/>
        <v>37.621212121212118</v>
      </c>
      <c r="M2040" s="173">
        <f t="shared" si="229"/>
        <v>102.62121212121212</v>
      </c>
      <c r="O2040" s="173">
        <f t="shared" si="230"/>
        <v>153.93181818181819</v>
      </c>
      <c r="P2040" s="173">
        <v>150</v>
      </c>
    </row>
    <row r="2041" spans="3:16" hidden="1" x14ac:dyDescent="0.35">
      <c r="C2041" s="233" t="s">
        <v>731</v>
      </c>
      <c r="F2041" s="366">
        <v>46</v>
      </c>
      <c r="G2041" s="245" t="s">
        <v>1812</v>
      </c>
      <c r="I2041" s="173">
        <v>65</v>
      </c>
      <c r="J2041">
        <v>330</v>
      </c>
      <c r="K2041" s="173">
        <v>191</v>
      </c>
      <c r="L2041" s="402">
        <f t="shared" si="228"/>
        <v>37.621212121212118</v>
      </c>
      <c r="M2041" s="173">
        <f t="shared" si="229"/>
        <v>102.62121212121212</v>
      </c>
      <c r="O2041" s="173">
        <f t="shared" si="230"/>
        <v>153.93181818181819</v>
      </c>
      <c r="P2041" s="173">
        <v>150</v>
      </c>
    </row>
    <row r="2042" spans="3:16" hidden="1" x14ac:dyDescent="0.35">
      <c r="C2042" s="233" t="s">
        <v>731</v>
      </c>
      <c r="F2042" s="366">
        <v>48</v>
      </c>
      <c r="G2042" s="245" t="s">
        <v>1812</v>
      </c>
      <c r="I2042" s="173">
        <v>65</v>
      </c>
      <c r="J2042">
        <v>330</v>
      </c>
      <c r="K2042" s="173">
        <v>191</v>
      </c>
      <c r="L2042" s="402">
        <f t="shared" si="228"/>
        <v>37.621212121212118</v>
      </c>
      <c r="M2042" s="173">
        <f t="shared" si="229"/>
        <v>102.62121212121212</v>
      </c>
      <c r="O2042" s="173">
        <f t="shared" si="230"/>
        <v>153.93181818181819</v>
      </c>
      <c r="P2042" s="173">
        <v>150</v>
      </c>
    </row>
    <row r="2043" spans="3:16" hidden="1" x14ac:dyDescent="0.35">
      <c r="C2043" s="233" t="s">
        <v>731</v>
      </c>
      <c r="F2043" s="366">
        <v>50</v>
      </c>
      <c r="G2043" s="245" t="s">
        <v>1812</v>
      </c>
      <c r="I2043" s="173">
        <v>65</v>
      </c>
      <c r="J2043">
        <v>330</v>
      </c>
      <c r="K2043" s="173">
        <v>191</v>
      </c>
      <c r="L2043" s="402">
        <f t="shared" si="228"/>
        <v>37.621212121212118</v>
      </c>
      <c r="M2043" s="173">
        <f t="shared" si="229"/>
        <v>102.62121212121212</v>
      </c>
      <c r="O2043" s="173">
        <f t="shared" si="230"/>
        <v>153.93181818181819</v>
      </c>
      <c r="P2043" s="173">
        <v>150</v>
      </c>
    </row>
    <row r="2044" spans="3:16" hidden="1" x14ac:dyDescent="0.35"/>
    <row r="2045" spans="3:16" s="279" customFormat="1" ht="21" hidden="1" x14ac:dyDescent="0.5">
      <c r="F2045" s="662"/>
      <c r="G2045" s="663" t="s">
        <v>1289</v>
      </c>
      <c r="H2045" s="663"/>
      <c r="I2045" s="664">
        <f>SUM(I2012:I2044)</f>
        <v>832</v>
      </c>
      <c r="K2045" s="664"/>
      <c r="L2045" s="664"/>
      <c r="M2045" s="664"/>
      <c r="O2045" s="664"/>
      <c r="P2045" s="664"/>
    </row>
    <row r="2046" spans="3:16" hidden="1" x14ac:dyDescent="0.35"/>
    <row r="2047" spans="3:16" hidden="1" x14ac:dyDescent="0.35">
      <c r="C2047" s="232" t="s">
        <v>1821</v>
      </c>
      <c r="D2047" s="232"/>
      <c r="G2047" s="256" t="s">
        <v>1899</v>
      </c>
      <c r="H2047" s="256"/>
    </row>
    <row r="2048" spans="3:16" ht="18.5" hidden="1" x14ac:dyDescent="0.45">
      <c r="C2048" s="232"/>
      <c r="D2048" s="232"/>
      <c r="G2048" s="598" t="s">
        <v>1584</v>
      </c>
      <c r="H2048" s="598"/>
    </row>
    <row r="2049" spans="3:16" hidden="1" x14ac:dyDescent="0.35">
      <c r="C2049" s="232" t="s">
        <v>1852</v>
      </c>
      <c r="D2049" s="232"/>
      <c r="F2049" s="366">
        <v>36</v>
      </c>
      <c r="G2049" s="371" t="s">
        <v>1849</v>
      </c>
      <c r="H2049" s="371"/>
      <c r="I2049" s="173">
        <v>39</v>
      </c>
      <c r="J2049">
        <v>5225</v>
      </c>
      <c r="K2049" s="173">
        <v>3700</v>
      </c>
      <c r="L2049" s="402">
        <f t="shared" ref="L2049:L2061" si="231">+I2049/J2049*K2049</f>
        <v>27.617224880382775</v>
      </c>
      <c r="M2049" s="173">
        <f t="shared" ref="M2049:M2061" si="232">+I2049+L2049</f>
        <v>66.617224880382778</v>
      </c>
      <c r="O2049" s="173">
        <f t="shared" ref="O2049:O2061" si="233">+M2049*1.5</f>
        <v>99.925837320574175</v>
      </c>
      <c r="P2049" s="173">
        <v>150</v>
      </c>
    </row>
    <row r="2050" spans="3:16" hidden="1" x14ac:dyDescent="0.35">
      <c r="C2050" s="232" t="s">
        <v>1852</v>
      </c>
      <c r="D2050" s="232"/>
      <c r="F2050" s="366">
        <v>38</v>
      </c>
      <c r="G2050" s="371" t="s">
        <v>1849</v>
      </c>
      <c r="H2050" s="371"/>
      <c r="I2050" s="173">
        <v>39</v>
      </c>
      <c r="J2050">
        <v>5225</v>
      </c>
      <c r="K2050" s="173">
        <v>3700</v>
      </c>
      <c r="L2050" s="402">
        <f t="shared" si="231"/>
        <v>27.617224880382775</v>
      </c>
      <c r="M2050" s="173">
        <f t="shared" si="232"/>
        <v>66.617224880382778</v>
      </c>
      <c r="O2050" s="173">
        <f t="shared" si="233"/>
        <v>99.925837320574175</v>
      </c>
      <c r="P2050" s="173">
        <v>150</v>
      </c>
    </row>
    <row r="2051" spans="3:16" hidden="1" x14ac:dyDescent="0.35">
      <c r="C2051" s="232" t="s">
        <v>1852</v>
      </c>
      <c r="D2051" s="232"/>
      <c r="F2051" s="366">
        <v>40</v>
      </c>
      <c r="G2051" s="371" t="s">
        <v>1849</v>
      </c>
      <c r="H2051" s="371"/>
      <c r="I2051" s="173">
        <v>39</v>
      </c>
      <c r="J2051">
        <v>5225</v>
      </c>
      <c r="K2051" s="173">
        <v>3700</v>
      </c>
      <c r="L2051" s="402">
        <f t="shared" si="231"/>
        <v>27.617224880382775</v>
      </c>
      <c r="M2051" s="173">
        <f t="shared" si="232"/>
        <v>66.617224880382778</v>
      </c>
      <c r="O2051" s="173">
        <f t="shared" si="233"/>
        <v>99.925837320574175</v>
      </c>
      <c r="P2051" s="173">
        <v>150</v>
      </c>
    </row>
    <row r="2052" spans="3:16" hidden="1" x14ac:dyDescent="0.35">
      <c r="C2052" s="232" t="s">
        <v>1852</v>
      </c>
      <c r="D2052" s="232"/>
      <c r="F2052" s="366">
        <v>42</v>
      </c>
      <c r="G2052" s="371" t="s">
        <v>1849</v>
      </c>
      <c r="H2052" s="371"/>
      <c r="I2052" s="173">
        <v>39</v>
      </c>
      <c r="J2052">
        <v>5225</v>
      </c>
      <c r="K2052" s="173">
        <v>3700</v>
      </c>
      <c r="L2052" s="402">
        <f t="shared" si="231"/>
        <v>27.617224880382775</v>
      </c>
      <c r="M2052" s="173">
        <f t="shared" si="232"/>
        <v>66.617224880382778</v>
      </c>
      <c r="O2052" s="173">
        <f t="shared" si="233"/>
        <v>99.925837320574175</v>
      </c>
      <c r="P2052" s="173">
        <v>150</v>
      </c>
    </row>
    <row r="2053" spans="3:16" hidden="1" x14ac:dyDescent="0.35">
      <c r="C2053" s="232" t="s">
        <v>1852</v>
      </c>
      <c r="D2053" s="232"/>
      <c r="F2053" s="366">
        <v>44</v>
      </c>
      <c r="G2053" s="371" t="s">
        <v>1849</v>
      </c>
      <c r="H2053" s="371"/>
      <c r="I2053" s="173">
        <v>39</v>
      </c>
      <c r="J2053">
        <v>5225</v>
      </c>
      <c r="K2053" s="173">
        <v>3700</v>
      </c>
      <c r="L2053" s="402">
        <f t="shared" si="231"/>
        <v>27.617224880382775</v>
      </c>
      <c r="M2053" s="173">
        <f t="shared" si="232"/>
        <v>66.617224880382778</v>
      </c>
      <c r="O2053" s="173">
        <f t="shared" si="233"/>
        <v>99.925837320574175</v>
      </c>
      <c r="P2053" s="173">
        <v>150</v>
      </c>
    </row>
    <row r="2054" spans="3:16" hidden="1" x14ac:dyDescent="0.35">
      <c r="C2054" s="232" t="s">
        <v>1850</v>
      </c>
      <c r="D2054" s="232" t="s">
        <v>1850</v>
      </c>
      <c r="F2054" s="366">
        <v>40</v>
      </c>
      <c r="G2054" s="371" t="s">
        <v>1903</v>
      </c>
      <c r="H2054" s="371"/>
      <c r="I2054" s="173">
        <v>39</v>
      </c>
      <c r="J2054">
        <v>5225</v>
      </c>
      <c r="K2054" s="173">
        <v>3700</v>
      </c>
      <c r="L2054" s="402">
        <f t="shared" si="231"/>
        <v>27.617224880382775</v>
      </c>
      <c r="M2054" s="173">
        <f t="shared" si="232"/>
        <v>66.617224880382778</v>
      </c>
      <c r="O2054" s="173">
        <f t="shared" si="233"/>
        <v>99.925837320574175</v>
      </c>
      <c r="P2054" s="173">
        <v>150</v>
      </c>
    </row>
    <row r="2055" spans="3:16" hidden="1" x14ac:dyDescent="0.35">
      <c r="C2055" s="232" t="s">
        <v>1850</v>
      </c>
      <c r="D2055" s="232" t="s">
        <v>1850</v>
      </c>
      <c r="F2055" s="366">
        <v>44</v>
      </c>
      <c r="G2055" s="371" t="s">
        <v>1903</v>
      </c>
      <c r="H2055" s="371"/>
      <c r="I2055" s="173">
        <v>39</v>
      </c>
      <c r="J2055">
        <v>5225</v>
      </c>
      <c r="K2055" s="173">
        <v>3700</v>
      </c>
      <c r="L2055" s="402">
        <f t="shared" si="231"/>
        <v>27.617224880382775</v>
      </c>
      <c r="M2055" s="173">
        <f t="shared" si="232"/>
        <v>66.617224880382778</v>
      </c>
      <c r="O2055" s="173">
        <f t="shared" si="233"/>
        <v>99.925837320574175</v>
      </c>
      <c r="P2055" s="173">
        <v>150</v>
      </c>
    </row>
    <row r="2056" spans="3:16" hidden="1" x14ac:dyDescent="0.35">
      <c r="C2056" s="232" t="s">
        <v>1850</v>
      </c>
      <c r="D2056" s="232" t="s">
        <v>1850</v>
      </c>
      <c r="F2056" s="366">
        <v>48</v>
      </c>
      <c r="G2056" s="371" t="s">
        <v>1903</v>
      </c>
      <c r="H2056" s="371"/>
      <c r="I2056" s="173">
        <v>39</v>
      </c>
      <c r="J2056">
        <v>5225</v>
      </c>
      <c r="K2056" s="173">
        <v>3700</v>
      </c>
      <c r="L2056" s="402">
        <f t="shared" si="231"/>
        <v>27.617224880382775</v>
      </c>
      <c r="M2056" s="173">
        <f t="shared" si="232"/>
        <v>66.617224880382778</v>
      </c>
      <c r="O2056" s="173">
        <f t="shared" si="233"/>
        <v>99.925837320574175</v>
      </c>
      <c r="P2056" s="173">
        <v>150</v>
      </c>
    </row>
    <row r="2057" spans="3:16" hidden="1" x14ac:dyDescent="0.35">
      <c r="C2057" s="232" t="s">
        <v>1850</v>
      </c>
      <c r="D2057" s="232" t="s">
        <v>1850</v>
      </c>
      <c r="F2057" s="366">
        <v>50</v>
      </c>
      <c r="G2057" s="371" t="s">
        <v>1903</v>
      </c>
      <c r="H2057" s="371"/>
      <c r="I2057" s="173">
        <v>39</v>
      </c>
      <c r="J2057">
        <v>5225</v>
      </c>
      <c r="K2057" s="173">
        <v>3700</v>
      </c>
      <c r="L2057" s="402">
        <f t="shared" si="231"/>
        <v>27.617224880382775</v>
      </c>
      <c r="M2057" s="173">
        <f t="shared" si="232"/>
        <v>66.617224880382778</v>
      </c>
      <c r="O2057" s="173">
        <f t="shared" si="233"/>
        <v>99.925837320574175</v>
      </c>
      <c r="P2057" s="173">
        <v>150</v>
      </c>
    </row>
    <row r="2058" spans="3:16" hidden="1" x14ac:dyDescent="0.35">
      <c r="C2058" s="232" t="s">
        <v>586</v>
      </c>
      <c r="D2058" s="232" t="s">
        <v>586</v>
      </c>
      <c r="F2058" s="366">
        <v>44</v>
      </c>
      <c r="G2058" s="371" t="s">
        <v>1851</v>
      </c>
      <c r="H2058" s="371"/>
      <c r="I2058" s="173">
        <v>45</v>
      </c>
      <c r="J2058">
        <v>5225</v>
      </c>
      <c r="K2058" s="173">
        <v>3700</v>
      </c>
      <c r="L2058" s="402">
        <f t="shared" si="231"/>
        <v>31.866028708133971</v>
      </c>
      <c r="M2058" s="173">
        <f t="shared" si="232"/>
        <v>76.866028708133967</v>
      </c>
      <c r="O2058" s="173">
        <f t="shared" si="233"/>
        <v>115.29904306220095</v>
      </c>
      <c r="P2058" s="173">
        <v>130</v>
      </c>
    </row>
    <row r="2059" spans="3:16" hidden="1" x14ac:dyDescent="0.35">
      <c r="C2059" s="232" t="s">
        <v>586</v>
      </c>
      <c r="D2059" s="232" t="s">
        <v>586</v>
      </c>
      <c r="F2059" s="366">
        <v>44</v>
      </c>
      <c r="G2059" s="371" t="s">
        <v>1851</v>
      </c>
      <c r="H2059" s="371"/>
      <c r="I2059" s="173">
        <v>45</v>
      </c>
      <c r="J2059">
        <v>5225</v>
      </c>
      <c r="K2059" s="173">
        <v>3700</v>
      </c>
      <c r="L2059" s="402">
        <f t="shared" si="231"/>
        <v>31.866028708133971</v>
      </c>
      <c r="M2059" s="173">
        <f t="shared" si="232"/>
        <v>76.866028708133967</v>
      </c>
      <c r="O2059" s="173">
        <f t="shared" si="233"/>
        <v>115.29904306220095</v>
      </c>
      <c r="P2059" s="173">
        <v>130</v>
      </c>
    </row>
    <row r="2060" spans="3:16" hidden="1" x14ac:dyDescent="0.35">
      <c r="C2060" s="232" t="s">
        <v>586</v>
      </c>
      <c r="D2060" s="232" t="s">
        <v>586</v>
      </c>
      <c r="F2060" s="366">
        <v>46</v>
      </c>
      <c r="G2060" s="371" t="s">
        <v>1851</v>
      </c>
      <c r="H2060" s="371"/>
      <c r="I2060" s="173">
        <v>45</v>
      </c>
      <c r="J2060">
        <v>5225</v>
      </c>
      <c r="K2060" s="173">
        <v>3700</v>
      </c>
      <c r="L2060" s="402">
        <f t="shared" si="231"/>
        <v>31.866028708133971</v>
      </c>
      <c r="M2060" s="173">
        <f t="shared" si="232"/>
        <v>76.866028708133967</v>
      </c>
      <c r="O2060" s="173">
        <f t="shared" si="233"/>
        <v>115.29904306220095</v>
      </c>
      <c r="P2060" s="173">
        <v>130</v>
      </c>
    </row>
    <row r="2061" spans="3:16" hidden="1" x14ac:dyDescent="0.35">
      <c r="C2061" s="232" t="s">
        <v>586</v>
      </c>
      <c r="D2061" s="232" t="s">
        <v>586</v>
      </c>
      <c r="F2061" s="366">
        <v>48</v>
      </c>
      <c r="G2061" s="371" t="s">
        <v>1851</v>
      </c>
      <c r="H2061" s="371"/>
      <c r="I2061" s="173">
        <v>45</v>
      </c>
      <c r="J2061">
        <v>5225</v>
      </c>
      <c r="K2061" s="173">
        <v>3700</v>
      </c>
      <c r="L2061" s="402">
        <f t="shared" si="231"/>
        <v>31.866028708133971</v>
      </c>
      <c r="M2061" s="173">
        <f t="shared" si="232"/>
        <v>76.866028708133967</v>
      </c>
      <c r="O2061" s="173">
        <f t="shared" si="233"/>
        <v>115.29904306220095</v>
      </c>
      <c r="P2061" s="173">
        <v>130</v>
      </c>
    </row>
    <row r="2062" spans="3:16" ht="18.5" hidden="1" x14ac:dyDescent="0.45">
      <c r="C2062" s="232"/>
      <c r="D2062" s="232"/>
      <c r="I2062" s="307">
        <f>SUM(I2049:I2061)</f>
        <v>531</v>
      </c>
    </row>
    <row r="2063" spans="3:16" ht="18.5" hidden="1" x14ac:dyDescent="0.45">
      <c r="C2063" s="232"/>
      <c r="D2063" s="232"/>
      <c r="G2063" s="598" t="s">
        <v>807</v>
      </c>
      <c r="H2063" s="598"/>
    </row>
    <row r="2064" spans="3:16" hidden="1" x14ac:dyDescent="0.35">
      <c r="C2064" s="232" t="s">
        <v>583</v>
      </c>
      <c r="D2064" s="232" t="s">
        <v>583</v>
      </c>
      <c r="F2064" s="366">
        <v>46</v>
      </c>
      <c r="G2064" s="371" t="s">
        <v>1056</v>
      </c>
      <c r="H2064" s="371"/>
      <c r="I2064" s="173">
        <v>55</v>
      </c>
      <c r="J2064">
        <v>5225</v>
      </c>
      <c r="K2064" s="173">
        <v>3700</v>
      </c>
      <c r="L2064" s="402">
        <f t="shared" ref="L2064:L2088" si="234">+I2064/J2064*K2064</f>
        <v>38.94736842105263</v>
      </c>
      <c r="M2064" s="173">
        <f t="shared" ref="M2064:M2088" si="235">+I2064+L2064</f>
        <v>93.94736842105263</v>
      </c>
      <c r="O2064" s="173">
        <f t="shared" ref="O2064:O2088" si="236">+M2064*1.5</f>
        <v>140.92105263157896</v>
      </c>
      <c r="P2064" s="173">
        <v>150</v>
      </c>
    </row>
    <row r="2065" spans="3:16" hidden="1" x14ac:dyDescent="0.35">
      <c r="C2065" s="232" t="s">
        <v>583</v>
      </c>
      <c r="D2065" s="232" t="s">
        <v>583</v>
      </c>
      <c r="F2065" s="366">
        <v>48</v>
      </c>
      <c r="G2065" s="371" t="s">
        <v>1056</v>
      </c>
      <c r="H2065" s="371"/>
      <c r="I2065" s="173">
        <v>55</v>
      </c>
      <c r="J2065">
        <v>5225</v>
      </c>
      <c r="K2065" s="173">
        <v>3700</v>
      </c>
      <c r="L2065" s="402">
        <f t="shared" si="234"/>
        <v>38.94736842105263</v>
      </c>
      <c r="M2065" s="173">
        <f t="shared" si="235"/>
        <v>93.94736842105263</v>
      </c>
      <c r="O2065" s="173">
        <f t="shared" si="236"/>
        <v>140.92105263157896</v>
      </c>
      <c r="P2065" s="173">
        <v>150</v>
      </c>
    </row>
    <row r="2066" spans="3:16" hidden="1" x14ac:dyDescent="0.35">
      <c r="C2066" s="232" t="s">
        <v>583</v>
      </c>
      <c r="D2066" s="232" t="s">
        <v>583</v>
      </c>
      <c r="F2066" s="366">
        <v>50</v>
      </c>
      <c r="G2066" s="371" t="s">
        <v>1056</v>
      </c>
      <c r="H2066" s="371"/>
      <c r="I2066" s="173">
        <v>55</v>
      </c>
      <c r="J2066">
        <v>5225</v>
      </c>
      <c r="K2066" s="173">
        <v>3700</v>
      </c>
      <c r="L2066" s="402">
        <f t="shared" si="234"/>
        <v>38.94736842105263</v>
      </c>
      <c r="M2066" s="173">
        <f t="shared" si="235"/>
        <v>93.94736842105263</v>
      </c>
      <c r="O2066" s="173">
        <f t="shared" si="236"/>
        <v>140.92105263157896</v>
      </c>
      <c r="P2066" s="173">
        <v>150</v>
      </c>
    </row>
    <row r="2067" spans="3:16" hidden="1" x14ac:dyDescent="0.35">
      <c r="C2067" s="232" t="s">
        <v>1842</v>
      </c>
      <c r="D2067" s="232" t="s">
        <v>1884</v>
      </c>
      <c r="G2067" s="371" t="s">
        <v>1843</v>
      </c>
      <c r="H2067" s="371"/>
      <c r="I2067" s="173">
        <v>30</v>
      </c>
      <c r="J2067">
        <v>5225</v>
      </c>
      <c r="K2067" s="173">
        <v>3700</v>
      </c>
      <c r="L2067" s="402">
        <f t="shared" si="234"/>
        <v>21.244019138755981</v>
      </c>
      <c r="M2067" s="173">
        <f t="shared" si="235"/>
        <v>51.244019138755981</v>
      </c>
      <c r="O2067" s="173">
        <f t="shared" si="236"/>
        <v>76.866028708133967</v>
      </c>
      <c r="P2067" s="173">
        <v>125</v>
      </c>
    </row>
    <row r="2068" spans="3:16" hidden="1" x14ac:dyDescent="0.35">
      <c r="C2068" s="232" t="s">
        <v>1842</v>
      </c>
      <c r="D2068" s="232" t="s">
        <v>1884</v>
      </c>
      <c r="G2068" s="371" t="s">
        <v>1843</v>
      </c>
      <c r="H2068" s="371"/>
      <c r="I2068" s="173">
        <v>30</v>
      </c>
      <c r="J2068">
        <v>5225</v>
      </c>
      <c r="K2068" s="173">
        <v>3700</v>
      </c>
      <c r="L2068" s="402">
        <f t="shared" si="234"/>
        <v>21.244019138755981</v>
      </c>
      <c r="M2068" s="173">
        <f t="shared" si="235"/>
        <v>51.244019138755981</v>
      </c>
      <c r="O2068" s="173">
        <f t="shared" si="236"/>
        <v>76.866028708133967</v>
      </c>
      <c r="P2068" s="173">
        <v>125</v>
      </c>
    </row>
    <row r="2069" spans="3:16" hidden="1" x14ac:dyDescent="0.35">
      <c r="C2069" s="232" t="s">
        <v>1842</v>
      </c>
      <c r="D2069" s="232" t="s">
        <v>1884</v>
      </c>
      <c r="G2069" s="371" t="s">
        <v>1843</v>
      </c>
      <c r="H2069" s="371"/>
      <c r="I2069" s="173">
        <v>30</v>
      </c>
      <c r="J2069">
        <v>5225</v>
      </c>
      <c r="K2069" s="173">
        <v>3700</v>
      </c>
      <c r="L2069" s="402">
        <f t="shared" si="234"/>
        <v>21.244019138755981</v>
      </c>
      <c r="M2069" s="173">
        <f t="shared" si="235"/>
        <v>51.244019138755981</v>
      </c>
      <c r="O2069" s="173">
        <f t="shared" si="236"/>
        <v>76.866028708133967</v>
      </c>
      <c r="P2069" s="173">
        <v>125</v>
      </c>
    </row>
    <row r="2070" spans="3:16" hidden="1" x14ac:dyDescent="0.35">
      <c r="C2070" s="232" t="s">
        <v>1842</v>
      </c>
      <c r="D2070" s="232" t="s">
        <v>1884</v>
      </c>
      <c r="G2070" s="371" t="s">
        <v>1843</v>
      </c>
      <c r="H2070" s="371"/>
      <c r="I2070" s="173">
        <v>30</v>
      </c>
      <c r="J2070">
        <v>5225</v>
      </c>
      <c r="K2070" s="173">
        <v>3700</v>
      </c>
      <c r="L2070" s="402">
        <f t="shared" si="234"/>
        <v>21.244019138755981</v>
      </c>
      <c r="M2070" s="173">
        <f t="shared" si="235"/>
        <v>51.244019138755981</v>
      </c>
      <c r="O2070" s="173">
        <f t="shared" si="236"/>
        <v>76.866028708133967</v>
      </c>
      <c r="P2070" s="173">
        <v>125</v>
      </c>
    </row>
    <row r="2071" spans="3:16" hidden="1" x14ac:dyDescent="0.35">
      <c r="C2071" s="232" t="s">
        <v>1898</v>
      </c>
      <c r="D2071" s="232" t="s">
        <v>1897</v>
      </c>
      <c r="F2071" s="366">
        <v>44</v>
      </c>
      <c r="G2071" s="371" t="s">
        <v>1847</v>
      </c>
      <c r="H2071" s="371"/>
      <c r="I2071" s="173">
        <v>46</v>
      </c>
      <c r="J2071">
        <v>5225</v>
      </c>
      <c r="K2071" s="173">
        <v>3700</v>
      </c>
      <c r="L2071" s="402">
        <f t="shared" si="234"/>
        <v>32.574162679425832</v>
      </c>
      <c r="M2071" s="173">
        <f t="shared" si="235"/>
        <v>78.574162679425825</v>
      </c>
      <c r="O2071" s="173">
        <f t="shared" si="236"/>
        <v>117.86124401913874</v>
      </c>
      <c r="P2071" s="173">
        <v>150</v>
      </c>
    </row>
    <row r="2072" spans="3:16" hidden="1" x14ac:dyDescent="0.35">
      <c r="C2072" s="232" t="s">
        <v>1898</v>
      </c>
      <c r="D2072" s="232" t="s">
        <v>1897</v>
      </c>
      <c r="F2072" s="366">
        <v>46</v>
      </c>
      <c r="G2072" s="371" t="s">
        <v>1847</v>
      </c>
      <c r="H2072" s="371"/>
      <c r="I2072" s="173">
        <v>46</v>
      </c>
      <c r="J2072">
        <v>5225</v>
      </c>
      <c r="K2072" s="173">
        <v>3700</v>
      </c>
      <c r="L2072" s="402">
        <f t="shared" si="234"/>
        <v>32.574162679425832</v>
      </c>
      <c r="M2072" s="173">
        <f t="shared" si="235"/>
        <v>78.574162679425825</v>
      </c>
      <c r="O2072" s="173">
        <f t="shared" si="236"/>
        <v>117.86124401913874</v>
      </c>
      <c r="P2072" s="173">
        <v>150</v>
      </c>
    </row>
    <row r="2073" spans="3:16" hidden="1" x14ac:dyDescent="0.35">
      <c r="C2073" s="232" t="s">
        <v>1898</v>
      </c>
      <c r="D2073" s="232" t="s">
        <v>1897</v>
      </c>
      <c r="F2073" s="366">
        <v>48</v>
      </c>
      <c r="G2073" s="371" t="s">
        <v>1847</v>
      </c>
      <c r="H2073" s="371"/>
      <c r="I2073" s="173">
        <v>46</v>
      </c>
      <c r="J2073">
        <v>5225</v>
      </c>
      <c r="K2073" s="173">
        <v>3700</v>
      </c>
      <c r="L2073" s="402">
        <f t="shared" si="234"/>
        <v>32.574162679425832</v>
      </c>
      <c r="M2073" s="173">
        <f t="shared" si="235"/>
        <v>78.574162679425825</v>
      </c>
      <c r="O2073" s="173">
        <f t="shared" si="236"/>
        <v>117.86124401913874</v>
      </c>
      <c r="P2073" s="173">
        <v>150</v>
      </c>
    </row>
    <row r="2074" spans="3:16" hidden="1" x14ac:dyDescent="0.35">
      <c r="C2074" s="232" t="s">
        <v>1898</v>
      </c>
      <c r="D2074" s="232" t="s">
        <v>1897</v>
      </c>
      <c r="F2074" s="366">
        <v>50</v>
      </c>
      <c r="G2074" s="371" t="s">
        <v>1847</v>
      </c>
      <c r="H2074" s="371"/>
      <c r="I2074" s="173">
        <v>46</v>
      </c>
      <c r="J2074">
        <v>5225</v>
      </c>
      <c r="K2074" s="173">
        <v>3700</v>
      </c>
      <c r="L2074" s="402">
        <f t="shared" si="234"/>
        <v>32.574162679425832</v>
      </c>
      <c r="M2074" s="173">
        <f t="shared" si="235"/>
        <v>78.574162679425825</v>
      </c>
      <c r="O2074" s="173">
        <f t="shared" si="236"/>
        <v>117.86124401913874</v>
      </c>
      <c r="P2074" s="173">
        <v>150</v>
      </c>
    </row>
    <row r="2075" spans="3:16" hidden="1" x14ac:dyDescent="0.35">
      <c r="C2075" s="232" t="s">
        <v>1848</v>
      </c>
      <c r="D2075" s="232" t="s">
        <v>1879</v>
      </c>
      <c r="F2075" s="366">
        <v>44</v>
      </c>
      <c r="G2075" s="371" t="s">
        <v>1881</v>
      </c>
      <c r="H2075" s="371"/>
      <c r="I2075" s="173">
        <v>55</v>
      </c>
      <c r="J2075">
        <v>5225</v>
      </c>
      <c r="K2075" s="173">
        <v>3700</v>
      </c>
      <c r="L2075" s="402">
        <f t="shared" si="234"/>
        <v>38.94736842105263</v>
      </c>
      <c r="M2075" s="173">
        <f t="shared" si="235"/>
        <v>93.94736842105263</v>
      </c>
      <c r="O2075" s="173">
        <f t="shared" si="236"/>
        <v>140.92105263157896</v>
      </c>
      <c r="P2075" s="173">
        <v>150</v>
      </c>
    </row>
    <row r="2076" spans="3:16" hidden="1" x14ac:dyDescent="0.35">
      <c r="C2076" s="232" t="s">
        <v>1848</v>
      </c>
      <c r="D2076" s="232" t="s">
        <v>1879</v>
      </c>
      <c r="F2076" s="366">
        <v>46</v>
      </c>
      <c r="G2076" s="371" t="s">
        <v>1881</v>
      </c>
      <c r="H2076" s="371"/>
      <c r="I2076" s="173">
        <v>55</v>
      </c>
      <c r="J2076">
        <v>5225</v>
      </c>
      <c r="K2076" s="173">
        <v>3700</v>
      </c>
      <c r="L2076" s="402">
        <f t="shared" si="234"/>
        <v>38.94736842105263</v>
      </c>
      <c r="M2076" s="173">
        <f t="shared" si="235"/>
        <v>93.94736842105263</v>
      </c>
      <c r="O2076" s="173">
        <f t="shared" si="236"/>
        <v>140.92105263157896</v>
      </c>
      <c r="P2076" s="173">
        <v>150</v>
      </c>
    </row>
    <row r="2077" spans="3:16" hidden="1" x14ac:dyDescent="0.35">
      <c r="C2077" s="232" t="s">
        <v>1848</v>
      </c>
      <c r="D2077" s="232" t="s">
        <v>1879</v>
      </c>
      <c r="F2077" s="366">
        <v>48</v>
      </c>
      <c r="G2077" s="371" t="s">
        <v>1881</v>
      </c>
      <c r="H2077" s="371"/>
      <c r="I2077" s="173">
        <v>55</v>
      </c>
      <c r="J2077">
        <v>5225</v>
      </c>
      <c r="K2077" s="173">
        <v>3700</v>
      </c>
      <c r="L2077" s="402">
        <f t="shared" si="234"/>
        <v>38.94736842105263</v>
      </c>
      <c r="M2077" s="173">
        <f t="shared" si="235"/>
        <v>93.94736842105263</v>
      </c>
      <c r="O2077" s="173">
        <f t="shared" si="236"/>
        <v>140.92105263157896</v>
      </c>
      <c r="P2077" s="173">
        <v>150</v>
      </c>
    </row>
    <row r="2078" spans="3:16" hidden="1" x14ac:dyDescent="0.35">
      <c r="C2078" s="232" t="s">
        <v>1848</v>
      </c>
      <c r="D2078" s="232" t="s">
        <v>1879</v>
      </c>
      <c r="F2078" s="366">
        <v>50</v>
      </c>
      <c r="G2078" s="371" t="s">
        <v>1881</v>
      </c>
      <c r="H2078" s="371"/>
      <c r="I2078" s="173">
        <v>55</v>
      </c>
      <c r="J2078">
        <v>5225</v>
      </c>
      <c r="K2078" s="173">
        <v>3700</v>
      </c>
      <c r="L2078" s="402">
        <f t="shared" si="234"/>
        <v>38.94736842105263</v>
      </c>
      <c r="M2078" s="173">
        <f t="shared" si="235"/>
        <v>93.94736842105263</v>
      </c>
      <c r="O2078" s="173">
        <f t="shared" si="236"/>
        <v>140.92105263157896</v>
      </c>
      <c r="P2078" s="173">
        <v>150</v>
      </c>
    </row>
    <row r="2079" spans="3:16" hidden="1" x14ac:dyDescent="0.35">
      <c r="C2079" s="232" t="s">
        <v>1853</v>
      </c>
      <c r="D2079" s="232" t="s">
        <v>1853</v>
      </c>
      <c r="F2079" s="366">
        <v>40</v>
      </c>
      <c r="G2079" s="371" t="s">
        <v>1843</v>
      </c>
      <c r="H2079" s="371"/>
      <c r="I2079" s="173">
        <v>20</v>
      </c>
      <c r="J2079">
        <v>5225</v>
      </c>
      <c r="K2079" s="173">
        <v>3700</v>
      </c>
      <c r="L2079" s="402">
        <f t="shared" si="234"/>
        <v>14.162679425837322</v>
      </c>
      <c r="M2079" s="173">
        <f t="shared" si="235"/>
        <v>34.162679425837325</v>
      </c>
      <c r="O2079" s="173">
        <f t="shared" si="236"/>
        <v>51.244019138755988</v>
      </c>
      <c r="P2079" s="173">
        <v>125</v>
      </c>
    </row>
    <row r="2080" spans="3:16" hidden="1" x14ac:dyDescent="0.35">
      <c r="C2080" s="232" t="s">
        <v>1853</v>
      </c>
      <c r="D2080" s="232" t="s">
        <v>1853</v>
      </c>
      <c r="F2080" s="366">
        <v>42</v>
      </c>
      <c r="G2080" s="371" t="s">
        <v>1843</v>
      </c>
      <c r="H2080" s="371"/>
      <c r="I2080" s="173">
        <v>20</v>
      </c>
      <c r="J2080">
        <v>5225</v>
      </c>
      <c r="K2080" s="173">
        <v>3700</v>
      </c>
      <c r="L2080" s="402">
        <f t="shared" si="234"/>
        <v>14.162679425837322</v>
      </c>
      <c r="M2080" s="173">
        <f t="shared" si="235"/>
        <v>34.162679425837325</v>
      </c>
      <c r="O2080" s="173">
        <f t="shared" si="236"/>
        <v>51.244019138755988</v>
      </c>
      <c r="P2080" s="173">
        <v>125</v>
      </c>
    </row>
    <row r="2081" spans="3:16" hidden="1" x14ac:dyDescent="0.35">
      <c r="C2081" s="232" t="s">
        <v>1853</v>
      </c>
      <c r="D2081" s="232" t="s">
        <v>1853</v>
      </c>
      <c r="F2081" s="366">
        <v>44</v>
      </c>
      <c r="G2081" s="371" t="s">
        <v>1843</v>
      </c>
      <c r="H2081" s="371"/>
      <c r="I2081" s="173">
        <v>20</v>
      </c>
      <c r="J2081">
        <v>5225</v>
      </c>
      <c r="K2081" s="173">
        <v>3700</v>
      </c>
      <c r="L2081" s="402">
        <f t="shared" si="234"/>
        <v>14.162679425837322</v>
      </c>
      <c r="M2081" s="173">
        <f t="shared" si="235"/>
        <v>34.162679425837325</v>
      </c>
      <c r="O2081" s="173">
        <f t="shared" si="236"/>
        <v>51.244019138755988</v>
      </c>
      <c r="P2081" s="173">
        <v>125</v>
      </c>
    </row>
    <row r="2082" spans="3:16" hidden="1" x14ac:dyDescent="0.35">
      <c r="C2082" s="232" t="s">
        <v>1853</v>
      </c>
      <c r="D2082" s="232" t="s">
        <v>1853</v>
      </c>
      <c r="F2082" s="366">
        <v>46</v>
      </c>
      <c r="G2082" s="371" t="s">
        <v>1843</v>
      </c>
      <c r="H2082" s="371"/>
      <c r="I2082" s="173">
        <v>20</v>
      </c>
      <c r="J2082">
        <v>5225</v>
      </c>
      <c r="K2082" s="173">
        <v>3700</v>
      </c>
      <c r="L2082" s="402">
        <f t="shared" si="234"/>
        <v>14.162679425837322</v>
      </c>
      <c r="M2082" s="173">
        <f t="shared" si="235"/>
        <v>34.162679425837325</v>
      </c>
      <c r="O2082" s="173">
        <f t="shared" si="236"/>
        <v>51.244019138755988</v>
      </c>
      <c r="P2082" s="173">
        <v>125</v>
      </c>
    </row>
    <row r="2083" spans="3:16" hidden="1" x14ac:dyDescent="0.35">
      <c r="C2083" s="232" t="s">
        <v>1860</v>
      </c>
      <c r="D2083" s="232" t="s">
        <v>1861</v>
      </c>
      <c r="F2083" s="366">
        <v>42</v>
      </c>
      <c r="G2083" s="371" t="s">
        <v>1862</v>
      </c>
      <c r="H2083" s="371"/>
      <c r="I2083" s="173">
        <v>41</v>
      </c>
      <c r="J2083">
        <v>5225</v>
      </c>
      <c r="K2083" s="173">
        <v>3700</v>
      </c>
      <c r="L2083" s="402">
        <f t="shared" si="234"/>
        <v>29.033492822966512</v>
      </c>
      <c r="M2083" s="173">
        <f t="shared" si="235"/>
        <v>70.033492822966508</v>
      </c>
      <c r="O2083" s="173">
        <f t="shared" si="236"/>
        <v>105.05023923444976</v>
      </c>
      <c r="P2083" s="173">
        <v>125</v>
      </c>
    </row>
    <row r="2084" spans="3:16" hidden="1" x14ac:dyDescent="0.35">
      <c r="C2084" s="232" t="s">
        <v>1860</v>
      </c>
      <c r="D2084" s="232" t="s">
        <v>1861</v>
      </c>
      <c r="F2084" s="366">
        <v>44</v>
      </c>
      <c r="G2084" s="371" t="s">
        <v>1862</v>
      </c>
      <c r="H2084" s="371"/>
      <c r="I2084" s="173">
        <v>41</v>
      </c>
      <c r="J2084">
        <v>5225</v>
      </c>
      <c r="K2084" s="173">
        <v>3700</v>
      </c>
      <c r="L2084" s="402">
        <f t="shared" si="234"/>
        <v>29.033492822966512</v>
      </c>
      <c r="M2084" s="173">
        <f t="shared" si="235"/>
        <v>70.033492822966508</v>
      </c>
      <c r="O2084" s="173">
        <f t="shared" si="236"/>
        <v>105.05023923444976</v>
      </c>
      <c r="P2084" s="173">
        <v>125</v>
      </c>
    </row>
    <row r="2085" spans="3:16" hidden="1" x14ac:dyDescent="0.35">
      <c r="C2085" s="232" t="s">
        <v>1860</v>
      </c>
      <c r="D2085" s="232" t="s">
        <v>1861</v>
      </c>
      <c r="F2085" s="366">
        <v>46</v>
      </c>
      <c r="G2085" s="371" t="s">
        <v>1862</v>
      </c>
      <c r="H2085" s="371"/>
      <c r="I2085" s="173">
        <v>41</v>
      </c>
      <c r="J2085">
        <v>5225</v>
      </c>
      <c r="K2085" s="173">
        <v>3700</v>
      </c>
      <c r="L2085" s="402">
        <f t="shared" si="234"/>
        <v>29.033492822966512</v>
      </c>
      <c r="M2085" s="173">
        <f t="shared" si="235"/>
        <v>70.033492822966508</v>
      </c>
      <c r="O2085" s="173">
        <f t="shared" si="236"/>
        <v>105.05023923444976</v>
      </c>
      <c r="P2085" s="173">
        <v>125</v>
      </c>
    </row>
    <row r="2086" spans="3:16" hidden="1" x14ac:dyDescent="0.35">
      <c r="C2086" s="232" t="s">
        <v>1860</v>
      </c>
      <c r="D2086" s="232" t="s">
        <v>1028</v>
      </c>
      <c r="F2086" s="366">
        <v>36</v>
      </c>
      <c r="G2086" s="371" t="s">
        <v>1880</v>
      </c>
      <c r="H2086" s="371"/>
      <c r="I2086" s="173">
        <v>35</v>
      </c>
      <c r="J2086">
        <v>5225</v>
      </c>
      <c r="K2086" s="173">
        <v>3700</v>
      </c>
      <c r="L2086" s="402">
        <f t="shared" si="234"/>
        <v>24.784688995215312</v>
      </c>
      <c r="M2086" s="173">
        <f t="shared" si="235"/>
        <v>59.784688995215312</v>
      </c>
      <c r="O2086" s="173">
        <f t="shared" si="236"/>
        <v>89.677033492822972</v>
      </c>
      <c r="P2086" s="173">
        <v>125</v>
      </c>
    </row>
    <row r="2087" spans="3:16" hidden="1" x14ac:dyDescent="0.35">
      <c r="C2087" s="232" t="s">
        <v>1860</v>
      </c>
      <c r="D2087" s="232"/>
      <c r="F2087" s="366">
        <v>38</v>
      </c>
      <c r="G2087" s="371" t="s">
        <v>1863</v>
      </c>
      <c r="H2087" s="371"/>
      <c r="I2087" s="173">
        <v>35</v>
      </c>
      <c r="J2087">
        <v>5225</v>
      </c>
      <c r="K2087" s="173">
        <v>3700</v>
      </c>
      <c r="L2087" s="402">
        <f t="shared" si="234"/>
        <v>24.784688995215312</v>
      </c>
      <c r="M2087" s="173">
        <f t="shared" si="235"/>
        <v>59.784688995215312</v>
      </c>
      <c r="O2087" s="173">
        <f t="shared" si="236"/>
        <v>89.677033492822972</v>
      </c>
      <c r="P2087" s="173">
        <v>125</v>
      </c>
    </row>
    <row r="2088" spans="3:16" hidden="1" x14ac:dyDescent="0.35">
      <c r="C2088" s="232" t="s">
        <v>1860</v>
      </c>
      <c r="D2088" s="232"/>
      <c r="F2088" s="366">
        <v>40</v>
      </c>
      <c r="G2088" s="371" t="s">
        <v>1863</v>
      </c>
      <c r="H2088" s="371"/>
      <c r="I2088" s="173">
        <v>35</v>
      </c>
      <c r="J2088">
        <v>5225</v>
      </c>
      <c r="K2088" s="173">
        <v>3700</v>
      </c>
      <c r="L2088" s="402">
        <f t="shared" si="234"/>
        <v>24.784688995215312</v>
      </c>
      <c r="M2088" s="173">
        <f t="shared" si="235"/>
        <v>59.784688995215312</v>
      </c>
      <c r="O2088" s="173">
        <f t="shared" si="236"/>
        <v>89.677033492822972</v>
      </c>
      <c r="P2088" s="173">
        <v>125</v>
      </c>
    </row>
    <row r="2089" spans="3:16" ht="18.5" hidden="1" x14ac:dyDescent="0.45">
      <c r="C2089" s="232"/>
      <c r="D2089" s="232"/>
      <c r="I2089" s="307">
        <f t="shared" ref="I2089:P2089" si="237">SUM(I2064:I2088)</f>
        <v>997</v>
      </c>
      <c r="J2089" s="307">
        <f t="shared" si="237"/>
        <v>130625</v>
      </c>
      <c r="K2089" s="307">
        <f t="shared" si="237"/>
        <v>92500</v>
      </c>
      <c r="L2089" s="307">
        <f t="shared" si="237"/>
        <v>706.00956937799049</v>
      </c>
      <c r="M2089" s="307">
        <f t="shared" si="237"/>
        <v>1703.0095693779901</v>
      </c>
      <c r="N2089" s="307">
        <f t="shared" si="237"/>
        <v>0</v>
      </c>
      <c r="O2089" s="307">
        <f t="shared" si="237"/>
        <v>2554.5143540669847</v>
      </c>
      <c r="P2089" s="307">
        <f t="shared" si="237"/>
        <v>3400</v>
      </c>
    </row>
    <row r="2090" spans="3:16" hidden="1" x14ac:dyDescent="0.35">
      <c r="C2090" s="232"/>
      <c r="D2090" s="232"/>
    </row>
    <row r="2091" spans="3:16" hidden="1" x14ac:dyDescent="0.35">
      <c r="C2091" s="232"/>
      <c r="D2091" s="232"/>
    </row>
    <row r="2092" spans="3:16" hidden="1" x14ac:dyDescent="0.35">
      <c r="C2092" s="232"/>
      <c r="D2092" s="232"/>
      <c r="G2092" s="256" t="s">
        <v>172</v>
      </c>
      <c r="H2092" s="256"/>
    </row>
    <row r="2093" spans="3:16" hidden="1" x14ac:dyDescent="0.35">
      <c r="C2093" s="232" t="s">
        <v>1868</v>
      </c>
      <c r="D2093" s="232" t="s">
        <v>1868</v>
      </c>
      <c r="G2093" s="371" t="s">
        <v>1867</v>
      </c>
      <c r="H2093" s="371"/>
      <c r="I2093" s="173">
        <v>13</v>
      </c>
      <c r="J2093">
        <v>5225</v>
      </c>
      <c r="K2093" s="173">
        <v>3700</v>
      </c>
      <c r="L2093" s="402">
        <f>+I2093/J2093*K2093</f>
        <v>9.2057416267942589</v>
      </c>
      <c r="M2093" s="173">
        <f>+I2093+L2093</f>
        <v>22.205741626794257</v>
      </c>
      <c r="O2093" s="173">
        <f>+M2093*1.5</f>
        <v>33.308612440191382</v>
      </c>
      <c r="P2093" s="173">
        <v>55</v>
      </c>
    </row>
    <row r="2094" spans="3:16" hidden="1" x14ac:dyDescent="0.35">
      <c r="C2094" s="232" t="s">
        <v>1868</v>
      </c>
      <c r="D2094" s="232" t="s">
        <v>1868</v>
      </c>
      <c r="G2094" s="371" t="s">
        <v>1867</v>
      </c>
      <c r="H2094" s="371"/>
      <c r="I2094" s="173">
        <v>13</v>
      </c>
      <c r="J2094">
        <v>5225</v>
      </c>
      <c r="K2094" s="173">
        <v>3700</v>
      </c>
      <c r="L2094" s="402">
        <f>+I2094/J2094*K2094</f>
        <v>9.2057416267942589</v>
      </c>
      <c r="M2094" s="173">
        <f>+I2094+L2094</f>
        <v>22.205741626794257</v>
      </c>
      <c r="O2094" s="173">
        <f>+M2094*1.5</f>
        <v>33.308612440191382</v>
      </c>
      <c r="P2094" s="173">
        <v>55</v>
      </c>
    </row>
    <row r="2095" spans="3:16" hidden="1" x14ac:dyDescent="0.35">
      <c r="C2095" s="232" t="s">
        <v>1868</v>
      </c>
      <c r="D2095" s="232" t="s">
        <v>1868</v>
      </c>
      <c r="G2095" s="371" t="s">
        <v>1867</v>
      </c>
      <c r="H2095" s="371"/>
      <c r="I2095" s="173">
        <v>13</v>
      </c>
      <c r="J2095">
        <v>5225</v>
      </c>
      <c r="K2095" s="173">
        <v>3700</v>
      </c>
      <c r="L2095" s="402">
        <f>+I2095/J2095*K2095</f>
        <v>9.2057416267942589</v>
      </c>
      <c r="M2095" s="173">
        <f>+I2095+L2095</f>
        <v>22.205741626794257</v>
      </c>
      <c r="O2095" s="173">
        <f>+M2095*1.5</f>
        <v>33.308612440191382</v>
      </c>
      <c r="P2095" s="173">
        <v>55</v>
      </c>
    </row>
    <row r="2096" spans="3:16" hidden="1" x14ac:dyDescent="0.35">
      <c r="C2096" s="232" t="s">
        <v>1868</v>
      </c>
      <c r="D2096" s="232" t="s">
        <v>1868</v>
      </c>
      <c r="G2096" s="371" t="s">
        <v>1867</v>
      </c>
      <c r="H2096" s="371"/>
      <c r="I2096" s="173">
        <v>13</v>
      </c>
      <c r="J2096">
        <v>5225</v>
      </c>
      <c r="K2096" s="173">
        <v>3700</v>
      </c>
      <c r="L2096" s="402">
        <f>+I2096/J2096*K2096</f>
        <v>9.2057416267942589</v>
      </c>
      <c r="M2096" s="173">
        <f>+I2096+L2096</f>
        <v>22.205741626794257</v>
      </c>
      <c r="O2096" s="173">
        <f>+M2096*1.5</f>
        <v>33.308612440191382</v>
      </c>
      <c r="P2096" s="173">
        <v>55</v>
      </c>
    </row>
    <row r="2097" spans="3:16" ht="18.5" hidden="1" x14ac:dyDescent="0.45">
      <c r="C2097" s="232"/>
      <c r="D2097" s="232"/>
      <c r="I2097" s="307">
        <f>SUM(I2093:I2096)</f>
        <v>52</v>
      </c>
    </row>
    <row r="2098" spans="3:16" hidden="1" x14ac:dyDescent="0.35">
      <c r="C2098" s="232"/>
      <c r="D2098" s="232"/>
    </row>
    <row r="2099" spans="3:16" hidden="1" x14ac:dyDescent="0.35">
      <c r="C2099" s="232"/>
      <c r="D2099" s="232"/>
      <c r="G2099" s="245" t="s">
        <v>13</v>
      </c>
    </row>
    <row r="2100" spans="3:16" hidden="1" x14ac:dyDescent="0.35">
      <c r="C2100" s="232" t="s">
        <v>195</v>
      </c>
      <c r="D2100" s="232" t="s">
        <v>195</v>
      </c>
      <c r="F2100" s="366">
        <v>44</v>
      </c>
      <c r="G2100" s="371" t="s">
        <v>1827</v>
      </c>
      <c r="H2100" s="371"/>
      <c r="I2100" s="173">
        <v>28</v>
      </c>
      <c r="J2100">
        <v>5225</v>
      </c>
      <c r="K2100" s="173">
        <v>3700</v>
      </c>
      <c r="L2100" s="402">
        <f t="shared" ref="L2100:L2131" si="238">+I2100/J2100*K2100</f>
        <v>19.827751196172247</v>
      </c>
      <c r="M2100" s="173">
        <f t="shared" ref="M2100:M2131" si="239">+I2100+L2100</f>
        <v>47.827751196172244</v>
      </c>
      <c r="O2100" s="173">
        <f t="shared" ref="O2100:O2131" si="240">+M2100*1.5</f>
        <v>71.741626794258366</v>
      </c>
      <c r="P2100" s="173">
        <v>90</v>
      </c>
    </row>
    <row r="2101" spans="3:16" hidden="1" x14ac:dyDescent="0.35">
      <c r="C2101" s="232" t="s">
        <v>195</v>
      </c>
      <c r="D2101" s="232" t="s">
        <v>195</v>
      </c>
      <c r="F2101" s="366">
        <v>46</v>
      </c>
      <c r="G2101" s="371" t="s">
        <v>1827</v>
      </c>
      <c r="H2101" s="371"/>
      <c r="I2101" s="173">
        <v>28</v>
      </c>
      <c r="J2101">
        <v>5225</v>
      </c>
      <c r="K2101" s="173">
        <v>3700</v>
      </c>
      <c r="L2101" s="402">
        <f t="shared" si="238"/>
        <v>19.827751196172247</v>
      </c>
      <c r="M2101" s="173">
        <f t="shared" si="239"/>
        <v>47.827751196172244</v>
      </c>
      <c r="O2101" s="173">
        <f t="shared" si="240"/>
        <v>71.741626794258366</v>
      </c>
      <c r="P2101" s="173">
        <v>90</v>
      </c>
    </row>
    <row r="2102" spans="3:16" hidden="1" x14ac:dyDescent="0.35">
      <c r="C2102" s="232" t="s">
        <v>195</v>
      </c>
      <c r="D2102" s="232" t="s">
        <v>195</v>
      </c>
      <c r="F2102" s="366">
        <v>48</v>
      </c>
      <c r="G2102" s="371" t="s">
        <v>1827</v>
      </c>
      <c r="H2102" s="371"/>
      <c r="I2102" s="173">
        <v>28</v>
      </c>
      <c r="J2102">
        <v>5225</v>
      </c>
      <c r="K2102" s="173">
        <v>3700</v>
      </c>
      <c r="L2102" s="402">
        <f t="shared" si="238"/>
        <v>19.827751196172247</v>
      </c>
      <c r="M2102" s="173">
        <f t="shared" si="239"/>
        <v>47.827751196172244</v>
      </c>
      <c r="O2102" s="173">
        <f t="shared" si="240"/>
        <v>71.741626794258366</v>
      </c>
      <c r="P2102" s="173">
        <v>90</v>
      </c>
    </row>
    <row r="2103" spans="3:16" hidden="1" x14ac:dyDescent="0.35">
      <c r="C2103" s="232" t="s">
        <v>195</v>
      </c>
      <c r="D2103" s="232" t="s">
        <v>195</v>
      </c>
      <c r="F2103" s="366">
        <v>50</v>
      </c>
      <c r="G2103" s="371" t="s">
        <v>1827</v>
      </c>
      <c r="H2103" s="371"/>
      <c r="I2103" s="173">
        <v>28</v>
      </c>
      <c r="J2103">
        <v>5225</v>
      </c>
      <c r="K2103" s="173">
        <v>3700</v>
      </c>
      <c r="L2103" s="402">
        <f t="shared" si="238"/>
        <v>19.827751196172247</v>
      </c>
      <c r="M2103" s="173">
        <f t="shared" si="239"/>
        <v>47.827751196172244</v>
      </c>
      <c r="O2103" s="173">
        <f t="shared" si="240"/>
        <v>71.741626794258366</v>
      </c>
      <c r="P2103" s="173">
        <v>90</v>
      </c>
    </row>
    <row r="2104" spans="3:16" hidden="1" x14ac:dyDescent="0.35">
      <c r="C2104" s="232" t="s">
        <v>195</v>
      </c>
      <c r="D2104" s="232" t="s">
        <v>195</v>
      </c>
      <c r="F2104" s="366">
        <v>52</v>
      </c>
      <c r="G2104" s="371" t="s">
        <v>1827</v>
      </c>
      <c r="H2104" s="371"/>
      <c r="I2104" s="173">
        <v>28</v>
      </c>
      <c r="J2104">
        <v>5225</v>
      </c>
      <c r="K2104" s="173">
        <v>3700</v>
      </c>
      <c r="L2104" s="402">
        <f t="shared" si="238"/>
        <v>19.827751196172247</v>
      </c>
      <c r="M2104" s="173">
        <f t="shared" si="239"/>
        <v>47.827751196172244</v>
      </c>
      <c r="O2104" s="173">
        <f t="shared" si="240"/>
        <v>71.741626794258366</v>
      </c>
      <c r="P2104" s="173">
        <v>90</v>
      </c>
    </row>
    <row r="2105" spans="3:16" hidden="1" x14ac:dyDescent="0.35">
      <c r="C2105" s="232" t="s">
        <v>195</v>
      </c>
      <c r="D2105" s="232" t="s">
        <v>195</v>
      </c>
      <c r="F2105" s="366">
        <v>44</v>
      </c>
      <c r="G2105" s="371" t="s">
        <v>1828</v>
      </c>
      <c r="H2105" s="371"/>
      <c r="I2105" s="173">
        <v>28</v>
      </c>
      <c r="J2105">
        <v>5225</v>
      </c>
      <c r="K2105" s="173">
        <v>3700</v>
      </c>
      <c r="L2105" s="402">
        <f t="shared" si="238"/>
        <v>19.827751196172247</v>
      </c>
      <c r="M2105" s="173">
        <f t="shared" si="239"/>
        <v>47.827751196172244</v>
      </c>
      <c r="O2105" s="173">
        <f t="shared" si="240"/>
        <v>71.741626794258366</v>
      </c>
      <c r="P2105" s="173">
        <v>90</v>
      </c>
    </row>
    <row r="2106" spans="3:16" hidden="1" x14ac:dyDescent="0.35">
      <c r="C2106" s="232" t="s">
        <v>195</v>
      </c>
      <c r="D2106" s="232" t="s">
        <v>195</v>
      </c>
      <c r="F2106" s="366">
        <v>46</v>
      </c>
      <c r="G2106" s="371" t="s">
        <v>1828</v>
      </c>
      <c r="H2106" s="371"/>
      <c r="I2106" s="173">
        <v>28</v>
      </c>
      <c r="J2106">
        <v>5225</v>
      </c>
      <c r="K2106" s="173">
        <v>3700</v>
      </c>
      <c r="L2106" s="402">
        <f t="shared" si="238"/>
        <v>19.827751196172247</v>
      </c>
      <c r="M2106" s="173">
        <f t="shared" si="239"/>
        <v>47.827751196172244</v>
      </c>
      <c r="O2106" s="173">
        <f t="shared" si="240"/>
        <v>71.741626794258366</v>
      </c>
      <c r="P2106" s="173">
        <v>90</v>
      </c>
    </row>
    <row r="2107" spans="3:16" hidden="1" x14ac:dyDescent="0.35">
      <c r="C2107" s="232" t="s">
        <v>195</v>
      </c>
      <c r="D2107" s="232" t="s">
        <v>195</v>
      </c>
      <c r="F2107" s="366">
        <v>48</v>
      </c>
      <c r="G2107" s="371" t="s">
        <v>1828</v>
      </c>
      <c r="H2107" s="371"/>
      <c r="I2107" s="173">
        <v>28</v>
      </c>
      <c r="J2107">
        <v>5225</v>
      </c>
      <c r="K2107" s="173">
        <v>3700</v>
      </c>
      <c r="L2107" s="402">
        <f t="shared" si="238"/>
        <v>19.827751196172247</v>
      </c>
      <c r="M2107" s="173">
        <f t="shared" si="239"/>
        <v>47.827751196172244</v>
      </c>
      <c r="O2107" s="173">
        <f t="shared" si="240"/>
        <v>71.741626794258366</v>
      </c>
      <c r="P2107" s="173">
        <v>90</v>
      </c>
    </row>
    <row r="2108" spans="3:16" hidden="1" x14ac:dyDescent="0.35">
      <c r="C2108" s="232" t="s">
        <v>195</v>
      </c>
      <c r="D2108" s="232" t="s">
        <v>195</v>
      </c>
      <c r="F2108" s="366">
        <v>50</v>
      </c>
      <c r="G2108" s="371" t="s">
        <v>1828</v>
      </c>
      <c r="H2108" s="371"/>
      <c r="I2108" s="173">
        <v>28</v>
      </c>
      <c r="J2108">
        <v>5225</v>
      </c>
      <c r="K2108" s="173">
        <v>3700</v>
      </c>
      <c r="L2108" s="402">
        <f t="shared" si="238"/>
        <v>19.827751196172247</v>
      </c>
      <c r="M2108" s="173">
        <f t="shared" si="239"/>
        <v>47.827751196172244</v>
      </c>
      <c r="O2108" s="173">
        <f t="shared" si="240"/>
        <v>71.741626794258366</v>
      </c>
      <c r="P2108" s="173">
        <v>90</v>
      </c>
    </row>
    <row r="2109" spans="3:16" hidden="1" x14ac:dyDescent="0.35">
      <c r="C2109" s="232" t="s">
        <v>195</v>
      </c>
      <c r="D2109" s="232" t="s">
        <v>195</v>
      </c>
      <c r="F2109" s="366">
        <v>52</v>
      </c>
      <c r="G2109" s="371" t="s">
        <v>1828</v>
      </c>
      <c r="H2109" s="371"/>
      <c r="I2109" s="173">
        <v>28</v>
      </c>
      <c r="J2109">
        <v>5225</v>
      </c>
      <c r="K2109" s="173">
        <v>3700</v>
      </c>
      <c r="L2109" s="402">
        <f t="shared" si="238"/>
        <v>19.827751196172247</v>
      </c>
      <c r="M2109" s="173">
        <f t="shared" si="239"/>
        <v>47.827751196172244</v>
      </c>
      <c r="O2109" s="173">
        <f t="shared" si="240"/>
        <v>71.741626794258366</v>
      </c>
      <c r="P2109" s="173">
        <v>90</v>
      </c>
    </row>
    <row r="2110" spans="3:16" hidden="1" x14ac:dyDescent="0.35">
      <c r="C2110" s="232" t="s">
        <v>1777</v>
      </c>
      <c r="D2110" s="232" t="s">
        <v>1858</v>
      </c>
      <c r="F2110" s="366">
        <v>44</v>
      </c>
      <c r="G2110" s="371" t="s">
        <v>1829</v>
      </c>
      <c r="H2110" s="371"/>
      <c r="I2110" s="173">
        <v>34</v>
      </c>
      <c r="J2110">
        <v>5225</v>
      </c>
      <c r="K2110" s="173">
        <v>3700</v>
      </c>
      <c r="L2110" s="402">
        <f t="shared" si="238"/>
        <v>24.076555023923447</v>
      </c>
      <c r="M2110" s="173">
        <f t="shared" si="239"/>
        <v>58.076555023923447</v>
      </c>
      <c r="O2110" s="173">
        <f t="shared" si="240"/>
        <v>87.114832535885171</v>
      </c>
      <c r="P2110" s="173">
        <v>125</v>
      </c>
    </row>
    <row r="2111" spans="3:16" hidden="1" x14ac:dyDescent="0.35">
      <c r="C2111" s="232" t="s">
        <v>1777</v>
      </c>
      <c r="D2111" s="232" t="s">
        <v>1858</v>
      </c>
      <c r="F2111" s="366">
        <v>46</v>
      </c>
      <c r="G2111" s="371" t="s">
        <v>1829</v>
      </c>
      <c r="H2111" s="371"/>
      <c r="I2111" s="173">
        <v>34</v>
      </c>
      <c r="J2111">
        <v>5225</v>
      </c>
      <c r="K2111" s="173">
        <v>3700</v>
      </c>
      <c r="L2111" s="402">
        <f t="shared" si="238"/>
        <v>24.076555023923447</v>
      </c>
      <c r="M2111" s="173">
        <f t="shared" si="239"/>
        <v>58.076555023923447</v>
      </c>
      <c r="O2111" s="173">
        <f t="shared" si="240"/>
        <v>87.114832535885171</v>
      </c>
      <c r="P2111" s="173">
        <v>125</v>
      </c>
    </row>
    <row r="2112" spans="3:16" hidden="1" x14ac:dyDescent="0.35">
      <c r="C2112" s="232" t="s">
        <v>1777</v>
      </c>
      <c r="D2112" s="232" t="s">
        <v>1858</v>
      </c>
      <c r="F2112" s="366">
        <v>48</v>
      </c>
      <c r="G2112" s="371" t="s">
        <v>1829</v>
      </c>
      <c r="H2112" s="371"/>
      <c r="I2112" s="173">
        <v>34</v>
      </c>
      <c r="J2112">
        <v>5225</v>
      </c>
      <c r="K2112" s="173">
        <v>3700</v>
      </c>
      <c r="L2112" s="402">
        <f t="shared" si="238"/>
        <v>24.076555023923447</v>
      </c>
      <c r="M2112" s="173">
        <f t="shared" si="239"/>
        <v>58.076555023923447</v>
      </c>
      <c r="O2112" s="173">
        <f t="shared" si="240"/>
        <v>87.114832535885171</v>
      </c>
      <c r="P2112" s="173">
        <v>125</v>
      </c>
    </row>
    <row r="2113" spans="3:16" hidden="1" x14ac:dyDescent="0.35">
      <c r="C2113" s="232" t="s">
        <v>1777</v>
      </c>
      <c r="D2113" s="232" t="s">
        <v>1858</v>
      </c>
      <c r="F2113" s="366">
        <v>50</v>
      </c>
      <c r="G2113" s="371" t="s">
        <v>1829</v>
      </c>
      <c r="H2113" s="371"/>
      <c r="I2113" s="173">
        <v>34</v>
      </c>
      <c r="J2113">
        <v>5225</v>
      </c>
      <c r="K2113" s="173">
        <v>3700</v>
      </c>
      <c r="L2113" s="402">
        <f t="shared" si="238"/>
        <v>24.076555023923447</v>
      </c>
      <c r="M2113" s="173">
        <f t="shared" si="239"/>
        <v>58.076555023923447</v>
      </c>
      <c r="O2113" s="173">
        <f t="shared" si="240"/>
        <v>87.114832535885171</v>
      </c>
      <c r="P2113" s="173">
        <v>125</v>
      </c>
    </row>
    <row r="2114" spans="3:16" hidden="1" x14ac:dyDescent="0.35">
      <c r="C2114" s="232" t="s">
        <v>1777</v>
      </c>
      <c r="D2114" s="232" t="s">
        <v>1858</v>
      </c>
      <c r="F2114" s="366">
        <v>52</v>
      </c>
      <c r="G2114" s="371" t="s">
        <v>1830</v>
      </c>
      <c r="H2114" s="371"/>
      <c r="I2114" s="173">
        <v>34</v>
      </c>
      <c r="J2114">
        <v>5225</v>
      </c>
      <c r="K2114" s="173">
        <v>3700</v>
      </c>
      <c r="L2114" s="402">
        <f t="shared" si="238"/>
        <v>24.076555023923447</v>
      </c>
      <c r="M2114" s="173">
        <f t="shared" si="239"/>
        <v>58.076555023923447</v>
      </c>
      <c r="O2114" s="173">
        <f t="shared" si="240"/>
        <v>87.114832535885171</v>
      </c>
      <c r="P2114" s="173">
        <v>125</v>
      </c>
    </row>
    <row r="2115" spans="3:16" hidden="1" x14ac:dyDescent="0.35">
      <c r="C2115" s="232" t="s">
        <v>1777</v>
      </c>
      <c r="D2115" s="232" t="s">
        <v>1858</v>
      </c>
      <c r="F2115" s="366">
        <v>54</v>
      </c>
      <c r="G2115" s="371" t="s">
        <v>1830</v>
      </c>
      <c r="H2115" s="371"/>
      <c r="I2115" s="173">
        <v>34</v>
      </c>
      <c r="J2115">
        <v>5225</v>
      </c>
      <c r="K2115" s="173">
        <v>3700</v>
      </c>
      <c r="L2115" s="402">
        <f t="shared" si="238"/>
        <v>24.076555023923447</v>
      </c>
      <c r="M2115" s="173">
        <f t="shared" si="239"/>
        <v>58.076555023923447</v>
      </c>
      <c r="O2115" s="173">
        <f t="shared" si="240"/>
        <v>87.114832535885171</v>
      </c>
      <c r="P2115" s="173">
        <v>125</v>
      </c>
    </row>
    <row r="2116" spans="3:16" hidden="1" x14ac:dyDescent="0.35">
      <c r="C2116" s="232" t="s">
        <v>1777</v>
      </c>
      <c r="D2116" s="232" t="s">
        <v>1858</v>
      </c>
      <c r="F2116" s="366">
        <v>56</v>
      </c>
      <c r="G2116" s="371" t="s">
        <v>1830</v>
      </c>
      <c r="H2116" s="371"/>
      <c r="I2116" s="173">
        <v>34</v>
      </c>
      <c r="J2116">
        <v>5225</v>
      </c>
      <c r="K2116" s="173">
        <v>3700</v>
      </c>
      <c r="L2116" s="402">
        <f t="shared" si="238"/>
        <v>24.076555023923447</v>
      </c>
      <c r="M2116" s="173">
        <f t="shared" si="239"/>
        <v>58.076555023923447</v>
      </c>
      <c r="O2116" s="173">
        <f t="shared" si="240"/>
        <v>87.114832535885171</v>
      </c>
      <c r="P2116" s="173">
        <v>125</v>
      </c>
    </row>
    <row r="2117" spans="3:16" hidden="1" x14ac:dyDescent="0.35">
      <c r="C2117" s="232" t="s">
        <v>1777</v>
      </c>
      <c r="D2117" s="232" t="s">
        <v>1858</v>
      </c>
      <c r="F2117" s="366">
        <v>58</v>
      </c>
      <c r="G2117" s="371" t="s">
        <v>1830</v>
      </c>
      <c r="H2117" s="371"/>
      <c r="I2117" s="173">
        <v>34</v>
      </c>
      <c r="J2117">
        <v>5225</v>
      </c>
      <c r="K2117" s="173">
        <v>3700</v>
      </c>
      <c r="L2117" s="402">
        <f t="shared" si="238"/>
        <v>24.076555023923447</v>
      </c>
      <c r="M2117" s="173">
        <f t="shared" si="239"/>
        <v>58.076555023923447</v>
      </c>
      <c r="O2117" s="173">
        <f t="shared" si="240"/>
        <v>87.114832535885171</v>
      </c>
      <c r="P2117" s="173">
        <v>125</v>
      </c>
    </row>
    <row r="2118" spans="3:16" hidden="1" x14ac:dyDescent="0.35">
      <c r="C2118" s="232" t="s">
        <v>1777</v>
      </c>
      <c r="D2118" s="232" t="s">
        <v>1858</v>
      </c>
      <c r="F2118" s="366">
        <v>52</v>
      </c>
      <c r="G2118" s="371" t="s">
        <v>1831</v>
      </c>
      <c r="H2118" s="371"/>
      <c r="I2118" s="173">
        <v>34</v>
      </c>
      <c r="J2118">
        <v>5225</v>
      </c>
      <c r="K2118" s="173">
        <v>3700</v>
      </c>
      <c r="L2118" s="402">
        <f t="shared" si="238"/>
        <v>24.076555023923447</v>
      </c>
      <c r="M2118" s="173">
        <f t="shared" si="239"/>
        <v>58.076555023923447</v>
      </c>
      <c r="O2118" s="173">
        <f t="shared" si="240"/>
        <v>87.114832535885171</v>
      </c>
      <c r="P2118" s="173">
        <v>125</v>
      </c>
    </row>
    <row r="2119" spans="3:16" hidden="1" x14ac:dyDescent="0.35">
      <c r="C2119" s="232" t="s">
        <v>1777</v>
      </c>
      <c r="D2119" s="232" t="s">
        <v>1858</v>
      </c>
      <c r="F2119" s="366">
        <v>54</v>
      </c>
      <c r="G2119" s="371" t="s">
        <v>1831</v>
      </c>
      <c r="H2119" s="371"/>
      <c r="I2119" s="173">
        <v>34</v>
      </c>
      <c r="J2119">
        <v>5225</v>
      </c>
      <c r="K2119" s="173">
        <v>3700</v>
      </c>
      <c r="L2119" s="402">
        <f t="shared" si="238"/>
        <v>24.076555023923447</v>
      </c>
      <c r="M2119" s="173">
        <f t="shared" si="239"/>
        <v>58.076555023923447</v>
      </c>
      <c r="O2119" s="173">
        <f t="shared" si="240"/>
        <v>87.114832535885171</v>
      </c>
      <c r="P2119" s="173">
        <v>125</v>
      </c>
    </row>
    <row r="2120" spans="3:16" hidden="1" x14ac:dyDescent="0.35">
      <c r="C2120" s="232" t="s">
        <v>1777</v>
      </c>
      <c r="D2120" s="232" t="s">
        <v>1858</v>
      </c>
      <c r="F2120" s="366">
        <v>56</v>
      </c>
      <c r="G2120" s="371" t="s">
        <v>1831</v>
      </c>
      <c r="H2120" s="371"/>
      <c r="I2120" s="173">
        <v>34</v>
      </c>
      <c r="J2120">
        <v>5225</v>
      </c>
      <c r="K2120" s="173">
        <v>3700</v>
      </c>
      <c r="L2120" s="402">
        <f t="shared" si="238"/>
        <v>24.076555023923447</v>
      </c>
      <c r="M2120" s="173">
        <f t="shared" si="239"/>
        <v>58.076555023923447</v>
      </c>
      <c r="O2120" s="173">
        <f t="shared" si="240"/>
        <v>87.114832535885171</v>
      </c>
      <c r="P2120" s="173">
        <v>125</v>
      </c>
    </row>
    <row r="2121" spans="3:16" hidden="1" x14ac:dyDescent="0.35">
      <c r="C2121" s="232" t="s">
        <v>1777</v>
      </c>
      <c r="D2121" s="232" t="s">
        <v>1858</v>
      </c>
      <c r="F2121" s="366">
        <v>58</v>
      </c>
      <c r="G2121" s="371" t="s">
        <v>1831</v>
      </c>
      <c r="H2121" s="371"/>
      <c r="I2121" s="173">
        <v>34</v>
      </c>
      <c r="J2121">
        <v>5225</v>
      </c>
      <c r="K2121" s="173">
        <v>3700</v>
      </c>
      <c r="L2121" s="402">
        <f t="shared" si="238"/>
        <v>24.076555023923447</v>
      </c>
      <c r="M2121" s="173">
        <f t="shared" si="239"/>
        <v>58.076555023923447</v>
      </c>
      <c r="O2121" s="173">
        <f t="shared" si="240"/>
        <v>87.114832535885171</v>
      </c>
      <c r="P2121" s="173">
        <v>125</v>
      </c>
    </row>
    <row r="2122" spans="3:16" hidden="1" x14ac:dyDescent="0.35">
      <c r="C2122" s="232" t="s">
        <v>1856</v>
      </c>
      <c r="D2122" s="232" t="s">
        <v>1857</v>
      </c>
      <c r="F2122" s="366">
        <v>42</v>
      </c>
      <c r="G2122" s="371" t="s">
        <v>1902</v>
      </c>
      <c r="H2122" s="371"/>
      <c r="I2122" s="173">
        <v>40</v>
      </c>
      <c r="J2122">
        <v>5225</v>
      </c>
      <c r="K2122" s="173">
        <v>3700</v>
      </c>
      <c r="L2122" s="402">
        <f t="shared" si="238"/>
        <v>28.325358851674643</v>
      </c>
      <c r="M2122" s="173">
        <f t="shared" si="239"/>
        <v>68.32535885167465</v>
      </c>
      <c r="O2122" s="173">
        <f t="shared" si="240"/>
        <v>102.48803827751198</v>
      </c>
      <c r="P2122" s="173">
        <v>125</v>
      </c>
    </row>
    <row r="2123" spans="3:16" hidden="1" x14ac:dyDescent="0.35">
      <c r="C2123" s="232" t="s">
        <v>731</v>
      </c>
      <c r="D2123" s="232" t="s">
        <v>1857</v>
      </c>
      <c r="F2123" s="366">
        <v>44</v>
      </c>
      <c r="G2123" s="371" t="s">
        <v>1902</v>
      </c>
      <c r="H2123" s="371"/>
      <c r="I2123" s="173">
        <v>40</v>
      </c>
      <c r="J2123">
        <v>5225</v>
      </c>
      <c r="K2123" s="173">
        <v>3700</v>
      </c>
      <c r="L2123" s="402">
        <f t="shared" si="238"/>
        <v>28.325358851674643</v>
      </c>
      <c r="M2123" s="173">
        <f t="shared" si="239"/>
        <v>68.32535885167465</v>
      </c>
      <c r="O2123" s="173">
        <f t="shared" si="240"/>
        <v>102.48803827751198</v>
      </c>
      <c r="P2123" s="173">
        <v>125</v>
      </c>
    </row>
    <row r="2124" spans="3:16" hidden="1" x14ac:dyDescent="0.35">
      <c r="C2124" s="232" t="s">
        <v>731</v>
      </c>
      <c r="D2124" s="232" t="s">
        <v>1857</v>
      </c>
      <c r="F2124" s="366">
        <v>46</v>
      </c>
      <c r="G2124" s="371" t="s">
        <v>1902</v>
      </c>
      <c r="H2124" s="371"/>
      <c r="I2124" s="173">
        <v>40</v>
      </c>
      <c r="J2124">
        <v>5225</v>
      </c>
      <c r="K2124" s="173">
        <v>3700</v>
      </c>
      <c r="L2124" s="402">
        <f t="shared" si="238"/>
        <v>28.325358851674643</v>
      </c>
      <c r="M2124" s="173">
        <f t="shared" si="239"/>
        <v>68.32535885167465</v>
      </c>
      <c r="O2124" s="173">
        <f t="shared" si="240"/>
        <v>102.48803827751198</v>
      </c>
      <c r="P2124" s="173">
        <v>125</v>
      </c>
    </row>
    <row r="2125" spans="3:16" hidden="1" x14ac:dyDescent="0.35">
      <c r="C2125" s="232" t="s">
        <v>731</v>
      </c>
      <c r="D2125" s="232" t="s">
        <v>1857</v>
      </c>
      <c r="F2125" s="366">
        <v>48</v>
      </c>
      <c r="G2125" s="371" t="s">
        <v>1902</v>
      </c>
      <c r="H2125" s="371"/>
      <c r="I2125" s="173">
        <v>40</v>
      </c>
      <c r="J2125">
        <v>5225</v>
      </c>
      <c r="K2125" s="173">
        <v>3700</v>
      </c>
      <c r="L2125" s="402">
        <f t="shared" si="238"/>
        <v>28.325358851674643</v>
      </c>
      <c r="M2125" s="173">
        <f t="shared" si="239"/>
        <v>68.32535885167465</v>
      </c>
      <c r="O2125" s="173">
        <f t="shared" si="240"/>
        <v>102.48803827751198</v>
      </c>
      <c r="P2125" s="173">
        <v>125</v>
      </c>
    </row>
    <row r="2126" spans="3:16" hidden="1" x14ac:dyDescent="0.35">
      <c r="C2126" s="232" t="s">
        <v>731</v>
      </c>
      <c r="D2126" s="232" t="s">
        <v>1859</v>
      </c>
      <c r="F2126" s="366">
        <v>42</v>
      </c>
      <c r="G2126" s="371" t="s">
        <v>1864</v>
      </c>
      <c r="H2126" s="371"/>
      <c r="I2126" s="173">
        <v>37</v>
      </c>
      <c r="J2126">
        <v>5225</v>
      </c>
      <c r="K2126" s="173">
        <v>3700</v>
      </c>
      <c r="L2126" s="402">
        <f t="shared" si="238"/>
        <v>26.200956937799045</v>
      </c>
      <c r="M2126" s="173">
        <f t="shared" si="239"/>
        <v>63.200956937799049</v>
      </c>
      <c r="O2126" s="173">
        <f t="shared" si="240"/>
        <v>94.801435406698573</v>
      </c>
      <c r="P2126" s="173">
        <v>125</v>
      </c>
    </row>
    <row r="2127" spans="3:16" hidden="1" x14ac:dyDescent="0.35">
      <c r="C2127" s="232" t="s">
        <v>731</v>
      </c>
      <c r="D2127" s="232" t="s">
        <v>1859</v>
      </c>
      <c r="F2127" s="366">
        <v>44</v>
      </c>
      <c r="G2127" s="371" t="s">
        <v>1864</v>
      </c>
      <c r="H2127" s="371"/>
      <c r="I2127" s="173">
        <v>37</v>
      </c>
      <c r="J2127">
        <v>5225</v>
      </c>
      <c r="K2127" s="173">
        <v>3700</v>
      </c>
      <c r="L2127" s="402">
        <f t="shared" si="238"/>
        <v>26.200956937799045</v>
      </c>
      <c r="M2127" s="173">
        <f t="shared" si="239"/>
        <v>63.200956937799049</v>
      </c>
      <c r="O2127" s="173">
        <f t="shared" si="240"/>
        <v>94.801435406698573</v>
      </c>
      <c r="P2127" s="173">
        <v>125</v>
      </c>
    </row>
    <row r="2128" spans="3:16" hidden="1" x14ac:dyDescent="0.35">
      <c r="C2128" s="232" t="s">
        <v>731</v>
      </c>
      <c r="D2128" s="232" t="s">
        <v>1859</v>
      </c>
      <c r="F2128" s="366">
        <v>46</v>
      </c>
      <c r="G2128" s="371" t="s">
        <v>1864</v>
      </c>
      <c r="H2128" s="371"/>
      <c r="I2128" s="173">
        <v>37</v>
      </c>
      <c r="J2128">
        <v>5225</v>
      </c>
      <c r="K2128" s="173">
        <v>3700</v>
      </c>
      <c r="L2128" s="402">
        <f t="shared" si="238"/>
        <v>26.200956937799045</v>
      </c>
      <c r="M2128" s="173">
        <f t="shared" si="239"/>
        <v>63.200956937799049</v>
      </c>
      <c r="O2128" s="173">
        <f t="shared" si="240"/>
        <v>94.801435406698573</v>
      </c>
      <c r="P2128" s="173">
        <v>125</v>
      </c>
    </row>
    <row r="2129" spans="3:16" hidden="1" x14ac:dyDescent="0.35">
      <c r="C2129" s="232" t="s">
        <v>731</v>
      </c>
      <c r="D2129" s="232" t="s">
        <v>1859</v>
      </c>
      <c r="F2129" s="366">
        <v>48</v>
      </c>
      <c r="G2129" s="371" t="s">
        <v>1864</v>
      </c>
      <c r="H2129" s="371"/>
      <c r="I2129" s="173">
        <v>37</v>
      </c>
      <c r="J2129">
        <v>5225</v>
      </c>
      <c r="K2129" s="173">
        <v>3700</v>
      </c>
      <c r="L2129" s="402">
        <f t="shared" si="238"/>
        <v>26.200956937799045</v>
      </c>
      <c r="M2129" s="173">
        <f t="shared" si="239"/>
        <v>63.200956937799049</v>
      </c>
      <c r="O2129" s="173">
        <f t="shared" si="240"/>
        <v>94.801435406698573</v>
      </c>
      <c r="P2129" s="173">
        <v>125</v>
      </c>
    </row>
    <row r="2130" spans="3:16" hidden="1" x14ac:dyDescent="0.35">
      <c r="C2130" s="232" t="s">
        <v>723</v>
      </c>
      <c r="D2130" s="232" t="s">
        <v>1875</v>
      </c>
      <c r="F2130" s="366">
        <v>44</v>
      </c>
      <c r="G2130" s="371" t="s">
        <v>1841</v>
      </c>
      <c r="H2130" s="371"/>
      <c r="I2130" s="173">
        <v>40</v>
      </c>
      <c r="J2130">
        <v>5225</v>
      </c>
      <c r="K2130" s="173">
        <v>3700</v>
      </c>
      <c r="L2130" s="402">
        <f t="shared" si="238"/>
        <v>28.325358851674643</v>
      </c>
      <c r="M2130" s="173">
        <f t="shared" si="239"/>
        <v>68.32535885167465</v>
      </c>
      <c r="O2130" s="173">
        <f t="shared" si="240"/>
        <v>102.48803827751198</v>
      </c>
      <c r="P2130" s="173">
        <v>125</v>
      </c>
    </row>
    <row r="2131" spans="3:16" hidden="1" x14ac:dyDescent="0.35">
      <c r="C2131" s="232" t="s">
        <v>723</v>
      </c>
      <c r="D2131" s="232" t="s">
        <v>1875</v>
      </c>
      <c r="F2131" s="366">
        <v>46</v>
      </c>
      <c r="G2131" s="371" t="s">
        <v>1841</v>
      </c>
      <c r="H2131" s="371"/>
      <c r="I2131" s="173">
        <v>40</v>
      </c>
      <c r="J2131">
        <v>5225</v>
      </c>
      <c r="K2131" s="173">
        <v>3700</v>
      </c>
      <c r="L2131" s="402">
        <f t="shared" si="238"/>
        <v>28.325358851674643</v>
      </c>
      <c r="M2131" s="173">
        <f t="shared" si="239"/>
        <v>68.32535885167465</v>
      </c>
      <c r="O2131" s="173">
        <f t="shared" si="240"/>
        <v>102.48803827751198</v>
      </c>
      <c r="P2131" s="173">
        <v>125</v>
      </c>
    </row>
    <row r="2132" spans="3:16" hidden="1" x14ac:dyDescent="0.35">
      <c r="C2132" s="232" t="s">
        <v>723</v>
      </c>
      <c r="D2132" s="232" t="s">
        <v>1875</v>
      </c>
      <c r="F2132" s="366">
        <v>48</v>
      </c>
      <c r="G2132" s="371" t="s">
        <v>1841</v>
      </c>
      <c r="H2132" s="371"/>
      <c r="I2132" s="173">
        <v>40</v>
      </c>
      <c r="J2132">
        <v>5225</v>
      </c>
      <c r="K2132" s="173">
        <v>3700</v>
      </c>
      <c r="L2132" s="402">
        <f t="shared" ref="L2132:L2163" si="241">+I2132/J2132*K2132</f>
        <v>28.325358851674643</v>
      </c>
      <c r="M2132" s="173">
        <f t="shared" ref="M2132:M2163" si="242">+I2132+L2132</f>
        <v>68.32535885167465</v>
      </c>
      <c r="O2132" s="173">
        <f t="shared" ref="O2132:O2168" si="243">+M2132*1.5</f>
        <v>102.48803827751198</v>
      </c>
      <c r="P2132" s="173">
        <v>125</v>
      </c>
    </row>
    <row r="2133" spans="3:16" hidden="1" x14ac:dyDescent="0.35">
      <c r="C2133" s="232" t="s">
        <v>723</v>
      </c>
      <c r="D2133" s="232" t="s">
        <v>1875</v>
      </c>
      <c r="F2133" s="366">
        <v>50</v>
      </c>
      <c r="G2133" s="371" t="s">
        <v>1841</v>
      </c>
      <c r="H2133" s="371"/>
      <c r="I2133" s="173">
        <v>40</v>
      </c>
      <c r="J2133">
        <v>5225</v>
      </c>
      <c r="K2133" s="173">
        <v>3700</v>
      </c>
      <c r="L2133" s="402">
        <f t="shared" si="241"/>
        <v>28.325358851674643</v>
      </c>
      <c r="M2133" s="173">
        <f t="shared" si="242"/>
        <v>68.32535885167465</v>
      </c>
      <c r="O2133" s="173">
        <f t="shared" si="243"/>
        <v>102.48803827751198</v>
      </c>
      <c r="P2133" s="173">
        <v>125</v>
      </c>
    </row>
    <row r="2134" spans="3:16" hidden="1" x14ac:dyDescent="0.35">
      <c r="C2134" s="232" t="s">
        <v>1028</v>
      </c>
      <c r="D2134" s="232" t="s">
        <v>1028</v>
      </c>
      <c r="F2134" s="366">
        <v>42</v>
      </c>
      <c r="G2134" s="371" t="s">
        <v>1865</v>
      </c>
      <c r="H2134" s="371"/>
      <c r="I2134" s="173">
        <v>35</v>
      </c>
      <c r="J2134">
        <v>5225</v>
      </c>
      <c r="K2134" s="173">
        <v>3700</v>
      </c>
      <c r="L2134" s="402">
        <f t="shared" si="241"/>
        <v>24.784688995215312</v>
      </c>
      <c r="M2134" s="173">
        <f t="shared" si="242"/>
        <v>59.784688995215312</v>
      </c>
      <c r="O2134" s="173">
        <f t="shared" si="243"/>
        <v>89.677033492822972</v>
      </c>
      <c r="P2134" s="173">
        <v>110</v>
      </c>
    </row>
    <row r="2135" spans="3:16" hidden="1" x14ac:dyDescent="0.35">
      <c r="C2135" s="232" t="s">
        <v>1028</v>
      </c>
      <c r="D2135" s="232" t="s">
        <v>1028</v>
      </c>
      <c r="F2135" s="366">
        <v>44</v>
      </c>
      <c r="G2135" s="371" t="s">
        <v>1865</v>
      </c>
      <c r="H2135" s="371"/>
      <c r="I2135" s="173">
        <v>35</v>
      </c>
      <c r="J2135">
        <v>5225</v>
      </c>
      <c r="K2135" s="173">
        <v>3700</v>
      </c>
      <c r="L2135" s="402">
        <f t="shared" si="241"/>
        <v>24.784688995215312</v>
      </c>
      <c r="M2135" s="173">
        <f t="shared" si="242"/>
        <v>59.784688995215312</v>
      </c>
      <c r="O2135" s="173">
        <f t="shared" si="243"/>
        <v>89.677033492822972</v>
      </c>
      <c r="P2135" s="173">
        <v>110</v>
      </c>
    </row>
    <row r="2136" spans="3:16" hidden="1" x14ac:dyDescent="0.35">
      <c r="C2136" s="232" t="s">
        <v>1028</v>
      </c>
      <c r="D2136" s="232" t="s">
        <v>1028</v>
      </c>
      <c r="F2136" s="366">
        <v>46</v>
      </c>
      <c r="G2136" s="371" t="s">
        <v>1865</v>
      </c>
      <c r="H2136" s="371"/>
      <c r="I2136" s="173">
        <v>35</v>
      </c>
      <c r="J2136">
        <v>5225</v>
      </c>
      <c r="K2136" s="173">
        <v>3700</v>
      </c>
      <c r="L2136" s="402">
        <f t="shared" si="241"/>
        <v>24.784688995215312</v>
      </c>
      <c r="M2136" s="173">
        <f t="shared" si="242"/>
        <v>59.784688995215312</v>
      </c>
      <c r="O2136" s="173">
        <f t="shared" si="243"/>
        <v>89.677033492822972</v>
      </c>
      <c r="P2136" s="173">
        <v>110</v>
      </c>
    </row>
    <row r="2137" spans="3:16" hidden="1" x14ac:dyDescent="0.35">
      <c r="C2137" s="232" t="s">
        <v>1028</v>
      </c>
      <c r="D2137" s="232" t="s">
        <v>1028</v>
      </c>
      <c r="F2137" s="366">
        <v>42</v>
      </c>
      <c r="G2137" s="371" t="s">
        <v>1866</v>
      </c>
      <c r="H2137" s="371"/>
      <c r="I2137" s="173">
        <v>17</v>
      </c>
      <c r="J2137">
        <v>5225</v>
      </c>
      <c r="K2137" s="173">
        <v>3700</v>
      </c>
      <c r="L2137" s="402">
        <f t="shared" si="241"/>
        <v>12.038277511961724</v>
      </c>
      <c r="M2137" s="173">
        <f t="shared" si="242"/>
        <v>29.038277511961724</v>
      </c>
      <c r="O2137" s="173">
        <f t="shared" si="243"/>
        <v>43.557416267942585</v>
      </c>
      <c r="P2137" s="173">
        <v>75</v>
      </c>
    </row>
    <row r="2138" spans="3:16" hidden="1" x14ac:dyDescent="0.35">
      <c r="C2138" s="232" t="s">
        <v>1028</v>
      </c>
      <c r="D2138" s="232" t="s">
        <v>1028</v>
      </c>
      <c r="F2138" s="366">
        <v>44</v>
      </c>
      <c r="G2138" s="371" t="s">
        <v>1866</v>
      </c>
      <c r="H2138" s="371"/>
      <c r="I2138" s="173">
        <v>17</v>
      </c>
      <c r="J2138">
        <v>5225</v>
      </c>
      <c r="K2138" s="173">
        <v>3700</v>
      </c>
      <c r="L2138" s="402">
        <f t="shared" si="241"/>
        <v>12.038277511961724</v>
      </c>
      <c r="M2138" s="173">
        <f t="shared" si="242"/>
        <v>29.038277511961724</v>
      </c>
      <c r="O2138" s="173">
        <f t="shared" si="243"/>
        <v>43.557416267942585</v>
      </c>
      <c r="P2138" s="173">
        <v>75</v>
      </c>
    </row>
    <row r="2139" spans="3:16" hidden="1" x14ac:dyDescent="0.35">
      <c r="C2139" s="232" t="s">
        <v>1028</v>
      </c>
      <c r="D2139" s="232" t="s">
        <v>1028</v>
      </c>
      <c r="F2139" s="366">
        <v>46</v>
      </c>
      <c r="G2139" s="371" t="s">
        <v>1866</v>
      </c>
      <c r="H2139" s="371"/>
      <c r="I2139" s="173">
        <v>17</v>
      </c>
      <c r="J2139">
        <v>5225</v>
      </c>
      <c r="K2139" s="173">
        <v>3700</v>
      </c>
      <c r="L2139" s="402">
        <f t="shared" si="241"/>
        <v>12.038277511961724</v>
      </c>
      <c r="M2139" s="173">
        <f t="shared" si="242"/>
        <v>29.038277511961724</v>
      </c>
      <c r="O2139" s="173">
        <f t="shared" si="243"/>
        <v>43.557416267942585</v>
      </c>
      <c r="P2139" s="173">
        <v>75</v>
      </c>
    </row>
    <row r="2140" spans="3:16" hidden="1" x14ac:dyDescent="0.35">
      <c r="C2140" s="232" t="s">
        <v>1432</v>
      </c>
      <c r="D2140" s="232" t="s">
        <v>1432</v>
      </c>
      <c r="F2140" s="366">
        <v>2</v>
      </c>
      <c r="G2140" s="371" t="s">
        <v>1869</v>
      </c>
      <c r="H2140" s="371"/>
      <c r="I2140" s="173">
        <v>20</v>
      </c>
      <c r="J2140">
        <v>5225</v>
      </c>
      <c r="K2140" s="173">
        <v>3700</v>
      </c>
      <c r="L2140" s="402">
        <f t="shared" si="241"/>
        <v>14.162679425837322</v>
      </c>
      <c r="M2140" s="173">
        <f t="shared" si="242"/>
        <v>34.162679425837325</v>
      </c>
      <c r="O2140" s="173">
        <f t="shared" si="243"/>
        <v>51.244019138755988</v>
      </c>
      <c r="P2140" s="173">
        <v>0</v>
      </c>
    </row>
    <row r="2141" spans="3:16" hidden="1" x14ac:dyDescent="0.35">
      <c r="C2141" s="232" t="s">
        <v>1432</v>
      </c>
      <c r="D2141" s="232" t="s">
        <v>1432</v>
      </c>
      <c r="F2141" s="366">
        <v>3</v>
      </c>
      <c r="G2141" s="371" t="s">
        <v>1869</v>
      </c>
      <c r="H2141" s="371"/>
      <c r="I2141" s="173">
        <v>20</v>
      </c>
      <c r="J2141">
        <v>5225</v>
      </c>
      <c r="K2141" s="173">
        <v>3700</v>
      </c>
      <c r="L2141" s="402">
        <f t="shared" si="241"/>
        <v>14.162679425837322</v>
      </c>
      <c r="M2141" s="173">
        <f t="shared" si="242"/>
        <v>34.162679425837325</v>
      </c>
      <c r="O2141" s="173">
        <f t="shared" si="243"/>
        <v>51.244019138755988</v>
      </c>
      <c r="P2141" s="173">
        <v>90</v>
      </c>
    </row>
    <row r="2142" spans="3:16" hidden="1" x14ac:dyDescent="0.35">
      <c r="C2142" s="232" t="s">
        <v>1870</v>
      </c>
      <c r="D2142" s="232" t="s">
        <v>1870</v>
      </c>
      <c r="F2142" s="366">
        <v>46</v>
      </c>
      <c r="G2142" s="371" t="s">
        <v>1871</v>
      </c>
      <c r="H2142" s="371"/>
      <c r="I2142" s="173">
        <v>30</v>
      </c>
      <c r="J2142">
        <v>5225</v>
      </c>
      <c r="K2142" s="173">
        <v>3700</v>
      </c>
      <c r="L2142" s="402">
        <f t="shared" si="241"/>
        <v>21.244019138755981</v>
      </c>
      <c r="M2142" s="173">
        <f t="shared" si="242"/>
        <v>51.244019138755981</v>
      </c>
      <c r="O2142" s="173">
        <f t="shared" si="243"/>
        <v>76.866028708133967</v>
      </c>
      <c r="P2142" s="173">
        <v>90</v>
      </c>
    </row>
    <row r="2143" spans="3:16" hidden="1" x14ac:dyDescent="0.35">
      <c r="C2143" s="232" t="s">
        <v>1236</v>
      </c>
      <c r="D2143" s="232" t="s">
        <v>1236</v>
      </c>
      <c r="F2143">
        <v>42</v>
      </c>
      <c r="G2143" s="371" t="s">
        <v>1844</v>
      </c>
      <c r="H2143" s="371"/>
      <c r="I2143" s="667">
        <v>40</v>
      </c>
      <c r="J2143">
        <v>5225</v>
      </c>
      <c r="K2143" s="173">
        <v>3700</v>
      </c>
      <c r="L2143" s="402">
        <f t="shared" si="241"/>
        <v>28.325358851674643</v>
      </c>
      <c r="M2143" s="173">
        <f t="shared" si="242"/>
        <v>68.32535885167465</v>
      </c>
      <c r="O2143" s="173">
        <f t="shared" si="243"/>
        <v>102.48803827751198</v>
      </c>
      <c r="P2143" s="173">
        <v>150</v>
      </c>
    </row>
    <row r="2144" spans="3:16" hidden="1" x14ac:dyDescent="0.35">
      <c r="C2144" s="232" t="s">
        <v>1236</v>
      </c>
      <c r="D2144" s="232" t="s">
        <v>1236</v>
      </c>
      <c r="F2144">
        <v>44</v>
      </c>
      <c r="G2144" s="371" t="s">
        <v>1844</v>
      </c>
      <c r="H2144" s="371"/>
      <c r="I2144" s="667">
        <v>40</v>
      </c>
      <c r="J2144">
        <v>5225</v>
      </c>
      <c r="K2144" s="173">
        <v>3700</v>
      </c>
      <c r="L2144" s="402">
        <f t="shared" si="241"/>
        <v>28.325358851674643</v>
      </c>
      <c r="M2144" s="173">
        <f t="shared" si="242"/>
        <v>68.32535885167465</v>
      </c>
      <c r="O2144" s="173">
        <f t="shared" si="243"/>
        <v>102.48803827751198</v>
      </c>
      <c r="P2144" s="173">
        <v>150</v>
      </c>
    </row>
    <row r="2145" spans="3:16" hidden="1" x14ac:dyDescent="0.35">
      <c r="C2145" s="232" t="s">
        <v>1236</v>
      </c>
      <c r="D2145" s="232" t="s">
        <v>1236</v>
      </c>
      <c r="F2145">
        <v>46</v>
      </c>
      <c r="G2145" s="371" t="s">
        <v>1844</v>
      </c>
      <c r="H2145" s="371"/>
      <c r="I2145" s="667">
        <v>40</v>
      </c>
      <c r="J2145">
        <v>5225</v>
      </c>
      <c r="K2145" s="173">
        <v>3700</v>
      </c>
      <c r="L2145" s="402">
        <f t="shared" si="241"/>
        <v>28.325358851674643</v>
      </c>
      <c r="M2145" s="173">
        <f t="shared" si="242"/>
        <v>68.32535885167465</v>
      </c>
      <c r="O2145" s="173">
        <f t="shared" si="243"/>
        <v>102.48803827751198</v>
      </c>
      <c r="P2145" s="173">
        <v>150</v>
      </c>
    </row>
    <row r="2146" spans="3:16" hidden="1" x14ac:dyDescent="0.35">
      <c r="C2146" s="232" t="s">
        <v>1236</v>
      </c>
      <c r="D2146" s="232" t="s">
        <v>1236</v>
      </c>
      <c r="F2146">
        <v>48</v>
      </c>
      <c r="G2146" s="371" t="s">
        <v>1844</v>
      </c>
      <c r="H2146" s="371"/>
      <c r="I2146" s="667">
        <v>40</v>
      </c>
      <c r="J2146">
        <v>5225</v>
      </c>
      <c r="K2146" s="173">
        <v>3700</v>
      </c>
      <c r="L2146" s="402">
        <f t="shared" si="241"/>
        <v>28.325358851674643</v>
      </c>
      <c r="M2146" s="173">
        <f t="shared" si="242"/>
        <v>68.32535885167465</v>
      </c>
      <c r="O2146" s="173">
        <f t="shared" si="243"/>
        <v>102.48803827751198</v>
      </c>
      <c r="P2146" s="173">
        <v>150</v>
      </c>
    </row>
    <row r="2147" spans="3:16" hidden="1" x14ac:dyDescent="0.35">
      <c r="C2147" s="232" t="s">
        <v>1236</v>
      </c>
      <c r="D2147" s="232" t="s">
        <v>1236</v>
      </c>
      <c r="F2147">
        <v>42</v>
      </c>
      <c r="G2147" s="371" t="s">
        <v>1874</v>
      </c>
      <c r="H2147" s="371"/>
      <c r="I2147" s="667">
        <v>30</v>
      </c>
      <c r="J2147">
        <v>5225</v>
      </c>
      <c r="K2147" s="173">
        <v>3700</v>
      </c>
      <c r="L2147" s="402">
        <f t="shared" si="241"/>
        <v>21.244019138755981</v>
      </c>
      <c r="M2147" s="173">
        <f t="shared" si="242"/>
        <v>51.244019138755981</v>
      </c>
      <c r="O2147" s="173">
        <f t="shared" si="243"/>
        <v>76.866028708133967</v>
      </c>
      <c r="P2147" s="173">
        <v>125</v>
      </c>
    </row>
    <row r="2148" spans="3:16" hidden="1" x14ac:dyDescent="0.35">
      <c r="C2148" s="232" t="s">
        <v>1236</v>
      </c>
      <c r="D2148" s="232" t="s">
        <v>1236</v>
      </c>
      <c r="F2148">
        <v>44</v>
      </c>
      <c r="G2148" s="371" t="s">
        <v>1874</v>
      </c>
      <c r="H2148" s="371"/>
      <c r="I2148" s="667">
        <v>30</v>
      </c>
      <c r="J2148">
        <v>5225</v>
      </c>
      <c r="K2148" s="173">
        <v>3700</v>
      </c>
      <c r="L2148" s="402">
        <f t="shared" si="241"/>
        <v>21.244019138755981</v>
      </c>
      <c r="M2148" s="173">
        <f t="shared" si="242"/>
        <v>51.244019138755981</v>
      </c>
      <c r="O2148" s="173">
        <f t="shared" si="243"/>
        <v>76.866028708133967</v>
      </c>
      <c r="P2148" s="173">
        <v>125</v>
      </c>
    </row>
    <row r="2149" spans="3:16" hidden="1" x14ac:dyDescent="0.35">
      <c r="C2149" s="232" t="s">
        <v>1236</v>
      </c>
      <c r="D2149" s="232" t="s">
        <v>1236</v>
      </c>
      <c r="F2149">
        <v>46</v>
      </c>
      <c r="G2149" s="371" t="s">
        <v>1874</v>
      </c>
      <c r="H2149" s="371"/>
      <c r="I2149" s="667">
        <v>30</v>
      </c>
      <c r="J2149">
        <v>5225</v>
      </c>
      <c r="K2149" s="173">
        <v>3700</v>
      </c>
      <c r="L2149" s="402">
        <f t="shared" si="241"/>
        <v>21.244019138755981</v>
      </c>
      <c r="M2149" s="173">
        <f t="shared" si="242"/>
        <v>51.244019138755981</v>
      </c>
      <c r="O2149" s="173">
        <f t="shared" si="243"/>
        <v>76.866028708133967</v>
      </c>
      <c r="P2149" s="173">
        <v>125</v>
      </c>
    </row>
    <row r="2150" spans="3:16" hidden="1" x14ac:dyDescent="0.35">
      <c r="C2150" s="232" t="s">
        <v>1236</v>
      </c>
      <c r="D2150" s="232" t="s">
        <v>1236</v>
      </c>
      <c r="F2150">
        <v>48</v>
      </c>
      <c r="G2150" s="371" t="s">
        <v>1874</v>
      </c>
      <c r="H2150" s="371"/>
      <c r="I2150" s="667">
        <v>30</v>
      </c>
      <c r="J2150">
        <v>5225</v>
      </c>
      <c r="K2150" s="173">
        <v>3700</v>
      </c>
      <c r="L2150" s="402">
        <f t="shared" si="241"/>
        <v>21.244019138755981</v>
      </c>
      <c r="M2150" s="173">
        <f t="shared" si="242"/>
        <v>51.244019138755981</v>
      </c>
      <c r="O2150" s="173">
        <f t="shared" si="243"/>
        <v>76.866028708133967</v>
      </c>
      <c r="P2150" s="173">
        <v>125</v>
      </c>
    </row>
    <row r="2151" spans="3:16" hidden="1" x14ac:dyDescent="0.35">
      <c r="C2151" s="232" t="s">
        <v>231</v>
      </c>
      <c r="D2151" s="232" t="s">
        <v>194</v>
      </c>
      <c r="F2151">
        <v>50</v>
      </c>
      <c r="G2151" s="371" t="s">
        <v>1845</v>
      </c>
      <c r="H2151" s="371"/>
      <c r="I2151" s="173">
        <v>44</v>
      </c>
      <c r="J2151">
        <v>5225</v>
      </c>
      <c r="K2151" s="173">
        <v>3700</v>
      </c>
      <c r="L2151" s="402">
        <f t="shared" si="241"/>
        <v>31.157894736842106</v>
      </c>
      <c r="M2151" s="173">
        <f t="shared" si="242"/>
        <v>75.15789473684211</v>
      </c>
      <c r="O2151" s="173">
        <f t="shared" si="243"/>
        <v>112.73684210526316</v>
      </c>
      <c r="P2151" s="173">
        <v>125</v>
      </c>
    </row>
    <row r="2152" spans="3:16" hidden="1" x14ac:dyDescent="0.35">
      <c r="C2152" s="232" t="s">
        <v>231</v>
      </c>
      <c r="D2152" s="232" t="s">
        <v>194</v>
      </c>
      <c r="F2152" s="366">
        <v>52</v>
      </c>
      <c r="G2152" s="371" t="s">
        <v>1845</v>
      </c>
      <c r="H2152" s="371"/>
      <c r="I2152" s="173">
        <v>44</v>
      </c>
      <c r="J2152">
        <v>5225</v>
      </c>
      <c r="K2152" s="173">
        <v>3700</v>
      </c>
      <c r="L2152" s="402">
        <f t="shared" si="241"/>
        <v>31.157894736842106</v>
      </c>
      <c r="M2152" s="173">
        <f t="shared" si="242"/>
        <v>75.15789473684211</v>
      </c>
      <c r="O2152" s="173">
        <f t="shared" si="243"/>
        <v>112.73684210526316</v>
      </c>
      <c r="P2152" s="173">
        <v>125</v>
      </c>
    </row>
    <row r="2153" spans="3:16" hidden="1" x14ac:dyDescent="0.35">
      <c r="C2153" s="232" t="s">
        <v>231</v>
      </c>
      <c r="D2153" s="232" t="s">
        <v>194</v>
      </c>
      <c r="F2153" s="366">
        <v>54</v>
      </c>
      <c r="G2153" s="371" t="s">
        <v>1845</v>
      </c>
      <c r="H2153" s="371"/>
      <c r="I2153" s="173">
        <v>44</v>
      </c>
      <c r="J2153">
        <v>5225</v>
      </c>
      <c r="K2153" s="173">
        <v>3700</v>
      </c>
      <c r="L2153" s="402">
        <f t="shared" si="241"/>
        <v>31.157894736842106</v>
      </c>
      <c r="M2153" s="173">
        <f t="shared" si="242"/>
        <v>75.15789473684211</v>
      </c>
      <c r="O2153" s="173">
        <f t="shared" si="243"/>
        <v>112.73684210526316</v>
      </c>
      <c r="P2153" s="173">
        <v>125</v>
      </c>
    </row>
    <row r="2154" spans="3:16" hidden="1" x14ac:dyDescent="0.35">
      <c r="C2154" s="232" t="s">
        <v>231</v>
      </c>
      <c r="D2154" s="232" t="s">
        <v>194</v>
      </c>
      <c r="F2154" s="366">
        <v>56</v>
      </c>
      <c r="G2154" s="371" t="s">
        <v>1845</v>
      </c>
      <c r="H2154" s="371"/>
      <c r="I2154" s="173">
        <v>44</v>
      </c>
      <c r="J2154">
        <v>5225</v>
      </c>
      <c r="K2154" s="173">
        <v>3700</v>
      </c>
      <c r="L2154" s="402">
        <f t="shared" si="241"/>
        <v>31.157894736842106</v>
      </c>
      <c r="M2154" s="173">
        <f t="shared" si="242"/>
        <v>75.15789473684211</v>
      </c>
      <c r="O2154" s="173">
        <f t="shared" si="243"/>
        <v>112.73684210526316</v>
      </c>
      <c r="P2154" s="173">
        <v>125</v>
      </c>
    </row>
    <row r="2155" spans="3:16" hidden="1" x14ac:dyDescent="0.35">
      <c r="C2155" s="232" t="s">
        <v>231</v>
      </c>
      <c r="D2155" s="232" t="s">
        <v>1872</v>
      </c>
      <c r="F2155" s="366">
        <v>42</v>
      </c>
      <c r="G2155" s="371" t="s">
        <v>1846</v>
      </c>
      <c r="H2155" s="371"/>
      <c r="I2155" s="173">
        <v>37</v>
      </c>
      <c r="J2155">
        <v>5225</v>
      </c>
      <c r="K2155" s="173">
        <v>3700</v>
      </c>
      <c r="L2155" s="402">
        <f t="shared" si="241"/>
        <v>26.200956937799045</v>
      </c>
      <c r="M2155" s="173">
        <f t="shared" si="242"/>
        <v>63.200956937799049</v>
      </c>
      <c r="O2155" s="173">
        <f t="shared" si="243"/>
        <v>94.801435406698573</v>
      </c>
      <c r="P2155" s="173">
        <v>125</v>
      </c>
    </row>
    <row r="2156" spans="3:16" hidden="1" x14ac:dyDescent="0.35">
      <c r="C2156" s="232" t="s">
        <v>231</v>
      </c>
      <c r="D2156" s="232" t="s">
        <v>1872</v>
      </c>
      <c r="F2156" s="366">
        <v>44</v>
      </c>
      <c r="G2156" s="371" t="s">
        <v>1846</v>
      </c>
      <c r="H2156" s="371"/>
      <c r="I2156" s="173">
        <v>37</v>
      </c>
      <c r="J2156">
        <v>5225</v>
      </c>
      <c r="K2156" s="173">
        <v>3700</v>
      </c>
      <c r="L2156" s="402">
        <f t="shared" si="241"/>
        <v>26.200956937799045</v>
      </c>
      <c r="M2156" s="173">
        <f t="shared" si="242"/>
        <v>63.200956937799049</v>
      </c>
      <c r="O2156" s="173">
        <f t="shared" si="243"/>
        <v>94.801435406698573</v>
      </c>
      <c r="P2156" s="173">
        <v>125</v>
      </c>
    </row>
    <row r="2157" spans="3:16" hidden="1" x14ac:dyDescent="0.35">
      <c r="C2157" s="232" t="s">
        <v>231</v>
      </c>
      <c r="D2157" s="232" t="s">
        <v>1872</v>
      </c>
      <c r="F2157" s="366">
        <v>46</v>
      </c>
      <c r="G2157" s="371" t="s">
        <v>1846</v>
      </c>
      <c r="H2157" s="371"/>
      <c r="I2157" s="173">
        <v>37</v>
      </c>
      <c r="J2157">
        <v>5225</v>
      </c>
      <c r="K2157" s="173">
        <v>3700</v>
      </c>
      <c r="L2157" s="402">
        <f t="shared" si="241"/>
        <v>26.200956937799045</v>
      </c>
      <c r="M2157" s="173">
        <f t="shared" si="242"/>
        <v>63.200956937799049</v>
      </c>
      <c r="O2157" s="173">
        <f t="shared" si="243"/>
        <v>94.801435406698573</v>
      </c>
      <c r="P2157" s="173">
        <v>125</v>
      </c>
    </row>
    <row r="2158" spans="3:16" hidden="1" x14ac:dyDescent="0.35">
      <c r="C2158" s="232" t="s">
        <v>231</v>
      </c>
      <c r="D2158" s="232" t="s">
        <v>1872</v>
      </c>
      <c r="F2158" s="366">
        <v>48</v>
      </c>
      <c r="G2158" s="371" t="s">
        <v>1846</v>
      </c>
      <c r="H2158" s="371"/>
      <c r="I2158" s="173">
        <v>37</v>
      </c>
      <c r="J2158">
        <v>5225</v>
      </c>
      <c r="K2158" s="173">
        <v>3700</v>
      </c>
      <c r="L2158" s="402">
        <f t="shared" si="241"/>
        <v>26.200956937799045</v>
      </c>
      <c r="M2158" s="173">
        <f t="shared" si="242"/>
        <v>63.200956937799049</v>
      </c>
      <c r="O2158" s="173">
        <f t="shared" si="243"/>
        <v>94.801435406698573</v>
      </c>
      <c r="P2158" s="173">
        <v>125</v>
      </c>
    </row>
    <row r="2159" spans="3:16" hidden="1" x14ac:dyDescent="0.35">
      <c r="C2159" s="232" t="s">
        <v>1855</v>
      </c>
      <c r="D2159" s="232" t="s">
        <v>1855</v>
      </c>
      <c r="F2159" s="366">
        <v>50</v>
      </c>
      <c r="G2159" s="371" t="s">
        <v>1854</v>
      </c>
      <c r="H2159" s="371"/>
      <c r="I2159" s="173">
        <v>43</v>
      </c>
      <c r="J2159">
        <v>5225</v>
      </c>
      <c r="K2159" s="173">
        <v>3700</v>
      </c>
      <c r="L2159" s="402">
        <f t="shared" si="241"/>
        <v>30.449760765550241</v>
      </c>
      <c r="M2159" s="173">
        <f t="shared" si="242"/>
        <v>73.449760765550238</v>
      </c>
      <c r="O2159" s="173">
        <f t="shared" si="243"/>
        <v>110.17464114832535</v>
      </c>
      <c r="P2159" s="173">
        <v>125</v>
      </c>
    </row>
    <row r="2160" spans="3:16" hidden="1" x14ac:dyDescent="0.35">
      <c r="C2160" s="232" t="s">
        <v>1855</v>
      </c>
      <c r="D2160" s="232" t="s">
        <v>1855</v>
      </c>
      <c r="F2160" s="366">
        <v>52</v>
      </c>
      <c r="G2160" s="371" t="s">
        <v>1854</v>
      </c>
      <c r="H2160" s="371"/>
      <c r="I2160" s="173">
        <v>43</v>
      </c>
      <c r="J2160">
        <v>5225</v>
      </c>
      <c r="K2160" s="173">
        <v>3700</v>
      </c>
      <c r="L2160" s="402">
        <f t="shared" si="241"/>
        <v>30.449760765550241</v>
      </c>
      <c r="M2160" s="173">
        <f t="shared" si="242"/>
        <v>73.449760765550238</v>
      </c>
      <c r="O2160" s="173">
        <f t="shared" si="243"/>
        <v>110.17464114832535</v>
      </c>
      <c r="P2160" s="173">
        <v>125</v>
      </c>
    </row>
    <row r="2161" spans="3:16" hidden="1" x14ac:dyDescent="0.35">
      <c r="C2161" s="232" t="s">
        <v>1855</v>
      </c>
      <c r="D2161" s="232" t="s">
        <v>1855</v>
      </c>
      <c r="F2161" s="366">
        <v>54</v>
      </c>
      <c r="G2161" s="371" t="s">
        <v>1854</v>
      </c>
      <c r="H2161" s="371"/>
      <c r="I2161" s="173">
        <v>43</v>
      </c>
      <c r="J2161">
        <v>5225</v>
      </c>
      <c r="K2161" s="173">
        <v>3700</v>
      </c>
      <c r="L2161" s="402">
        <f t="shared" si="241"/>
        <v>30.449760765550241</v>
      </c>
      <c r="M2161" s="173">
        <f t="shared" si="242"/>
        <v>73.449760765550238</v>
      </c>
      <c r="O2161" s="173">
        <f t="shared" si="243"/>
        <v>110.17464114832535</v>
      </c>
      <c r="P2161" s="173">
        <v>125</v>
      </c>
    </row>
    <row r="2162" spans="3:16" hidden="1" x14ac:dyDescent="0.35">
      <c r="C2162" s="232" t="s">
        <v>1855</v>
      </c>
      <c r="D2162" s="232" t="s">
        <v>1855</v>
      </c>
      <c r="F2162" s="366">
        <v>56</v>
      </c>
      <c r="G2162" s="371" t="s">
        <v>1854</v>
      </c>
      <c r="H2162" s="371"/>
      <c r="I2162" s="173">
        <v>43</v>
      </c>
      <c r="J2162">
        <v>5225</v>
      </c>
      <c r="K2162" s="173">
        <v>3700</v>
      </c>
      <c r="L2162" s="402">
        <f t="shared" si="241"/>
        <v>30.449760765550241</v>
      </c>
      <c r="M2162" s="173">
        <f t="shared" si="242"/>
        <v>73.449760765550238</v>
      </c>
      <c r="O2162" s="173">
        <f t="shared" si="243"/>
        <v>110.17464114832535</v>
      </c>
      <c r="P2162" s="173">
        <v>125</v>
      </c>
    </row>
    <row r="2163" spans="3:16" hidden="1" x14ac:dyDescent="0.35">
      <c r="C2163" s="232" t="s">
        <v>571</v>
      </c>
      <c r="D2163" s="232" t="s">
        <v>1233</v>
      </c>
      <c r="F2163" s="366">
        <v>36</v>
      </c>
      <c r="G2163" s="371" t="s">
        <v>1873</v>
      </c>
      <c r="H2163" s="371"/>
      <c r="I2163" s="173">
        <v>33</v>
      </c>
      <c r="J2163">
        <v>5225</v>
      </c>
      <c r="K2163" s="173">
        <v>3700</v>
      </c>
      <c r="L2163" s="402">
        <f t="shared" si="241"/>
        <v>23.368421052631579</v>
      </c>
      <c r="M2163" s="173">
        <f t="shared" si="242"/>
        <v>56.368421052631575</v>
      </c>
      <c r="O2163" s="173">
        <f t="shared" si="243"/>
        <v>84.55263157894737</v>
      </c>
      <c r="P2163" s="173">
        <v>110</v>
      </c>
    </row>
    <row r="2164" spans="3:16" hidden="1" x14ac:dyDescent="0.35">
      <c r="C2164" s="232" t="s">
        <v>571</v>
      </c>
      <c r="D2164" s="232" t="s">
        <v>1233</v>
      </c>
      <c r="F2164" s="366">
        <v>38</v>
      </c>
      <c r="G2164" s="371" t="s">
        <v>1873</v>
      </c>
      <c r="H2164" s="371"/>
      <c r="I2164" s="173">
        <v>33</v>
      </c>
      <c r="J2164">
        <v>5225</v>
      </c>
      <c r="K2164" s="173">
        <v>3700</v>
      </c>
      <c r="L2164" s="402">
        <f>+I2164/J2164*K2164</f>
        <v>23.368421052631579</v>
      </c>
      <c r="M2164" s="173">
        <f>+I2164+L2164</f>
        <v>56.368421052631575</v>
      </c>
      <c r="O2164" s="173">
        <f t="shared" si="243"/>
        <v>84.55263157894737</v>
      </c>
      <c r="P2164" s="173">
        <v>110</v>
      </c>
    </row>
    <row r="2165" spans="3:16" hidden="1" x14ac:dyDescent="0.35">
      <c r="C2165" s="232" t="s">
        <v>571</v>
      </c>
      <c r="D2165" s="232" t="s">
        <v>1233</v>
      </c>
      <c r="F2165" s="366">
        <v>49</v>
      </c>
      <c r="G2165" s="371" t="s">
        <v>1873</v>
      </c>
      <c r="H2165" s="371"/>
      <c r="I2165" s="173">
        <v>33</v>
      </c>
      <c r="J2165">
        <v>5225</v>
      </c>
      <c r="K2165" s="173">
        <v>3700</v>
      </c>
      <c r="L2165" s="402">
        <f>+I2165/J2165*K2165</f>
        <v>23.368421052631579</v>
      </c>
      <c r="M2165" s="173">
        <f>+I2165+L2165</f>
        <v>56.368421052631575</v>
      </c>
      <c r="O2165" s="173">
        <f t="shared" si="243"/>
        <v>84.55263157894737</v>
      </c>
      <c r="P2165" s="173">
        <v>110</v>
      </c>
    </row>
    <row r="2166" spans="3:16" hidden="1" x14ac:dyDescent="0.35">
      <c r="C2166" s="232" t="s">
        <v>1876</v>
      </c>
      <c r="D2166" s="232" t="s">
        <v>1877</v>
      </c>
      <c r="F2166" s="366">
        <v>1</v>
      </c>
      <c r="G2166" s="371" t="s">
        <v>1878</v>
      </c>
      <c r="H2166" s="371"/>
      <c r="I2166" s="173">
        <v>20</v>
      </c>
      <c r="J2166">
        <v>5225</v>
      </c>
      <c r="K2166" s="173">
        <v>3700</v>
      </c>
      <c r="L2166" s="402">
        <f>+I2166/J2166*K2166</f>
        <v>14.162679425837322</v>
      </c>
      <c r="M2166" s="173">
        <f>+I2166+L2166</f>
        <v>34.162679425837325</v>
      </c>
      <c r="O2166" s="173">
        <f t="shared" si="243"/>
        <v>51.244019138755988</v>
      </c>
      <c r="P2166" s="173">
        <v>100</v>
      </c>
    </row>
    <row r="2167" spans="3:16" hidden="1" x14ac:dyDescent="0.35">
      <c r="C2167" s="232" t="s">
        <v>1876</v>
      </c>
      <c r="D2167" s="232" t="s">
        <v>1877</v>
      </c>
      <c r="F2167" s="366">
        <v>2</v>
      </c>
      <c r="G2167" s="371" t="s">
        <v>1878</v>
      </c>
      <c r="H2167" s="371"/>
      <c r="I2167" s="173">
        <v>20</v>
      </c>
      <c r="J2167">
        <v>5225</v>
      </c>
      <c r="K2167" s="173">
        <v>3700</v>
      </c>
      <c r="L2167" s="402">
        <f>+I2167/J2167*K2167</f>
        <v>14.162679425837322</v>
      </c>
      <c r="M2167" s="173">
        <f>+I2167+L2167</f>
        <v>34.162679425837325</v>
      </c>
      <c r="O2167" s="173">
        <f t="shared" si="243"/>
        <v>51.244019138755988</v>
      </c>
      <c r="P2167" s="173">
        <v>125</v>
      </c>
    </row>
    <row r="2168" spans="3:16" hidden="1" x14ac:dyDescent="0.35">
      <c r="C2168" s="232" t="s">
        <v>1876</v>
      </c>
      <c r="D2168" s="232" t="s">
        <v>1877</v>
      </c>
      <c r="F2168" s="366">
        <v>3</v>
      </c>
      <c r="G2168" s="371" t="s">
        <v>1878</v>
      </c>
      <c r="H2168" s="371"/>
      <c r="I2168" s="173">
        <v>20</v>
      </c>
      <c r="J2168">
        <v>5225</v>
      </c>
      <c r="K2168" s="173">
        <v>3700</v>
      </c>
      <c r="L2168" s="402">
        <f>+I2168/J2168*K2168</f>
        <v>14.162679425837322</v>
      </c>
      <c r="M2168" s="173">
        <f>+I2168+L2168</f>
        <v>34.162679425837325</v>
      </c>
      <c r="O2168" s="173">
        <f t="shared" si="243"/>
        <v>51.244019138755988</v>
      </c>
      <c r="P2168" s="173">
        <v>125</v>
      </c>
    </row>
    <row r="2169" spans="3:16" ht="18.5" hidden="1" x14ac:dyDescent="0.45">
      <c r="C2169" s="232"/>
      <c r="D2169" s="232"/>
      <c r="I2169" s="307">
        <f>SUM(I2100:I2168)</f>
        <v>2317</v>
      </c>
    </row>
    <row r="2170" spans="3:16" hidden="1" x14ac:dyDescent="0.35">
      <c r="C2170" s="232"/>
      <c r="D2170" s="232"/>
    </row>
    <row r="2171" spans="3:16" ht="18.5" hidden="1" x14ac:dyDescent="0.45">
      <c r="C2171" s="232"/>
      <c r="D2171" s="232"/>
      <c r="G2171" s="598" t="s">
        <v>11</v>
      </c>
      <c r="H2171" s="598"/>
    </row>
    <row r="2172" spans="3:16" hidden="1" x14ac:dyDescent="0.35">
      <c r="C2172" s="232" t="s">
        <v>761</v>
      </c>
      <c r="D2172" s="232" t="s">
        <v>761</v>
      </c>
      <c r="F2172" s="366">
        <v>44</v>
      </c>
      <c r="G2172" s="371" t="s">
        <v>1826</v>
      </c>
      <c r="H2172" s="371"/>
      <c r="I2172" s="173">
        <v>19</v>
      </c>
      <c r="J2172">
        <v>5225</v>
      </c>
      <c r="K2172" s="173">
        <v>3700</v>
      </c>
      <c r="L2172" s="402">
        <f t="shared" ref="L2172:L2211" si="244">+I2172/J2172*K2172</f>
        <v>13.454545454545455</v>
      </c>
      <c r="M2172" s="173">
        <f t="shared" ref="M2172:M2211" si="245">+I2172+L2172</f>
        <v>32.454545454545453</v>
      </c>
      <c r="O2172" s="173">
        <f t="shared" ref="O2172:O2211" si="246">+M2172*1.5</f>
        <v>48.68181818181818</v>
      </c>
      <c r="P2172" s="173">
        <v>55</v>
      </c>
    </row>
    <row r="2173" spans="3:16" hidden="1" x14ac:dyDescent="0.35">
      <c r="C2173" s="232" t="s">
        <v>761</v>
      </c>
      <c r="D2173" s="232" t="s">
        <v>761</v>
      </c>
      <c r="F2173" s="366">
        <v>46</v>
      </c>
      <c r="G2173" s="371" t="s">
        <v>1826</v>
      </c>
      <c r="H2173" s="371"/>
      <c r="I2173" s="173">
        <v>19</v>
      </c>
      <c r="J2173">
        <v>5225</v>
      </c>
      <c r="K2173" s="173">
        <v>3700</v>
      </c>
      <c r="L2173" s="402">
        <f t="shared" si="244"/>
        <v>13.454545454545455</v>
      </c>
      <c r="M2173" s="173">
        <f t="shared" si="245"/>
        <v>32.454545454545453</v>
      </c>
      <c r="O2173" s="173">
        <f t="shared" si="246"/>
        <v>48.68181818181818</v>
      </c>
      <c r="P2173" s="173">
        <v>55</v>
      </c>
    </row>
    <row r="2174" spans="3:16" hidden="1" x14ac:dyDescent="0.35">
      <c r="C2174" s="232" t="s">
        <v>761</v>
      </c>
      <c r="D2174" s="232" t="s">
        <v>761</v>
      </c>
      <c r="F2174" s="366">
        <v>48</v>
      </c>
      <c r="G2174" s="371" t="s">
        <v>1826</v>
      </c>
      <c r="H2174" s="371"/>
      <c r="I2174" s="173">
        <v>19</v>
      </c>
      <c r="J2174">
        <v>5225</v>
      </c>
      <c r="K2174" s="173">
        <v>3700</v>
      </c>
      <c r="L2174" s="402">
        <f t="shared" si="244"/>
        <v>13.454545454545455</v>
      </c>
      <c r="M2174" s="173">
        <f t="shared" si="245"/>
        <v>32.454545454545453</v>
      </c>
      <c r="O2174" s="173">
        <f t="shared" si="246"/>
        <v>48.68181818181818</v>
      </c>
      <c r="P2174" s="173">
        <v>55</v>
      </c>
    </row>
    <row r="2175" spans="3:16" hidden="1" x14ac:dyDescent="0.35">
      <c r="C2175" s="232" t="s">
        <v>761</v>
      </c>
      <c r="D2175" s="232" t="s">
        <v>761</v>
      </c>
      <c r="F2175" s="366">
        <v>50</v>
      </c>
      <c r="G2175" s="371" t="s">
        <v>1826</v>
      </c>
      <c r="H2175" s="371"/>
      <c r="I2175" s="173">
        <v>19</v>
      </c>
      <c r="J2175">
        <v>5225</v>
      </c>
      <c r="K2175" s="173">
        <v>3700</v>
      </c>
      <c r="L2175" s="402">
        <f t="shared" si="244"/>
        <v>13.454545454545455</v>
      </c>
      <c r="M2175" s="173">
        <f t="shared" si="245"/>
        <v>32.454545454545453</v>
      </c>
      <c r="O2175" s="173">
        <f t="shared" si="246"/>
        <v>48.68181818181818</v>
      </c>
      <c r="P2175" s="173">
        <v>55</v>
      </c>
    </row>
    <row r="2176" spans="3:16" hidden="1" x14ac:dyDescent="0.35">
      <c r="C2176" s="232" t="s">
        <v>761</v>
      </c>
      <c r="D2176" s="232" t="s">
        <v>761</v>
      </c>
      <c r="F2176" s="366">
        <v>46</v>
      </c>
      <c r="G2176" s="371" t="s">
        <v>1833</v>
      </c>
      <c r="H2176" s="371"/>
      <c r="I2176" s="173">
        <v>15</v>
      </c>
      <c r="J2176">
        <v>5225</v>
      </c>
      <c r="K2176" s="173">
        <v>3700</v>
      </c>
      <c r="L2176" s="402">
        <f t="shared" si="244"/>
        <v>10.62200956937799</v>
      </c>
      <c r="M2176" s="173">
        <f t="shared" si="245"/>
        <v>25.62200956937799</v>
      </c>
      <c r="O2176" s="173">
        <f t="shared" si="246"/>
        <v>38.433014354066984</v>
      </c>
      <c r="P2176" s="173">
        <v>65</v>
      </c>
    </row>
    <row r="2177" spans="3:16" hidden="1" x14ac:dyDescent="0.35">
      <c r="C2177" s="232" t="s">
        <v>1154</v>
      </c>
      <c r="D2177" s="232" t="s">
        <v>1154</v>
      </c>
      <c r="F2177" s="366">
        <v>48</v>
      </c>
      <c r="G2177" s="371" t="s">
        <v>1833</v>
      </c>
      <c r="H2177" s="371"/>
      <c r="I2177" s="173">
        <v>15</v>
      </c>
      <c r="J2177">
        <v>5225</v>
      </c>
      <c r="K2177" s="173">
        <v>3700</v>
      </c>
      <c r="L2177" s="402">
        <f t="shared" si="244"/>
        <v>10.62200956937799</v>
      </c>
      <c r="M2177" s="173">
        <f t="shared" si="245"/>
        <v>25.62200956937799</v>
      </c>
      <c r="O2177" s="173">
        <f t="shared" si="246"/>
        <v>38.433014354066984</v>
      </c>
      <c r="P2177" s="173">
        <v>65</v>
      </c>
    </row>
    <row r="2178" spans="3:16" hidden="1" x14ac:dyDescent="0.35">
      <c r="C2178" s="232" t="s">
        <v>1154</v>
      </c>
      <c r="D2178" s="232" t="s">
        <v>1154</v>
      </c>
      <c r="F2178" s="366">
        <v>50</v>
      </c>
      <c r="G2178" s="371" t="s">
        <v>1833</v>
      </c>
      <c r="H2178" s="371"/>
      <c r="I2178" s="173">
        <v>15</v>
      </c>
      <c r="J2178">
        <v>5225</v>
      </c>
      <c r="K2178" s="173">
        <v>3700</v>
      </c>
      <c r="L2178" s="402">
        <f t="shared" si="244"/>
        <v>10.62200956937799</v>
      </c>
      <c r="M2178" s="173">
        <f t="shared" si="245"/>
        <v>25.62200956937799</v>
      </c>
      <c r="O2178" s="173">
        <f t="shared" si="246"/>
        <v>38.433014354066984</v>
      </c>
      <c r="P2178" s="173">
        <v>65</v>
      </c>
    </row>
    <row r="2179" spans="3:16" hidden="1" x14ac:dyDescent="0.35">
      <c r="C2179" s="232" t="s">
        <v>1154</v>
      </c>
      <c r="D2179" s="232" t="s">
        <v>1154</v>
      </c>
      <c r="F2179" s="366">
        <v>52</v>
      </c>
      <c r="G2179" s="371" t="s">
        <v>1833</v>
      </c>
      <c r="H2179" s="371"/>
      <c r="I2179" s="173">
        <v>15</v>
      </c>
      <c r="J2179">
        <v>5225</v>
      </c>
      <c r="K2179" s="173">
        <v>3700</v>
      </c>
      <c r="L2179" s="402">
        <f t="shared" si="244"/>
        <v>10.62200956937799</v>
      </c>
      <c r="M2179" s="173">
        <f t="shared" si="245"/>
        <v>25.62200956937799</v>
      </c>
      <c r="O2179" s="173">
        <f t="shared" si="246"/>
        <v>38.433014354066984</v>
      </c>
      <c r="P2179" s="173">
        <v>65</v>
      </c>
    </row>
    <row r="2180" spans="3:16" hidden="1" x14ac:dyDescent="0.35">
      <c r="C2180" s="232" t="s">
        <v>1154</v>
      </c>
      <c r="D2180" s="232" t="s">
        <v>1154</v>
      </c>
      <c r="F2180" s="366">
        <v>54</v>
      </c>
      <c r="G2180" s="371" t="s">
        <v>1833</v>
      </c>
      <c r="H2180" s="371"/>
      <c r="I2180" s="173">
        <v>15</v>
      </c>
      <c r="J2180">
        <v>5225</v>
      </c>
      <c r="K2180" s="173">
        <v>3700</v>
      </c>
      <c r="L2180" s="402">
        <f t="shared" si="244"/>
        <v>10.62200956937799</v>
      </c>
      <c r="M2180" s="173">
        <f t="shared" si="245"/>
        <v>25.62200956937799</v>
      </c>
      <c r="O2180" s="173">
        <f t="shared" si="246"/>
        <v>38.433014354066984</v>
      </c>
      <c r="P2180" s="173">
        <v>65</v>
      </c>
    </row>
    <row r="2181" spans="3:16" hidden="1" x14ac:dyDescent="0.35">
      <c r="C2181" s="232" t="s">
        <v>1154</v>
      </c>
      <c r="D2181" s="232" t="s">
        <v>1154</v>
      </c>
      <c r="F2181" s="366">
        <v>56</v>
      </c>
      <c r="G2181" s="371" t="s">
        <v>1833</v>
      </c>
      <c r="H2181" s="371"/>
      <c r="I2181" s="173">
        <v>15</v>
      </c>
      <c r="J2181">
        <v>5225</v>
      </c>
      <c r="K2181" s="173">
        <v>3700</v>
      </c>
      <c r="L2181" s="402">
        <f t="shared" si="244"/>
        <v>10.62200956937799</v>
      </c>
      <c r="M2181" s="173">
        <f t="shared" si="245"/>
        <v>25.62200956937799</v>
      </c>
      <c r="O2181" s="173">
        <f t="shared" si="246"/>
        <v>38.433014354066984</v>
      </c>
      <c r="P2181" s="173">
        <v>65</v>
      </c>
    </row>
    <row r="2182" spans="3:16" hidden="1" x14ac:dyDescent="0.35">
      <c r="C2182" s="232" t="s">
        <v>1154</v>
      </c>
      <c r="D2182" s="232" t="s">
        <v>1154</v>
      </c>
      <c r="F2182">
        <v>45</v>
      </c>
      <c r="G2182" s="371" t="s">
        <v>1832</v>
      </c>
      <c r="H2182" s="371"/>
      <c r="I2182" s="173">
        <v>15</v>
      </c>
      <c r="J2182">
        <v>5225</v>
      </c>
      <c r="K2182" s="173">
        <v>3700</v>
      </c>
      <c r="L2182" s="402">
        <f t="shared" si="244"/>
        <v>10.62200956937799</v>
      </c>
      <c r="M2182" s="173">
        <f t="shared" si="245"/>
        <v>25.62200956937799</v>
      </c>
      <c r="O2182" s="173">
        <f t="shared" si="246"/>
        <v>38.433014354066984</v>
      </c>
      <c r="P2182" s="173">
        <v>65</v>
      </c>
    </row>
    <row r="2183" spans="3:16" hidden="1" x14ac:dyDescent="0.35">
      <c r="C2183" s="232" t="s">
        <v>1154</v>
      </c>
      <c r="D2183" s="232" t="s">
        <v>1154</v>
      </c>
      <c r="F2183" s="366">
        <v>48</v>
      </c>
      <c r="G2183" s="371" t="s">
        <v>1832</v>
      </c>
      <c r="H2183" s="371"/>
      <c r="I2183" s="173">
        <v>15</v>
      </c>
      <c r="J2183">
        <v>5225</v>
      </c>
      <c r="K2183" s="173">
        <v>3700</v>
      </c>
      <c r="L2183" s="402">
        <f t="shared" si="244"/>
        <v>10.62200956937799</v>
      </c>
      <c r="M2183" s="173">
        <f t="shared" si="245"/>
        <v>25.62200956937799</v>
      </c>
      <c r="O2183" s="173">
        <f t="shared" si="246"/>
        <v>38.433014354066984</v>
      </c>
      <c r="P2183" s="173">
        <v>65</v>
      </c>
    </row>
    <row r="2184" spans="3:16" hidden="1" x14ac:dyDescent="0.35">
      <c r="C2184" s="232" t="s">
        <v>1154</v>
      </c>
      <c r="D2184" s="232" t="s">
        <v>1154</v>
      </c>
      <c r="F2184" s="366">
        <v>50</v>
      </c>
      <c r="G2184" s="371" t="s">
        <v>1832</v>
      </c>
      <c r="H2184" s="371"/>
      <c r="I2184" s="173">
        <v>15</v>
      </c>
      <c r="J2184">
        <v>5225</v>
      </c>
      <c r="K2184" s="173">
        <v>3700</v>
      </c>
      <c r="L2184" s="402">
        <f t="shared" si="244"/>
        <v>10.62200956937799</v>
      </c>
      <c r="M2184" s="173">
        <f t="shared" si="245"/>
        <v>25.62200956937799</v>
      </c>
      <c r="O2184" s="173">
        <f t="shared" si="246"/>
        <v>38.433014354066984</v>
      </c>
      <c r="P2184" s="173">
        <v>65</v>
      </c>
    </row>
    <row r="2185" spans="3:16" hidden="1" x14ac:dyDescent="0.35">
      <c r="C2185" s="232" t="s">
        <v>1154</v>
      </c>
      <c r="D2185" s="232" t="s">
        <v>1154</v>
      </c>
      <c r="F2185" s="366">
        <v>52</v>
      </c>
      <c r="G2185" s="371" t="s">
        <v>1832</v>
      </c>
      <c r="H2185" s="371"/>
      <c r="I2185" s="173">
        <v>15</v>
      </c>
      <c r="J2185">
        <v>5225</v>
      </c>
      <c r="K2185" s="173">
        <v>3700</v>
      </c>
      <c r="L2185" s="402">
        <f t="shared" si="244"/>
        <v>10.62200956937799</v>
      </c>
      <c r="M2185" s="173">
        <f t="shared" si="245"/>
        <v>25.62200956937799</v>
      </c>
      <c r="O2185" s="173">
        <f t="shared" si="246"/>
        <v>38.433014354066984</v>
      </c>
      <c r="P2185" s="173">
        <v>65</v>
      </c>
    </row>
    <row r="2186" spans="3:16" hidden="1" x14ac:dyDescent="0.35">
      <c r="C2186" s="232" t="s">
        <v>1154</v>
      </c>
      <c r="D2186" s="232" t="s">
        <v>1154</v>
      </c>
      <c r="F2186" s="366">
        <v>54</v>
      </c>
      <c r="G2186" s="371" t="s">
        <v>1832</v>
      </c>
      <c r="H2186" s="371"/>
      <c r="I2186" s="173">
        <v>15</v>
      </c>
      <c r="J2186">
        <v>5225</v>
      </c>
      <c r="K2186" s="173">
        <v>3700</v>
      </c>
      <c r="L2186" s="402">
        <f t="shared" si="244"/>
        <v>10.62200956937799</v>
      </c>
      <c r="M2186" s="173">
        <f t="shared" si="245"/>
        <v>25.62200956937799</v>
      </c>
      <c r="O2186" s="173">
        <f t="shared" si="246"/>
        <v>38.433014354066984</v>
      </c>
      <c r="P2186" s="173">
        <v>65</v>
      </c>
    </row>
    <row r="2187" spans="3:16" hidden="1" x14ac:dyDescent="0.35">
      <c r="C2187" s="232" t="s">
        <v>1154</v>
      </c>
      <c r="D2187" s="232" t="s">
        <v>1154</v>
      </c>
      <c r="F2187">
        <v>46</v>
      </c>
      <c r="G2187" s="371" t="s">
        <v>1834</v>
      </c>
      <c r="H2187" s="371"/>
      <c r="I2187" s="173">
        <v>15</v>
      </c>
      <c r="J2187">
        <v>5225</v>
      </c>
      <c r="K2187" s="173">
        <v>3700</v>
      </c>
      <c r="L2187" s="402">
        <f t="shared" si="244"/>
        <v>10.62200956937799</v>
      </c>
      <c r="M2187" s="173">
        <f t="shared" si="245"/>
        <v>25.62200956937799</v>
      </c>
      <c r="O2187" s="173">
        <f t="shared" si="246"/>
        <v>38.433014354066984</v>
      </c>
      <c r="P2187" s="173">
        <v>65</v>
      </c>
    </row>
    <row r="2188" spans="3:16" hidden="1" x14ac:dyDescent="0.35">
      <c r="C2188" s="232" t="s">
        <v>1154</v>
      </c>
      <c r="D2188" s="232" t="s">
        <v>1154</v>
      </c>
      <c r="F2188" s="366">
        <v>48</v>
      </c>
      <c r="G2188" s="371" t="s">
        <v>1834</v>
      </c>
      <c r="H2188" s="371"/>
      <c r="I2188" s="173">
        <v>15</v>
      </c>
      <c r="J2188">
        <v>5225</v>
      </c>
      <c r="K2188" s="173">
        <v>3700</v>
      </c>
      <c r="L2188" s="402">
        <f t="shared" si="244"/>
        <v>10.62200956937799</v>
      </c>
      <c r="M2188" s="173">
        <f t="shared" si="245"/>
        <v>25.62200956937799</v>
      </c>
      <c r="O2188" s="173">
        <f t="shared" si="246"/>
        <v>38.433014354066984</v>
      </c>
      <c r="P2188" s="173">
        <v>65</v>
      </c>
    </row>
    <row r="2189" spans="3:16" hidden="1" x14ac:dyDescent="0.35">
      <c r="C2189" s="232" t="s">
        <v>1154</v>
      </c>
      <c r="D2189" s="232" t="s">
        <v>1154</v>
      </c>
      <c r="F2189" s="366">
        <v>50</v>
      </c>
      <c r="G2189" s="371" t="s">
        <v>1834</v>
      </c>
      <c r="H2189" s="371"/>
      <c r="I2189" s="173">
        <v>15</v>
      </c>
      <c r="J2189">
        <v>5225</v>
      </c>
      <c r="K2189" s="173">
        <v>3700</v>
      </c>
      <c r="L2189" s="402">
        <f t="shared" si="244"/>
        <v>10.62200956937799</v>
      </c>
      <c r="M2189" s="173">
        <f t="shared" si="245"/>
        <v>25.62200956937799</v>
      </c>
      <c r="O2189" s="173">
        <f t="shared" si="246"/>
        <v>38.433014354066984</v>
      </c>
      <c r="P2189" s="173">
        <v>65</v>
      </c>
    </row>
    <row r="2190" spans="3:16" hidden="1" x14ac:dyDescent="0.35">
      <c r="C2190" s="232" t="s">
        <v>1154</v>
      </c>
      <c r="D2190" s="232" t="s">
        <v>1154</v>
      </c>
      <c r="F2190" s="366">
        <v>52</v>
      </c>
      <c r="G2190" s="371" t="s">
        <v>1834</v>
      </c>
      <c r="H2190" s="371"/>
      <c r="I2190" s="173">
        <v>15</v>
      </c>
      <c r="J2190">
        <v>5225</v>
      </c>
      <c r="K2190" s="173">
        <v>3700</v>
      </c>
      <c r="L2190" s="402">
        <f t="shared" si="244"/>
        <v>10.62200956937799</v>
      </c>
      <c r="M2190" s="173">
        <f t="shared" si="245"/>
        <v>25.62200956937799</v>
      </c>
      <c r="O2190" s="173">
        <f t="shared" si="246"/>
        <v>38.433014354066984</v>
      </c>
      <c r="P2190" s="173">
        <v>65</v>
      </c>
    </row>
    <row r="2191" spans="3:16" hidden="1" x14ac:dyDescent="0.35">
      <c r="C2191" s="232" t="s">
        <v>1154</v>
      </c>
      <c r="D2191" s="232" t="s">
        <v>1154</v>
      </c>
      <c r="F2191" s="366">
        <v>54</v>
      </c>
      <c r="G2191" s="371" t="s">
        <v>1834</v>
      </c>
      <c r="H2191" s="371"/>
      <c r="I2191" s="173">
        <v>15</v>
      </c>
      <c r="J2191">
        <v>5225</v>
      </c>
      <c r="K2191" s="173">
        <v>3700</v>
      </c>
      <c r="L2191" s="402">
        <f t="shared" si="244"/>
        <v>10.62200956937799</v>
      </c>
      <c r="M2191" s="173">
        <f t="shared" si="245"/>
        <v>25.62200956937799</v>
      </c>
      <c r="O2191" s="173">
        <f t="shared" si="246"/>
        <v>38.433014354066984</v>
      </c>
      <c r="P2191" s="173">
        <v>65</v>
      </c>
    </row>
    <row r="2192" spans="3:16" hidden="1" x14ac:dyDescent="0.35">
      <c r="C2192" s="232" t="s">
        <v>1154</v>
      </c>
      <c r="D2192" s="232" t="s">
        <v>1154</v>
      </c>
      <c r="F2192" s="366">
        <v>44</v>
      </c>
      <c r="G2192" s="371" t="s">
        <v>1835</v>
      </c>
      <c r="H2192" s="371"/>
      <c r="I2192" s="173">
        <v>15</v>
      </c>
      <c r="J2192">
        <v>5225</v>
      </c>
      <c r="K2192" s="173">
        <v>3700</v>
      </c>
      <c r="L2192" s="402">
        <f t="shared" si="244"/>
        <v>10.62200956937799</v>
      </c>
      <c r="M2192" s="173">
        <f t="shared" si="245"/>
        <v>25.62200956937799</v>
      </c>
      <c r="O2192" s="173">
        <f t="shared" si="246"/>
        <v>38.433014354066984</v>
      </c>
      <c r="P2192" s="173">
        <v>65</v>
      </c>
    </row>
    <row r="2193" spans="3:16" hidden="1" x14ac:dyDescent="0.35">
      <c r="C2193" s="232" t="s">
        <v>1154</v>
      </c>
      <c r="D2193" s="232" t="s">
        <v>1154</v>
      </c>
      <c r="F2193" s="366">
        <v>46</v>
      </c>
      <c r="G2193" s="371" t="s">
        <v>1835</v>
      </c>
      <c r="H2193" s="371"/>
      <c r="I2193" s="173">
        <v>15</v>
      </c>
      <c r="J2193">
        <v>5225</v>
      </c>
      <c r="K2193" s="173">
        <v>3700</v>
      </c>
      <c r="L2193" s="402">
        <f t="shared" si="244"/>
        <v>10.62200956937799</v>
      </c>
      <c r="M2193" s="173">
        <f t="shared" si="245"/>
        <v>25.62200956937799</v>
      </c>
      <c r="O2193" s="173">
        <f t="shared" si="246"/>
        <v>38.433014354066984</v>
      </c>
      <c r="P2193" s="173">
        <v>65</v>
      </c>
    </row>
    <row r="2194" spans="3:16" hidden="1" x14ac:dyDescent="0.35">
      <c r="C2194" s="232" t="s">
        <v>1154</v>
      </c>
      <c r="D2194" s="232" t="s">
        <v>1154</v>
      </c>
      <c r="F2194" s="366">
        <v>48</v>
      </c>
      <c r="G2194" s="371" t="s">
        <v>1835</v>
      </c>
      <c r="H2194" s="371"/>
      <c r="I2194" s="173">
        <v>15</v>
      </c>
      <c r="J2194">
        <v>5225</v>
      </c>
      <c r="K2194" s="173">
        <v>3700</v>
      </c>
      <c r="L2194" s="402">
        <f t="shared" si="244"/>
        <v>10.62200956937799</v>
      </c>
      <c r="M2194" s="173">
        <f t="shared" si="245"/>
        <v>25.62200956937799</v>
      </c>
      <c r="O2194" s="173">
        <f t="shared" si="246"/>
        <v>38.433014354066984</v>
      </c>
      <c r="P2194" s="173">
        <v>65</v>
      </c>
    </row>
    <row r="2195" spans="3:16" hidden="1" x14ac:dyDescent="0.35">
      <c r="C2195" s="232" t="s">
        <v>1154</v>
      </c>
      <c r="D2195" s="232" t="s">
        <v>1154</v>
      </c>
      <c r="F2195" s="366">
        <v>50</v>
      </c>
      <c r="G2195" s="371" t="s">
        <v>1835</v>
      </c>
      <c r="H2195" s="371"/>
      <c r="I2195" s="173">
        <v>15</v>
      </c>
      <c r="J2195">
        <v>5225</v>
      </c>
      <c r="K2195" s="173">
        <v>3700</v>
      </c>
      <c r="L2195" s="402">
        <f t="shared" si="244"/>
        <v>10.62200956937799</v>
      </c>
      <c r="M2195" s="173">
        <f t="shared" si="245"/>
        <v>25.62200956937799</v>
      </c>
      <c r="O2195" s="173">
        <f t="shared" si="246"/>
        <v>38.433014354066984</v>
      </c>
      <c r="P2195" s="173">
        <v>65</v>
      </c>
    </row>
    <row r="2196" spans="3:16" hidden="1" x14ac:dyDescent="0.35">
      <c r="C2196" s="232" t="s">
        <v>1154</v>
      </c>
      <c r="D2196" s="232" t="s">
        <v>1154</v>
      </c>
      <c r="F2196" s="366">
        <v>52</v>
      </c>
      <c r="G2196" s="371" t="s">
        <v>1835</v>
      </c>
      <c r="H2196" s="371"/>
      <c r="I2196" s="173">
        <v>15</v>
      </c>
      <c r="J2196">
        <v>5225</v>
      </c>
      <c r="K2196" s="173">
        <v>3700</v>
      </c>
      <c r="L2196" s="402">
        <f t="shared" si="244"/>
        <v>10.62200956937799</v>
      </c>
      <c r="M2196" s="173">
        <f t="shared" si="245"/>
        <v>25.62200956937799</v>
      </c>
      <c r="O2196" s="173">
        <f t="shared" si="246"/>
        <v>38.433014354066984</v>
      </c>
      <c r="P2196" s="173">
        <v>65</v>
      </c>
    </row>
    <row r="2197" spans="3:16" hidden="1" x14ac:dyDescent="0.35">
      <c r="C2197" s="232" t="s">
        <v>1154</v>
      </c>
      <c r="D2197" s="232" t="s">
        <v>1154</v>
      </c>
      <c r="F2197" s="366">
        <v>44</v>
      </c>
      <c r="G2197" s="371" t="s">
        <v>1836</v>
      </c>
      <c r="H2197" s="371"/>
      <c r="I2197" s="173">
        <v>15</v>
      </c>
      <c r="J2197">
        <v>5225</v>
      </c>
      <c r="K2197" s="173">
        <v>3700</v>
      </c>
      <c r="L2197" s="402">
        <f t="shared" si="244"/>
        <v>10.62200956937799</v>
      </c>
      <c r="M2197" s="173">
        <f t="shared" si="245"/>
        <v>25.62200956937799</v>
      </c>
      <c r="O2197" s="173">
        <f t="shared" si="246"/>
        <v>38.433014354066984</v>
      </c>
      <c r="P2197" s="173">
        <v>65</v>
      </c>
    </row>
    <row r="2198" spans="3:16" hidden="1" x14ac:dyDescent="0.35">
      <c r="C2198" s="232" t="s">
        <v>1154</v>
      </c>
      <c r="D2198" s="232" t="s">
        <v>1154</v>
      </c>
      <c r="F2198" s="366">
        <v>46</v>
      </c>
      <c r="G2198" s="371" t="s">
        <v>1836</v>
      </c>
      <c r="H2198" s="371"/>
      <c r="I2198" s="173">
        <v>15</v>
      </c>
      <c r="J2198">
        <v>5225</v>
      </c>
      <c r="K2198" s="173">
        <v>3700</v>
      </c>
      <c r="L2198" s="402">
        <f t="shared" si="244"/>
        <v>10.62200956937799</v>
      </c>
      <c r="M2198" s="173">
        <f t="shared" si="245"/>
        <v>25.62200956937799</v>
      </c>
      <c r="O2198" s="173">
        <f t="shared" si="246"/>
        <v>38.433014354066984</v>
      </c>
      <c r="P2198" s="173">
        <v>65</v>
      </c>
    </row>
    <row r="2199" spans="3:16" hidden="1" x14ac:dyDescent="0.35">
      <c r="C2199" s="232" t="s">
        <v>1154</v>
      </c>
      <c r="D2199" s="232" t="s">
        <v>1154</v>
      </c>
      <c r="F2199" s="366">
        <v>48</v>
      </c>
      <c r="G2199" s="371" t="s">
        <v>1836</v>
      </c>
      <c r="H2199" s="371"/>
      <c r="I2199" s="173">
        <v>15</v>
      </c>
      <c r="J2199">
        <v>5225</v>
      </c>
      <c r="K2199" s="173">
        <v>3700</v>
      </c>
      <c r="L2199" s="402">
        <f t="shared" si="244"/>
        <v>10.62200956937799</v>
      </c>
      <c r="M2199" s="173">
        <f t="shared" si="245"/>
        <v>25.62200956937799</v>
      </c>
      <c r="O2199" s="173">
        <f t="shared" si="246"/>
        <v>38.433014354066984</v>
      </c>
      <c r="P2199" s="173">
        <v>65</v>
      </c>
    </row>
    <row r="2200" spans="3:16" hidden="1" x14ac:dyDescent="0.35">
      <c r="C2200" s="232" t="s">
        <v>1154</v>
      </c>
      <c r="D2200" s="232" t="s">
        <v>1154</v>
      </c>
      <c r="F2200" s="366">
        <v>50</v>
      </c>
      <c r="G2200" s="371" t="s">
        <v>1836</v>
      </c>
      <c r="H2200" s="371"/>
      <c r="I2200" s="173">
        <v>15</v>
      </c>
      <c r="J2200">
        <v>5225</v>
      </c>
      <c r="K2200" s="173">
        <v>3700</v>
      </c>
      <c r="L2200" s="402">
        <f t="shared" si="244"/>
        <v>10.62200956937799</v>
      </c>
      <c r="M2200" s="173">
        <f t="shared" si="245"/>
        <v>25.62200956937799</v>
      </c>
      <c r="O2200" s="173">
        <f t="shared" si="246"/>
        <v>38.433014354066984</v>
      </c>
      <c r="P2200" s="173">
        <v>65</v>
      </c>
    </row>
    <row r="2201" spans="3:16" hidden="1" x14ac:dyDescent="0.35">
      <c r="C2201" s="232" t="s">
        <v>1154</v>
      </c>
      <c r="D2201" s="232" t="s">
        <v>1154</v>
      </c>
      <c r="F2201" s="366">
        <v>52</v>
      </c>
      <c r="G2201" s="371" t="s">
        <v>1836</v>
      </c>
      <c r="H2201" s="371"/>
      <c r="I2201" s="173">
        <v>15</v>
      </c>
      <c r="J2201">
        <v>5225</v>
      </c>
      <c r="K2201" s="173">
        <v>3700</v>
      </c>
      <c r="L2201" s="402">
        <f t="shared" si="244"/>
        <v>10.62200956937799</v>
      </c>
      <c r="M2201" s="173">
        <f t="shared" si="245"/>
        <v>25.62200956937799</v>
      </c>
      <c r="O2201" s="173">
        <f t="shared" si="246"/>
        <v>38.433014354066984</v>
      </c>
      <c r="P2201" s="173">
        <v>65</v>
      </c>
    </row>
    <row r="2202" spans="3:16" hidden="1" x14ac:dyDescent="0.35">
      <c r="C2202" s="232" t="s">
        <v>1154</v>
      </c>
      <c r="D2202" s="232" t="s">
        <v>1154</v>
      </c>
      <c r="F2202" s="366">
        <v>46</v>
      </c>
      <c r="G2202" s="371" t="s">
        <v>1837</v>
      </c>
      <c r="H2202" s="371"/>
      <c r="I2202" s="173">
        <v>15</v>
      </c>
      <c r="J2202">
        <v>5225</v>
      </c>
      <c r="K2202" s="173">
        <v>3700</v>
      </c>
      <c r="L2202" s="402">
        <f t="shared" si="244"/>
        <v>10.62200956937799</v>
      </c>
      <c r="M2202" s="173">
        <f t="shared" si="245"/>
        <v>25.62200956937799</v>
      </c>
      <c r="O2202" s="173">
        <f t="shared" si="246"/>
        <v>38.433014354066984</v>
      </c>
      <c r="P2202" s="173">
        <v>65</v>
      </c>
    </row>
    <row r="2203" spans="3:16" hidden="1" x14ac:dyDescent="0.35">
      <c r="C2203" s="232" t="s">
        <v>1154</v>
      </c>
      <c r="D2203" s="232" t="s">
        <v>1154</v>
      </c>
      <c r="F2203" s="366">
        <v>48</v>
      </c>
      <c r="G2203" s="371" t="s">
        <v>1837</v>
      </c>
      <c r="H2203" s="371"/>
      <c r="I2203" s="173">
        <v>15</v>
      </c>
      <c r="J2203">
        <v>5225</v>
      </c>
      <c r="K2203" s="173">
        <v>3700</v>
      </c>
      <c r="L2203" s="402">
        <f t="shared" si="244"/>
        <v>10.62200956937799</v>
      </c>
      <c r="M2203" s="173">
        <f t="shared" si="245"/>
        <v>25.62200956937799</v>
      </c>
      <c r="O2203" s="173">
        <f t="shared" si="246"/>
        <v>38.433014354066984</v>
      </c>
      <c r="P2203" s="173">
        <v>65</v>
      </c>
    </row>
    <row r="2204" spans="3:16" hidden="1" x14ac:dyDescent="0.35">
      <c r="C2204" s="232" t="s">
        <v>1154</v>
      </c>
      <c r="D2204" s="232" t="s">
        <v>1154</v>
      </c>
      <c r="F2204" s="366">
        <v>50</v>
      </c>
      <c r="G2204" s="371" t="s">
        <v>1837</v>
      </c>
      <c r="H2204" s="371"/>
      <c r="I2204" s="173">
        <v>15</v>
      </c>
      <c r="J2204">
        <v>5225</v>
      </c>
      <c r="K2204" s="173">
        <v>3700</v>
      </c>
      <c r="L2204" s="402">
        <f t="shared" si="244"/>
        <v>10.62200956937799</v>
      </c>
      <c r="M2204" s="173">
        <f t="shared" si="245"/>
        <v>25.62200956937799</v>
      </c>
      <c r="O2204" s="173">
        <f t="shared" si="246"/>
        <v>38.433014354066984</v>
      </c>
      <c r="P2204" s="173">
        <v>65</v>
      </c>
    </row>
    <row r="2205" spans="3:16" hidden="1" x14ac:dyDescent="0.35">
      <c r="C2205" s="232" t="s">
        <v>1154</v>
      </c>
      <c r="D2205" s="232" t="s">
        <v>1154</v>
      </c>
      <c r="F2205" s="366">
        <v>52</v>
      </c>
      <c r="G2205" s="371" t="s">
        <v>1837</v>
      </c>
      <c r="H2205" s="371"/>
      <c r="I2205" s="173">
        <v>15</v>
      </c>
      <c r="J2205">
        <v>5225</v>
      </c>
      <c r="K2205" s="173">
        <v>3700</v>
      </c>
      <c r="L2205" s="402">
        <f t="shared" si="244"/>
        <v>10.62200956937799</v>
      </c>
      <c r="M2205" s="173">
        <f t="shared" si="245"/>
        <v>25.62200956937799</v>
      </c>
      <c r="O2205" s="173">
        <f t="shared" si="246"/>
        <v>38.433014354066984</v>
      </c>
      <c r="P2205" s="173">
        <v>65</v>
      </c>
    </row>
    <row r="2206" spans="3:16" hidden="1" x14ac:dyDescent="0.35">
      <c r="C2206" s="232" t="s">
        <v>1154</v>
      </c>
      <c r="D2206" s="232" t="s">
        <v>1154</v>
      </c>
      <c r="F2206" s="366">
        <v>54</v>
      </c>
      <c r="G2206" s="371" t="s">
        <v>1837</v>
      </c>
      <c r="H2206" s="371"/>
      <c r="I2206" s="173">
        <v>15</v>
      </c>
      <c r="J2206">
        <v>5225</v>
      </c>
      <c r="K2206" s="173">
        <v>3700</v>
      </c>
      <c r="L2206" s="402">
        <f t="shared" si="244"/>
        <v>10.62200956937799</v>
      </c>
      <c r="M2206" s="173">
        <f t="shared" si="245"/>
        <v>25.62200956937799</v>
      </c>
      <c r="O2206" s="173">
        <f t="shared" si="246"/>
        <v>38.433014354066984</v>
      </c>
      <c r="P2206" s="173">
        <v>65</v>
      </c>
    </row>
    <row r="2207" spans="3:16" hidden="1" x14ac:dyDescent="0.35">
      <c r="C2207" s="232"/>
      <c r="D2207" s="232"/>
      <c r="F2207" s="366">
        <v>56</v>
      </c>
      <c r="G2207" s="371" t="s">
        <v>1837</v>
      </c>
      <c r="H2207" s="371"/>
      <c r="I2207" s="173">
        <v>15</v>
      </c>
      <c r="J2207">
        <v>5225</v>
      </c>
      <c r="K2207" s="173">
        <v>3700</v>
      </c>
      <c r="L2207" s="402">
        <f t="shared" si="244"/>
        <v>10.62200956937799</v>
      </c>
      <c r="M2207" s="173">
        <f t="shared" si="245"/>
        <v>25.62200956937799</v>
      </c>
      <c r="O2207" s="173">
        <f t="shared" si="246"/>
        <v>38.433014354066984</v>
      </c>
      <c r="P2207" s="173">
        <v>65</v>
      </c>
    </row>
    <row r="2208" spans="3:16" hidden="1" x14ac:dyDescent="0.35">
      <c r="C2208" s="232" t="s">
        <v>1154</v>
      </c>
      <c r="D2208" s="232" t="s">
        <v>1154</v>
      </c>
      <c r="F2208" s="366">
        <v>44</v>
      </c>
      <c r="G2208" s="371" t="s">
        <v>1882</v>
      </c>
      <c r="H2208" s="371"/>
      <c r="I2208" s="173">
        <v>15</v>
      </c>
      <c r="J2208">
        <v>5225</v>
      </c>
      <c r="K2208" s="173">
        <v>3700</v>
      </c>
      <c r="L2208" s="402">
        <f t="shared" si="244"/>
        <v>10.62200956937799</v>
      </c>
      <c r="M2208" s="173">
        <f t="shared" si="245"/>
        <v>25.62200956937799</v>
      </c>
      <c r="O2208" s="173">
        <f t="shared" si="246"/>
        <v>38.433014354066984</v>
      </c>
      <c r="P2208" s="173">
        <v>65</v>
      </c>
    </row>
    <row r="2209" spans="3:16" hidden="1" x14ac:dyDescent="0.35">
      <c r="C2209" s="232" t="s">
        <v>1154</v>
      </c>
      <c r="D2209" s="232" t="s">
        <v>1154</v>
      </c>
      <c r="F2209" s="366">
        <v>46</v>
      </c>
      <c r="G2209" s="371" t="s">
        <v>1882</v>
      </c>
      <c r="H2209" s="371"/>
      <c r="I2209" s="173">
        <v>15</v>
      </c>
      <c r="J2209">
        <v>5225</v>
      </c>
      <c r="K2209" s="173">
        <v>3700</v>
      </c>
      <c r="L2209" s="402">
        <f t="shared" si="244"/>
        <v>10.62200956937799</v>
      </c>
      <c r="M2209" s="173">
        <f t="shared" si="245"/>
        <v>25.62200956937799</v>
      </c>
      <c r="O2209" s="173">
        <f t="shared" si="246"/>
        <v>38.433014354066984</v>
      </c>
      <c r="P2209" s="173">
        <v>65</v>
      </c>
    </row>
    <row r="2210" spans="3:16" hidden="1" x14ac:dyDescent="0.35">
      <c r="C2210" s="232" t="s">
        <v>1154</v>
      </c>
      <c r="D2210" s="232" t="s">
        <v>1154</v>
      </c>
      <c r="F2210" s="366">
        <v>48</v>
      </c>
      <c r="G2210" s="371" t="s">
        <v>1882</v>
      </c>
      <c r="H2210" s="371"/>
      <c r="I2210" s="173">
        <v>15</v>
      </c>
      <c r="J2210">
        <v>5225</v>
      </c>
      <c r="K2210" s="173">
        <v>3700</v>
      </c>
      <c r="L2210" s="402">
        <f t="shared" si="244"/>
        <v>10.62200956937799</v>
      </c>
      <c r="M2210" s="173">
        <f t="shared" si="245"/>
        <v>25.62200956937799</v>
      </c>
      <c r="O2210" s="173">
        <f t="shared" si="246"/>
        <v>38.433014354066984</v>
      </c>
      <c r="P2210" s="173">
        <v>65</v>
      </c>
    </row>
    <row r="2211" spans="3:16" hidden="1" x14ac:dyDescent="0.35">
      <c r="C2211" s="232" t="s">
        <v>1154</v>
      </c>
      <c r="D2211" s="232" t="s">
        <v>1154</v>
      </c>
      <c r="F2211" s="366">
        <v>50</v>
      </c>
      <c r="G2211" s="371" t="s">
        <v>1882</v>
      </c>
      <c r="H2211" s="371"/>
      <c r="I2211" s="173">
        <v>15</v>
      </c>
      <c r="J2211">
        <v>5225</v>
      </c>
      <c r="K2211" s="173">
        <v>3700</v>
      </c>
      <c r="L2211" s="402">
        <f t="shared" si="244"/>
        <v>10.62200956937799</v>
      </c>
      <c r="M2211" s="173">
        <f t="shared" si="245"/>
        <v>25.62200956937799</v>
      </c>
      <c r="O2211" s="173">
        <f t="shared" si="246"/>
        <v>38.433014354066984</v>
      </c>
      <c r="P2211" s="173">
        <v>65</v>
      </c>
    </row>
    <row r="2212" spans="3:16" ht="18.5" hidden="1" x14ac:dyDescent="0.45">
      <c r="C2212" s="232"/>
      <c r="D2212" s="232"/>
      <c r="I2212" s="307">
        <f>SUM(I2172:I2211)</f>
        <v>616</v>
      </c>
    </row>
    <row r="2213" spans="3:16" hidden="1" x14ac:dyDescent="0.35">
      <c r="C2213" s="232"/>
      <c r="D2213" s="232"/>
    </row>
    <row r="2214" spans="3:16" hidden="1" x14ac:dyDescent="0.35">
      <c r="C2214" s="232"/>
      <c r="D2214" s="232"/>
      <c r="G2214" s="256" t="s">
        <v>1377</v>
      </c>
      <c r="H2214" s="256"/>
    </row>
    <row r="2215" spans="3:16" hidden="1" x14ac:dyDescent="0.35">
      <c r="C2215" s="232" t="s">
        <v>1154</v>
      </c>
      <c r="D2215" s="232" t="s">
        <v>1154</v>
      </c>
      <c r="F2215" s="366">
        <v>46</v>
      </c>
      <c r="G2215" s="371" t="s">
        <v>1838</v>
      </c>
      <c r="H2215" s="371"/>
      <c r="I2215" s="173">
        <v>10</v>
      </c>
      <c r="J2215">
        <v>5225</v>
      </c>
      <c r="K2215" s="173">
        <v>3700</v>
      </c>
      <c r="L2215" s="402">
        <f t="shared" ref="L2215:L2252" si="247">+I2215/J2215*K2215</f>
        <v>7.0813397129186608</v>
      </c>
      <c r="M2215" s="173">
        <f t="shared" ref="M2215:M2252" si="248">+I2215+L2215</f>
        <v>17.081339712918663</v>
      </c>
      <c r="O2215" s="173">
        <f t="shared" ref="O2215:O2252" si="249">+M2215*1.5</f>
        <v>25.622009569377994</v>
      </c>
      <c r="P2215" s="173">
        <v>35</v>
      </c>
    </row>
    <row r="2216" spans="3:16" hidden="1" x14ac:dyDescent="0.35">
      <c r="C2216" s="232" t="s">
        <v>1154</v>
      </c>
      <c r="D2216" s="232" t="s">
        <v>1154</v>
      </c>
      <c r="F2216" s="366">
        <v>48</v>
      </c>
      <c r="G2216" s="371" t="s">
        <v>1838</v>
      </c>
      <c r="H2216" s="371"/>
      <c r="I2216" s="173">
        <v>10</v>
      </c>
      <c r="J2216">
        <v>5225</v>
      </c>
      <c r="K2216" s="173">
        <v>3700</v>
      </c>
      <c r="L2216" s="402">
        <f t="shared" si="247"/>
        <v>7.0813397129186608</v>
      </c>
      <c r="M2216" s="173">
        <f t="shared" si="248"/>
        <v>17.081339712918663</v>
      </c>
      <c r="O2216" s="173">
        <f t="shared" si="249"/>
        <v>25.622009569377994</v>
      </c>
      <c r="P2216" s="173">
        <v>35</v>
      </c>
    </row>
    <row r="2217" spans="3:16" hidden="1" x14ac:dyDescent="0.35">
      <c r="C2217" s="232" t="s">
        <v>1154</v>
      </c>
      <c r="D2217" s="232" t="s">
        <v>1154</v>
      </c>
      <c r="F2217" s="366">
        <v>50</v>
      </c>
      <c r="G2217" s="371" t="s">
        <v>1838</v>
      </c>
      <c r="H2217" s="371"/>
      <c r="I2217" s="173">
        <v>10</v>
      </c>
      <c r="J2217">
        <v>5225</v>
      </c>
      <c r="K2217" s="173">
        <v>3700</v>
      </c>
      <c r="L2217" s="402">
        <f t="shared" si="247"/>
        <v>7.0813397129186608</v>
      </c>
      <c r="M2217" s="173">
        <f t="shared" si="248"/>
        <v>17.081339712918663</v>
      </c>
      <c r="O2217" s="173">
        <f t="shared" si="249"/>
        <v>25.622009569377994</v>
      </c>
      <c r="P2217" s="173">
        <v>35</v>
      </c>
    </row>
    <row r="2218" spans="3:16" hidden="1" x14ac:dyDescent="0.35">
      <c r="C2218" s="232" t="s">
        <v>1154</v>
      </c>
      <c r="D2218" s="232" t="s">
        <v>1154</v>
      </c>
      <c r="F2218" s="366">
        <v>52</v>
      </c>
      <c r="G2218" s="371" t="s">
        <v>1838</v>
      </c>
      <c r="H2218" s="371"/>
      <c r="I2218" s="173">
        <v>10</v>
      </c>
      <c r="J2218">
        <v>5225</v>
      </c>
      <c r="K2218" s="173">
        <v>3700</v>
      </c>
      <c r="L2218" s="402">
        <f t="shared" si="247"/>
        <v>7.0813397129186608</v>
      </c>
      <c r="M2218" s="173">
        <f t="shared" si="248"/>
        <v>17.081339712918663</v>
      </c>
      <c r="O2218" s="173">
        <f t="shared" si="249"/>
        <v>25.622009569377994</v>
      </c>
      <c r="P2218" s="173">
        <v>35</v>
      </c>
    </row>
    <row r="2219" spans="3:16" hidden="1" x14ac:dyDescent="0.35">
      <c r="C2219" s="232" t="s">
        <v>1154</v>
      </c>
      <c r="D2219" s="232" t="s">
        <v>1154</v>
      </c>
      <c r="F2219" s="366">
        <v>54</v>
      </c>
      <c r="G2219" s="371" t="s">
        <v>1838</v>
      </c>
      <c r="H2219" s="371"/>
      <c r="I2219" s="173">
        <v>10</v>
      </c>
      <c r="J2219">
        <v>5225</v>
      </c>
      <c r="K2219" s="173">
        <v>3700</v>
      </c>
      <c r="L2219" s="402">
        <f t="shared" si="247"/>
        <v>7.0813397129186608</v>
      </c>
      <c r="M2219" s="173">
        <f t="shared" si="248"/>
        <v>17.081339712918663</v>
      </c>
      <c r="O2219" s="173">
        <f t="shared" si="249"/>
        <v>25.622009569377994</v>
      </c>
      <c r="P2219" s="173">
        <v>35</v>
      </c>
    </row>
    <row r="2220" spans="3:16" hidden="1" x14ac:dyDescent="0.35">
      <c r="C2220" s="232" t="s">
        <v>1154</v>
      </c>
      <c r="D2220" s="232" t="s">
        <v>1154</v>
      </c>
      <c r="F2220" s="366">
        <v>46</v>
      </c>
      <c r="G2220" s="371" t="s">
        <v>1839</v>
      </c>
      <c r="H2220" s="371"/>
      <c r="I2220" s="173">
        <v>10</v>
      </c>
      <c r="J2220">
        <v>5225</v>
      </c>
      <c r="K2220" s="173">
        <v>3700</v>
      </c>
      <c r="L2220" s="402">
        <f t="shared" si="247"/>
        <v>7.0813397129186608</v>
      </c>
      <c r="M2220" s="173">
        <f t="shared" si="248"/>
        <v>17.081339712918663</v>
      </c>
      <c r="O2220" s="173">
        <f t="shared" si="249"/>
        <v>25.622009569377994</v>
      </c>
      <c r="P2220" s="173">
        <v>35</v>
      </c>
    </row>
    <row r="2221" spans="3:16" hidden="1" x14ac:dyDescent="0.35">
      <c r="C2221" s="232" t="s">
        <v>1154</v>
      </c>
      <c r="D2221" s="232" t="s">
        <v>1154</v>
      </c>
      <c r="F2221" s="366">
        <v>48</v>
      </c>
      <c r="G2221" s="371" t="s">
        <v>1839</v>
      </c>
      <c r="H2221" s="371"/>
      <c r="I2221" s="173">
        <v>10</v>
      </c>
      <c r="J2221">
        <v>5225</v>
      </c>
      <c r="K2221" s="173">
        <v>3700</v>
      </c>
      <c r="L2221" s="402">
        <f t="shared" si="247"/>
        <v>7.0813397129186608</v>
      </c>
      <c r="M2221" s="173">
        <f t="shared" si="248"/>
        <v>17.081339712918663</v>
      </c>
      <c r="O2221" s="173">
        <f t="shared" si="249"/>
        <v>25.622009569377994</v>
      </c>
      <c r="P2221" s="173">
        <v>35</v>
      </c>
    </row>
    <row r="2222" spans="3:16" hidden="1" x14ac:dyDescent="0.35">
      <c r="C2222" s="232" t="s">
        <v>1154</v>
      </c>
      <c r="D2222" s="232" t="s">
        <v>1154</v>
      </c>
      <c r="F2222" s="366">
        <v>50</v>
      </c>
      <c r="G2222" s="371" t="s">
        <v>1839</v>
      </c>
      <c r="H2222" s="371"/>
      <c r="I2222" s="173">
        <v>10</v>
      </c>
      <c r="J2222">
        <v>5225</v>
      </c>
      <c r="K2222" s="173">
        <v>3700</v>
      </c>
      <c r="L2222" s="402">
        <f t="shared" si="247"/>
        <v>7.0813397129186608</v>
      </c>
      <c r="M2222" s="173">
        <f t="shared" si="248"/>
        <v>17.081339712918663</v>
      </c>
      <c r="O2222" s="173">
        <f t="shared" si="249"/>
        <v>25.622009569377994</v>
      </c>
      <c r="P2222" s="173">
        <v>35</v>
      </c>
    </row>
    <row r="2223" spans="3:16" hidden="1" x14ac:dyDescent="0.35">
      <c r="C2223" s="232" t="s">
        <v>1154</v>
      </c>
      <c r="D2223" s="232" t="s">
        <v>1154</v>
      </c>
      <c r="F2223" s="366">
        <v>52</v>
      </c>
      <c r="G2223" s="371" t="s">
        <v>1839</v>
      </c>
      <c r="H2223" s="371"/>
      <c r="I2223" s="173">
        <v>10</v>
      </c>
      <c r="J2223">
        <v>5225</v>
      </c>
      <c r="K2223" s="173">
        <v>3700</v>
      </c>
      <c r="L2223" s="402">
        <f t="shared" si="247"/>
        <v>7.0813397129186608</v>
      </c>
      <c r="M2223" s="173">
        <f t="shared" si="248"/>
        <v>17.081339712918663</v>
      </c>
      <c r="O2223" s="173">
        <f t="shared" si="249"/>
        <v>25.622009569377994</v>
      </c>
      <c r="P2223" s="173">
        <v>35</v>
      </c>
    </row>
    <row r="2224" spans="3:16" hidden="1" x14ac:dyDescent="0.35">
      <c r="C2224" s="232" t="s">
        <v>1154</v>
      </c>
      <c r="D2224" s="232" t="s">
        <v>1883</v>
      </c>
      <c r="F2224" s="366">
        <v>36</v>
      </c>
      <c r="G2224" s="371" t="s">
        <v>1840</v>
      </c>
      <c r="H2224" s="371"/>
      <c r="I2224" s="173">
        <v>10</v>
      </c>
      <c r="J2224">
        <v>5225</v>
      </c>
      <c r="K2224" s="173">
        <v>3700</v>
      </c>
      <c r="L2224" s="402">
        <f t="shared" si="247"/>
        <v>7.0813397129186608</v>
      </c>
      <c r="M2224" s="173">
        <f t="shared" si="248"/>
        <v>17.081339712918663</v>
      </c>
      <c r="O2224" s="173">
        <f t="shared" si="249"/>
        <v>25.622009569377994</v>
      </c>
      <c r="P2224" s="173">
        <v>35</v>
      </c>
    </row>
    <row r="2225" spans="3:16" hidden="1" x14ac:dyDescent="0.35">
      <c r="C2225" s="232" t="s">
        <v>1154</v>
      </c>
      <c r="D2225" s="232" t="s">
        <v>1883</v>
      </c>
      <c r="F2225" s="366">
        <v>38</v>
      </c>
      <c r="G2225" s="371" t="s">
        <v>1840</v>
      </c>
      <c r="H2225" s="371"/>
      <c r="I2225" s="173">
        <v>10</v>
      </c>
      <c r="J2225">
        <v>5225</v>
      </c>
      <c r="K2225" s="173">
        <v>3700</v>
      </c>
      <c r="L2225" s="402">
        <f t="shared" si="247"/>
        <v>7.0813397129186608</v>
      </c>
      <c r="M2225" s="173">
        <f t="shared" si="248"/>
        <v>17.081339712918663</v>
      </c>
      <c r="O2225" s="173">
        <f t="shared" si="249"/>
        <v>25.622009569377994</v>
      </c>
      <c r="P2225" s="173">
        <v>35</v>
      </c>
    </row>
    <row r="2226" spans="3:16" hidden="1" x14ac:dyDescent="0.35">
      <c r="C2226" s="232" t="s">
        <v>1154</v>
      </c>
      <c r="D2226" s="232" t="s">
        <v>1883</v>
      </c>
      <c r="F2226" s="366">
        <v>40</v>
      </c>
      <c r="G2226" s="371" t="s">
        <v>1840</v>
      </c>
      <c r="H2226" s="371"/>
      <c r="I2226" s="173">
        <v>10</v>
      </c>
      <c r="J2226">
        <v>5225</v>
      </c>
      <c r="K2226" s="173">
        <v>3700</v>
      </c>
      <c r="L2226" s="402">
        <f t="shared" si="247"/>
        <v>7.0813397129186608</v>
      </c>
      <c r="M2226" s="173">
        <f t="shared" si="248"/>
        <v>17.081339712918663</v>
      </c>
      <c r="O2226" s="173">
        <f t="shared" si="249"/>
        <v>25.622009569377994</v>
      </c>
      <c r="P2226" s="173">
        <v>35</v>
      </c>
    </row>
    <row r="2227" spans="3:16" hidden="1" x14ac:dyDescent="0.35">
      <c r="C2227" s="232" t="s">
        <v>1154</v>
      </c>
      <c r="D2227" s="232" t="s">
        <v>1883</v>
      </c>
      <c r="F2227" s="366">
        <v>42</v>
      </c>
      <c r="G2227" s="371" t="s">
        <v>1840</v>
      </c>
      <c r="H2227" s="371"/>
      <c r="I2227" s="173">
        <v>10</v>
      </c>
      <c r="J2227">
        <v>5225</v>
      </c>
      <c r="K2227" s="173">
        <v>3700</v>
      </c>
      <c r="L2227" s="402">
        <f t="shared" si="247"/>
        <v>7.0813397129186608</v>
      </c>
      <c r="M2227" s="173">
        <f t="shared" si="248"/>
        <v>17.081339712918663</v>
      </c>
      <c r="O2227" s="173">
        <f t="shared" si="249"/>
        <v>25.622009569377994</v>
      </c>
      <c r="P2227" s="173">
        <v>35</v>
      </c>
    </row>
    <row r="2228" spans="3:16" hidden="1" x14ac:dyDescent="0.35">
      <c r="C2228" s="232" t="s">
        <v>179</v>
      </c>
      <c r="D2228" s="232" t="s">
        <v>179</v>
      </c>
      <c r="F2228" s="366" t="s">
        <v>407</v>
      </c>
      <c r="G2228" s="372" t="s">
        <v>1887</v>
      </c>
      <c r="H2228" s="372"/>
      <c r="I2228" s="173">
        <v>10</v>
      </c>
      <c r="J2228">
        <v>5225</v>
      </c>
      <c r="K2228" s="173">
        <v>3700</v>
      </c>
      <c r="L2228" s="402">
        <f t="shared" si="247"/>
        <v>7.0813397129186608</v>
      </c>
      <c r="M2228" s="173">
        <f t="shared" si="248"/>
        <v>17.081339712918663</v>
      </c>
      <c r="O2228" s="173">
        <f t="shared" si="249"/>
        <v>25.622009569377994</v>
      </c>
      <c r="P2228" s="173">
        <v>35</v>
      </c>
    </row>
    <row r="2229" spans="3:16" hidden="1" x14ac:dyDescent="0.35">
      <c r="C2229" s="232" t="s">
        <v>179</v>
      </c>
      <c r="D2229" s="232" t="s">
        <v>179</v>
      </c>
      <c r="F2229" s="366" t="s">
        <v>409</v>
      </c>
      <c r="G2229" s="371" t="s">
        <v>1887</v>
      </c>
      <c r="H2229" s="371"/>
      <c r="I2229" s="173">
        <v>10</v>
      </c>
      <c r="J2229">
        <v>5225</v>
      </c>
      <c r="K2229" s="173">
        <v>3700</v>
      </c>
      <c r="L2229" s="402">
        <f t="shared" si="247"/>
        <v>7.0813397129186608</v>
      </c>
      <c r="M2229" s="173">
        <f t="shared" si="248"/>
        <v>17.081339712918663</v>
      </c>
      <c r="O2229" s="173">
        <f t="shared" si="249"/>
        <v>25.622009569377994</v>
      </c>
      <c r="P2229" s="173">
        <v>35</v>
      </c>
    </row>
    <row r="2230" spans="3:16" hidden="1" x14ac:dyDescent="0.35">
      <c r="C2230" s="232" t="s">
        <v>179</v>
      </c>
      <c r="D2230" s="232" t="s">
        <v>179</v>
      </c>
      <c r="F2230" s="366" t="s">
        <v>412</v>
      </c>
      <c r="G2230" s="371" t="s">
        <v>1887</v>
      </c>
      <c r="H2230" s="371"/>
      <c r="I2230" s="173">
        <v>10</v>
      </c>
      <c r="J2230">
        <v>5225</v>
      </c>
      <c r="K2230" s="173">
        <v>3700</v>
      </c>
      <c r="L2230" s="402">
        <f t="shared" si="247"/>
        <v>7.0813397129186608</v>
      </c>
      <c r="M2230" s="173">
        <f t="shared" si="248"/>
        <v>17.081339712918663</v>
      </c>
      <c r="O2230" s="173">
        <f t="shared" si="249"/>
        <v>25.622009569377994</v>
      </c>
      <c r="P2230" s="173">
        <v>35</v>
      </c>
    </row>
    <row r="2231" spans="3:16" hidden="1" x14ac:dyDescent="0.35">
      <c r="C2231" s="232" t="s">
        <v>179</v>
      </c>
      <c r="D2231" s="232" t="s">
        <v>179</v>
      </c>
      <c r="F2231" s="366" t="s">
        <v>408</v>
      </c>
      <c r="G2231" s="371" t="s">
        <v>1888</v>
      </c>
      <c r="H2231" s="371"/>
      <c r="I2231" s="173">
        <v>10</v>
      </c>
      <c r="J2231">
        <v>5225</v>
      </c>
      <c r="K2231" s="173">
        <v>3700</v>
      </c>
      <c r="L2231" s="402">
        <f t="shared" si="247"/>
        <v>7.0813397129186608</v>
      </c>
      <c r="M2231" s="173">
        <f t="shared" si="248"/>
        <v>17.081339712918663</v>
      </c>
      <c r="O2231" s="173">
        <f t="shared" si="249"/>
        <v>25.622009569377994</v>
      </c>
      <c r="P2231" s="173">
        <v>35</v>
      </c>
    </row>
    <row r="2232" spans="3:16" hidden="1" x14ac:dyDescent="0.35">
      <c r="C2232" s="232" t="s">
        <v>179</v>
      </c>
      <c r="D2232" s="232" t="s">
        <v>179</v>
      </c>
      <c r="F2232" s="366" t="s">
        <v>407</v>
      </c>
      <c r="G2232" s="371" t="s">
        <v>1888</v>
      </c>
      <c r="H2232" s="371"/>
      <c r="I2232" s="173">
        <v>10</v>
      </c>
      <c r="J2232">
        <v>5225</v>
      </c>
      <c r="K2232" s="173">
        <v>3700</v>
      </c>
      <c r="L2232" s="402">
        <f t="shared" si="247"/>
        <v>7.0813397129186608</v>
      </c>
      <c r="M2232" s="173">
        <f t="shared" si="248"/>
        <v>17.081339712918663</v>
      </c>
      <c r="O2232" s="173">
        <f t="shared" si="249"/>
        <v>25.622009569377994</v>
      </c>
      <c r="P2232" s="173">
        <v>35</v>
      </c>
    </row>
    <row r="2233" spans="3:16" hidden="1" x14ac:dyDescent="0.35">
      <c r="C2233" s="232" t="s">
        <v>179</v>
      </c>
      <c r="D2233" s="232" t="s">
        <v>179</v>
      </c>
      <c r="F2233" s="366" t="s">
        <v>409</v>
      </c>
      <c r="G2233" s="371" t="s">
        <v>1888</v>
      </c>
      <c r="H2233" s="371"/>
      <c r="I2233" s="173">
        <v>10</v>
      </c>
      <c r="J2233">
        <v>5225</v>
      </c>
      <c r="K2233" s="173">
        <v>3700</v>
      </c>
      <c r="L2233" s="402">
        <f t="shared" si="247"/>
        <v>7.0813397129186608</v>
      </c>
      <c r="M2233" s="173">
        <f t="shared" si="248"/>
        <v>17.081339712918663</v>
      </c>
      <c r="O2233" s="173">
        <f t="shared" si="249"/>
        <v>25.622009569377994</v>
      </c>
      <c r="P2233" s="173">
        <v>35</v>
      </c>
    </row>
    <row r="2234" spans="3:16" hidden="1" x14ac:dyDescent="0.35">
      <c r="C2234" s="232" t="s">
        <v>179</v>
      </c>
      <c r="D2234" s="232" t="s">
        <v>179</v>
      </c>
      <c r="F2234" s="366" t="s">
        <v>412</v>
      </c>
      <c r="G2234" s="371" t="s">
        <v>1888</v>
      </c>
      <c r="H2234" s="371"/>
      <c r="I2234" s="173">
        <v>10</v>
      </c>
      <c r="J2234">
        <v>5225</v>
      </c>
      <c r="K2234" s="173">
        <v>3700</v>
      </c>
      <c r="L2234" s="402">
        <f t="shared" si="247"/>
        <v>7.0813397129186608</v>
      </c>
      <c r="M2234" s="173">
        <f t="shared" si="248"/>
        <v>17.081339712918663</v>
      </c>
      <c r="O2234" s="173">
        <f t="shared" si="249"/>
        <v>25.622009569377994</v>
      </c>
      <c r="P2234" s="173">
        <v>35</v>
      </c>
    </row>
    <row r="2235" spans="3:16" hidden="1" x14ac:dyDescent="0.35">
      <c r="C2235" s="232" t="s">
        <v>179</v>
      </c>
      <c r="D2235" s="232" t="s">
        <v>179</v>
      </c>
      <c r="F2235" s="366" t="s">
        <v>407</v>
      </c>
      <c r="G2235" s="371" t="s">
        <v>1889</v>
      </c>
      <c r="H2235" s="371"/>
      <c r="I2235" s="173">
        <v>10</v>
      </c>
      <c r="J2235">
        <v>5225</v>
      </c>
      <c r="K2235" s="173">
        <v>3700</v>
      </c>
      <c r="L2235" s="402">
        <f t="shared" si="247"/>
        <v>7.0813397129186608</v>
      </c>
      <c r="M2235" s="173">
        <f t="shared" si="248"/>
        <v>17.081339712918663</v>
      </c>
      <c r="O2235" s="173">
        <f t="shared" si="249"/>
        <v>25.622009569377994</v>
      </c>
      <c r="P2235" s="173">
        <v>35</v>
      </c>
    </row>
    <row r="2236" spans="3:16" hidden="1" x14ac:dyDescent="0.35">
      <c r="C2236" s="232" t="s">
        <v>179</v>
      </c>
      <c r="D2236" s="232" t="s">
        <v>179</v>
      </c>
      <c r="F2236" s="366" t="s">
        <v>409</v>
      </c>
      <c r="G2236" s="371" t="s">
        <v>1889</v>
      </c>
      <c r="H2236" s="371"/>
      <c r="I2236" s="173">
        <v>10</v>
      </c>
      <c r="J2236">
        <v>5225</v>
      </c>
      <c r="K2236" s="173">
        <v>3700</v>
      </c>
      <c r="L2236" s="402">
        <f t="shared" si="247"/>
        <v>7.0813397129186608</v>
      </c>
      <c r="M2236" s="173">
        <f t="shared" si="248"/>
        <v>17.081339712918663</v>
      </c>
      <c r="O2236" s="173">
        <f t="shared" si="249"/>
        <v>25.622009569377994</v>
      </c>
      <c r="P2236" s="173">
        <v>35</v>
      </c>
    </row>
    <row r="2237" spans="3:16" hidden="1" x14ac:dyDescent="0.35">
      <c r="C2237" s="232" t="s">
        <v>179</v>
      </c>
      <c r="D2237" s="232" t="s">
        <v>179</v>
      </c>
      <c r="F2237" s="366" t="s">
        <v>412</v>
      </c>
      <c r="G2237" s="371" t="s">
        <v>1889</v>
      </c>
      <c r="H2237" s="371"/>
      <c r="I2237" s="173">
        <v>10</v>
      </c>
      <c r="J2237">
        <v>5225</v>
      </c>
      <c r="K2237" s="173">
        <v>3700</v>
      </c>
      <c r="L2237" s="402">
        <f t="shared" si="247"/>
        <v>7.0813397129186608</v>
      </c>
      <c r="M2237" s="173">
        <f t="shared" si="248"/>
        <v>17.081339712918663</v>
      </c>
      <c r="O2237" s="173">
        <f t="shared" si="249"/>
        <v>25.622009569377994</v>
      </c>
      <c r="P2237" s="173">
        <v>35</v>
      </c>
    </row>
    <row r="2238" spans="3:16" hidden="1" x14ac:dyDescent="0.35">
      <c r="C2238" s="232" t="s">
        <v>179</v>
      </c>
      <c r="D2238" s="232" t="s">
        <v>179</v>
      </c>
      <c r="F2238" s="366" t="s">
        <v>407</v>
      </c>
      <c r="G2238" s="371" t="s">
        <v>1890</v>
      </c>
      <c r="H2238" s="371"/>
      <c r="I2238" s="173">
        <v>10</v>
      </c>
      <c r="J2238">
        <v>5225</v>
      </c>
      <c r="K2238" s="173">
        <v>3700</v>
      </c>
      <c r="L2238" s="402">
        <f t="shared" si="247"/>
        <v>7.0813397129186608</v>
      </c>
      <c r="M2238" s="173">
        <f t="shared" si="248"/>
        <v>17.081339712918663</v>
      </c>
      <c r="O2238" s="173">
        <f t="shared" si="249"/>
        <v>25.622009569377994</v>
      </c>
      <c r="P2238" s="173">
        <v>35</v>
      </c>
    </row>
    <row r="2239" spans="3:16" hidden="1" x14ac:dyDescent="0.35">
      <c r="C2239" s="232" t="s">
        <v>179</v>
      </c>
      <c r="D2239" s="232" t="s">
        <v>179</v>
      </c>
      <c r="F2239" s="366" t="s">
        <v>409</v>
      </c>
      <c r="G2239" s="371" t="s">
        <v>1890</v>
      </c>
      <c r="H2239" s="371"/>
      <c r="I2239" s="173">
        <v>10</v>
      </c>
      <c r="J2239">
        <v>5225</v>
      </c>
      <c r="K2239" s="173">
        <v>3700</v>
      </c>
      <c r="L2239" s="402">
        <f t="shared" si="247"/>
        <v>7.0813397129186608</v>
      </c>
      <c r="M2239" s="173">
        <f t="shared" si="248"/>
        <v>17.081339712918663</v>
      </c>
      <c r="O2239" s="173">
        <f t="shared" si="249"/>
        <v>25.622009569377994</v>
      </c>
      <c r="P2239" s="173">
        <v>35</v>
      </c>
    </row>
    <row r="2240" spans="3:16" hidden="1" x14ac:dyDescent="0.35">
      <c r="C2240" s="232" t="s">
        <v>179</v>
      </c>
      <c r="D2240" s="232" t="s">
        <v>179</v>
      </c>
      <c r="F2240" s="366" t="s">
        <v>412</v>
      </c>
      <c r="G2240" s="371" t="s">
        <v>1890</v>
      </c>
      <c r="H2240" s="371"/>
      <c r="I2240" s="173">
        <v>10</v>
      </c>
      <c r="J2240">
        <v>5225</v>
      </c>
      <c r="K2240" s="173">
        <v>3700</v>
      </c>
      <c r="L2240" s="402">
        <f t="shared" si="247"/>
        <v>7.0813397129186608</v>
      </c>
      <c r="M2240" s="173">
        <f t="shared" si="248"/>
        <v>17.081339712918663</v>
      </c>
      <c r="O2240" s="173">
        <f t="shared" si="249"/>
        <v>25.622009569377994</v>
      </c>
      <c r="P2240" s="173">
        <v>35</v>
      </c>
    </row>
    <row r="2241" spans="3:16" hidden="1" x14ac:dyDescent="0.35">
      <c r="C2241" s="232" t="s">
        <v>179</v>
      </c>
      <c r="D2241" s="232" t="s">
        <v>179</v>
      </c>
      <c r="F2241" s="366" t="s">
        <v>407</v>
      </c>
      <c r="G2241" s="371" t="s">
        <v>1891</v>
      </c>
      <c r="H2241" s="371"/>
      <c r="I2241" s="173">
        <v>10</v>
      </c>
      <c r="J2241">
        <v>5225</v>
      </c>
      <c r="K2241" s="173">
        <v>3700</v>
      </c>
      <c r="L2241" s="402">
        <f t="shared" si="247"/>
        <v>7.0813397129186608</v>
      </c>
      <c r="M2241" s="173">
        <f t="shared" si="248"/>
        <v>17.081339712918663</v>
      </c>
      <c r="O2241" s="173">
        <f t="shared" si="249"/>
        <v>25.622009569377994</v>
      </c>
      <c r="P2241" s="173">
        <v>35</v>
      </c>
    </row>
    <row r="2242" spans="3:16" hidden="1" x14ac:dyDescent="0.35">
      <c r="C2242" s="232" t="s">
        <v>179</v>
      </c>
      <c r="D2242" s="232" t="s">
        <v>179</v>
      </c>
      <c r="F2242" s="366" t="s">
        <v>409</v>
      </c>
      <c r="G2242" s="371" t="s">
        <v>1891</v>
      </c>
      <c r="H2242" s="371"/>
      <c r="I2242" s="173">
        <v>10</v>
      </c>
      <c r="J2242">
        <v>5225</v>
      </c>
      <c r="K2242" s="173">
        <v>3700</v>
      </c>
      <c r="L2242" s="402">
        <f t="shared" si="247"/>
        <v>7.0813397129186608</v>
      </c>
      <c r="M2242" s="173">
        <f t="shared" si="248"/>
        <v>17.081339712918663</v>
      </c>
      <c r="O2242" s="173">
        <f t="shared" si="249"/>
        <v>25.622009569377994</v>
      </c>
      <c r="P2242" s="173">
        <v>35</v>
      </c>
    </row>
    <row r="2243" spans="3:16" hidden="1" x14ac:dyDescent="0.35">
      <c r="C2243" s="232" t="s">
        <v>179</v>
      </c>
      <c r="D2243" s="232" t="s">
        <v>179</v>
      </c>
      <c r="F2243" s="366" t="s">
        <v>412</v>
      </c>
      <c r="G2243" s="371" t="s">
        <v>1891</v>
      </c>
      <c r="H2243" s="371"/>
      <c r="I2243" s="173">
        <v>10</v>
      </c>
      <c r="J2243">
        <v>5225</v>
      </c>
      <c r="K2243" s="173">
        <v>3700</v>
      </c>
      <c r="L2243" s="402">
        <f t="shared" si="247"/>
        <v>7.0813397129186608</v>
      </c>
      <c r="M2243" s="173">
        <f t="shared" si="248"/>
        <v>17.081339712918663</v>
      </c>
      <c r="O2243" s="173">
        <f t="shared" si="249"/>
        <v>25.622009569377994</v>
      </c>
      <c r="P2243" s="173">
        <v>35</v>
      </c>
    </row>
    <row r="2244" spans="3:16" hidden="1" x14ac:dyDescent="0.35">
      <c r="C2244" s="232" t="s">
        <v>179</v>
      </c>
      <c r="D2244" s="232" t="s">
        <v>179</v>
      </c>
      <c r="F2244" s="366" t="s">
        <v>407</v>
      </c>
      <c r="G2244" s="371" t="s">
        <v>1892</v>
      </c>
      <c r="H2244" s="371"/>
      <c r="I2244" s="173">
        <v>10</v>
      </c>
      <c r="J2244">
        <v>5225</v>
      </c>
      <c r="K2244" s="173">
        <v>3700</v>
      </c>
      <c r="L2244" s="402">
        <f t="shared" si="247"/>
        <v>7.0813397129186608</v>
      </c>
      <c r="M2244" s="173">
        <f t="shared" si="248"/>
        <v>17.081339712918663</v>
      </c>
      <c r="O2244" s="173">
        <f t="shared" si="249"/>
        <v>25.622009569377994</v>
      </c>
      <c r="P2244" s="173">
        <v>35</v>
      </c>
    </row>
    <row r="2245" spans="3:16" hidden="1" x14ac:dyDescent="0.35">
      <c r="C2245" s="232" t="s">
        <v>179</v>
      </c>
      <c r="D2245" s="232" t="s">
        <v>179</v>
      </c>
      <c r="F2245" s="366" t="s">
        <v>409</v>
      </c>
      <c r="G2245" s="371" t="s">
        <v>1892</v>
      </c>
      <c r="H2245" s="371"/>
      <c r="I2245" s="173">
        <v>10</v>
      </c>
      <c r="J2245">
        <v>5225</v>
      </c>
      <c r="K2245" s="173">
        <v>3700</v>
      </c>
      <c r="L2245" s="402">
        <f t="shared" si="247"/>
        <v>7.0813397129186608</v>
      </c>
      <c r="M2245" s="173">
        <f t="shared" si="248"/>
        <v>17.081339712918663</v>
      </c>
      <c r="O2245" s="173">
        <f t="shared" si="249"/>
        <v>25.622009569377994</v>
      </c>
      <c r="P2245" s="173">
        <v>35</v>
      </c>
    </row>
    <row r="2246" spans="3:16" hidden="1" x14ac:dyDescent="0.35">
      <c r="C2246" s="232" t="s">
        <v>179</v>
      </c>
      <c r="D2246" s="232" t="s">
        <v>179</v>
      </c>
      <c r="F2246" s="366" t="s">
        <v>412</v>
      </c>
      <c r="G2246" s="371" t="s">
        <v>1892</v>
      </c>
      <c r="H2246" s="371"/>
      <c r="I2246" s="173">
        <v>10</v>
      </c>
      <c r="J2246">
        <v>5225</v>
      </c>
      <c r="K2246" s="173">
        <v>3700</v>
      </c>
      <c r="L2246" s="402">
        <f t="shared" si="247"/>
        <v>7.0813397129186608</v>
      </c>
      <c r="M2246" s="173">
        <f t="shared" si="248"/>
        <v>17.081339712918663</v>
      </c>
      <c r="O2246" s="173">
        <f t="shared" si="249"/>
        <v>25.622009569377994</v>
      </c>
      <c r="P2246" s="173">
        <v>35</v>
      </c>
    </row>
    <row r="2247" spans="3:16" hidden="1" x14ac:dyDescent="0.35">
      <c r="C2247" s="232" t="s">
        <v>179</v>
      </c>
      <c r="D2247" s="232" t="s">
        <v>179</v>
      </c>
      <c r="F2247" s="366" t="s">
        <v>407</v>
      </c>
      <c r="G2247" s="371" t="s">
        <v>1893</v>
      </c>
      <c r="H2247" s="371"/>
      <c r="I2247" s="173">
        <v>10</v>
      </c>
      <c r="J2247">
        <v>5225</v>
      </c>
      <c r="K2247" s="173">
        <v>3700</v>
      </c>
      <c r="L2247" s="402">
        <f t="shared" si="247"/>
        <v>7.0813397129186608</v>
      </c>
      <c r="M2247" s="173">
        <f t="shared" si="248"/>
        <v>17.081339712918663</v>
      </c>
      <c r="O2247" s="173">
        <f t="shared" si="249"/>
        <v>25.622009569377994</v>
      </c>
      <c r="P2247" s="173">
        <v>35</v>
      </c>
    </row>
    <row r="2248" spans="3:16" hidden="1" x14ac:dyDescent="0.35">
      <c r="C2248" s="232" t="s">
        <v>179</v>
      </c>
      <c r="D2248" s="232" t="s">
        <v>179</v>
      </c>
      <c r="F2248" s="366" t="s">
        <v>409</v>
      </c>
      <c r="G2248" s="371" t="s">
        <v>1893</v>
      </c>
      <c r="H2248" s="371"/>
      <c r="I2248" s="173">
        <v>10</v>
      </c>
      <c r="J2248">
        <v>5225</v>
      </c>
      <c r="K2248" s="173">
        <v>3700</v>
      </c>
      <c r="L2248" s="402">
        <f t="shared" si="247"/>
        <v>7.0813397129186608</v>
      </c>
      <c r="M2248" s="173">
        <f t="shared" si="248"/>
        <v>17.081339712918663</v>
      </c>
      <c r="O2248" s="173">
        <f t="shared" si="249"/>
        <v>25.622009569377994</v>
      </c>
      <c r="P2248" s="173">
        <v>35</v>
      </c>
    </row>
    <row r="2249" spans="3:16" hidden="1" x14ac:dyDescent="0.35">
      <c r="C2249" s="232" t="s">
        <v>179</v>
      </c>
      <c r="D2249" s="232" t="s">
        <v>179</v>
      </c>
      <c r="F2249" s="366" t="s">
        <v>412</v>
      </c>
      <c r="G2249" s="371" t="s">
        <v>1893</v>
      </c>
      <c r="H2249" s="371"/>
      <c r="I2249" s="173">
        <v>10</v>
      </c>
      <c r="J2249">
        <v>5225</v>
      </c>
      <c r="K2249" s="173">
        <v>3700</v>
      </c>
      <c r="L2249" s="402">
        <f t="shared" si="247"/>
        <v>7.0813397129186608</v>
      </c>
      <c r="M2249" s="173">
        <f t="shared" si="248"/>
        <v>17.081339712918663</v>
      </c>
      <c r="O2249" s="173">
        <f t="shared" si="249"/>
        <v>25.622009569377994</v>
      </c>
      <c r="P2249" s="173">
        <v>35</v>
      </c>
    </row>
    <row r="2250" spans="3:16" hidden="1" x14ac:dyDescent="0.35">
      <c r="C2250" s="232" t="s">
        <v>179</v>
      </c>
      <c r="D2250" s="232" t="s">
        <v>179</v>
      </c>
      <c r="F2250" s="366" t="s">
        <v>407</v>
      </c>
      <c r="G2250" s="371" t="s">
        <v>1894</v>
      </c>
      <c r="H2250" s="371"/>
      <c r="I2250" s="173">
        <v>10</v>
      </c>
      <c r="J2250">
        <v>5225</v>
      </c>
      <c r="K2250" s="173">
        <v>3700</v>
      </c>
      <c r="L2250" s="402">
        <f t="shared" si="247"/>
        <v>7.0813397129186608</v>
      </c>
      <c r="M2250" s="173">
        <f t="shared" si="248"/>
        <v>17.081339712918663</v>
      </c>
      <c r="O2250" s="173">
        <f t="shared" si="249"/>
        <v>25.622009569377994</v>
      </c>
      <c r="P2250" s="173">
        <v>35</v>
      </c>
    </row>
    <row r="2251" spans="3:16" hidden="1" x14ac:dyDescent="0.35">
      <c r="C2251" s="232" t="s">
        <v>179</v>
      </c>
      <c r="D2251" s="232" t="s">
        <v>179</v>
      </c>
      <c r="F2251" s="366" t="s">
        <v>409</v>
      </c>
      <c r="G2251" s="371" t="s">
        <v>1894</v>
      </c>
      <c r="H2251" s="371"/>
      <c r="I2251" s="173">
        <v>10</v>
      </c>
      <c r="J2251">
        <v>5225</v>
      </c>
      <c r="K2251" s="173">
        <v>3700</v>
      </c>
      <c r="L2251" s="402">
        <f t="shared" si="247"/>
        <v>7.0813397129186608</v>
      </c>
      <c r="M2251" s="173">
        <f t="shared" si="248"/>
        <v>17.081339712918663</v>
      </c>
      <c r="O2251" s="173">
        <f t="shared" si="249"/>
        <v>25.622009569377994</v>
      </c>
      <c r="P2251" s="173">
        <v>35</v>
      </c>
    </row>
    <row r="2252" spans="3:16" hidden="1" x14ac:dyDescent="0.35">
      <c r="C2252" s="232" t="s">
        <v>179</v>
      </c>
      <c r="D2252" s="232" t="s">
        <v>179</v>
      </c>
      <c r="F2252" s="366" t="s">
        <v>412</v>
      </c>
      <c r="G2252" s="371" t="s">
        <v>1894</v>
      </c>
      <c r="H2252" s="371"/>
      <c r="I2252" s="173">
        <v>10</v>
      </c>
      <c r="J2252">
        <v>5225</v>
      </c>
      <c r="K2252" s="173">
        <v>3700</v>
      </c>
      <c r="L2252" s="402">
        <f t="shared" si="247"/>
        <v>7.0813397129186608</v>
      </c>
      <c r="M2252" s="173">
        <f t="shared" si="248"/>
        <v>17.081339712918663</v>
      </c>
      <c r="O2252" s="173">
        <f t="shared" si="249"/>
        <v>25.622009569377994</v>
      </c>
      <c r="P2252" s="173">
        <v>35</v>
      </c>
    </row>
    <row r="2253" spans="3:16" ht="18.5" hidden="1" x14ac:dyDescent="0.45">
      <c r="C2253" s="232"/>
      <c r="D2253" s="232"/>
      <c r="I2253" s="307">
        <f>SUM(I2215:I2252)</f>
        <v>380</v>
      </c>
    </row>
    <row r="2254" spans="3:16" ht="18.5" hidden="1" x14ac:dyDescent="0.45">
      <c r="C2254" s="232"/>
      <c r="D2254" s="232"/>
      <c r="G2254" s="598" t="s">
        <v>66</v>
      </c>
      <c r="H2254" s="598"/>
    </row>
    <row r="2255" spans="3:16" hidden="1" x14ac:dyDescent="0.35">
      <c r="C2255" s="233" t="s">
        <v>833</v>
      </c>
      <c r="E2255" t="s">
        <v>598</v>
      </c>
      <c r="F2255" s="366">
        <v>10</v>
      </c>
      <c r="G2255" s="371" t="s">
        <v>1885</v>
      </c>
      <c r="H2255" s="371"/>
      <c r="I2255" s="173">
        <v>2.2000000000000002</v>
      </c>
      <c r="J2255">
        <v>5225</v>
      </c>
      <c r="K2255" s="173">
        <v>3700</v>
      </c>
      <c r="L2255" s="402">
        <f t="shared" ref="L2255:L2286" si="250">+I2255/J2255*K2255</f>
        <v>1.5578947368421054</v>
      </c>
      <c r="M2255" s="173">
        <f t="shared" ref="M2255:M2286" si="251">+I2255+L2255</f>
        <v>3.7578947368421058</v>
      </c>
      <c r="O2255" s="173">
        <f t="shared" ref="O2255:O2286" si="252">+M2255*1.5</f>
        <v>5.6368421052631588</v>
      </c>
    </row>
    <row r="2256" spans="3:16" hidden="1" x14ac:dyDescent="0.35">
      <c r="C2256" s="233" t="s">
        <v>833</v>
      </c>
      <c r="E2256" t="s">
        <v>598</v>
      </c>
      <c r="F2256" s="366">
        <v>10</v>
      </c>
      <c r="G2256" s="371" t="s">
        <v>1885</v>
      </c>
      <c r="H2256" s="371"/>
      <c r="I2256" s="173">
        <v>2.2000000000000002</v>
      </c>
      <c r="J2256">
        <v>5225</v>
      </c>
      <c r="K2256" s="173">
        <v>3700</v>
      </c>
      <c r="L2256" s="402">
        <f t="shared" si="250"/>
        <v>1.5578947368421054</v>
      </c>
      <c r="M2256" s="173">
        <f t="shared" si="251"/>
        <v>3.7578947368421058</v>
      </c>
      <c r="O2256" s="173">
        <f t="shared" si="252"/>
        <v>5.6368421052631588</v>
      </c>
    </row>
    <row r="2257" spans="3:15" hidden="1" x14ac:dyDescent="0.35">
      <c r="C2257" s="233" t="s">
        <v>833</v>
      </c>
      <c r="E2257" t="s">
        <v>598</v>
      </c>
      <c r="F2257" s="366">
        <v>10</v>
      </c>
      <c r="G2257" s="371" t="s">
        <v>1885</v>
      </c>
      <c r="H2257" s="371"/>
      <c r="I2257" s="173">
        <v>2.2000000000000002</v>
      </c>
      <c r="J2257">
        <v>5225</v>
      </c>
      <c r="K2257" s="173">
        <v>3700</v>
      </c>
      <c r="L2257" s="402">
        <f t="shared" si="250"/>
        <v>1.5578947368421054</v>
      </c>
      <c r="M2257" s="173">
        <f t="shared" si="251"/>
        <v>3.7578947368421058</v>
      </c>
      <c r="O2257" s="173">
        <f t="shared" si="252"/>
        <v>5.6368421052631588</v>
      </c>
    </row>
    <row r="2258" spans="3:15" hidden="1" x14ac:dyDescent="0.35">
      <c r="C2258" s="233" t="s">
        <v>833</v>
      </c>
      <c r="E2258" t="s">
        <v>598</v>
      </c>
      <c r="F2258" s="366">
        <v>10</v>
      </c>
      <c r="G2258" s="371" t="s">
        <v>1885</v>
      </c>
      <c r="H2258" s="371"/>
      <c r="I2258" s="173">
        <v>2.2000000000000002</v>
      </c>
      <c r="J2258">
        <v>5225</v>
      </c>
      <c r="K2258" s="173">
        <v>3700</v>
      </c>
      <c r="L2258" s="402">
        <f t="shared" si="250"/>
        <v>1.5578947368421054</v>
      </c>
      <c r="M2258" s="173">
        <f t="shared" si="251"/>
        <v>3.7578947368421058</v>
      </c>
      <c r="O2258" s="173">
        <f t="shared" si="252"/>
        <v>5.6368421052631588</v>
      </c>
    </row>
    <row r="2259" spans="3:15" hidden="1" x14ac:dyDescent="0.35">
      <c r="C2259" s="233" t="s">
        <v>833</v>
      </c>
      <c r="E2259" t="s">
        <v>598</v>
      </c>
      <c r="F2259" s="366">
        <v>10</v>
      </c>
      <c r="G2259" s="371" t="s">
        <v>1885</v>
      </c>
      <c r="H2259" s="371"/>
      <c r="I2259" s="173">
        <v>2.2000000000000002</v>
      </c>
      <c r="J2259">
        <v>5225</v>
      </c>
      <c r="K2259" s="173">
        <v>3700</v>
      </c>
      <c r="L2259" s="402">
        <f t="shared" si="250"/>
        <v>1.5578947368421054</v>
      </c>
      <c r="M2259" s="173">
        <f t="shared" si="251"/>
        <v>3.7578947368421058</v>
      </c>
      <c r="O2259" s="173">
        <f t="shared" si="252"/>
        <v>5.6368421052631588</v>
      </c>
    </row>
    <row r="2260" spans="3:15" hidden="1" x14ac:dyDescent="0.35">
      <c r="C2260" s="233" t="s">
        <v>833</v>
      </c>
      <c r="E2260" t="s">
        <v>598</v>
      </c>
      <c r="F2260" s="366">
        <v>10</v>
      </c>
      <c r="G2260" s="371" t="s">
        <v>1885</v>
      </c>
      <c r="H2260" s="371"/>
      <c r="I2260" s="173">
        <v>2.2000000000000002</v>
      </c>
      <c r="J2260">
        <v>5225</v>
      </c>
      <c r="K2260" s="173">
        <v>3700</v>
      </c>
      <c r="L2260" s="402">
        <f t="shared" si="250"/>
        <v>1.5578947368421054</v>
      </c>
      <c r="M2260" s="173">
        <f t="shared" si="251"/>
        <v>3.7578947368421058</v>
      </c>
      <c r="O2260" s="173">
        <f t="shared" si="252"/>
        <v>5.6368421052631588</v>
      </c>
    </row>
    <row r="2261" spans="3:15" hidden="1" x14ac:dyDescent="0.35">
      <c r="C2261" s="233" t="s">
        <v>833</v>
      </c>
      <c r="E2261" t="s">
        <v>598</v>
      </c>
      <c r="F2261" s="366">
        <v>10</v>
      </c>
      <c r="G2261" s="371" t="s">
        <v>1885</v>
      </c>
      <c r="H2261" s="371"/>
      <c r="I2261" s="173">
        <v>2.2000000000000002</v>
      </c>
      <c r="J2261">
        <v>5225</v>
      </c>
      <c r="K2261" s="173">
        <v>3700</v>
      </c>
      <c r="L2261" s="402">
        <f t="shared" si="250"/>
        <v>1.5578947368421054</v>
      </c>
      <c r="M2261" s="173">
        <f t="shared" si="251"/>
        <v>3.7578947368421058</v>
      </c>
      <c r="O2261" s="173">
        <f t="shared" si="252"/>
        <v>5.6368421052631588</v>
      </c>
    </row>
    <row r="2262" spans="3:15" hidden="1" x14ac:dyDescent="0.35">
      <c r="C2262" s="233" t="s">
        <v>833</v>
      </c>
      <c r="E2262" t="s">
        <v>598</v>
      </c>
      <c r="F2262" s="366">
        <v>10</v>
      </c>
      <c r="G2262" s="371" t="s">
        <v>1885</v>
      </c>
      <c r="H2262" s="371"/>
      <c r="I2262" s="173">
        <v>2.2000000000000002</v>
      </c>
      <c r="J2262">
        <v>5225</v>
      </c>
      <c r="K2262" s="173">
        <v>3700</v>
      </c>
      <c r="L2262" s="402">
        <f t="shared" si="250"/>
        <v>1.5578947368421054</v>
      </c>
      <c r="M2262" s="173">
        <f t="shared" si="251"/>
        <v>3.7578947368421058</v>
      </c>
      <c r="O2262" s="173">
        <f t="shared" si="252"/>
        <v>5.6368421052631588</v>
      </c>
    </row>
    <row r="2263" spans="3:15" hidden="1" x14ac:dyDescent="0.35">
      <c r="C2263" s="233" t="s">
        <v>833</v>
      </c>
      <c r="E2263" t="s">
        <v>598</v>
      </c>
      <c r="F2263" s="366">
        <v>10</v>
      </c>
      <c r="G2263" s="371" t="s">
        <v>1885</v>
      </c>
      <c r="H2263" s="371"/>
      <c r="I2263" s="173">
        <v>2.2000000000000002</v>
      </c>
      <c r="J2263">
        <v>5225</v>
      </c>
      <c r="K2263" s="173">
        <v>3700</v>
      </c>
      <c r="L2263" s="402">
        <f t="shared" si="250"/>
        <v>1.5578947368421054</v>
      </c>
      <c r="M2263" s="173">
        <f t="shared" si="251"/>
        <v>3.7578947368421058</v>
      </c>
      <c r="O2263" s="173">
        <f t="shared" si="252"/>
        <v>5.6368421052631588</v>
      </c>
    </row>
    <row r="2264" spans="3:15" hidden="1" x14ac:dyDescent="0.35">
      <c r="C2264" s="233" t="s">
        <v>833</v>
      </c>
      <c r="E2264" t="s">
        <v>598</v>
      </c>
      <c r="F2264" s="366">
        <v>10</v>
      </c>
      <c r="G2264" s="371" t="s">
        <v>1885</v>
      </c>
      <c r="H2264" s="371"/>
      <c r="I2264" s="173">
        <v>2.2000000000000002</v>
      </c>
      <c r="J2264">
        <v>5225</v>
      </c>
      <c r="K2264" s="173">
        <v>3700</v>
      </c>
      <c r="L2264" s="402">
        <f t="shared" si="250"/>
        <v>1.5578947368421054</v>
      </c>
      <c r="M2264" s="173">
        <f t="shared" si="251"/>
        <v>3.7578947368421058</v>
      </c>
      <c r="O2264" s="173">
        <f t="shared" si="252"/>
        <v>5.6368421052631588</v>
      </c>
    </row>
    <row r="2265" spans="3:15" hidden="1" x14ac:dyDescent="0.35">
      <c r="C2265" s="233" t="s">
        <v>833</v>
      </c>
      <c r="E2265" t="s">
        <v>598</v>
      </c>
      <c r="F2265" s="366">
        <v>10</v>
      </c>
      <c r="G2265" s="371" t="s">
        <v>1885</v>
      </c>
      <c r="H2265" s="371"/>
      <c r="I2265" s="173">
        <v>2.2000000000000002</v>
      </c>
      <c r="J2265">
        <v>5225</v>
      </c>
      <c r="K2265" s="173">
        <v>3700</v>
      </c>
      <c r="L2265" s="402">
        <f t="shared" si="250"/>
        <v>1.5578947368421054</v>
      </c>
      <c r="M2265" s="173">
        <f t="shared" si="251"/>
        <v>3.7578947368421058</v>
      </c>
      <c r="O2265" s="173">
        <f t="shared" si="252"/>
        <v>5.6368421052631588</v>
      </c>
    </row>
    <row r="2266" spans="3:15" hidden="1" x14ac:dyDescent="0.35">
      <c r="C2266" s="233" t="s">
        <v>833</v>
      </c>
      <c r="E2266" t="s">
        <v>598</v>
      </c>
      <c r="F2266" s="366">
        <v>10</v>
      </c>
      <c r="G2266" s="371" t="s">
        <v>1885</v>
      </c>
      <c r="H2266" s="371"/>
      <c r="I2266" s="173">
        <v>2.2000000000000002</v>
      </c>
      <c r="J2266">
        <v>5225</v>
      </c>
      <c r="K2266" s="173">
        <v>3700</v>
      </c>
      <c r="L2266" s="402">
        <f t="shared" si="250"/>
        <v>1.5578947368421054</v>
      </c>
      <c r="M2266" s="173">
        <f t="shared" si="251"/>
        <v>3.7578947368421058</v>
      </c>
      <c r="O2266" s="173">
        <f t="shared" si="252"/>
        <v>5.6368421052631588</v>
      </c>
    </row>
    <row r="2267" spans="3:15" hidden="1" x14ac:dyDescent="0.35">
      <c r="C2267" s="233" t="s">
        <v>833</v>
      </c>
      <c r="E2267" t="s">
        <v>598</v>
      </c>
      <c r="F2267" s="366">
        <v>10</v>
      </c>
      <c r="G2267" s="371" t="s">
        <v>1885</v>
      </c>
      <c r="H2267" s="371"/>
      <c r="I2267" s="173">
        <v>2.2000000000000002</v>
      </c>
      <c r="J2267">
        <v>5225</v>
      </c>
      <c r="K2267" s="173">
        <v>3700</v>
      </c>
      <c r="L2267" s="402">
        <f t="shared" si="250"/>
        <v>1.5578947368421054</v>
      </c>
      <c r="M2267" s="173">
        <f t="shared" si="251"/>
        <v>3.7578947368421058</v>
      </c>
      <c r="O2267" s="173">
        <f t="shared" si="252"/>
        <v>5.6368421052631588</v>
      </c>
    </row>
    <row r="2268" spans="3:15" hidden="1" x14ac:dyDescent="0.35">
      <c r="C2268" s="233" t="s">
        <v>833</v>
      </c>
      <c r="E2268" t="s">
        <v>598</v>
      </c>
      <c r="F2268" s="366">
        <v>10</v>
      </c>
      <c r="G2268" s="371" t="s">
        <v>1885</v>
      </c>
      <c r="H2268" s="371"/>
      <c r="I2268" s="173">
        <v>2.2000000000000002</v>
      </c>
      <c r="J2268">
        <v>5225</v>
      </c>
      <c r="K2268" s="173">
        <v>3700</v>
      </c>
      <c r="L2268" s="402">
        <f t="shared" si="250"/>
        <v>1.5578947368421054</v>
      </c>
      <c r="M2268" s="173">
        <f t="shared" si="251"/>
        <v>3.7578947368421058</v>
      </c>
      <c r="O2268" s="173">
        <f t="shared" si="252"/>
        <v>5.6368421052631588</v>
      </c>
    </row>
    <row r="2269" spans="3:15" hidden="1" x14ac:dyDescent="0.35">
      <c r="C2269" s="233" t="s">
        <v>833</v>
      </c>
      <c r="E2269" t="s">
        <v>598</v>
      </c>
      <c r="F2269" s="366">
        <v>10</v>
      </c>
      <c r="G2269" s="371" t="s">
        <v>1885</v>
      </c>
      <c r="H2269" s="371"/>
      <c r="I2269" s="173">
        <v>2.2000000000000002</v>
      </c>
      <c r="J2269">
        <v>5225</v>
      </c>
      <c r="K2269" s="173">
        <v>3700</v>
      </c>
      <c r="L2269" s="402">
        <f t="shared" si="250"/>
        <v>1.5578947368421054</v>
      </c>
      <c r="M2269" s="173">
        <f t="shared" si="251"/>
        <v>3.7578947368421058</v>
      </c>
      <c r="O2269" s="173">
        <f t="shared" si="252"/>
        <v>5.6368421052631588</v>
      </c>
    </row>
    <row r="2270" spans="3:15" hidden="1" x14ac:dyDescent="0.35">
      <c r="C2270" s="233" t="s">
        <v>833</v>
      </c>
      <c r="E2270" t="s">
        <v>598</v>
      </c>
      <c r="F2270" s="366">
        <v>10</v>
      </c>
      <c r="G2270" s="371" t="s">
        <v>1885</v>
      </c>
      <c r="H2270" s="371"/>
      <c r="I2270" s="173">
        <v>2.2000000000000002</v>
      </c>
      <c r="J2270">
        <v>5225</v>
      </c>
      <c r="K2270" s="173">
        <v>3700</v>
      </c>
      <c r="L2270" s="402">
        <f t="shared" si="250"/>
        <v>1.5578947368421054</v>
      </c>
      <c r="M2270" s="173">
        <f t="shared" si="251"/>
        <v>3.7578947368421058</v>
      </c>
      <c r="O2270" s="173">
        <f t="shared" si="252"/>
        <v>5.6368421052631588</v>
      </c>
    </row>
    <row r="2271" spans="3:15" hidden="1" x14ac:dyDescent="0.35">
      <c r="C2271" s="233" t="s">
        <v>833</v>
      </c>
      <c r="E2271" t="s">
        <v>598</v>
      </c>
      <c r="F2271" s="366">
        <v>10</v>
      </c>
      <c r="G2271" s="371" t="s">
        <v>1885</v>
      </c>
      <c r="H2271" s="371"/>
      <c r="I2271" s="173">
        <v>2.2000000000000002</v>
      </c>
      <c r="J2271">
        <v>5225</v>
      </c>
      <c r="K2271" s="173">
        <v>3700</v>
      </c>
      <c r="L2271" s="402">
        <f t="shared" si="250"/>
        <v>1.5578947368421054</v>
      </c>
      <c r="M2271" s="173">
        <f t="shared" si="251"/>
        <v>3.7578947368421058</v>
      </c>
      <c r="O2271" s="173">
        <f t="shared" si="252"/>
        <v>5.6368421052631588</v>
      </c>
    </row>
    <row r="2272" spans="3:15" hidden="1" x14ac:dyDescent="0.35">
      <c r="C2272" s="233" t="s">
        <v>833</v>
      </c>
      <c r="E2272" t="s">
        <v>598</v>
      </c>
      <c r="F2272" s="366">
        <v>10</v>
      </c>
      <c r="G2272" s="371" t="s">
        <v>1885</v>
      </c>
      <c r="H2272" s="371"/>
      <c r="I2272" s="173">
        <v>2.2000000000000002</v>
      </c>
      <c r="J2272">
        <v>5225</v>
      </c>
      <c r="K2272" s="173">
        <v>3700</v>
      </c>
      <c r="L2272" s="402">
        <f t="shared" si="250"/>
        <v>1.5578947368421054</v>
      </c>
      <c r="M2272" s="173">
        <f t="shared" si="251"/>
        <v>3.7578947368421058</v>
      </c>
      <c r="O2272" s="173">
        <f t="shared" si="252"/>
        <v>5.6368421052631588</v>
      </c>
    </row>
    <row r="2273" spans="3:15" hidden="1" x14ac:dyDescent="0.35">
      <c r="C2273" s="233" t="s">
        <v>833</v>
      </c>
      <c r="E2273" t="s">
        <v>598</v>
      </c>
      <c r="F2273" s="366">
        <v>10</v>
      </c>
      <c r="G2273" s="371" t="s">
        <v>1885</v>
      </c>
      <c r="H2273" s="371"/>
      <c r="I2273" s="173">
        <v>2.2000000000000002</v>
      </c>
      <c r="J2273">
        <v>5225</v>
      </c>
      <c r="K2273" s="173">
        <v>3700</v>
      </c>
      <c r="L2273" s="402">
        <f t="shared" si="250"/>
        <v>1.5578947368421054</v>
      </c>
      <c r="M2273" s="173">
        <f t="shared" si="251"/>
        <v>3.7578947368421058</v>
      </c>
      <c r="O2273" s="173">
        <f t="shared" si="252"/>
        <v>5.6368421052631588</v>
      </c>
    </row>
    <row r="2274" spans="3:15" hidden="1" x14ac:dyDescent="0.35">
      <c r="C2274" s="233" t="s">
        <v>833</v>
      </c>
      <c r="E2274" t="s">
        <v>598</v>
      </c>
      <c r="F2274" s="366">
        <v>10</v>
      </c>
      <c r="G2274" s="371" t="s">
        <v>1885</v>
      </c>
      <c r="H2274" s="371"/>
      <c r="I2274" s="173">
        <v>2.2000000000000002</v>
      </c>
      <c r="J2274">
        <v>5225</v>
      </c>
      <c r="K2274" s="173">
        <v>3700</v>
      </c>
      <c r="L2274" s="402">
        <f t="shared" si="250"/>
        <v>1.5578947368421054</v>
      </c>
      <c r="M2274" s="173">
        <f t="shared" si="251"/>
        <v>3.7578947368421058</v>
      </c>
      <c r="O2274" s="173">
        <f t="shared" si="252"/>
        <v>5.6368421052631588</v>
      </c>
    </row>
    <row r="2275" spans="3:15" hidden="1" x14ac:dyDescent="0.35">
      <c r="C2275" s="233" t="s">
        <v>833</v>
      </c>
      <c r="E2275" t="s">
        <v>598</v>
      </c>
      <c r="F2275" s="366">
        <v>10</v>
      </c>
      <c r="G2275" s="371" t="s">
        <v>1885</v>
      </c>
      <c r="H2275" s="371"/>
      <c r="I2275" s="173">
        <v>2.2000000000000002</v>
      </c>
      <c r="J2275">
        <v>5225</v>
      </c>
      <c r="K2275" s="173">
        <v>3700</v>
      </c>
      <c r="L2275" s="402">
        <f t="shared" si="250"/>
        <v>1.5578947368421054</v>
      </c>
      <c r="M2275" s="173">
        <f t="shared" si="251"/>
        <v>3.7578947368421058</v>
      </c>
      <c r="O2275" s="173">
        <f t="shared" si="252"/>
        <v>5.6368421052631588</v>
      </c>
    </row>
    <row r="2276" spans="3:15" hidden="1" x14ac:dyDescent="0.35">
      <c r="C2276" s="233" t="s">
        <v>833</v>
      </c>
      <c r="E2276" t="s">
        <v>598</v>
      </c>
      <c r="F2276" s="366">
        <v>10</v>
      </c>
      <c r="G2276" s="371" t="s">
        <v>1885</v>
      </c>
      <c r="H2276" s="371"/>
      <c r="I2276" s="173">
        <v>2.2000000000000002</v>
      </c>
      <c r="J2276">
        <v>5225</v>
      </c>
      <c r="K2276" s="173">
        <v>3700</v>
      </c>
      <c r="L2276" s="402">
        <f t="shared" si="250"/>
        <v>1.5578947368421054</v>
      </c>
      <c r="M2276" s="173">
        <f t="shared" si="251"/>
        <v>3.7578947368421058</v>
      </c>
      <c r="O2276" s="173">
        <f t="shared" si="252"/>
        <v>5.6368421052631588</v>
      </c>
    </row>
    <row r="2277" spans="3:15" hidden="1" x14ac:dyDescent="0.35">
      <c r="C2277" s="233" t="s">
        <v>833</v>
      </c>
      <c r="E2277" t="s">
        <v>598</v>
      </c>
      <c r="F2277" s="366">
        <v>10</v>
      </c>
      <c r="G2277" s="371" t="s">
        <v>1885</v>
      </c>
      <c r="H2277" s="371"/>
      <c r="I2277" s="173">
        <v>2.2000000000000002</v>
      </c>
      <c r="J2277">
        <v>5225</v>
      </c>
      <c r="K2277" s="173">
        <v>3700</v>
      </c>
      <c r="L2277" s="402">
        <f t="shared" si="250"/>
        <v>1.5578947368421054</v>
      </c>
      <c r="M2277" s="173">
        <f t="shared" si="251"/>
        <v>3.7578947368421058</v>
      </c>
      <c r="O2277" s="173">
        <f t="shared" si="252"/>
        <v>5.6368421052631588</v>
      </c>
    </row>
    <row r="2278" spans="3:15" hidden="1" x14ac:dyDescent="0.35">
      <c r="C2278" s="233" t="s">
        <v>833</v>
      </c>
      <c r="E2278" t="s">
        <v>598</v>
      </c>
      <c r="F2278" s="366">
        <v>10</v>
      </c>
      <c r="G2278" s="371" t="s">
        <v>1885</v>
      </c>
      <c r="H2278" s="371"/>
      <c r="I2278" s="173">
        <v>2.2000000000000002</v>
      </c>
      <c r="J2278">
        <v>5225</v>
      </c>
      <c r="K2278" s="173">
        <v>3700</v>
      </c>
      <c r="L2278" s="402">
        <f t="shared" si="250"/>
        <v>1.5578947368421054</v>
      </c>
      <c r="M2278" s="173">
        <f t="shared" si="251"/>
        <v>3.7578947368421058</v>
      </c>
      <c r="O2278" s="173">
        <f t="shared" si="252"/>
        <v>5.6368421052631588</v>
      </c>
    </row>
    <row r="2279" spans="3:15" hidden="1" x14ac:dyDescent="0.35">
      <c r="C2279" s="233" t="s">
        <v>833</v>
      </c>
      <c r="E2279" t="s">
        <v>760</v>
      </c>
      <c r="F2279" s="366">
        <v>8</v>
      </c>
      <c r="G2279" s="371" t="s">
        <v>1823</v>
      </c>
      <c r="H2279" s="371"/>
      <c r="I2279" s="173">
        <v>1.8</v>
      </c>
      <c r="J2279">
        <v>5225</v>
      </c>
      <c r="K2279" s="173">
        <v>3700</v>
      </c>
      <c r="L2279" s="402">
        <f t="shared" si="250"/>
        <v>1.2746411483253588</v>
      </c>
      <c r="M2279" s="173">
        <f t="shared" si="251"/>
        <v>3.0746411483253588</v>
      </c>
      <c r="O2279" s="173">
        <f t="shared" si="252"/>
        <v>4.6119617224880383</v>
      </c>
    </row>
    <row r="2280" spans="3:15" hidden="1" x14ac:dyDescent="0.35">
      <c r="C2280" s="233" t="s">
        <v>833</v>
      </c>
      <c r="E2280" t="s">
        <v>760</v>
      </c>
      <c r="F2280" s="366">
        <v>8</v>
      </c>
      <c r="G2280" s="371" t="s">
        <v>1823</v>
      </c>
      <c r="H2280" s="371"/>
      <c r="I2280" s="173">
        <v>1.8</v>
      </c>
      <c r="J2280">
        <v>5225</v>
      </c>
      <c r="K2280" s="173">
        <v>3700</v>
      </c>
      <c r="L2280" s="402">
        <f t="shared" si="250"/>
        <v>1.2746411483253588</v>
      </c>
      <c r="M2280" s="173">
        <f t="shared" si="251"/>
        <v>3.0746411483253588</v>
      </c>
      <c r="O2280" s="173">
        <f t="shared" si="252"/>
        <v>4.6119617224880383</v>
      </c>
    </row>
    <row r="2281" spans="3:15" hidden="1" x14ac:dyDescent="0.35">
      <c r="C2281" s="233" t="s">
        <v>833</v>
      </c>
      <c r="E2281" t="s">
        <v>760</v>
      </c>
      <c r="F2281" s="366">
        <v>8</v>
      </c>
      <c r="G2281" s="371" t="s">
        <v>1823</v>
      </c>
      <c r="H2281" s="371"/>
      <c r="I2281" s="173">
        <v>1.8</v>
      </c>
      <c r="J2281">
        <v>5225</v>
      </c>
      <c r="K2281" s="173">
        <v>3700</v>
      </c>
      <c r="L2281" s="402">
        <f t="shared" si="250"/>
        <v>1.2746411483253588</v>
      </c>
      <c r="M2281" s="173">
        <f t="shared" si="251"/>
        <v>3.0746411483253588</v>
      </c>
      <c r="O2281" s="173">
        <f t="shared" si="252"/>
        <v>4.6119617224880383</v>
      </c>
    </row>
    <row r="2282" spans="3:15" hidden="1" x14ac:dyDescent="0.35">
      <c r="C2282" s="233" t="s">
        <v>833</v>
      </c>
      <c r="E2282" t="s">
        <v>760</v>
      </c>
      <c r="F2282" s="366">
        <v>8</v>
      </c>
      <c r="G2282" s="371" t="s">
        <v>1823</v>
      </c>
      <c r="H2282" s="371"/>
      <c r="I2282" s="173">
        <v>1.8</v>
      </c>
      <c r="J2282">
        <v>5225</v>
      </c>
      <c r="K2282" s="173">
        <v>3700</v>
      </c>
      <c r="L2282" s="402">
        <f t="shared" si="250"/>
        <v>1.2746411483253588</v>
      </c>
      <c r="M2282" s="173">
        <f t="shared" si="251"/>
        <v>3.0746411483253588</v>
      </c>
      <c r="O2282" s="173">
        <f t="shared" si="252"/>
        <v>4.6119617224880383</v>
      </c>
    </row>
    <row r="2283" spans="3:15" hidden="1" x14ac:dyDescent="0.35">
      <c r="C2283" s="233" t="s">
        <v>833</v>
      </c>
      <c r="E2283" t="s">
        <v>760</v>
      </c>
      <c r="F2283" s="366">
        <v>8</v>
      </c>
      <c r="G2283" s="371" t="s">
        <v>1823</v>
      </c>
      <c r="H2283" s="371"/>
      <c r="I2283" s="173">
        <v>1.8</v>
      </c>
      <c r="J2283">
        <v>5225</v>
      </c>
      <c r="K2283" s="173">
        <v>3700</v>
      </c>
      <c r="L2283" s="402">
        <f t="shared" si="250"/>
        <v>1.2746411483253588</v>
      </c>
      <c r="M2283" s="173">
        <f t="shared" si="251"/>
        <v>3.0746411483253588</v>
      </c>
      <c r="O2283" s="173">
        <f t="shared" si="252"/>
        <v>4.6119617224880383</v>
      </c>
    </row>
    <row r="2284" spans="3:15" hidden="1" x14ac:dyDescent="0.35">
      <c r="C2284" s="233" t="s">
        <v>833</v>
      </c>
      <c r="E2284" t="s">
        <v>760</v>
      </c>
      <c r="F2284" s="366">
        <v>8</v>
      </c>
      <c r="G2284" s="371" t="s">
        <v>1823</v>
      </c>
      <c r="H2284" s="371"/>
      <c r="I2284" s="173">
        <v>1.8</v>
      </c>
      <c r="J2284">
        <v>5225</v>
      </c>
      <c r="K2284" s="173">
        <v>3700</v>
      </c>
      <c r="L2284" s="402">
        <f t="shared" si="250"/>
        <v>1.2746411483253588</v>
      </c>
      <c r="M2284" s="173">
        <f t="shared" si="251"/>
        <v>3.0746411483253588</v>
      </c>
      <c r="O2284" s="173">
        <f t="shared" si="252"/>
        <v>4.6119617224880383</v>
      </c>
    </row>
    <row r="2285" spans="3:15" hidden="1" x14ac:dyDescent="0.35">
      <c r="C2285" s="233" t="s">
        <v>833</v>
      </c>
      <c r="E2285" t="s">
        <v>760</v>
      </c>
      <c r="F2285" s="366">
        <v>8</v>
      </c>
      <c r="G2285" s="371" t="s">
        <v>1823</v>
      </c>
      <c r="H2285" s="371"/>
      <c r="I2285" s="173">
        <v>1.8</v>
      </c>
      <c r="J2285">
        <v>5225</v>
      </c>
      <c r="K2285" s="173">
        <v>3700</v>
      </c>
      <c r="L2285" s="402">
        <f t="shared" si="250"/>
        <v>1.2746411483253588</v>
      </c>
      <c r="M2285" s="173">
        <f t="shared" si="251"/>
        <v>3.0746411483253588</v>
      </c>
      <c r="O2285" s="173">
        <f t="shared" si="252"/>
        <v>4.6119617224880383</v>
      </c>
    </row>
    <row r="2286" spans="3:15" hidden="1" x14ac:dyDescent="0.35">
      <c r="C2286" s="233" t="s">
        <v>833</v>
      </c>
      <c r="E2286" t="s">
        <v>760</v>
      </c>
      <c r="F2286" s="366">
        <v>8</v>
      </c>
      <c r="G2286" s="371" t="s">
        <v>1823</v>
      </c>
      <c r="H2286" s="371"/>
      <c r="I2286" s="173">
        <v>1.8</v>
      </c>
      <c r="J2286">
        <v>5225</v>
      </c>
      <c r="K2286" s="173">
        <v>3700</v>
      </c>
      <c r="L2286" s="402">
        <f t="shared" si="250"/>
        <v>1.2746411483253588</v>
      </c>
      <c r="M2286" s="173">
        <f t="shared" si="251"/>
        <v>3.0746411483253588</v>
      </c>
      <c r="O2286" s="173">
        <f t="shared" si="252"/>
        <v>4.6119617224880383</v>
      </c>
    </row>
    <row r="2287" spans="3:15" hidden="1" x14ac:dyDescent="0.35">
      <c r="C2287" s="233" t="s">
        <v>833</v>
      </c>
      <c r="E2287" t="s">
        <v>760</v>
      </c>
      <c r="F2287" s="366">
        <v>8</v>
      </c>
      <c r="G2287" s="371" t="s">
        <v>1823</v>
      </c>
      <c r="H2287" s="371"/>
      <c r="I2287" s="173">
        <v>1.8</v>
      </c>
      <c r="J2287">
        <v>5225</v>
      </c>
      <c r="K2287" s="173">
        <v>3700</v>
      </c>
      <c r="L2287" s="402">
        <f t="shared" ref="L2287:L2318" si="253">+I2287/J2287*K2287</f>
        <v>1.2746411483253588</v>
      </c>
      <c r="M2287" s="173">
        <f t="shared" ref="M2287:M2318" si="254">+I2287+L2287</f>
        <v>3.0746411483253588</v>
      </c>
      <c r="O2287" s="173">
        <f t="shared" ref="O2287:O2318" si="255">+M2287*1.5</f>
        <v>4.6119617224880383</v>
      </c>
    </row>
    <row r="2288" spans="3:15" hidden="1" x14ac:dyDescent="0.35">
      <c r="C2288" s="233" t="s">
        <v>833</v>
      </c>
      <c r="E2288" t="s">
        <v>760</v>
      </c>
      <c r="F2288" s="366">
        <v>8</v>
      </c>
      <c r="G2288" s="371" t="s">
        <v>1823</v>
      </c>
      <c r="H2288" s="371"/>
      <c r="I2288" s="173">
        <v>1.8</v>
      </c>
      <c r="J2288">
        <v>5225</v>
      </c>
      <c r="K2288" s="173">
        <v>3700</v>
      </c>
      <c r="L2288" s="402">
        <f t="shared" si="253"/>
        <v>1.2746411483253588</v>
      </c>
      <c r="M2288" s="173">
        <f t="shared" si="254"/>
        <v>3.0746411483253588</v>
      </c>
      <c r="O2288" s="173">
        <f t="shared" si="255"/>
        <v>4.6119617224880383</v>
      </c>
    </row>
    <row r="2289" spans="3:15" hidden="1" x14ac:dyDescent="0.35">
      <c r="C2289" s="233" t="s">
        <v>833</v>
      </c>
      <c r="E2289" t="s">
        <v>760</v>
      </c>
      <c r="F2289" s="366">
        <v>8</v>
      </c>
      <c r="G2289" s="371" t="s">
        <v>1823</v>
      </c>
      <c r="H2289" s="371"/>
      <c r="I2289" s="173">
        <v>1.8</v>
      </c>
      <c r="J2289">
        <v>5225</v>
      </c>
      <c r="K2289" s="173">
        <v>3700</v>
      </c>
      <c r="L2289" s="402">
        <f t="shared" si="253"/>
        <v>1.2746411483253588</v>
      </c>
      <c r="M2289" s="173">
        <f t="shared" si="254"/>
        <v>3.0746411483253588</v>
      </c>
      <c r="O2289" s="173">
        <f t="shared" si="255"/>
        <v>4.6119617224880383</v>
      </c>
    </row>
    <row r="2290" spans="3:15" hidden="1" x14ac:dyDescent="0.35">
      <c r="C2290" s="233" t="s">
        <v>833</v>
      </c>
      <c r="E2290" t="s">
        <v>760</v>
      </c>
      <c r="F2290" s="366">
        <v>8</v>
      </c>
      <c r="G2290" s="371" t="s">
        <v>1823</v>
      </c>
      <c r="H2290" s="371"/>
      <c r="I2290" s="173">
        <v>1.8</v>
      </c>
      <c r="J2290">
        <v>5225</v>
      </c>
      <c r="K2290" s="173">
        <v>3700</v>
      </c>
      <c r="L2290" s="402">
        <f t="shared" si="253"/>
        <v>1.2746411483253588</v>
      </c>
      <c r="M2290" s="173">
        <f t="shared" si="254"/>
        <v>3.0746411483253588</v>
      </c>
      <c r="O2290" s="173">
        <f t="shared" si="255"/>
        <v>4.6119617224880383</v>
      </c>
    </row>
    <row r="2291" spans="3:15" hidden="1" x14ac:dyDescent="0.35">
      <c r="C2291" s="233" t="s">
        <v>833</v>
      </c>
      <c r="E2291" t="s">
        <v>760</v>
      </c>
      <c r="F2291" s="366">
        <v>8</v>
      </c>
      <c r="G2291" s="371" t="s">
        <v>90</v>
      </c>
      <c r="H2291" s="371"/>
      <c r="I2291" s="173">
        <v>1.8</v>
      </c>
      <c r="J2291">
        <v>5225</v>
      </c>
      <c r="K2291" s="173">
        <v>3700</v>
      </c>
      <c r="L2291" s="402">
        <f t="shared" si="253"/>
        <v>1.2746411483253588</v>
      </c>
      <c r="M2291" s="173">
        <f t="shared" si="254"/>
        <v>3.0746411483253588</v>
      </c>
      <c r="O2291" s="173">
        <f t="shared" si="255"/>
        <v>4.6119617224880383</v>
      </c>
    </row>
    <row r="2292" spans="3:15" hidden="1" x14ac:dyDescent="0.35">
      <c r="C2292" s="233" t="s">
        <v>833</v>
      </c>
      <c r="E2292" t="s">
        <v>760</v>
      </c>
      <c r="F2292" s="366">
        <v>8</v>
      </c>
      <c r="G2292" s="371" t="s">
        <v>90</v>
      </c>
      <c r="H2292" s="371"/>
      <c r="I2292" s="173">
        <v>1.8</v>
      </c>
      <c r="J2292">
        <v>5225</v>
      </c>
      <c r="K2292" s="173">
        <v>3700</v>
      </c>
      <c r="L2292" s="402">
        <f t="shared" si="253"/>
        <v>1.2746411483253588</v>
      </c>
      <c r="M2292" s="173">
        <f t="shared" si="254"/>
        <v>3.0746411483253588</v>
      </c>
      <c r="O2292" s="173">
        <f t="shared" si="255"/>
        <v>4.6119617224880383</v>
      </c>
    </row>
    <row r="2293" spans="3:15" hidden="1" x14ac:dyDescent="0.35">
      <c r="C2293" s="233" t="s">
        <v>833</v>
      </c>
      <c r="E2293" t="s">
        <v>760</v>
      </c>
      <c r="F2293" s="366">
        <v>8</v>
      </c>
      <c r="G2293" s="371" t="s">
        <v>90</v>
      </c>
      <c r="H2293" s="371"/>
      <c r="I2293" s="173">
        <v>1.8</v>
      </c>
      <c r="J2293">
        <v>5225</v>
      </c>
      <c r="K2293" s="173">
        <v>3700</v>
      </c>
      <c r="L2293" s="402">
        <f t="shared" si="253"/>
        <v>1.2746411483253588</v>
      </c>
      <c r="M2293" s="173">
        <f t="shared" si="254"/>
        <v>3.0746411483253588</v>
      </c>
      <c r="O2293" s="173">
        <f t="shared" si="255"/>
        <v>4.6119617224880383</v>
      </c>
    </row>
    <row r="2294" spans="3:15" hidden="1" x14ac:dyDescent="0.35">
      <c r="C2294" s="233" t="s">
        <v>833</v>
      </c>
      <c r="E2294" t="s">
        <v>760</v>
      </c>
      <c r="F2294" s="366">
        <v>8</v>
      </c>
      <c r="G2294" s="371" t="s">
        <v>90</v>
      </c>
      <c r="H2294" s="371"/>
      <c r="I2294" s="173">
        <v>1.8</v>
      </c>
      <c r="J2294">
        <v>5225</v>
      </c>
      <c r="K2294" s="173">
        <v>3700</v>
      </c>
      <c r="L2294" s="402">
        <f t="shared" si="253"/>
        <v>1.2746411483253588</v>
      </c>
      <c r="M2294" s="173">
        <f t="shared" si="254"/>
        <v>3.0746411483253588</v>
      </c>
      <c r="O2294" s="173">
        <f t="shared" si="255"/>
        <v>4.6119617224880383</v>
      </c>
    </row>
    <row r="2295" spans="3:15" hidden="1" x14ac:dyDescent="0.35">
      <c r="C2295" s="233" t="s">
        <v>833</v>
      </c>
      <c r="E2295" t="s">
        <v>760</v>
      </c>
      <c r="F2295" s="366">
        <v>8</v>
      </c>
      <c r="G2295" s="371" t="s">
        <v>90</v>
      </c>
      <c r="H2295" s="371"/>
      <c r="I2295" s="173">
        <v>1.8</v>
      </c>
      <c r="J2295">
        <v>5225</v>
      </c>
      <c r="K2295" s="173">
        <v>3700</v>
      </c>
      <c r="L2295" s="402">
        <f t="shared" si="253"/>
        <v>1.2746411483253588</v>
      </c>
      <c r="M2295" s="173">
        <f t="shared" si="254"/>
        <v>3.0746411483253588</v>
      </c>
      <c r="O2295" s="173">
        <f t="shared" si="255"/>
        <v>4.6119617224880383</v>
      </c>
    </row>
    <row r="2296" spans="3:15" hidden="1" x14ac:dyDescent="0.35">
      <c r="C2296" s="233" t="s">
        <v>833</v>
      </c>
      <c r="E2296" t="s">
        <v>760</v>
      </c>
      <c r="F2296" s="366">
        <v>8</v>
      </c>
      <c r="G2296" s="371" t="s">
        <v>90</v>
      </c>
      <c r="H2296" s="371"/>
      <c r="I2296" s="173">
        <v>1.8</v>
      </c>
      <c r="J2296">
        <v>5225</v>
      </c>
      <c r="K2296" s="173">
        <v>3700</v>
      </c>
      <c r="L2296" s="402">
        <f t="shared" si="253"/>
        <v>1.2746411483253588</v>
      </c>
      <c r="M2296" s="173">
        <f t="shared" si="254"/>
        <v>3.0746411483253588</v>
      </c>
      <c r="O2296" s="173">
        <f t="shared" si="255"/>
        <v>4.6119617224880383</v>
      </c>
    </row>
    <row r="2297" spans="3:15" hidden="1" x14ac:dyDescent="0.35">
      <c r="C2297" s="233" t="s">
        <v>833</v>
      </c>
      <c r="E2297" t="s">
        <v>760</v>
      </c>
      <c r="F2297" s="366">
        <v>8</v>
      </c>
      <c r="G2297" s="371" t="s">
        <v>90</v>
      </c>
      <c r="H2297" s="371"/>
      <c r="I2297" s="173">
        <v>1.8</v>
      </c>
      <c r="J2297">
        <v>5225</v>
      </c>
      <c r="K2297" s="173">
        <v>3700</v>
      </c>
      <c r="L2297" s="402">
        <f t="shared" si="253"/>
        <v>1.2746411483253588</v>
      </c>
      <c r="M2297" s="173">
        <f t="shared" si="254"/>
        <v>3.0746411483253588</v>
      </c>
      <c r="O2297" s="173">
        <f t="shared" si="255"/>
        <v>4.6119617224880383</v>
      </c>
    </row>
    <row r="2298" spans="3:15" hidden="1" x14ac:dyDescent="0.35">
      <c r="C2298" s="233" t="s">
        <v>833</v>
      </c>
      <c r="E2298" t="s">
        <v>760</v>
      </c>
      <c r="F2298" s="366">
        <v>8</v>
      </c>
      <c r="G2298" s="371" t="s">
        <v>90</v>
      </c>
      <c r="H2298" s="371"/>
      <c r="I2298" s="173">
        <v>1.8</v>
      </c>
      <c r="J2298">
        <v>5225</v>
      </c>
      <c r="K2298" s="173">
        <v>3700</v>
      </c>
      <c r="L2298" s="402">
        <f t="shared" si="253"/>
        <v>1.2746411483253588</v>
      </c>
      <c r="M2298" s="173">
        <f t="shared" si="254"/>
        <v>3.0746411483253588</v>
      </c>
      <c r="O2298" s="173">
        <f t="shared" si="255"/>
        <v>4.6119617224880383</v>
      </c>
    </row>
    <row r="2299" spans="3:15" hidden="1" x14ac:dyDescent="0.35">
      <c r="C2299" s="233" t="s">
        <v>833</v>
      </c>
      <c r="E2299" t="s">
        <v>760</v>
      </c>
      <c r="F2299" s="366">
        <v>8</v>
      </c>
      <c r="G2299" s="371" t="s">
        <v>90</v>
      </c>
      <c r="H2299" s="371"/>
      <c r="I2299" s="173">
        <v>1.8</v>
      </c>
      <c r="J2299">
        <v>5225</v>
      </c>
      <c r="K2299" s="173">
        <v>3700</v>
      </c>
      <c r="L2299" s="402">
        <f t="shared" si="253"/>
        <v>1.2746411483253588</v>
      </c>
      <c r="M2299" s="173">
        <f t="shared" si="254"/>
        <v>3.0746411483253588</v>
      </c>
      <c r="O2299" s="173">
        <f t="shared" si="255"/>
        <v>4.6119617224880383</v>
      </c>
    </row>
    <row r="2300" spans="3:15" hidden="1" x14ac:dyDescent="0.35">
      <c r="C2300" s="233" t="s">
        <v>833</v>
      </c>
      <c r="E2300" t="s">
        <v>760</v>
      </c>
      <c r="F2300" s="366">
        <v>8</v>
      </c>
      <c r="G2300" s="371" t="s">
        <v>90</v>
      </c>
      <c r="H2300" s="371"/>
      <c r="I2300" s="173">
        <v>1.8</v>
      </c>
      <c r="J2300">
        <v>5225</v>
      </c>
      <c r="K2300" s="173">
        <v>3700</v>
      </c>
      <c r="L2300" s="402">
        <f t="shared" si="253"/>
        <v>1.2746411483253588</v>
      </c>
      <c r="M2300" s="173">
        <f t="shared" si="254"/>
        <v>3.0746411483253588</v>
      </c>
      <c r="O2300" s="173">
        <f t="shared" si="255"/>
        <v>4.6119617224880383</v>
      </c>
    </row>
    <row r="2301" spans="3:15" hidden="1" x14ac:dyDescent="0.35">
      <c r="C2301" s="233" t="s">
        <v>833</v>
      </c>
      <c r="E2301" t="s">
        <v>760</v>
      </c>
      <c r="F2301" s="366">
        <v>8</v>
      </c>
      <c r="G2301" s="371" t="s">
        <v>90</v>
      </c>
      <c r="H2301" s="371"/>
      <c r="I2301" s="173">
        <v>1.8</v>
      </c>
      <c r="J2301">
        <v>5225</v>
      </c>
      <c r="K2301" s="173">
        <v>3700</v>
      </c>
      <c r="L2301" s="402">
        <f t="shared" si="253"/>
        <v>1.2746411483253588</v>
      </c>
      <c r="M2301" s="173">
        <f t="shared" si="254"/>
        <v>3.0746411483253588</v>
      </c>
      <c r="O2301" s="173">
        <f t="shared" si="255"/>
        <v>4.6119617224880383</v>
      </c>
    </row>
    <row r="2302" spans="3:15" hidden="1" x14ac:dyDescent="0.35">
      <c r="C2302" s="233" t="s">
        <v>833</v>
      </c>
      <c r="E2302" t="s">
        <v>760</v>
      </c>
      <c r="F2302" s="366">
        <v>8</v>
      </c>
      <c r="G2302" s="371" t="s">
        <v>90</v>
      </c>
      <c r="H2302" s="371"/>
      <c r="I2302" s="173">
        <v>1.8</v>
      </c>
      <c r="J2302">
        <v>5225</v>
      </c>
      <c r="K2302" s="173">
        <v>3700</v>
      </c>
      <c r="L2302" s="402">
        <f t="shared" si="253"/>
        <v>1.2746411483253588</v>
      </c>
      <c r="M2302" s="173">
        <f t="shared" si="254"/>
        <v>3.0746411483253588</v>
      </c>
      <c r="O2302" s="173">
        <f t="shared" si="255"/>
        <v>4.6119617224880383</v>
      </c>
    </row>
    <row r="2303" spans="3:15" hidden="1" x14ac:dyDescent="0.35">
      <c r="C2303" s="233" t="s">
        <v>833</v>
      </c>
      <c r="E2303" t="s">
        <v>760</v>
      </c>
      <c r="F2303" s="366">
        <v>8</v>
      </c>
      <c r="G2303" s="371" t="s">
        <v>1885</v>
      </c>
      <c r="H2303" s="371"/>
      <c r="I2303" s="173">
        <v>1.8</v>
      </c>
      <c r="J2303">
        <v>5225</v>
      </c>
      <c r="K2303" s="173">
        <v>3700</v>
      </c>
      <c r="L2303" s="402">
        <f t="shared" si="253"/>
        <v>1.2746411483253588</v>
      </c>
      <c r="M2303" s="173">
        <f t="shared" si="254"/>
        <v>3.0746411483253588</v>
      </c>
      <c r="O2303" s="173">
        <f t="shared" si="255"/>
        <v>4.6119617224880383</v>
      </c>
    </row>
    <row r="2304" spans="3:15" hidden="1" x14ac:dyDescent="0.35">
      <c r="C2304" s="233" t="s">
        <v>833</v>
      </c>
      <c r="E2304" t="s">
        <v>760</v>
      </c>
      <c r="F2304" s="366">
        <v>8</v>
      </c>
      <c r="G2304" s="371" t="s">
        <v>1885</v>
      </c>
      <c r="H2304" s="371"/>
      <c r="I2304" s="173">
        <v>1.8</v>
      </c>
      <c r="J2304">
        <v>5225</v>
      </c>
      <c r="K2304" s="173">
        <v>3700</v>
      </c>
      <c r="L2304" s="402">
        <f t="shared" si="253"/>
        <v>1.2746411483253588</v>
      </c>
      <c r="M2304" s="173">
        <f t="shared" si="254"/>
        <v>3.0746411483253588</v>
      </c>
      <c r="O2304" s="173">
        <f t="shared" si="255"/>
        <v>4.6119617224880383</v>
      </c>
    </row>
    <row r="2305" spans="3:15" hidden="1" x14ac:dyDescent="0.35">
      <c r="C2305" s="233" t="s">
        <v>833</v>
      </c>
      <c r="E2305" t="s">
        <v>760</v>
      </c>
      <c r="F2305" s="366">
        <v>8</v>
      </c>
      <c r="G2305" s="371" t="s">
        <v>1885</v>
      </c>
      <c r="H2305" s="371"/>
      <c r="I2305" s="173">
        <v>1.8</v>
      </c>
      <c r="J2305">
        <v>5225</v>
      </c>
      <c r="K2305" s="173">
        <v>3700</v>
      </c>
      <c r="L2305" s="402">
        <f t="shared" si="253"/>
        <v>1.2746411483253588</v>
      </c>
      <c r="M2305" s="173">
        <f t="shared" si="254"/>
        <v>3.0746411483253588</v>
      </c>
      <c r="O2305" s="173">
        <f t="shared" si="255"/>
        <v>4.6119617224880383</v>
      </c>
    </row>
    <row r="2306" spans="3:15" hidden="1" x14ac:dyDescent="0.35">
      <c r="C2306" s="233" t="s">
        <v>833</v>
      </c>
      <c r="E2306" t="s">
        <v>760</v>
      </c>
      <c r="F2306" s="366">
        <v>8</v>
      </c>
      <c r="G2306" s="371" t="s">
        <v>1885</v>
      </c>
      <c r="H2306" s="371"/>
      <c r="I2306" s="173">
        <v>1.8</v>
      </c>
      <c r="J2306">
        <v>5225</v>
      </c>
      <c r="K2306" s="173">
        <v>3700</v>
      </c>
      <c r="L2306" s="402">
        <f t="shared" si="253"/>
        <v>1.2746411483253588</v>
      </c>
      <c r="M2306" s="173">
        <f t="shared" si="254"/>
        <v>3.0746411483253588</v>
      </c>
      <c r="O2306" s="173">
        <f t="shared" si="255"/>
        <v>4.6119617224880383</v>
      </c>
    </row>
    <row r="2307" spans="3:15" hidden="1" x14ac:dyDescent="0.35">
      <c r="C2307" s="233" t="s">
        <v>833</v>
      </c>
      <c r="E2307" t="s">
        <v>760</v>
      </c>
      <c r="F2307" s="366">
        <v>8</v>
      </c>
      <c r="G2307" s="371" t="s">
        <v>1885</v>
      </c>
      <c r="H2307" s="371"/>
      <c r="I2307" s="173">
        <v>1.8</v>
      </c>
      <c r="J2307">
        <v>5225</v>
      </c>
      <c r="K2307" s="173">
        <v>3700</v>
      </c>
      <c r="L2307" s="402">
        <f t="shared" si="253"/>
        <v>1.2746411483253588</v>
      </c>
      <c r="M2307" s="173">
        <f t="shared" si="254"/>
        <v>3.0746411483253588</v>
      </c>
      <c r="O2307" s="173">
        <f t="shared" si="255"/>
        <v>4.6119617224880383</v>
      </c>
    </row>
    <row r="2308" spans="3:15" hidden="1" x14ac:dyDescent="0.35">
      <c r="C2308" s="233" t="s">
        <v>833</v>
      </c>
      <c r="E2308" t="s">
        <v>760</v>
      </c>
      <c r="F2308" s="366">
        <v>8</v>
      </c>
      <c r="G2308" s="371" t="s">
        <v>1885</v>
      </c>
      <c r="H2308" s="371"/>
      <c r="I2308" s="173">
        <v>1.8</v>
      </c>
      <c r="J2308">
        <v>5225</v>
      </c>
      <c r="K2308" s="173">
        <v>3700</v>
      </c>
      <c r="L2308" s="402">
        <f t="shared" si="253"/>
        <v>1.2746411483253588</v>
      </c>
      <c r="M2308" s="173">
        <f t="shared" si="254"/>
        <v>3.0746411483253588</v>
      </c>
      <c r="O2308" s="173">
        <f t="shared" si="255"/>
        <v>4.6119617224880383</v>
      </c>
    </row>
    <row r="2309" spans="3:15" hidden="1" x14ac:dyDescent="0.35">
      <c r="C2309" s="233" t="s">
        <v>833</v>
      </c>
      <c r="E2309" t="s">
        <v>760</v>
      </c>
      <c r="F2309" s="366">
        <v>8</v>
      </c>
      <c r="G2309" s="371" t="s">
        <v>1885</v>
      </c>
      <c r="H2309" s="371"/>
      <c r="I2309" s="173">
        <v>1.8</v>
      </c>
      <c r="J2309">
        <v>5225</v>
      </c>
      <c r="K2309" s="173">
        <v>3700</v>
      </c>
      <c r="L2309" s="402">
        <f t="shared" si="253"/>
        <v>1.2746411483253588</v>
      </c>
      <c r="M2309" s="173">
        <f t="shared" si="254"/>
        <v>3.0746411483253588</v>
      </c>
      <c r="O2309" s="173">
        <f t="shared" si="255"/>
        <v>4.6119617224880383</v>
      </c>
    </row>
    <row r="2310" spans="3:15" hidden="1" x14ac:dyDescent="0.35">
      <c r="C2310" s="233" t="s">
        <v>833</v>
      </c>
      <c r="E2310" t="s">
        <v>760</v>
      </c>
      <c r="F2310" s="366">
        <v>8</v>
      </c>
      <c r="G2310" s="371" t="s">
        <v>1885</v>
      </c>
      <c r="H2310" s="371"/>
      <c r="I2310" s="173">
        <v>1.8</v>
      </c>
      <c r="J2310">
        <v>5225</v>
      </c>
      <c r="K2310" s="173">
        <v>3700</v>
      </c>
      <c r="L2310" s="402">
        <f t="shared" si="253"/>
        <v>1.2746411483253588</v>
      </c>
      <c r="M2310" s="173">
        <f t="shared" si="254"/>
        <v>3.0746411483253588</v>
      </c>
      <c r="O2310" s="173">
        <f t="shared" si="255"/>
        <v>4.6119617224880383</v>
      </c>
    </row>
    <row r="2311" spans="3:15" hidden="1" x14ac:dyDescent="0.35">
      <c r="C2311" s="233" t="s">
        <v>833</v>
      </c>
      <c r="E2311" t="s">
        <v>760</v>
      </c>
      <c r="F2311" s="366">
        <v>8</v>
      </c>
      <c r="G2311" s="371" t="s">
        <v>1885</v>
      </c>
      <c r="H2311" s="371"/>
      <c r="I2311" s="173">
        <v>1.8</v>
      </c>
      <c r="J2311">
        <v>5225</v>
      </c>
      <c r="K2311" s="173">
        <v>3700</v>
      </c>
      <c r="L2311" s="402">
        <f t="shared" si="253"/>
        <v>1.2746411483253588</v>
      </c>
      <c r="M2311" s="173">
        <f t="shared" si="254"/>
        <v>3.0746411483253588</v>
      </c>
      <c r="O2311" s="173">
        <f t="shared" si="255"/>
        <v>4.6119617224880383</v>
      </c>
    </row>
    <row r="2312" spans="3:15" hidden="1" x14ac:dyDescent="0.35">
      <c r="C2312" s="233" t="s">
        <v>833</v>
      </c>
      <c r="E2312" t="s">
        <v>760</v>
      </c>
      <c r="F2312" s="366">
        <v>8</v>
      </c>
      <c r="G2312" s="371" t="s">
        <v>1885</v>
      </c>
      <c r="H2312" s="371"/>
      <c r="I2312" s="173">
        <v>1.8</v>
      </c>
      <c r="J2312">
        <v>5225</v>
      </c>
      <c r="K2312" s="173">
        <v>3700</v>
      </c>
      <c r="L2312" s="402">
        <f t="shared" si="253"/>
        <v>1.2746411483253588</v>
      </c>
      <c r="M2312" s="173">
        <f t="shared" si="254"/>
        <v>3.0746411483253588</v>
      </c>
      <c r="O2312" s="173">
        <f t="shared" si="255"/>
        <v>4.6119617224880383</v>
      </c>
    </row>
    <row r="2313" spans="3:15" hidden="1" x14ac:dyDescent="0.35">
      <c r="C2313" s="233" t="s">
        <v>833</v>
      </c>
      <c r="E2313" t="s">
        <v>760</v>
      </c>
      <c r="F2313" s="366">
        <v>8</v>
      </c>
      <c r="G2313" s="371" t="s">
        <v>1885</v>
      </c>
      <c r="H2313" s="371"/>
      <c r="I2313" s="173">
        <v>1.8</v>
      </c>
      <c r="J2313">
        <v>5225</v>
      </c>
      <c r="K2313" s="173">
        <v>3700</v>
      </c>
      <c r="L2313" s="402">
        <f t="shared" si="253"/>
        <v>1.2746411483253588</v>
      </c>
      <c r="M2313" s="173">
        <f t="shared" si="254"/>
        <v>3.0746411483253588</v>
      </c>
      <c r="O2313" s="173">
        <f t="shared" si="255"/>
        <v>4.6119617224880383</v>
      </c>
    </row>
    <row r="2314" spans="3:15" hidden="1" x14ac:dyDescent="0.35">
      <c r="C2314" s="233" t="s">
        <v>833</v>
      </c>
      <c r="E2314" t="s">
        <v>760</v>
      </c>
      <c r="F2314" s="366">
        <v>8</v>
      </c>
      <c r="G2314" s="371" t="s">
        <v>1885</v>
      </c>
      <c r="H2314" s="371"/>
      <c r="I2314" s="173">
        <v>1.8</v>
      </c>
      <c r="J2314">
        <v>5225</v>
      </c>
      <c r="K2314" s="173">
        <v>3700</v>
      </c>
      <c r="L2314" s="402">
        <f t="shared" si="253"/>
        <v>1.2746411483253588</v>
      </c>
      <c r="M2314" s="173">
        <f t="shared" si="254"/>
        <v>3.0746411483253588</v>
      </c>
      <c r="O2314" s="173">
        <f t="shared" si="255"/>
        <v>4.6119617224880383</v>
      </c>
    </row>
    <row r="2315" spans="3:15" hidden="1" x14ac:dyDescent="0.35">
      <c r="C2315" s="233" t="s">
        <v>833</v>
      </c>
      <c r="E2315" t="s">
        <v>412</v>
      </c>
      <c r="F2315" s="366">
        <v>6</v>
      </c>
      <c r="G2315" s="371" t="s">
        <v>1886</v>
      </c>
      <c r="H2315" s="371"/>
      <c r="I2315" s="173">
        <v>1.8</v>
      </c>
      <c r="J2315">
        <v>5225</v>
      </c>
      <c r="K2315" s="173">
        <v>3700</v>
      </c>
      <c r="L2315" s="402">
        <f t="shared" si="253"/>
        <v>1.2746411483253588</v>
      </c>
      <c r="M2315" s="173">
        <f t="shared" si="254"/>
        <v>3.0746411483253588</v>
      </c>
      <c r="O2315" s="173">
        <f t="shared" si="255"/>
        <v>4.6119617224880383</v>
      </c>
    </row>
    <row r="2316" spans="3:15" hidden="1" x14ac:dyDescent="0.35">
      <c r="C2316" s="233" t="s">
        <v>833</v>
      </c>
      <c r="E2316" t="s">
        <v>412</v>
      </c>
      <c r="F2316" s="366">
        <v>6</v>
      </c>
      <c r="G2316" s="371" t="s">
        <v>1886</v>
      </c>
      <c r="H2316" s="371"/>
      <c r="I2316" s="173">
        <v>1.8</v>
      </c>
      <c r="J2316">
        <v>5225</v>
      </c>
      <c r="K2316" s="173">
        <v>3700</v>
      </c>
      <c r="L2316" s="402">
        <f t="shared" si="253"/>
        <v>1.2746411483253588</v>
      </c>
      <c r="M2316" s="173">
        <f t="shared" si="254"/>
        <v>3.0746411483253588</v>
      </c>
      <c r="O2316" s="173">
        <f t="shared" si="255"/>
        <v>4.6119617224880383</v>
      </c>
    </row>
    <row r="2317" spans="3:15" hidden="1" x14ac:dyDescent="0.35">
      <c r="C2317" s="233" t="s">
        <v>833</v>
      </c>
      <c r="E2317" t="s">
        <v>412</v>
      </c>
      <c r="F2317" s="366">
        <v>6</v>
      </c>
      <c r="G2317" s="371" t="s">
        <v>1886</v>
      </c>
      <c r="H2317" s="371"/>
      <c r="I2317" s="173">
        <v>1.8</v>
      </c>
      <c r="J2317">
        <v>5225</v>
      </c>
      <c r="K2317" s="173">
        <v>3700</v>
      </c>
      <c r="L2317" s="402">
        <f t="shared" si="253"/>
        <v>1.2746411483253588</v>
      </c>
      <c r="M2317" s="173">
        <f t="shared" si="254"/>
        <v>3.0746411483253588</v>
      </c>
      <c r="O2317" s="173">
        <f t="shared" si="255"/>
        <v>4.6119617224880383</v>
      </c>
    </row>
    <row r="2318" spans="3:15" hidden="1" x14ac:dyDescent="0.35">
      <c r="C2318" s="233" t="s">
        <v>833</v>
      </c>
      <c r="E2318" t="s">
        <v>412</v>
      </c>
      <c r="F2318" s="366">
        <v>6</v>
      </c>
      <c r="G2318" s="371" t="s">
        <v>1886</v>
      </c>
      <c r="H2318" s="371"/>
      <c r="I2318" s="173">
        <v>1.8</v>
      </c>
      <c r="J2318">
        <v>5225</v>
      </c>
      <c r="K2318" s="173">
        <v>3700</v>
      </c>
      <c r="L2318" s="402">
        <f t="shared" si="253"/>
        <v>1.2746411483253588</v>
      </c>
      <c r="M2318" s="173">
        <f t="shared" si="254"/>
        <v>3.0746411483253588</v>
      </c>
      <c r="O2318" s="173">
        <f t="shared" si="255"/>
        <v>4.6119617224880383</v>
      </c>
    </row>
    <row r="2319" spans="3:15" hidden="1" x14ac:dyDescent="0.35">
      <c r="C2319" s="233" t="s">
        <v>833</v>
      </c>
      <c r="E2319" t="s">
        <v>412</v>
      </c>
      <c r="F2319" s="366">
        <v>6</v>
      </c>
      <c r="G2319" s="371" t="s">
        <v>1886</v>
      </c>
      <c r="H2319" s="371"/>
      <c r="I2319" s="173">
        <v>1.8</v>
      </c>
      <c r="J2319">
        <v>5225</v>
      </c>
      <c r="K2319" s="173">
        <v>3700</v>
      </c>
      <c r="L2319" s="402">
        <f t="shared" ref="L2319:L2350" si="256">+I2319/J2319*K2319</f>
        <v>1.2746411483253588</v>
      </c>
      <c r="M2319" s="173">
        <f t="shared" ref="M2319:M2350" si="257">+I2319+L2319</f>
        <v>3.0746411483253588</v>
      </c>
      <c r="O2319" s="173">
        <f t="shared" ref="O2319:O2350" si="258">+M2319*1.5</f>
        <v>4.6119617224880383</v>
      </c>
    </row>
    <row r="2320" spans="3:15" hidden="1" x14ac:dyDescent="0.35">
      <c r="C2320" s="233" t="s">
        <v>833</v>
      </c>
      <c r="E2320" t="s">
        <v>412</v>
      </c>
      <c r="F2320" s="366">
        <v>6</v>
      </c>
      <c r="G2320" s="371" t="s">
        <v>1886</v>
      </c>
      <c r="H2320" s="371"/>
      <c r="I2320" s="173">
        <v>1.8</v>
      </c>
      <c r="J2320">
        <v>5225</v>
      </c>
      <c r="K2320" s="173">
        <v>3700</v>
      </c>
      <c r="L2320" s="402">
        <f t="shared" si="256"/>
        <v>1.2746411483253588</v>
      </c>
      <c r="M2320" s="173">
        <f t="shared" si="257"/>
        <v>3.0746411483253588</v>
      </c>
      <c r="O2320" s="173">
        <f t="shared" si="258"/>
        <v>4.6119617224880383</v>
      </c>
    </row>
    <row r="2321" spans="3:15" hidden="1" x14ac:dyDescent="0.35">
      <c r="C2321" s="233" t="s">
        <v>833</v>
      </c>
      <c r="E2321" t="s">
        <v>412</v>
      </c>
      <c r="F2321" s="366">
        <v>6</v>
      </c>
      <c r="G2321" s="371" t="s">
        <v>1886</v>
      </c>
      <c r="H2321" s="371"/>
      <c r="I2321" s="173">
        <v>1.8</v>
      </c>
      <c r="J2321">
        <v>5225</v>
      </c>
      <c r="K2321" s="173">
        <v>3700</v>
      </c>
      <c r="L2321" s="402">
        <f t="shared" si="256"/>
        <v>1.2746411483253588</v>
      </c>
      <c r="M2321" s="173">
        <f t="shared" si="257"/>
        <v>3.0746411483253588</v>
      </c>
      <c r="O2321" s="173">
        <f t="shared" si="258"/>
        <v>4.6119617224880383</v>
      </c>
    </row>
    <row r="2322" spans="3:15" hidden="1" x14ac:dyDescent="0.35">
      <c r="C2322" s="233" t="s">
        <v>833</v>
      </c>
      <c r="E2322" t="s">
        <v>412</v>
      </c>
      <c r="F2322" s="366">
        <v>6</v>
      </c>
      <c r="G2322" s="371" t="s">
        <v>1886</v>
      </c>
      <c r="H2322" s="371"/>
      <c r="I2322" s="173">
        <v>1.8</v>
      </c>
      <c r="J2322">
        <v>5225</v>
      </c>
      <c r="K2322" s="173">
        <v>3700</v>
      </c>
      <c r="L2322" s="402">
        <f t="shared" si="256"/>
        <v>1.2746411483253588</v>
      </c>
      <c r="M2322" s="173">
        <f t="shared" si="257"/>
        <v>3.0746411483253588</v>
      </c>
      <c r="O2322" s="173">
        <f t="shared" si="258"/>
        <v>4.6119617224880383</v>
      </c>
    </row>
    <row r="2323" spans="3:15" hidden="1" x14ac:dyDescent="0.35">
      <c r="C2323" s="233" t="s">
        <v>833</v>
      </c>
      <c r="E2323" t="s">
        <v>412</v>
      </c>
      <c r="F2323" s="366">
        <v>6</v>
      </c>
      <c r="G2323" s="371" t="s">
        <v>1886</v>
      </c>
      <c r="H2323" s="371"/>
      <c r="I2323" s="173">
        <v>1.8</v>
      </c>
      <c r="J2323">
        <v>5225</v>
      </c>
      <c r="K2323" s="173">
        <v>3700</v>
      </c>
      <c r="L2323" s="402">
        <f t="shared" si="256"/>
        <v>1.2746411483253588</v>
      </c>
      <c r="M2323" s="173">
        <f t="shared" si="257"/>
        <v>3.0746411483253588</v>
      </c>
      <c r="O2323" s="173">
        <f t="shared" si="258"/>
        <v>4.6119617224880383</v>
      </c>
    </row>
    <row r="2324" spans="3:15" hidden="1" x14ac:dyDescent="0.35">
      <c r="C2324" s="233" t="s">
        <v>833</v>
      </c>
      <c r="E2324" t="s">
        <v>412</v>
      </c>
      <c r="F2324" s="366">
        <v>6</v>
      </c>
      <c r="G2324" s="371" t="s">
        <v>1886</v>
      </c>
      <c r="H2324" s="371"/>
      <c r="I2324" s="173">
        <v>1.8</v>
      </c>
      <c r="J2324">
        <v>5225</v>
      </c>
      <c r="K2324" s="173">
        <v>3700</v>
      </c>
      <c r="L2324" s="402">
        <f t="shared" si="256"/>
        <v>1.2746411483253588</v>
      </c>
      <c r="M2324" s="173">
        <f t="shared" si="257"/>
        <v>3.0746411483253588</v>
      </c>
      <c r="O2324" s="173">
        <f t="shared" si="258"/>
        <v>4.6119617224880383</v>
      </c>
    </row>
    <row r="2325" spans="3:15" hidden="1" x14ac:dyDescent="0.35">
      <c r="C2325" s="233" t="s">
        <v>833</v>
      </c>
      <c r="E2325" t="s">
        <v>412</v>
      </c>
      <c r="F2325" s="366">
        <v>6</v>
      </c>
      <c r="G2325" s="371" t="s">
        <v>1886</v>
      </c>
      <c r="H2325" s="371"/>
      <c r="I2325" s="173">
        <v>1.8</v>
      </c>
      <c r="J2325">
        <v>5225</v>
      </c>
      <c r="K2325" s="173">
        <v>3700</v>
      </c>
      <c r="L2325" s="402">
        <f t="shared" si="256"/>
        <v>1.2746411483253588</v>
      </c>
      <c r="M2325" s="173">
        <f t="shared" si="257"/>
        <v>3.0746411483253588</v>
      </c>
      <c r="O2325" s="173">
        <f t="shared" si="258"/>
        <v>4.6119617224880383</v>
      </c>
    </row>
    <row r="2326" spans="3:15" hidden="1" x14ac:dyDescent="0.35">
      <c r="C2326" s="233" t="s">
        <v>833</v>
      </c>
      <c r="E2326" t="s">
        <v>412</v>
      </c>
      <c r="F2326" s="366">
        <v>6</v>
      </c>
      <c r="G2326" s="371" t="s">
        <v>1886</v>
      </c>
      <c r="H2326" s="371"/>
      <c r="I2326" s="173">
        <v>1.8</v>
      </c>
      <c r="J2326">
        <v>5225</v>
      </c>
      <c r="K2326" s="173">
        <v>3700</v>
      </c>
      <c r="L2326" s="402">
        <f t="shared" si="256"/>
        <v>1.2746411483253588</v>
      </c>
      <c r="M2326" s="173">
        <f t="shared" si="257"/>
        <v>3.0746411483253588</v>
      </c>
      <c r="O2326" s="173">
        <f t="shared" si="258"/>
        <v>4.6119617224880383</v>
      </c>
    </row>
    <row r="2327" spans="3:15" hidden="1" x14ac:dyDescent="0.35">
      <c r="C2327" s="233" t="s">
        <v>833</v>
      </c>
      <c r="E2327" t="s">
        <v>412</v>
      </c>
      <c r="F2327" s="366">
        <v>6</v>
      </c>
      <c r="G2327" s="371" t="s">
        <v>1822</v>
      </c>
      <c r="H2327" s="371"/>
      <c r="I2327" s="173">
        <v>1.8</v>
      </c>
      <c r="J2327">
        <v>5225</v>
      </c>
      <c r="K2327" s="173">
        <v>3700</v>
      </c>
      <c r="L2327" s="402">
        <f t="shared" si="256"/>
        <v>1.2746411483253588</v>
      </c>
      <c r="M2327" s="173">
        <f t="shared" si="257"/>
        <v>3.0746411483253588</v>
      </c>
      <c r="O2327" s="173">
        <f t="shared" si="258"/>
        <v>4.6119617224880383</v>
      </c>
    </row>
    <row r="2328" spans="3:15" hidden="1" x14ac:dyDescent="0.35">
      <c r="C2328" s="233" t="s">
        <v>833</v>
      </c>
      <c r="E2328" t="s">
        <v>412</v>
      </c>
      <c r="F2328" s="366">
        <v>6</v>
      </c>
      <c r="G2328" s="371" t="s">
        <v>1822</v>
      </c>
      <c r="H2328" s="371"/>
      <c r="I2328" s="173">
        <v>1.8</v>
      </c>
      <c r="J2328">
        <v>5225</v>
      </c>
      <c r="K2328" s="173">
        <v>3700</v>
      </c>
      <c r="L2328" s="402">
        <f t="shared" si="256"/>
        <v>1.2746411483253588</v>
      </c>
      <c r="M2328" s="173">
        <f t="shared" si="257"/>
        <v>3.0746411483253588</v>
      </c>
      <c r="O2328" s="173">
        <f t="shared" si="258"/>
        <v>4.6119617224880383</v>
      </c>
    </row>
    <row r="2329" spans="3:15" hidden="1" x14ac:dyDescent="0.35">
      <c r="C2329" s="233" t="s">
        <v>833</v>
      </c>
      <c r="E2329" t="s">
        <v>412</v>
      </c>
      <c r="F2329" s="366">
        <v>6</v>
      </c>
      <c r="G2329" s="371" t="s">
        <v>1822</v>
      </c>
      <c r="H2329" s="371"/>
      <c r="I2329" s="173">
        <v>1.8</v>
      </c>
      <c r="J2329">
        <v>5225</v>
      </c>
      <c r="K2329" s="173">
        <v>3700</v>
      </c>
      <c r="L2329" s="402">
        <f t="shared" si="256"/>
        <v>1.2746411483253588</v>
      </c>
      <c r="M2329" s="173">
        <f t="shared" si="257"/>
        <v>3.0746411483253588</v>
      </c>
      <c r="O2329" s="173">
        <f t="shared" si="258"/>
        <v>4.6119617224880383</v>
      </c>
    </row>
    <row r="2330" spans="3:15" hidden="1" x14ac:dyDescent="0.35">
      <c r="C2330" s="233" t="s">
        <v>833</v>
      </c>
      <c r="E2330" t="s">
        <v>412</v>
      </c>
      <c r="F2330" s="366">
        <v>6</v>
      </c>
      <c r="G2330" s="371" t="s">
        <v>1822</v>
      </c>
      <c r="H2330" s="371"/>
      <c r="I2330" s="173">
        <v>1.8</v>
      </c>
      <c r="J2330">
        <v>5225</v>
      </c>
      <c r="K2330" s="173">
        <v>3700</v>
      </c>
      <c r="L2330" s="402">
        <f t="shared" si="256"/>
        <v>1.2746411483253588</v>
      </c>
      <c r="M2330" s="173">
        <f t="shared" si="257"/>
        <v>3.0746411483253588</v>
      </c>
      <c r="O2330" s="173">
        <f t="shared" si="258"/>
        <v>4.6119617224880383</v>
      </c>
    </row>
    <row r="2331" spans="3:15" hidden="1" x14ac:dyDescent="0.35">
      <c r="C2331" s="233" t="s">
        <v>833</v>
      </c>
      <c r="E2331" t="s">
        <v>412</v>
      </c>
      <c r="F2331" s="366">
        <v>6</v>
      </c>
      <c r="G2331" s="371" t="s">
        <v>1822</v>
      </c>
      <c r="H2331" s="371"/>
      <c r="I2331" s="173">
        <v>1.8</v>
      </c>
      <c r="J2331">
        <v>5225</v>
      </c>
      <c r="K2331" s="173">
        <v>3700</v>
      </c>
      <c r="L2331" s="402">
        <f t="shared" si="256"/>
        <v>1.2746411483253588</v>
      </c>
      <c r="M2331" s="173">
        <f t="shared" si="257"/>
        <v>3.0746411483253588</v>
      </c>
      <c r="O2331" s="173">
        <f t="shared" si="258"/>
        <v>4.6119617224880383</v>
      </c>
    </row>
    <row r="2332" spans="3:15" hidden="1" x14ac:dyDescent="0.35">
      <c r="C2332" s="233" t="s">
        <v>833</v>
      </c>
      <c r="E2332" t="s">
        <v>412</v>
      </c>
      <c r="F2332" s="366">
        <v>6</v>
      </c>
      <c r="G2332" s="371" t="s">
        <v>1822</v>
      </c>
      <c r="H2332" s="371"/>
      <c r="I2332" s="173">
        <v>1.8</v>
      </c>
      <c r="J2332">
        <v>5225</v>
      </c>
      <c r="K2332" s="173">
        <v>3700</v>
      </c>
      <c r="L2332" s="402">
        <f t="shared" si="256"/>
        <v>1.2746411483253588</v>
      </c>
      <c r="M2332" s="173">
        <f t="shared" si="257"/>
        <v>3.0746411483253588</v>
      </c>
      <c r="O2332" s="173">
        <f t="shared" si="258"/>
        <v>4.6119617224880383</v>
      </c>
    </row>
    <row r="2333" spans="3:15" hidden="1" x14ac:dyDescent="0.35">
      <c r="C2333" s="233" t="s">
        <v>833</v>
      </c>
      <c r="E2333" t="s">
        <v>412</v>
      </c>
      <c r="F2333" s="366">
        <v>6</v>
      </c>
      <c r="G2333" s="371" t="s">
        <v>1822</v>
      </c>
      <c r="H2333" s="371"/>
      <c r="I2333" s="173">
        <v>1.8</v>
      </c>
      <c r="J2333">
        <v>5225</v>
      </c>
      <c r="K2333" s="173">
        <v>3700</v>
      </c>
      <c r="L2333" s="402">
        <f t="shared" si="256"/>
        <v>1.2746411483253588</v>
      </c>
      <c r="M2333" s="173">
        <f t="shared" si="257"/>
        <v>3.0746411483253588</v>
      </c>
      <c r="O2333" s="173">
        <f t="shared" si="258"/>
        <v>4.6119617224880383</v>
      </c>
    </row>
    <row r="2334" spans="3:15" hidden="1" x14ac:dyDescent="0.35">
      <c r="C2334" s="233" t="s">
        <v>833</v>
      </c>
      <c r="E2334" t="s">
        <v>412</v>
      </c>
      <c r="F2334" s="366">
        <v>6</v>
      </c>
      <c r="G2334" s="371" t="s">
        <v>1822</v>
      </c>
      <c r="H2334" s="371"/>
      <c r="I2334" s="173">
        <v>1.8</v>
      </c>
      <c r="J2334">
        <v>5225</v>
      </c>
      <c r="K2334" s="173">
        <v>3700</v>
      </c>
      <c r="L2334" s="402">
        <f t="shared" si="256"/>
        <v>1.2746411483253588</v>
      </c>
      <c r="M2334" s="173">
        <f t="shared" si="257"/>
        <v>3.0746411483253588</v>
      </c>
      <c r="O2334" s="173">
        <f t="shared" si="258"/>
        <v>4.6119617224880383</v>
      </c>
    </row>
    <row r="2335" spans="3:15" hidden="1" x14ac:dyDescent="0.35">
      <c r="C2335" s="233" t="s">
        <v>833</v>
      </c>
      <c r="E2335" t="s">
        <v>412</v>
      </c>
      <c r="F2335" s="366">
        <v>6</v>
      </c>
      <c r="G2335" s="371" t="s">
        <v>1822</v>
      </c>
      <c r="H2335" s="371"/>
      <c r="I2335" s="173">
        <v>1.8</v>
      </c>
      <c r="J2335">
        <v>5225</v>
      </c>
      <c r="K2335" s="173">
        <v>3700</v>
      </c>
      <c r="L2335" s="402">
        <f t="shared" si="256"/>
        <v>1.2746411483253588</v>
      </c>
      <c r="M2335" s="173">
        <f t="shared" si="257"/>
        <v>3.0746411483253588</v>
      </c>
      <c r="O2335" s="173">
        <f t="shared" si="258"/>
        <v>4.6119617224880383</v>
      </c>
    </row>
    <row r="2336" spans="3:15" hidden="1" x14ac:dyDescent="0.35">
      <c r="C2336" s="233" t="s">
        <v>833</v>
      </c>
      <c r="E2336" t="s">
        <v>412</v>
      </c>
      <c r="F2336" s="366">
        <v>6</v>
      </c>
      <c r="G2336" s="371" t="s">
        <v>1822</v>
      </c>
      <c r="H2336" s="371"/>
      <c r="I2336" s="173">
        <v>1.8</v>
      </c>
      <c r="J2336">
        <v>5225</v>
      </c>
      <c r="K2336" s="173">
        <v>3700</v>
      </c>
      <c r="L2336" s="402">
        <f t="shared" si="256"/>
        <v>1.2746411483253588</v>
      </c>
      <c r="M2336" s="173">
        <f t="shared" si="257"/>
        <v>3.0746411483253588</v>
      </c>
      <c r="O2336" s="173">
        <f t="shared" si="258"/>
        <v>4.6119617224880383</v>
      </c>
    </row>
    <row r="2337" spans="3:15" hidden="1" x14ac:dyDescent="0.35">
      <c r="C2337" s="233" t="s">
        <v>833</v>
      </c>
      <c r="E2337" t="s">
        <v>412</v>
      </c>
      <c r="F2337" s="366">
        <v>6</v>
      </c>
      <c r="G2337" s="371" t="s">
        <v>1822</v>
      </c>
      <c r="H2337" s="371"/>
      <c r="I2337" s="173">
        <v>1.8</v>
      </c>
      <c r="J2337">
        <v>5225</v>
      </c>
      <c r="K2337" s="173">
        <v>3700</v>
      </c>
      <c r="L2337" s="402">
        <f t="shared" si="256"/>
        <v>1.2746411483253588</v>
      </c>
      <c r="M2337" s="173">
        <f t="shared" si="257"/>
        <v>3.0746411483253588</v>
      </c>
      <c r="O2337" s="173">
        <f t="shared" si="258"/>
        <v>4.6119617224880383</v>
      </c>
    </row>
    <row r="2338" spans="3:15" hidden="1" x14ac:dyDescent="0.35">
      <c r="C2338" s="233" t="s">
        <v>833</v>
      </c>
      <c r="E2338" t="s">
        <v>412</v>
      </c>
      <c r="F2338" s="366">
        <v>6</v>
      </c>
      <c r="G2338" s="371" t="s">
        <v>1822</v>
      </c>
      <c r="H2338" s="371"/>
      <c r="I2338" s="173">
        <v>1.8</v>
      </c>
      <c r="J2338">
        <v>5225</v>
      </c>
      <c r="K2338" s="173">
        <v>3700</v>
      </c>
      <c r="L2338" s="402">
        <f t="shared" si="256"/>
        <v>1.2746411483253588</v>
      </c>
      <c r="M2338" s="173">
        <f t="shared" si="257"/>
        <v>3.0746411483253588</v>
      </c>
      <c r="O2338" s="173">
        <f t="shared" si="258"/>
        <v>4.6119617224880383</v>
      </c>
    </row>
    <row r="2339" spans="3:15" hidden="1" x14ac:dyDescent="0.35">
      <c r="C2339" s="233" t="s">
        <v>833</v>
      </c>
      <c r="E2339" t="s">
        <v>412</v>
      </c>
      <c r="F2339" s="366">
        <v>6</v>
      </c>
      <c r="G2339" s="371" t="s">
        <v>1824</v>
      </c>
      <c r="H2339" s="371"/>
      <c r="I2339" s="173">
        <v>1.8</v>
      </c>
      <c r="J2339">
        <v>5225</v>
      </c>
      <c r="K2339" s="173">
        <v>3700</v>
      </c>
      <c r="L2339" s="402">
        <f t="shared" si="256"/>
        <v>1.2746411483253588</v>
      </c>
      <c r="M2339" s="173">
        <f t="shared" si="257"/>
        <v>3.0746411483253588</v>
      </c>
      <c r="O2339" s="173">
        <f t="shared" si="258"/>
        <v>4.6119617224880383</v>
      </c>
    </row>
    <row r="2340" spans="3:15" hidden="1" x14ac:dyDescent="0.35">
      <c r="C2340" s="233" t="s">
        <v>833</v>
      </c>
      <c r="E2340" t="s">
        <v>412</v>
      </c>
      <c r="F2340" s="366">
        <v>6</v>
      </c>
      <c r="G2340" s="371" t="s">
        <v>1824</v>
      </c>
      <c r="H2340" s="371"/>
      <c r="I2340" s="173">
        <v>1.8</v>
      </c>
      <c r="J2340">
        <v>5225</v>
      </c>
      <c r="K2340" s="173">
        <v>3700</v>
      </c>
      <c r="L2340" s="402">
        <f t="shared" si="256"/>
        <v>1.2746411483253588</v>
      </c>
      <c r="M2340" s="173">
        <f t="shared" si="257"/>
        <v>3.0746411483253588</v>
      </c>
      <c r="O2340" s="173">
        <f t="shared" si="258"/>
        <v>4.6119617224880383</v>
      </c>
    </row>
    <row r="2341" spans="3:15" hidden="1" x14ac:dyDescent="0.35">
      <c r="C2341" s="233" t="s">
        <v>833</v>
      </c>
      <c r="E2341" t="s">
        <v>412</v>
      </c>
      <c r="F2341" s="366">
        <v>6</v>
      </c>
      <c r="G2341" s="371" t="s">
        <v>1824</v>
      </c>
      <c r="H2341" s="371"/>
      <c r="I2341" s="173">
        <v>1.8</v>
      </c>
      <c r="J2341">
        <v>5225</v>
      </c>
      <c r="K2341" s="173">
        <v>3700</v>
      </c>
      <c r="L2341" s="402">
        <f t="shared" si="256"/>
        <v>1.2746411483253588</v>
      </c>
      <c r="M2341" s="173">
        <f t="shared" si="257"/>
        <v>3.0746411483253588</v>
      </c>
      <c r="O2341" s="173">
        <f t="shared" si="258"/>
        <v>4.6119617224880383</v>
      </c>
    </row>
    <row r="2342" spans="3:15" hidden="1" x14ac:dyDescent="0.35">
      <c r="C2342" s="233" t="s">
        <v>833</v>
      </c>
      <c r="E2342" t="s">
        <v>412</v>
      </c>
      <c r="F2342" s="366">
        <v>6</v>
      </c>
      <c r="G2342" s="371" t="s">
        <v>1824</v>
      </c>
      <c r="H2342" s="371"/>
      <c r="I2342" s="173">
        <v>1.8</v>
      </c>
      <c r="J2342">
        <v>5225</v>
      </c>
      <c r="K2342" s="173">
        <v>3700</v>
      </c>
      <c r="L2342" s="402">
        <f t="shared" si="256"/>
        <v>1.2746411483253588</v>
      </c>
      <c r="M2342" s="173">
        <f t="shared" si="257"/>
        <v>3.0746411483253588</v>
      </c>
      <c r="O2342" s="173">
        <f t="shared" si="258"/>
        <v>4.6119617224880383</v>
      </c>
    </row>
    <row r="2343" spans="3:15" hidden="1" x14ac:dyDescent="0.35">
      <c r="C2343" s="233" t="s">
        <v>833</v>
      </c>
      <c r="E2343" t="s">
        <v>412</v>
      </c>
      <c r="F2343" s="366">
        <v>6</v>
      </c>
      <c r="G2343" s="371" t="s">
        <v>1824</v>
      </c>
      <c r="H2343" s="371"/>
      <c r="I2343" s="173">
        <v>1.8</v>
      </c>
      <c r="J2343">
        <v>5225</v>
      </c>
      <c r="K2343" s="173">
        <v>3700</v>
      </c>
      <c r="L2343" s="402">
        <f t="shared" si="256"/>
        <v>1.2746411483253588</v>
      </c>
      <c r="M2343" s="173">
        <f t="shared" si="257"/>
        <v>3.0746411483253588</v>
      </c>
      <c r="O2343" s="173">
        <f t="shared" si="258"/>
        <v>4.6119617224880383</v>
      </c>
    </row>
    <row r="2344" spans="3:15" hidden="1" x14ac:dyDescent="0.35">
      <c r="C2344" s="233" t="s">
        <v>833</v>
      </c>
      <c r="E2344" t="s">
        <v>412</v>
      </c>
      <c r="F2344" s="366">
        <v>6</v>
      </c>
      <c r="G2344" s="371" t="s">
        <v>1824</v>
      </c>
      <c r="H2344" s="371"/>
      <c r="I2344" s="173">
        <v>1.8</v>
      </c>
      <c r="J2344">
        <v>5225</v>
      </c>
      <c r="K2344" s="173">
        <v>3700</v>
      </c>
      <c r="L2344" s="402">
        <f t="shared" si="256"/>
        <v>1.2746411483253588</v>
      </c>
      <c r="M2344" s="173">
        <f t="shared" si="257"/>
        <v>3.0746411483253588</v>
      </c>
      <c r="O2344" s="173">
        <f t="shared" si="258"/>
        <v>4.6119617224880383</v>
      </c>
    </row>
    <row r="2345" spans="3:15" hidden="1" x14ac:dyDescent="0.35">
      <c r="C2345" s="233" t="s">
        <v>833</v>
      </c>
      <c r="E2345" t="s">
        <v>412</v>
      </c>
      <c r="F2345" s="366">
        <v>6</v>
      </c>
      <c r="G2345" s="371" t="s">
        <v>1824</v>
      </c>
      <c r="H2345" s="371"/>
      <c r="I2345" s="173">
        <v>1.8</v>
      </c>
      <c r="J2345">
        <v>5225</v>
      </c>
      <c r="K2345" s="173">
        <v>3700</v>
      </c>
      <c r="L2345" s="402">
        <f t="shared" si="256"/>
        <v>1.2746411483253588</v>
      </c>
      <c r="M2345" s="173">
        <f t="shared" si="257"/>
        <v>3.0746411483253588</v>
      </c>
      <c r="O2345" s="173">
        <f t="shared" si="258"/>
        <v>4.6119617224880383</v>
      </c>
    </row>
    <row r="2346" spans="3:15" hidden="1" x14ac:dyDescent="0.35">
      <c r="C2346" s="233" t="s">
        <v>833</v>
      </c>
      <c r="E2346" t="s">
        <v>412</v>
      </c>
      <c r="F2346" s="366">
        <v>6</v>
      </c>
      <c r="G2346" s="371" t="s">
        <v>1824</v>
      </c>
      <c r="H2346" s="371"/>
      <c r="I2346" s="173">
        <v>1.8</v>
      </c>
      <c r="J2346">
        <v>5225</v>
      </c>
      <c r="K2346" s="173">
        <v>3700</v>
      </c>
      <c r="L2346" s="402">
        <f t="shared" si="256"/>
        <v>1.2746411483253588</v>
      </c>
      <c r="M2346" s="173">
        <f t="shared" si="257"/>
        <v>3.0746411483253588</v>
      </c>
      <c r="O2346" s="173">
        <f t="shared" si="258"/>
        <v>4.6119617224880383</v>
      </c>
    </row>
    <row r="2347" spans="3:15" hidden="1" x14ac:dyDescent="0.35">
      <c r="C2347" s="233" t="s">
        <v>833</v>
      </c>
      <c r="E2347" t="s">
        <v>412</v>
      </c>
      <c r="F2347" s="366">
        <v>6</v>
      </c>
      <c r="G2347" s="371" t="s">
        <v>1824</v>
      </c>
      <c r="H2347" s="371"/>
      <c r="I2347" s="173">
        <v>1.8</v>
      </c>
      <c r="J2347">
        <v>5225</v>
      </c>
      <c r="K2347" s="173">
        <v>3700</v>
      </c>
      <c r="L2347" s="402">
        <f t="shared" si="256"/>
        <v>1.2746411483253588</v>
      </c>
      <c r="M2347" s="173">
        <f t="shared" si="257"/>
        <v>3.0746411483253588</v>
      </c>
      <c r="O2347" s="173">
        <f t="shared" si="258"/>
        <v>4.6119617224880383</v>
      </c>
    </row>
    <row r="2348" spans="3:15" hidden="1" x14ac:dyDescent="0.35">
      <c r="C2348" s="233" t="s">
        <v>833</v>
      </c>
      <c r="E2348" t="s">
        <v>412</v>
      </c>
      <c r="F2348" s="366">
        <v>6</v>
      </c>
      <c r="G2348" s="371" t="s">
        <v>1824</v>
      </c>
      <c r="H2348" s="371"/>
      <c r="I2348" s="173">
        <v>1.8</v>
      </c>
      <c r="J2348">
        <v>5225</v>
      </c>
      <c r="K2348" s="173">
        <v>3700</v>
      </c>
      <c r="L2348" s="402">
        <f t="shared" si="256"/>
        <v>1.2746411483253588</v>
      </c>
      <c r="M2348" s="173">
        <f t="shared" si="257"/>
        <v>3.0746411483253588</v>
      </c>
      <c r="O2348" s="173">
        <f t="shared" si="258"/>
        <v>4.6119617224880383</v>
      </c>
    </row>
    <row r="2349" spans="3:15" hidden="1" x14ac:dyDescent="0.35">
      <c r="C2349" s="233" t="s">
        <v>833</v>
      </c>
      <c r="E2349" t="s">
        <v>412</v>
      </c>
      <c r="F2349" s="366">
        <v>6</v>
      </c>
      <c r="G2349" s="371" t="s">
        <v>1824</v>
      </c>
      <c r="H2349" s="371"/>
      <c r="I2349" s="173">
        <v>1.8</v>
      </c>
      <c r="J2349">
        <v>5225</v>
      </c>
      <c r="K2349" s="173">
        <v>3700</v>
      </c>
      <c r="L2349" s="402">
        <f t="shared" si="256"/>
        <v>1.2746411483253588</v>
      </c>
      <c r="M2349" s="173">
        <f t="shared" si="257"/>
        <v>3.0746411483253588</v>
      </c>
      <c r="O2349" s="173">
        <f t="shared" si="258"/>
        <v>4.6119617224880383</v>
      </c>
    </row>
    <row r="2350" spans="3:15" hidden="1" x14ac:dyDescent="0.35">
      <c r="C2350" s="233" t="s">
        <v>833</v>
      </c>
      <c r="E2350" t="s">
        <v>412</v>
      </c>
      <c r="F2350" s="366">
        <v>6</v>
      </c>
      <c r="G2350" s="371" t="s">
        <v>1824</v>
      </c>
      <c r="H2350" s="371"/>
      <c r="I2350" s="173">
        <v>1.8</v>
      </c>
      <c r="J2350">
        <v>5225</v>
      </c>
      <c r="K2350" s="173">
        <v>3700</v>
      </c>
      <c r="L2350" s="402">
        <f t="shared" si="256"/>
        <v>1.2746411483253588</v>
      </c>
      <c r="M2350" s="173">
        <f t="shared" si="257"/>
        <v>3.0746411483253588</v>
      </c>
      <c r="O2350" s="173">
        <f t="shared" si="258"/>
        <v>4.6119617224880383</v>
      </c>
    </row>
    <row r="2351" spans="3:15" hidden="1" x14ac:dyDescent="0.35">
      <c r="C2351" s="233" t="s">
        <v>833</v>
      </c>
      <c r="E2351" t="s">
        <v>409</v>
      </c>
      <c r="F2351" s="366">
        <v>5</v>
      </c>
      <c r="G2351" s="371" t="s">
        <v>90</v>
      </c>
      <c r="H2351" s="371"/>
      <c r="I2351" s="173">
        <v>1.8</v>
      </c>
      <c r="J2351">
        <v>5225</v>
      </c>
      <c r="K2351" s="173">
        <v>3700</v>
      </c>
      <c r="L2351" s="402">
        <f t="shared" ref="L2351:L2382" si="259">+I2351/J2351*K2351</f>
        <v>1.2746411483253588</v>
      </c>
      <c r="M2351" s="173">
        <f t="shared" ref="M2351:M2382" si="260">+I2351+L2351</f>
        <v>3.0746411483253588</v>
      </c>
      <c r="O2351" s="173">
        <f t="shared" ref="O2351:O2386" si="261">+M2351*1.5</f>
        <v>4.6119617224880383</v>
      </c>
    </row>
    <row r="2352" spans="3:15" hidden="1" x14ac:dyDescent="0.35">
      <c r="C2352" s="233" t="s">
        <v>833</v>
      </c>
      <c r="E2352" t="s">
        <v>409</v>
      </c>
      <c r="F2352" s="366">
        <v>5</v>
      </c>
      <c r="G2352" s="371" t="s">
        <v>90</v>
      </c>
      <c r="H2352" s="371"/>
      <c r="I2352" s="173">
        <v>1.8</v>
      </c>
      <c r="J2352">
        <v>5225</v>
      </c>
      <c r="K2352" s="173">
        <v>3700</v>
      </c>
      <c r="L2352" s="402">
        <f t="shared" si="259"/>
        <v>1.2746411483253588</v>
      </c>
      <c r="M2352" s="173">
        <f t="shared" si="260"/>
        <v>3.0746411483253588</v>
      </c>
      <c r="O2352" s="173">
        <f t="shared" si="261"/>
        <v>4.6119617224880383</v>
      </c>
    </row>
    <row r="2353" spans="3:15" hidden="1" x14ac:dyDescent="0.35">
      <c r="C2353" s="233" t="s">
        <v>833</v>
      </c>
      <c r="E2353" t="s">
        <v>409</v>
      </c>
      <c r="F2353" s="366">
        <v>5</v>
      </c>
      <c r="G2353" s="371" t="s">
        <v>90</v>
      </c>
      <c r="H2353" s="371"/>
      <c r="I2353" s="173">
        <v>1.8</v>
      </c>
      <c r="J2353">
        <v>5225</v>
      </c>
      <c r="K2353" s="173">
        <v>3700</v>
      </c>
      <c r="L2353" s="402">
        <f t="shared" si="259"/>
        <v>1.2746411483253588</v>
      </c>
      <c r="M2353" s="173">
        <f t="shared" si="260"/>
        <v>3.0746411483253588</v>
      </c>
      <c r="O2353" s="173">
        <f t="shared" si="261"/>
        <v>4.6119617224880383</v>
      </c>
    </row>
    <row r="2354" spans="3:15" hidden="1" x14ac:dyDescent="0.35">
      <c r="C2354" s="233" t="s">
        <v>833</v>
      </c>
      <c r="E2354" t="s">
        <v>409</v>
      </c>
      <c r="F2354" s="366">
        <v>5</v>
      </c>
      <c r="G2354" s="371" t="s">
        <v>90</v>
      </c>
      <c r="H2354" s="371"/>
      <c r="I2354" s="173">
        <v>1.8</v>
      </c>
      <c r="J2354">
        <v>5225</v>
      </c>
      <c r="K2354" s="173">
        <v>3700</v>
      </c>
      <c r="L2354" s="402">
        <f t="shared" si="259"/>
        <v>1.2746411483253588</v>
      </c>
      <c r="M2354" s="173">
        <f t="shared" si="260"/>
        <v>3.0746411483253588</v>
      </c>
      <c r="O2354" s="173">
        <f t="shared" si="261"/>
        <v>4.6119617224880383</v>
      </c>
    </row>
    <row r="2355" spans="3:15" hidden="1" x14ac:dyDescent="0.35">
      <c r="C2355" s="233" t="s">
        <v>833</v>
      </c>
      <c r="E2355" t="s">
        <v>409</v>
      </c>
      <c r="F2355" s="366">
        <v>5</v>
      </c>
      <c r="G2355" s="371" t="s">
        <v>90</v>
      </c>
      <c r="H2355" s="371"/>
      <c r="I2355" s="173">
        <v>1.8</v>
      </c>
      <c r="J2355">
        <v>5225</v>
      </c>
      <c r="K2355" s="173">
        <v>3700</v>
      </c>
      <c r="L2355" s="402">
        <f t="shared" si="259"/>
        <v>1.2746411483253588</v>
      </c>
      <c r="M2355" s="173">
        <f t="shared" si="260"/>
        <v>3.0746411483253588</v>
      </c>
      <c r="O2355" s="173">
        <f t="shared" si="261"/>
        <v>4.6119617224880383</v>
      </c>
    </row>
    <row r="2356" spans="3:15" hidden="1" x14ac:dyDescent="0.35">
      <c r="C2356" s="233" t="s">
        <v>833</v>
      </c>
      <c r="E2356" t="s">
        <v>409</v>
      </c>
      <c r="F2356" s="366">
        <v>5</v>
      </c>
      <c r="G2356" s="371" t="s">
        <v>90</v>
      </c>
      <c r="H2356" s="371"/>
      <c r="I2356" s="173">
        <v>1.8</v>
      </c>
      <c r="J2356">
        <v>5225</v>
      </c>
      <c r="K2356" s="173">
        <v>3700</v>
      </c>
      <c r="L2356" s="402">
        <f t="shared" si="259"/>
        <v>1.2746411483253588</v>
      </c>
      <c r="M2356" s="173">
        <f t="shared" si="260"/>
        <v>3.0746411483253588</v>
      </c>
      <c r="O2356" s="173">
        <f t="shared" si="261"/>
        <v>4.6119617224880383</v>
      </c>
    </row>
    <row r="2357" spans="3:15" hidden="1" x14ac:dyDescent="0.35">
      <c r="C2357" s="233" t="s">
        <v>833</v>
      </c>
      <c r="E2357" t="s">
        <v>409</v>
      </c>
      <c r="F2357" s="366">
        <v>5</v>
      </c>
      <c r="G2357" s="371" t="s">
        <v>90</v>
      </c>
      <c r="H2357" s="371"/>
      <c r="I2357" s="173">
        <v>1.8</v>
      </c>
      <c r="J2357">
        <v>5225</v>
      </c>
      <c r="K2357" s="173">
        <v>3700</v>
      </c>
      <c r="L2357" s="402">
        <f t="shared" si="259"/>
        <v>1.2746411483253588</v>
      </c>
      <c r="M2357" s="173">
        <f t="shared" si="260"/>
        <v>3.0746411483253588</v>
      </c>
      <c r="O2357" s="173">
        <f t="shared" si="261"/>
        <v>4.6119617224880383</v>
      </c>
    </row>
    <row r="2358" spans="3:15" hidden="1" x14ac:dyDescent="0.35">
      <c r="C2358" s="233" t="s">
        <v>833</v>
      </c>
      <c r="E2358" t="s">
        <v>409</v>
      </c>
      <c r="F2358" s="366">
        <v>5</v>
      </c>
      <c r="G2358" s="371" t="s">
        <v>90</v>
      </c>
      <c r="H2358" s="371"/>
      <c r="I2358" s="173">
        <v>1.8</v>
      </c>
      <c r="J2358">
        <v>5225</v>
      </c>
      <c r="K2358" s="173">
        <v>3700</v>
      </c>
      <c r="L2358" s="402">
        <f t="shared" si="259"/>
        <v>1.2746411483253588</v>
      </c>
      <c r="M2358" s="173">
        <f t="shared" si="260"/>
        <v>3.0746411483253588</v>
      </c>
      <c r="O2358" s="173">
        <f t="shared" si="261"/>
        <v>4.6119617224880383</v>
      </c>
    </row>
    <row r="2359" spans="3:15" hidden="1" x14ac:dyDescent="0.35">
      <c r="C2359" s="233" t="s">
        <v>833</v>
      </c>
      <c r="E2359" t="s">
        <v>409</v>
      </c>
      <c r="F2359" s="366">
        <v>5</v>
      </c>
      <c r="G2359" s="371" t="s">
        <v>90</v>
      </c>
      <c r="H2359" s="371"/>
      <c r="I2359" s="173">
        <v>1.8</v>
      </c>
      <c r="J2359">
        <v>5225</v>
      </c>
      <c r="K2359" s="173">
        <v>3700</v>
      </c>
      <c r="L2359" s="402">
        <f t="shared" si="259"/>
        <v>1.2746411483253588</v>
      </c>
      <c r="M2359" s="173">
        <f t="shared" si="260"/>
        <v>3.0746411483253588</v>
      </c>
      <c r="O2359" s="173">
        <f t="shared" si="261"/>
        <v>4.6119617224880383</v>
      </c>
    </row>
    <row r="2360" spans="3:15" hidden="1" x14ac:dyDescent="0.35">
      <c r="C2360" s="233" t="s">
        <v>833</v>
      </c>
      <c r="E2360" t="s">
        <v>409</v>
      </c>
      <c r="F2360" s="366">
        <v>5</v>
      </c>
      <c r="G2360" s="371" t="s">
        <v>90</v>
      </c>
      <c r="H2360" s="371"/>
      <c r="I2360" s="173">
        <v>1.8</v>
      </c>
      <c r="J2360">
        <v>5225</v>
      </c>
      <c r="K2360" s="173">
        <v>3700</v>
      </c>
      <c r="L2360" s="402">
        <f t="shared" si="259"/>
        <v>1.2746411483253588</v>
      </c>
      <c r="M2360" s="173">
        <f t="shared" si="260"/>
        <v>3.0746411483253588</v>
      </c>
      <c r="O2360" s="173">
        <f t="shared" si="261"/>
        <v>4.6119617224880383</v>
      </c>
    </row>
    <row r="2361" spans="3:15" hidden="1" x14ac:dyDescent="0.35">
      <c r="C2361" s="233" t="s">
        <v>833</v>
      </c>
      <c r="E2361" t="s">
        <v>409</v>
      </c>
      <c r="F2361" s="366">
        <v>5</v>
      </c>
      <c r="G2361" s="371" t="s">
        <v>90</v>
      </c>
      <c r="H2361" s="371"/>
      <c r="I2361" s="173">
        <v>1.8</v>
      </c>
      <c r="J2361">
        <v>5225</v>
      </c>
      <c r="K2361" s="173">
        <v>3700</v>
      </c>
      <c r="L2361" s="402">
        <f t="shared" si="259"/>
        <v>1.2746411483253588</v>
      </c>
      <c r="M2361" s="173">
        <f t="shared" si="260"/>
        <v>3.0746411483253588</v>
      </c>
      <c r="O2361" s="173">
        <f t="shared" si="261"/>
        <v>4.6119617224880383</v>
      </c>
    </row>
    <row r="2362" spans="3:15" hidden="1" x14ac:dyDescent="0.35">
      <c r="C2362" s="233" t="s">
        <v>833</v>
      </c>
      <c r="E2362" t="s">
        <v>409</v>
      </c>
      <c r="F2362" s="366">
        <v>5</v>
      </c>
      <c r="G2362" s="371" t="s">
        <v>90</v>
      </c>
      <c r="H2362" s="371"/>
      <c r="I2362" s="173">
        <v>1.8</v>
      </c>
      <c r="J2362">
        <v>5225</v>
      </c>
      <c r="K2362" s="173">
        <v>3700</v>
      </c>
      <c r="L2362" s="402">
        <f t="shared" si="259"/>
        <v>1.2746411483253588</v>
      </c>
      <c r="M2362" s="173">
        <f t="shared" si="260"/>
        <v>3.0746411483253588</v>
      </c>
      <c r="O2362" s="173">
        <f t="shared" si="261"/>
        <v>4.6119617224880383</v>
      </c>
    </row>
    <row r="2363" spans="3:15" hidden="1" x14ac:dyDescent="0.35">
      <c r="C2363" s="233" t="s">
        <v>833</v>
      </c>
      <c r="E2363" t="s">
        <v>409</v>
      </c>
      <c r="F2363" s="366">
        <v>5</v>
      </c>
      <c r="G2363" s="371" t="s">
        <v>1825</v>
      </c>
      <c r="H2363" s="371"/>
      <c r="I2363" s="173">
        <v>1.8</v>
      </c>
      <c r="J2363">
        <v>5225</v>
      </c>
      <c r="K2363" s="173">
        <v>3700</v>
      </c>
      <c r="L2363" s="402">
        <f t="shared" si="259"/>
        <v>1.2746411483253588</v>
      </c>
      <c r="M2363" s="173">
        <f t="shared" si="260"/>
        <v>3.0746411483253588</v>
      </c>
      <c r="O2363" s="173">
        <f t="shared" si="261"/>
        <v>4.6119617224880383</v>
      </c>
    </row>
    <row r="2364" spans="3:15" hidden="1" x14ac:dyDescent="0.35">
      <c r="C2364" s="233" t="s">
        <v>833</v>
      </c>
      <c r="E2364" t="s">
        <v>409</v>
      </c>
      <c r="F2364" s="366">
        <v>5</v>
      </c>
      <c r="G2364" s="371" t="s">
        <v>1825</v>
      </c>
      <c r="H2364" s="371"/>
      <c r="I2364" s="173">
        <v>1.8</v>
      </c>
      <c r="J2364">
        <v>5225</v>
      </c>
      <c r="K2364" s="173">
        <v>3700</v>
      </c>
      <c r="L2364" s="402">
        <f t="shared" si="259"/>
        <v>1.2746411483253588</v>
      </c>
      <c r="M2364" s="173">
        <f t="shared" si="260"/>
        <v>3.0746411483253588</v>
      </c>
      <c r="O2364" s="173">
        <f t="shared" si="261"/>
        <v>4.6119617224880383</v>
      </c>
    </row>
    <row r="2365" spans="3:15" hidden="1" x14ac:dyDescent="0.35">
      <c r="C2365" s="233" t="s">
        <v>833</v>
      </c>
      <c r="E2365" t="s">
        <v>409</v>
      </c>
      <c r="F2365" s="366">
        <v>5</v>
      </c>
      <c r="G2365" s="371" t="s">
        <v>1825</v>
      </c>
      <c r="H2365" s="371"/>
      <c r="I2365" s="173">
        <v>1.8</v>
      </c>
      <c r="J2365">
        <v>5225</v>
      </c>
      <c r="K2365" s="173">
        <v>3700</v>
      </c>
      <c r="L2365" s="402">
        <f t="shared" si="259"/>
        <v>1.2746411483253588</v>
      </c>
      <c r="M2365" s="173">
        <f t="shared" si="260"/>
        <v>3.0746411483253588</v>
      </c>
      <c r="O2365" s="173">
        <f t="shared" si="261"/>
        <v>4.6119617224880383</v>
      </c>
    </row>
    <row r="2366" spans="3:15" hidden="1" x14ac:dyDescent="0.35">
      <c r="C2366" s="233" t="s">
        <v>833</v>
      </c>
      <c r="E2366" t="s">
        <v>409</v>
      </c>
      <c r="F2366" s="366">
        <v>5</v>
      </c>
      <c r="G2366" s="371" t="s">
        <v>1825</v>
      </c>
      <c r="H2366" s="371"/>
      <c r="I2366" s="173">
        <v>1.8</v>
      </c>
      <c r="J2366">
        <v>5225</v>
      </c>
      <c r="K2366" s="173">
        <v>3700</v>
      </c>
      <c r="L2366" s="402">
        <f t="shared" si="259"/>
        <v>1.2746411483253588</v>
      </c>
      <c r="M2366" s="173">
        <f t="shared" si="260"/>
        <v>3.0746411483253588</v>
      </c>
      <c r="O2366" s="173">
        <f t="shared" si="261"/>
        <v>4.6119617224880383</v>
      </c>
    </row>
    <row r="2367" spans="3:15" hidden="1" x14ac:dyDescent="0.35">
      <c r="C2367" s="233" t="s">
        <v>833</v>
      </c>
      <c r="E2367" t="s">
        <v>409</v>
      </c>
      <c r="F2367" s="366">
        <v>5</v>
      </c>
      <c r="G2367" s="371" t="s">
        <v>1825</v>
      </c>
      <c r="H2367" s="371"/>
      <c r="I2367" s="173">
        <v>1.8</v>
      </c>
      <c r="J2367">
        <v>5225</v>
      </c>
      <c r="K2367" s="173">
        <v>3700</v>
      </c>
      <c r="L2367" s="402">
        <f t="shared" si="259"/>
        <v>1.2746411483253588</v>
      </c>
      <c r="M2367" s="173">
        <f t="shared" si="260"/>
        <v>3.0746411483253588</v>
      </c>
      <c r="O2367" s="173">
        <f t="shared" si="261"/>
        <v>4.6119617224880383</v>
      </c>
    </row>
    <row r="2368" spans="3:15" hidden="1" x14ac:dyDescent="0.35">
      <c r="C2368" s="233" t="s">
        <v>833</v>
      </c>
      <c r="E2368" t="s">
        <v>409</v>
      </c>
      <c r="F2368" s="366">
        <v>5</v>
      </c>
      <c r="G2368" s="371" t="s">
        <v>1825</v>
      </c>
      <c r="H2368" s="371"/>
      <c r="I2368" s="173">
        <v>1.8</v>
      </c>
      <c r="J2368">
        <v>5225</v>
      </c>
      <c r="K2368" s="173">
        <v>3700</v>
      </c>
      <c r="L2368" s="402">
        <f t="shared" si="259"/>
        <v>1.2746411483253588</v>
      </c>
      <c r="M2368" s="173">
        <f t="shared" si="260"/>
        <v>3.0746411483253588</v>
      </c>
      <c r="O2368" s="173">
        <f t="shared" si="261"/>
        <v>4.6119617224880383</v>
      </c>
    </row>
    <row r="2369" spans="3:15" hidden="1" x14ac:dyDescent="0.35">
      <c r="C2369" s="233" t="s">
        <v>833</v>
      </c>
      <c r="E2369" t="s">
        <v>409</v>
      </c>
      <c r="F2369" s="366">
        <v>5</v>
      </c>
      <c r="G2369" s="371" t="s">
        <v>1825</v>
      </c>
      <c r="H2369" s="371"/>
      <c r="I2369" s="173">
        <v>1.8</v>
      </c>
      <c r="J2369">
        <v>5225</v>
      </c>
      <c r="K2369" s="173">
        <v>3700</v>
      </c>
      <c r="L2369" s="402">
        <f t="shared" si="259"/>
        <v>1.2746411483253588</v>
      </c>
      <c r="M2369" s="173">
        <f t="shared" si="260"/>
        <v>3.0746411483253588</v>
      </c>
      <c r="O2369" s="173">
        <f t="shared" si="261"/>
        <v>4.6119617224880383</v>
      </c>
    </row>
    <row r="2370" spans="3:15" hidden="1" x14ac:dyDescent="0.35">
      <c r="C2370" s="233" t="s">
        <v>833</v>
      </c>
      <c r="E2370" t="s">
        <v>409</v>
      </c>
      <c r="F2370" s="366">
        <v>5</v>
      </c>
      <c r="G2370" s="371" t="s">
        <v>1825</v>
      </c>
      <c r="H2370" s="371"/>
      <c r="I2370" s="173">
        <v>1.8</v>
      </c>
      <c r="J2370">
        <v>5225</v>
      </c>
      <c r="K2370" s="173">
        <v>3700</v>
      </c>
      <c r="L2370" s="402">
        <f t="shared" si="259"/>
        <v>1.2746411483253588</v>
      </c>
      <c r="M2370" s="173">
        <f t="shared" si="260"/>
        <v>3.0746411483253588</v>
      </c>
      <c r="O2370" s="173">
        <f t="shared" si="261"/>
        <v>4.6119617224880383</v>
      </c>
    </row>
    <row r="2371" spans="3:15" hidden="1" x14ac:dyDescent="0.35">
      <c r="C2371" s="233" t="s">
        <v>833</v>
      </c>
      <c r="E2371" t="s">
        <v>409</v>
      </c>
      <c r="F2371" s="366">
        <v>5</v>
      </c>
      <c r="G2371" s="371" t="s">
        <v>1825</v>
      </c>
      <c r="H2371" s="371"/>
      <c r="I2371" s="173">
        <v>1.8</v>
      </c>
      <c r="J2371">
        <v>5225</v>
      </c>
      <c r="K2371" s="173">
        <v>3700</v>
      </c>
      <c r="L2371" s="402">
        <f t="shared" si="259"/>
        <v>1.2746411483253588</v>
      </c>
      <c r="M2371" s="173">
        <f t="shared" si="260"/>
        <v>3.0746411483253588</v>
      </c>
      <c r="O2371" s="173">
        <f t="shared" si="261"/>
        <v>4.6119617224880383</v>
      </c>
    </row>
    <row r="2372" spans="3:15" hidden="1" x14ac:dyDescent="0.35">
      <c r="C2372" s="233" t="s">
        <v>833</v>
      </c>
      <c r="E2372" t="s">
        <v>409</v>
      </c>
      <c r="F2372" s="366">
        <v>5</v>
      </c>
      <c r="G2372" s="371" t="s">
        <v>1825</v>
      </c>
      <c r="H2372" s="371"/>
      <c r="I2372" s="173">
        <v>1.8</v>
      </c>
      <c r="J2372">
        <v>5225</v>
      </c>
      <c r="K2372" s="173">
        <v>3700</v>
      </c>
      <c r="L2372" s="402">
        <f t="shared" si="259"/>
        <v>1.2746411483253588</v>
      </c>
      <c r="M2372" s="173">
        <f t="shared" si="260"/>
        <v>3.0746411483253588</v>
      </c>
      <c r="O2372" s="173">
        <f t="shared" si="261"/>
        <v>4.6119617224880383</v>
      </c>
    </row>
    <row r="2373" spans="3:15" hidden="1" x14ac:dyDescent="0.35">
      <c r="C2373" s="233" t="s">
        <v>833</v>
      </c>
      <c r="E2373" t="s">
        <v>409</v>
      </c>
      <c r="F2373" s="366">
        <v>5</v>
      </c>
      <c r="G2373" s="371" t="s">
        <v>1825</v>
      </c>
      <c r="H2373" s="371"/>
      <c r="I2373" s="173">
        <v>1.8</v>
      </c>
      <c r="J2373">
        <v>5225</v>
      </c>
      <c r="K2373" s="173">
        <v>3700</v>
      </c>
      <c r="L2373" s="402">
        <f t="shared" si="259"/>
        <v>1.2746411483253588</v>
      </c>
      <c r="M2373" s="173">
        <f t="shared" si="260"/>
        <v>3.0746411483253588</v>
      </c>
      <c r="O2373" s="173">
        <f t="shared" si="261"/>
        <v>4.6119617224880383</v>
      </c>
    </row>
    <row r="2374" spans="3:15" hidden="1" x14ac:dyDescent="0.35">
      <c r="C2374" s="233" t="s">
        <v>833</v>
      </c>
      <c r="E2374" t="s">
        <v>409</v>
      </c>
      <c r="F2374" s="366">
        <v>5</v>
      </c>
      <c r="G2374" s="371" t="s">
        <v>1825</v>
      </c>
      <c r="H2374" s="371"/>
      <c r="I2374" s="173">
        <v>1.8</v>
      </c>
      <c r="J2374">
        <v>5225</v>
      </c>
      <c r="K2374" s="173">
        <v>3700</v>
      </c>
      <c r="L2374" s="402">
        <f t="shared" si="259"/>
        <v>1.2746411483253588</v>
      </c>
      <c r="M2374" s="173">
        <f t="shared" si="260"/>
        <v>3.0746411483253588</v>
      </c>
      <c r="O2374" s="173">
        <f t="shared" si="261"/>
        <v>4.6119617224880383</v>
      </c>
    </row>
    <row r="2375" spans="3:15" hidden="1" x14ac:dyDescent="0.35">
      <c r="C2375" s="233" t="s">
        <v>833</v>
      </c>
      <c r="E2375" t="s">
        <v>409</v>
      </c>
      <c r="F2375" s="366">
        <v>5</v>
      </c>
      <c r="G2375" s="371" t="s">
        <v>1822</v>
      </c>
      <c r="H2375" s="371"/>
      <c r="I2375" s="173">
        <v>1.8</v>
      </c>
      <c r="J2375">
        <v>5225</v>
      </c>
      <c r="K2375" s="173">
        <v>3700</v>
      </c>
      <c r="L2375" s="402">
        <f t="shared" si="259"/>
        <v>1.2746411483253588</v>
      </c>
      <c r="M2375" s="173">
        <f t="shared" si="260"/>
        <v>3.0746411483253588</v>
      </c>
      <c r="O2375" s="173">
        <f t="shared" si="261"/>
        <v>4.6119617224880383</v>
      </c>
    </row>
    <row r="2376" spans="3:15" hidden="1" x14ac:dyDescent="0.35">
      <c r="C2376" s="233" t="s">
        <v>833</v>
      </c>
      <c r="E2376" t="s">
        <v>409</v>
      </c>
      <c r="F2376" s="366">
        <v>5</v>
      </c>
      <c r="G2376" s="371" t="s">
        <v>1822</v>
      </c>
      <c r="H2376" s="371"/>
      <c r="I2376" s="173">
        <v>1.8</v>
      </c>
      <c r="J2376">
        <v>5225</v>
      </c>
      <c r="K2376" s="173">
        <v>3700</v>
      </c>
      <c r="L2376" s="402">
        <f t="shared" si="259"/>
        <v>1.2746411483253588</v>
      </c>
      <c r="M2376" s="173">
        <f t="shared" si="260"/>
        <v>3.0746411483253588</v>
      </c>
      <c r="O2376" s="173">
        <f t="shared" si="261"/>
        <v>4.6119617224880383</v>
      </c>
    </row>
    <row r="2377" spans="3:15" hidden="1" x14ac:dyDescent="0.35">
      <c r="C2377" s="233" t="s">
        <v>833</v>
      </c>
      <c r="E2377" t="s">
        <v>409</v>
      </c>
      <c r="F2377" s="366">
        <v>5</v>
      </c>
      <c r="G2377" s="371" t="s">
        <v>1822</v>
      </c>
      <c r="H2377" s="371"/>
      <c r="I2377" s="173">
        <v>1.8</v>
      </c>
      <c r="J2377">
        <v>5225</v>
      </c>
      <c r="K2377" s="173">
        <v>3700</v>
      </c>
      <c r="L2377" s="402">
        <f t="shared" si="259"/>
        <v>1.2746411483253588</v>
      </c>
      <c r="M2377" s="173">
        <f t="shared" si="260"/>
        <v>3.0746411483253588</v>
      </c>
      <c r="O2377" s="173">
        <f t="shared" si="261"/>
        <v>4.6119617224880383</v>
      </c>
    </row>
    <row r="2378" spans="3:15" hidden="1" x14ac:dyDescent="0.35">
      <c r="C2378" s="233" t="s">
        <v>833</v>
      </c>
      <c r="E2378" t="s">
        <v>409</v>
      </c>
      <c r="F2378" s="366">
        <v>5</v>
      </c>
      <c r="G2378" s="371" t="s">
        <v>1822</v>
      </c>
      <c r="H2378" s="371"/>
      <c r="I2378" s="173">
        <v>1.8</v>
      </c>
      <c r="J2378">
        <v>5225</v>
      </c>
      <c r="K2378" s="173">
        <v>3700</v>
      </c>
      <c r="L2378" s="402">
        <f t="shared" si="259"/>
        <v>1.2746411483253588</v>
      </c>
      <c r="M2378" s="173">
        <f t="shared" si="260"/>
        <v>3.0746411483253588</v>
      </c>
      <c r="O2378" s="173">
        <f t="shared" si="261"/>
        <v>4.6119617224880383</v>
      </c>
    </row>
    <row r="2379" spans="3:15" hidden="1" x14ac:dyDescent="0.35">
      <c r="C2379" s="233" t="s">
        <v>833</v>
      </c>
      <c r="E2379" t="s">
        <v>409</v>
      </c>
      <c r="F2379" s="366">
        <v>5</v>
      </c>
      <c r="G2379" s="371" t="s">
        <v>1822</v>
      </c>
      <c r="H2379" s="371"/>
      <c r="I2379" s="173">
        <v>1.8</v>
      </c>
      <c r="J2379">
        <v>5225</v>
      </c>
      <c r="K2379" s="173">
        <v>3700</v>
      </c>
      <c r="L2379" s="402">
        <f t="shared" si="259"/>
        <v>1.2746411483253588</v>
      </c>
      <c r="M2379" s="173">
        <f t="shared" si="260"/>
        <v>3.0746411483253588</v>
      </c>
      <c r="O2379" s="173">
        <f t="shared" si="261"/>
        <v>4.6119617224880383</v>
      </c>
    </row>
    <row r="2380" spans="3:15" hidden="1" x14ac:dyDescent="0.35">
      <c r="C2380" s="233" t="s">
        <v>833</v>
      </c>
      <c r="E2380" t="s">
        <v>409</v>
      </c>
      <c r="F2380" s="366">
        <v>5</v>
      </c>
      <c r="G2380" s="371" t="s">
        <v>1822</v>
      </c>
      <c r="H2380" s="371"/>
      <c r="I2380" s="173">
        <v>1.8</v>
      </c>
      <c r="J2380">
        <v>5225</v>
      </c>
      <c r="K2380" s="173">
        <v>3700</v>
      </c>
      <c r="L2380" s="402">
        <f t="shared" si="259"/>
        <v>1.2746411483253588</v>
      </c>
      <c r="M2380" s="173">
        <f t="shared" si="260"/>
        <v>3.0746411483253588</v>
      </c>
      <c r="O2380" s="173">
        <f t="shared" si="261"/>
        <v>4.6119617224880383</v>
      </c>
    </row>
    <row r="2381" spans="3:15" hidden="1" x14ac:dyDescent="0.35">
      <c r="C2381" s="233" t="s">
        <v>833</v>
      </c>
      <c r="E2381" t="s">
        <v>409</v>
      </c>
      <c r="F2381" s="366">
        <v>5</v>
      </c>
      <c r="G2381" s="371" t="s">
        <v>1822</v>
      </c>
      <c r="H2381" s="371"/>
      <c r="I2381" s="173">
        <v>1.8</v>
      </c>
      <c r="J2381">
        <v>5225</v>
      </c>
      <c r="K2381" s="173">
        <v>3700</v>
      </c>
      <c r="L2381" s="402">
        <f t="shared" si="259"/>
        <v>1.2746411483253588</v>
      </c>
      <c r="M2381" s="173">
        <f t="shared" si="260"/>
        <v>3.0746411483253588</v>
      </c>
      <c r="O2381" s="173">
        <f t="shared" si="261"/>
        <v>4.6119617224880383</v>
      </c>
    </row>
    <row r="2382" spans="3:15" hidden="1" x14ac:dyDescent="0.35">
      <c r="C2382" s="233" t="s">
        <v>833</v>
      </c>
      <c r="E2382" t="s">
        <v>409</v>
      </c>
      <c r="F2382" s="366">
        <v>5</v>
      </c>
      <c r="G2382" s="371" t="s">
        <v>1822</v>
      </c>
      <c r="H2382" s="371"/>
      <c r="I2382" s="173">
        <v>1.8</v>
      </c>
      <c r="J2382">
        <v>5225</v>
      </c>
      <c r="K2382" s="173">
        <v>3700</v>
      </c>
      <c r="L2382" s="402">
        <f t="shared" si="259"/>
        <v>1.2746411483253588</v>
      </c>
      <c r="M2382" s="173">
        <f t="shared" si="260"/>
        <v>3.0746411483253588</v>
      </c>
      <c r="O2382" s="173">
        <f t="shared" si="261"/>
        <v>4.6119617224880383</v>
      </c>
    </row>
    <row r="2383" spans="3:15" hidden="1" x14ac:dyDescent="0.35">
      <c r="C2383" s="233" t="s">
        <v>833</v>
      </c>
      <c r="E2383" t="s">
        <v>409</v>
      </c>
      <c r="F2383" s="366">
        <v>5</v>
      </c>
      <c r="G2383" s="371" t="s">
        <v>1822</v>
      </c>
      <c r="H2383" s="371"/>
      <c r="I2383" s="173">
        <v>1.8</v>
      </c>
      <c r="J2383">
        <v>5225</v>
      </c>
      <c r="K2383" s="173">
        <v>3700</v>
      </c>
      <c r="L2383" s="402">
        <f>+I2383/J2383*K2383</f>
        <v>1.2746411483253588</v>
      </c>
      <c r="M2383" s="173">
        <f>+I2383+L2383</f>
        <v>3.0746411483253588</v>
      </c>
      <c r="O2383" s="173">
        <f t="shared" si="261"/>
        <v>4.6119617224880383</v>
      </c>
    </row>
    <row r="2384" spans="3:15" hidden="1" x14ac:dyDescent="0.35">
      <c r="C2384" s="233" t="s">
        <v>833</v>
      </c>
      <c r="E2384" t="s">
        <v>409</v>
      </c>
      <c r="F2384" s="366">
        <v>5</v>
      </c>
      <c r="G2384" s="371" t="s">
        <v>1822</v>
      </c>
      <c r="H2384" s="371"/>
      <c r="I2384" s="173">
        <v>1.8</v>
      </c>
      <c r="J2384">
        <v>5225</v>
      </c>
      <c r="K2384" s="173">
        <v>3700</v>
      </c>
      <c r="L2384" s="402">
        <f>+I2384/J2384*K2384</f>
        <v>1.2746411483253588</v>
      </c>
      <c r="M2384" s="173">
        <f>+I2384+L2384</f>
        <v>3.0746411483253588</v>
      </c>
      <c r="O2384" s="173">
        <f t="shared" si="261"/>
        <v>4.6119617224880383</v>
      </c>
    </row>
    <row r="2385" spans="3:15" hidden="1" x14ac:dyDescent="0.35">
      <c r="C2385" s="233" t="s">
        <v>833</v>
      </c>
      <c r="E2385" t="s">
        <v>409</v>
      </c>
      <c r="F2385" s="366">
        <v>5</v>
      </c>
      <c r="G2385" s="371" t="s">
        <v>1822</v>
      </c>
      <c r="H2385" s="371"/>
      <c r="I2385" s="173">
        <v>1.8</v>
      </c>
      <c r="J2385">
        <v>5225</v>
      </c>
      <c r="K2385" s="173">
        <v>3700</v>
      </c>
      <c r="L2385" s="402">
        <f>+I2385/J2385*K2385</f>
        <v>1.2746411483253588</v>
      </c>
      <c r="M2385" s="173">
        <f>+I2385+L2385</f>
        <v>3.0746411483253588</v>
      </c>
      <c r="O2385" s="173">
        <f t="shared" si="261"/>
        <v>4.6119617224880383</v>
      </c>
    </row>
    <row r="2386" spans="3:15" hidden="1" x14ac:dyDescent="0.35">
      <c r="C2386" s="233" t="s">
        <v>833</v>
      </c>
      <c r="E2386" t="s">
        <v>409</v>
      </c>
      <c r="F2386" s="366">
        <v>5</v>
      </c>
      <c r="G2386" s="371" t="s">
        <v>1822</v>
      </c>
      <c r="H2386" s="371"/>
      <c r="I2386" s="173">
        <v>1.8</v>
      </c>
      <c r="J2386">
        <v>5225</v>
      </c>
      <c r="K2386" s="173">
        <v>3700</v>
      </c>
      <c r="L2386" s="402">
        <f>+I2386/J2386*K2386</f>
        <v>1.2746411483253588</v>
      </c>
      <c r="M2386" s="173">
        <f>+I2386+L2386</f>
        <v>3.0746411483253588</v>
      </c>
      <c r="O2386" s="173">
        <f t="shared" si="261"/>
        <v>4.6119617224880383</v>
      </c>
    </row>
    <row r="2387" spans="3:15" hidden="1" x14ac:dyDescent="0.35">
      <c r="G2387" s="371"/>
      <c r="H2387" s="371"/>
      <c r="I2387" s="146">
        <f>SUM(I2255:I2386)</f>
        <v>247.20000000000067</v>
      </c>
    </row>
    <row r="2388" spans="3:15" hidden="1" x14ac:dyDescent="0.35"/>
    <row r="2389" spans="3:15" ht="18.5" hidden="1" x14ac:dyDescent="0.45">
      <c r="G2389" s="598" t="s">
        <v>1895</v>
      </c>
      <c r="H2389" s="598"/>
    </row>
    <row r="2390" spans="3:15" hidden="1" x14ac:dyDescent="0.35">
      <c r="G2390" s="245" t="s">
        <v>1896</v>
      </c>
      <c r="I2390" s="173">
        <v>4</v>
      </c>
    </row>
    <row r="2391" spans="3:15" hidden="1" x14ac:dyDescent="0.35">
      <c r="G2391" s="245" t="s">
        <v>1896</v>
      </c>
      <c r="I2391" s="173">
        <v>4</v>
      </c>
    </row>
    <row r="2392" spans="3:15" hidden="1" x14ac:dyDescent="0.35">
      <c r="G2392" s="245" t="s">
        <v>1896</v>
      </c>
      <c r="I2392" s="173">
        <v>4</v>
      </c>
    </row>
    <row r="2393" spans="3:15" hidden="1" x14ac:dyDescent="0.35">
      <c r="G2393" s="245" t="s">
        <v>1896</v>
      </c>
      <c r="I2393" s="173">
        <v>4</v>
      </c>
    </row>
    <row r="2394" spans="3:15" hidden="1" x14ac:dyDescent="0.35">
      <c r="G2394" s="245" t="s">
        <v>1896</v>
      </c>
      <c r="I2394" s="173">
        <v>4</v>
      </c>
    </row>
    <row r="2395" spans="3:15" hidden="1" x14ac:dyDescent="0.35">
      <c r="G2395" s="245" t="s">
        <v>1896</v>
      </c>
      <c r="I2395" s="173">
        <v>4</v>
      </c>
    </row>
    <row r="2396" spans="3:15" hidden="1" x14ac:dyDescent="0.35">
      <c r="G2396" s="245" t="s">
        <v>1896</v>
      </c>
      <c r="I2396" s="173">
        <v>4</v>
      </c>
    </row>
    <row r="2397" spans="3:15" hidden="1" x14ac:dyDescent="0.35">
      <c r="G2397" s="245" t="s">
        <v>1896</v>
      </c>
      <c r="I2397" s="173">
        <v>4</v>
      </c>
    </row>
    <row r="2398" spans="3:15" hidden="1" x14ac:dyDescent="0.35">
      <c r="G2398" s="245" t="s">
        <v>1896</v>
      </c>
      <c r="I2398" s="173">
        <v>4</v>
      </c>
    </row>
    <row r="2399" spans="3:15" hidden="1" x14ac:dyDescent="0.35">
      <c r="G2399" s="245" t="s">
        <v>1896</v>
      </c>
      <c r="I2399" s="173">
        <v>4</v>
      </c>
    </row>
    <row r="2400" spans="3:15" hidden="1" x14ac:dyDescent="0.35">
      <c r="G2400" s="245" t="s">
        <v>1896</v>
      </c>
      <c r="I2400" s="173">
        <v>4</v>
      </c>
    </row>
    <row r="2401" spans="3:16" hidden="1" x14ac:dyDescent="0.35">
      <c r="G2401" s="245" t="s">
        <v>1896</v>
      </c>
      <c r="I2401" s="173">
        <v>4</v>
      </c>
    </row>
    <row r="2402" spans="3:16" hidden="1" x14ac:dyDescent="0.35">
      <c r="G2402" s="245" t="s">
        <v>1896</v>
      </c>
      <c r="I2402" s="173">
        <v>4</v>
      </c>
    </row>
    <row r="2403" spans="3:16" hidden="1" x14ac:dyDescent="0.35">
      <c r="G2403" s="245" t="s">
        <v>1896</v>
      </c>
      <c r="I2403" s="173">
        <v>4</v>
      </c>
    </row>
    <row r="2404" spans="3:16" hidden="1" x14ac:dyDescent="0.35">
      <c r="G2404" s="245" t="s">
        <v>1896</v>
      </c>
      <c r="I2404" s="173">
        <v>4</v>
      </c>
    </row>
    <row r="2405" spans="3:16" hidden="1" x14ac:dyDescent="0.35">
      <c r="G2405" s="245" t="s">
        <v>1896</v>
      </c>
      <c r="I2405" s="173">
        <v>4</v>
      </c>
    </row>
    <row r="2406" spans="3:16" hidden="1" x14ac:dyDescent="0.35">
      <c r="G2406" s="245" t="s">
        <v>1896</v>
      </c>
      <c r="I2406" s="173">
        <v>4</v>
      </c>
    </row>
    <row r="2407" spans="3:16" hidden="1" x14ac:dyDescent="0.35">
      <c r="G2407" s="245" t="s">
        <v>1896</v>
      </c>
      <c r="I2407" s="173">
        <v>4</v>
      </c>
    </row>
    <row r="2408" spans="3:16" hidden="1" x14ac:dyDescent="0.35">
      <c r="G2408" s="245" t="s">
        <v>1896</v>
      </c>
      <c r="I2408" s="173">
        <v>4</v>
      </c>
    </row>
    <row r="2409" spans="3:16" hidden="1" x14ac:dyDescent="0.35">
      <c r="G2409" s="245" t="s">
        <v>1896</v>
      </c>
      <c r="I2409" s="173">
        <v>4</v>
      </c>
    </row>
    <row r="2410" spans="3:16" hidden="1" x14ac:dyDescent="0.35">
      <c r="G2410" s="245" t="s">
        <v>1896</v>
      </c>
      <c r="I2410" s="173">
        <v>5</v>
      </c>
    </row>
    <row r="2411" spans="3:16" hidden="1" x14ac:dyDescent="0.35">
      <c r="I2411" s="146">
        <f>SUM(I2390:I2410)</f>
        <v>85</v>
      </c>
    </row>
    <row r="2412" spans="3:16" hidden="1" x14ac:dyDescent="0.35"/>
    <row r="2413" spans="3:16" ht="18.5" hidden="1" x14ac:dyDescent="0.45">
      <c r="G2413" s="245" t="s">
        <v>1900</v>
      </c>
      <c r="I2413" s="307">
        <f>+I2411+I2387+I2253+I2212+I2169+I2097+I2089+I2062</f>
        <v>5225.2000000000007</v>
      </c>
    </row>
    <row r="2414" spans="3:16" hidden="1" x14ac:dyDescent="0.35"/>
    <row r="2415" spans="3:16" hidden="1" x14ac:dyDescent="0.35">
      <c r="D2415" s="233" t="s">
        <v>1910</v>
      </c>
    </row>
    <row r="2416" spans="3:16" hidden="1" x14ac:dyDescent="0.35">
      <c r="C2416" s="233" t="s">
        <v>1028</v>
      </c>
      <c r="D2416" s="233" t="s">
        <v>1028</v>
      </c>
      <c r="F2416" s="366">
        <v>36</v>
      </c>
      <c r="G2416" s="245" t="s">
        <v>1911</v>
      </c>
      <c r="I2416" s="173">
        <v>35</v>
      </c>
      <c r="J2416">
        <f>+I2428*1.2</f>
        <v>417.59999999999997</v>
      </c>
      <c r="K2416">
        <f>9*15</f>
        <v>135</v>
      </c>
      <c r="L2416" s="173">
        <f t="shared" ref="L2416:L2427" si="262">+I2416/J2416*K2416</f>
        <v>11.314655172413795</v>
      </c>
      <c r="M2416" s="173">
        <f t="shared" ref="M2416:M2427" si="263">+I2416+L2416</f>
        <v>46.314655172413794</v>
      </c>
      <c r="O2416" s="173">
        <f t="shared" ref="O2416:O2427" si="264">+M2416*1.5</f>
        <v>69.471982758620697</v>
      </c>
      <c r="P2416" s="173">
        <v>120</v>
      </c>
    </row>
    <row r="2417" spans="3:16" hidden="1" x14ac:dyDescent="0.35">
      <c r="C2417" s="233" t="s">
        <v>1028</v>
      </c>
      <c r="D2417" s="233" t="s">
        <v>1028</v>
      </c>
      <c r="F2417" s="366">
        <v>38</v>
      </c>
      <c r="G2417" s="245" t="s">
        <v>1911</v>
      </c>
      <c r="I2417" s="173">
        <v>35</v>
      </c>
      <c r="J2417">
        <v>418</v>
      </c>
      <c r="K2417">
        <f t="shared" ref="K2417:K2427" si="265">9*15</f>
        <v>135</v>
      </c>
      <c r="L2417" s="173">
        <f t="shared" si="262"/>
        <v>11.303827751196174</v>
      </c>
      <c r="M2417" s="173">
        <f t="shared" si="263"/>
        <v>46.303827751196174</v>
      </c>
      <c r="O2417" s="173">
        <f t="shared" si="264"/>
        <v>69.455741626794264</v>
      </c>
      <c r="P2417" s="173">
        <v>120</v>
      </c>
    </row>
    <row r="2418" spans="3:16" hidden="1" x14ac:dyDescent="0.35">
      <c r="C2418" s="233" t="s">
        <v>1028</v>
      </c>
      <c r="D2418" s="233" t="s">
        <v>1028</v>
      </c>
      <c r="F2418" s="366">
        <v>40</v>
      </c>
      <c r="G2418" s="245" t="s">
        <v>1911</v>
      </c>
      <c r="I2418" s="173">
        <v>35</v>
      </c>
      <c r="J2418">
        <v>418</v>
      </c>
      <c r="K2418">
        <f t="shared" si="265"/>
        <v>135</v>
      </c>
      <c r="L2418" s="173">
        <f t="shared" si="262"/>
        <v>11.303827751196174</v>
      </c>
      <c r="M2418" s="173">
        <f t="shared" si="263"/>
        <v>46.303827751196174</v>
      </c>
      <c r="O2418" s="173">
        <f t="shared" si="264"/>
        <v>69.455741626794264</v>
      </c>
      <c r="P2418" s="173">
        <v>120</v>
      </c>
    </row>
    <row r="2419" spans="3:16" hidden="1" x14ac:dyDescent="0.35">
      <c r="C2419" s="233" t="s">
        <v>1028</v>
      </c>
      <c r="D2419" s="233" t="s">
        <v>1028</v>
      </c>
      <c r="F2419" s="366">
        <v>36</v>
      </c>
      <c r="G2419" s="245" t="s">
        <v>1912</v>
      </c>
      <c r="I2419" s="173">
        <v>35</v>
      </c>
      <c r="J2419">
        <v>418</v>
      </c>
      <c r="K2419">
        <f t="shared" si="265"/>
        <v>135</v>
      </c>
      <c r="L2419" s="173">
        <f t="shared" si="262"/>
        <v>11.303827751196174</v>
      </c>
      <c r="M2419" s="173">
        <f t="shared" si="263"/>
        <v>46.303827751196174</v>
      </c>
      <c r="O2419" s="173">
        <f t="shared" si="264"/>
        <v>69.455741626794264</v>
      </c>
      <c r="P2419" s="173">
        <v>120</v>
      </c>
    </row>
    <row r="2420" spans="3:16" hidden="1" x14ac:dyDescent="0.35">
      <c r="C2420" s="233" t="s">
        <v>1028</v>
      </c>
      <c r="D2420" s="233" t="s">
        <v>1028</v>
      </c>
      <c r="F2420" s="366">
        <v>38</v>
      </c>
      <c r="G2420" s="245" t="s">
        <v>1912</v>
      </c>
      <c r="I2420" s="173">
        <v>35</v>
      </c>
      <c r="J2420">
        <v>418</v>
      </c>
      <c r="K2420">
        <f t="shared" si="265"/>
        <v>135</v>
      </c>
      <c r="L2420" s="173">
        <f t="shared" si="262"/>
        <v>11.303827751196174</v>
      </c>
      <c r="M2420" s="173">
        <f t="shared" si="263"/>
        <v>46.303827751196174</v>
      </c>
      <c r="O2420" s="173">
        <f t="shared" si="264"/>
        <v>69.455741626794264</v>
      </c>
      <c r="P2420" s="173">
        <v>120</v>
      </c>
    </row>
    <row r="2421" spans="3:16" hidden="1" x14ac:dyDescent="0.35">
      <c r="C2421" s="233" t="s">
        <v>1028</v>
      </c>
      <c r="D2421" s="233" t="s">
        <v>1028</v>
      </c>
      <c r="F2421" s="366">
        <v>40</v>
      </c>
      <c r="G2421" s="245" t="s">
        <v>1912</v>
      </c>
      <c r="I2421" s="173">
        <v>35</v>
      </c>
      <c r="J2421">
        <v>418</v>
      </c>
      <c r="K2421">
        <f t="shared" si="265"/>
        <v>135</v>
      </c>
      <c r="L2421" s="173">
        <f t="shared" si="262"/>
        <v>11.303827751196174</v>
      </c>
      <c r="M2421" s="173">
        <f t="shared" si="263"/>
        <v>46.303827751196174</v>
      </c>
      <c r="O2421" s="173">
        <f t="shared" si="264"/>
        <v>69.455741626794264</v>
      </c>
      <c r="P2421" s="173">
        <v>120</v>
      </c>
    </row>
    <row r="2422" spans="3:16" hidden="1" x14ac:dyDescent="0.35">
      <c r="C2422" s="233" t="s">
        <v>1028</v>
      </c>
      <c r="D2422" s="233" t="s">
        <v>1028</v>
      </c>
      <c r="F2422" s="366">
        <v>42</v>
      </c>
      <c r="G2422" s="245" t="s">
        <v>1914</v>
      </c>
      <c r="I2422" s="173">
        <v>30</v>
      </c>
      <c r="J2422">
        <v>418</v>
      </c>
      <c r="K2422">
        <f t="shared" si="265"/>
        <v>135</v>
      </c>
      <c r="L2422" s="173">
        <f t="shared" si="262"/>
        <v>9.6889952153110048</v>
      </c>
      <c r="M2422" s="173">
        <f t="shared" si="263"/>
        <v>39.688995215311003</v>
      </c>
      <c r="O2422" s="173">
        <f t="shared" si="264"/>
        <v>59.533492822966508</v>
      </c>
      <c r="P2422" s="173">
        <v>120</v>
      </c>
    </row>
    <row r="2423" spans="3:16" hidden="1" x14ac:dyDescent="0.35">
      <c r="C2423" s="233" t="s">
        <v>1028</v>
      </c>
      <c r="D2423" s="233" t="s">
        <v>1028</v>
      </c>
      <c r="F2423" s="366">
        <v>44</v>
      </c>
      <c r="G2423" s="245" t="s">
        <v>1914</v>
      </c>
      <c r="I2423" s="173">
        <v>30</v>
      </c>
      <c r="J2423">
        <v>418</v>
      </c>
      <c r="K2423">
        <f t="shared" si="265"/>
        <v>135</v>
      </c>
      <c r="L2423" s="173">
        <f t="shared" si="262"/>
        <v>9.6889952153110048</v>
      </c>
      <c r="M2423" s="173">
        <f t="shared" si="263"/>
        <v>39.688995215311003</v>
      </c>
      <c r="O2423" s="173">
        <f t="shared" si="264"/>
        <v>59.533492822966508</v>
      </c>
      <c r="P2423" s="173">
        <v>120</v>
      </c>
    </row>
    <row r="2424" spans="3:16" hidden="1" x14ac:dyDescent="0.35">
      <c r="C2424" s="233" t="s">
        <v>1028</v>
      </c>
      <c r="D2424" s="233" t="s">
        <v>1028</v>
      </c>
      <c r="F2424" s="366">
        <v>46</v>
      </c>
      <c r="G2424" s="245" t="s">
        <v>1914</v>
      </c>
      <c r="I2424" s="173">
        <v>30</v>
      </c>
      <c r="J2424">
        <v>418</v>
      </c>
      <c r="K2424">
        <f t="shared" si="265"/>
        <v>135</v>
      </c>
      <c r="L2424" s="173">
        <f t="shared" si="262"/>
        <v>9.6889952153110048</v>
      </c>
      <c r="M2424" s="173">
        <f t="shared" si="263"/>
        <v>39.688995215311003</v>
      </c>
      <c r="O2424" s="173">
        <f t="shared" si="264"/>
        <v>59.533492822966508</v>
      </c>
      <c r="P2424" s="173">
        <v>120</v>
      </c>
    </row>
    <row r="2425" spans="3:16" hidden="1" x14ac:dyDescent="0.35">
      <c r="C2425" s="233" t="s">
        <v>1028</v>
      </c>
      <c r="D2425" s="233" t="s">
        <v>1028</v>
      </c>
      <c r="F2425" s="366">
        <v>42</v>
      </c>
      <c r="G2425" s="245" t="s">
        <v>1913</v>
      </c>
      <c r="I2425" s="173">
        <v>16</v>
      </c>
      <c r="J2425">
        <v>418</v>
      </c>
      <c r="K2425">
        <f t="shared" si="265"/>
        <v>135</v>
      </c>
      <c r="L2425" s="173">
        <f t="shared" si="262"/>
        <v>5.1674641148325353</v>
      </c>
      <c r="M2425" s="173">
        <f t="shared" si="263"/>
        <v>21.167464114832534</v>
      </c>
      <c r="O2425" s="173">
        <f t="shared" si="264"/>
        <v>31.7511961722488</v>
      </c>
      <c r="P2425" s="173">
        <v>75</v>
      </c>
    </row>
    <row r="2426" spans="3:16" hidden="1" x14ac:dyDescent="0.35">
      <c r="C2426" s="233" t="s">
        <v>1028</v>
      </c>
      <c r="D2426" s="233" t="s">
        <v>1028</v>
      </c>
      <c r="F2426" s="366">
        <v>44</v>
      </c>
      <c r="G2426" s="245" t="s">
        <v>1913</v>
      </c>
      <c r="I2426" s="173">
        <v>16</v>
      </c>
      <c r="J2426">
        <v>418</v>
      </c>
      <c r="K2426">
        <f t="shared" si="265"/>
        <v>135</v>
      </c>
      <c r="L2426" s="173">
        <f t="shared" si="262"/>
        <v>5.1674641148325353</v>
      </c>
      <c r="M2426" s="173">
        <f t="shared" si="263"/>
        <v>21.167464114832534</v>
      </c>
      <c r="O2426" s="173">
        <f t="shared" si="264"/>
        <v>31.7511961722488</v>
      </c>
      <c r="P2426" s="173">
        <v>75</v>
      </c>
    </row>
    <row r="2427" spans="3:16" hidden="1" x14ac:dyDescent="0.35">
      <c r="C2427" s="233" t="s">
        <v>1028</v>
      </c>
      <c r="D2427" s="233" t="s">
        <v>1028</v>
      </c>
      <c r="F2427" s="366">
        <v>46</v>
      </c>
      <c r="G2427" s="245" t="s">
        <v>1913</v>
      </c>
      <c r="I2427" s="173">
        <v>16</v>
      </c>
      <c r="J2427">
        <v>418</v>
      </c>
      <c r="K2427">
        <f t="shared" si="265"/>
        <v>135</v>
      </c>
      <c r="L2427" s="173">
        <f t="shared" si="262"/>
        <v>5.1674641148325353</v>
      </c>
      <c r="M2427" s="173">
        <f t="shared" si="263"/>
        <v>21.167464114832534</v>
      </c>
      <c r="O2427" s="173">
        <f t="shared" si="264"/>
        <v>31.7511961722488</v>
      </c>
      <c r="P2427" s="173">
        <v>75</v>
      </c>
    </row>
    <row r="2428" spans="3:16" hidden="1" x14ac:dyDescent="0.35">
      <c r="I2428" s="146">
        <f>SUM(I2416:I2427)</f>
        <v>348</v>
      </c>
    </row>
    <row r="2429" spans="3:16" hidden="1" x14ac:dyDescent="0.35">
      <c r="C2429" s="233" t="s">
        <v>1918</v>
      </c>
    </row>
    <row r="2430" spans="3:16" hidden="1" x14ac:dyDescent="0.35">
      <c r="C2430" s="233" t="s">
        <v>1919</v>
      </c>
      <c r="D2430" s="233" t="s">
        <v>1855</v>
      </c>
      <c r="F2430" s="366">
        <v>52</v>
      </c>
      <c r="G2430" s="245" t="s">
        <v>1920</v>
      </c>
      <c r="I2430" s="173">
        <v>41</v>
      </c>
      <c r="J2430">
        <f>320*1.05</f>
        <v>336</v>
      </c>
      <c r="K2430" s="173">
        <v>155</v>
      </c>
      <c r="L2430" s="173">
        <f t="shared" ref="L2430:L2437" si="266">+I2430/J2430*K2430</f>
        <v>18.913690476190474</v>
      </c>
      <c r="M2430" s="173">
        <f t="shared" ref="M2430:M2437" si="267">+I2430+L2430</f>
        <v>59.913690476190474</v>
      </c>
      <c r="O2430" s="173">
        <f t="shared" ref="O2430:O2437" si="268">+M2430*1.5</f>
        <v>89.870535714285708</v>
      </c>
      <c r="P2430" s="173">
        <v>125</v>
      </c>
    </row>
    <row r="2431" spans="3:16" hidden="1" x14ac:dyDescent="0.35">
      <c r="C2431" s="233" t="s">
        <v>1919</v>
      </c>
      <c r="D2431" s="233" t="s">
        <v>1855</v>
      </c>
      <c r="F2431" s="366">
        <v>54</v>
      </c>
      <c r="G2431" s="245" t="s">
        <v>1920</v>
      </c>
      <c r="I2431" s="173">
        <v>41</v>
      </c>
      <c r="J2431">
        <v>336</v>
      </c>
      <c r="K2431" s="173">
        <v>155</v>
      </c>
      <c r="L2431" s="173">
        <f t="shared" si="266"/>
        <v>18.913690476190474</v>
      </c>
      <c r="M2431" s="173">
        <f t="shared" si="267"/>
        <v>59.913690476190474</v>
      </c>
      <c r="O2431" s="173">
        <f t="shared" si="268"/>
        <v>89.870535714285708</v>
      </c>
      <c r="P2431" s="173">
        <v>125</v>
      </c>
    </row>
    <row r="2432" spans="3:16" hidden="1" x14ac:dyDescent="0.35">
      <c r="C2432" s="233" t="s">
        <v>1919</v>
      </c>
      <c r="D2432" s="233" t="s">
        <v>1855</v>
      </c>
      <c r="F2432" s="366">
        <v>56</v>
      </c>
      <c r="G2432" s="245" t="s">
        <v>1920</v>
      </c>
      <c r="I2432" s="173">
        <v>41</v>
      </c>
      <c r="J2432">
        <v>336</v>
      </c>
      <c r="K2432" s="173">
        <v>155</v>
      </c>
      <c r="L2432" s="173">
        <f t="shared" si="266"/>
        <v>18.913690476190474</v>
      </c>
      <c r="M2432" s="173">
        <f t="shared" si="267"/>
        <v>59.913690476190474</v>
      </c>
      <c r="O2432" s="173">
        <f t="shared" si="268"/>
        <v>89.870535714285708</v>
      </c>
      <c r="P2432" s="173">
        <v>125</v>
      </c>
    </row>
    <row r="2433" spans="3:16" hidden="1" x14ac:dyDescent="0.35">
      <c r="C2433" s="233" t="s">
        <v>1919</v>
      </c>
      <c r="D2433" s="233" t="s">
        <v>1855</v>
      </c>
      <c r="F2433" s="366">
        <v>58</v>
      </c>
      <c r="G2433" s="245" t="s">
        <v>1920</v>
      </c>
      <c r="I2433" s="173">
        <v>41</v>
      </c>
      <c r="J2433">
        <v>336</v>
      </c>
      <c r="K2433" s="173">
        <v>155</v>
      </c>
      <c r="L2433" s="173">
        <f t="shared" si="266"/>
        <v>18.913690476190474</v>
      </c>
      <c r="M2433" s="173">
        <f t="shared" si="267"/>
        <v>59.913690476190474</v>
      </c>
      <c r="O2433" s="173">
        <f t="shared" si="268"/>
        <v>89.870535714285708</v>
      </c>
      <c r="P2433" s="173">
        <v>125</v>
      </c>
    </row>
    <row r="2434" spans="3:16" hidden="1" x14ac:dyDescent="0.35">
      <c r="C2434" s="233" t="s">
        <v>1919</v>
      </c>
      <c r="D2434" s="233" t="s">
        <v>1855</v>
      </c>
      <c r="F2434" s="366">
        <v>44</v>
      </c>
      <c r="G2434" s="245" t="s">
        <v>1921</v>
      </c>
      <c r="I2434" s="173">
        <v>39</v>
      </c>
      <c r="J2434">
        <v>336</v>
      </c>
      <c r="K2434" s="173">
        <v>155</v>
      </c>
      <c r="L2434" s="173">
        <f t="shared" si="266"/>
        <v>17.991071428571431</v>
      </c>
      <c r="M2434" s="173">
        <f t="shared" si="267"/>
        <v>56.991071428571431</v>
      </c>
      <c r="O2434" s="173">
        <f t="shared" si="268"/>
        <v>85.486607142857139</v>
      </c>
      <c r="P2434" s="173">
        <v>125</v>
      </c>
    </row>
    <row r="2435" spans="3:16" hidden="1" x14ac:dyDescent="0.35">
      <c r="C2435" s="233" t="s">
        <v>1919</v>
      </c>
      <c r="D2435" s="233" t="s">
        <v>1855</v>
      </c>
      <c r="F2435" s="366">
        <v>46</v>
      </c>
      <c r="G2435" s="245" t="s">
        <v>1921</v>
      </c>
      <c r="I2435" s="173">
        <v>39</v>
      </c>
      <c r="J2435">
        <v>336</v>
      </c>
      <c r="K2435" s="173">
        <v>155</v>
      </c>
      <c r="L2435" s="173">
        <f t="shared" si="266"/>
        <v>17.991071428571431</v>
      </c>
      <c r="M2435" s="173">
        <f t="shared" si="267"/>
        <v>56.991071428571431</v>
      </c>
      <c r="O2435" s="173">
        <f t="shared" si="268"/>
        <v>85.486607142857139</v>
      </c>
      <c r="P2435" s="173">
        <v>125</v>
      </c>
    </row>
    <row r="2436" spans="3:16" hidden="1" x14ac:dyDescent="0.35">
      <c r="C2436" s="233" t="s">
        <v>1919</v>
      </c>
      <c r="D2436" s="233" t="s">
        <v>1855</v>
      </c>
      <c r="F2436" s="366">
        <v>48</v>
      </c>
      <c r="G2436" s="245" t="s">
        <v>1921</v>
      </c>
      <c r="I2436" s="173">
        <v>39</v>
      </c>
      <c r="J2436">
        <v>336</v>
      </c>
      <c r="K2436" s="173">
        <v>155</v>
      </c>
      <c r="L2436" s="173">
        <f t="shared" si="266"/>
        <v>17.991071428571431</v>
      </c>
      <c r="M2436" s="173">
        <f t="shared" si="267"/>
        <v>56.991071428571431</v>
      </c>
      <c r="O2436" s="173">
        <f t="shared" si="268"/>
        <v>85.486607142857139</v>
      </c>
      <c r="P2436" s="173">
        <v>125</v>
      </c>
    </row>
    <row r="2437" spans="3:16" hidden="1" x14ac:dyDescent="0.35">
      <c r="C2437" s="233" t="s">
        <v>1919</v>
      </c>
      <c r="D2437" s="233" t="s">
        <v>1855</v>
      </c>
      <c r="F2437" s="366">
        <v>50</v>
      </c>
      <c r="G2437" s="245" t="s">
        <v>1921</v>
      </c>
      <c r="I2437" s="173">
        <v>39</v>
      </c>
      <c r="J2437">
        <v>336</v>
      </c>
      <c r="K2437" s="173">
        <v>155</v>
      </c>
      <c r="L2437" s="173">
        <f t="shared" si="266"/>
        <v>17.991071428571431</v>
      </c>
      <c r="M2437" s="173">
        <f t="shared" si="267"/>
        <v>56.991071428571431</v>
      </c>
      <c r="O2437" s="173">
        <f t="shared" si="268"/>
        <v>85.486607142857139</v>
      </c>
      <c r="P2437" s="173">
        <v>125</v>
      </c>
    </row>
    <row r="2438" spans="3:16" hidden="1" x14ac:dyDescent="0.35">
      <c r="I2438" s="146">
        <f>SUM(I2430:I2437)</f>
        <v>320</v>
      </c>
    </row>
    <row r="2439" spans="3:16" hidden="1" x14ac:dyDescent="0.35">
      <c r="I2439" s="146"/>
    </row>
    <row r="2440" spans="3:16" hidden="1" x14ac:dyDescent="0.35">
      <c r="C2440" s="233" t="s">
        <v>231</v>
      </c>
      <c r="D2440" s="233" t="s">
        <v>194</v>
      </c>
      <c r="F2440" s="366">
        <v>50</v>
      </c>
      <c r="G2440" s="245" t="s">
        <v>1924</v>
      </c>
      <c r="I2440" s="146">
        <v>19</v>
      </c>
      <c r="J2440">
        <f>388*1.5</f>
        <v>582</v>
      </c>
      <c r="K2440" s="173">
        <v>120</v>
      </c>
      <c r="L2440" s="173">
        <f t="shared" ref="L2440:L2451" si="269">+I2440/J2440*K2440</f>
        <v>3.9175257731958766</v>
      </c>
      <c r="M2440" s="173">
        <f t="shared" ref="M2440:M2451" si="270">+I2440+L2440</f>
        <v>22.917525773195877</v>
      </c>
      <c r="O2440" s="173">
        <f t="shared" ref="O2440:O2451" si="271">+M2440*1.5</f>
        <v>34.376288659793815</v>
      </c>
      <c r="P2440" s="173">
        <v>90</v>
      </c>
    </row>
    <row r="2441" spans="3:16" hidden="1" x14ac:dyDescent="0.35">
      <c r="C2441" s="233" t="s">
        <v>231</v>
      </c>
      <c r="D2441" s="233" t="s">
        <v>194</v>
      </c>
      <c r="F2441" s="366">
        <v>52</v>
      </c>
      <c r="G2441" s="245" t="s">
        <v>1924</v>
      </c>
      <c r="I2441" s="146">
        <v>19</v>
      </c>
      <c r="J2441">
        <f t="shared" ref="J2441:J2451" si="272">388*1.5</f>
        <v>582</v>
      </c>
      <c r="K2441" s="173">
        <v>120</v>
      </c>
      <c r="L2441" s="173">
        <f t="shared" si="269"/>
        <v>3.9175257731958766</v>
      </c>
      <c r="M2441" s="173">
        <f t="shared" si="270"/>
        <v>22.917525773195877</v>
      </c>
      <c r="O2441" s="173">
        <f t="shared" si="271"/>
        <v>34.376288659793815</v>
      </c>
      <c r="P2441" s="173">
        <v>90</v>
      </c>
    </row>
    <row r="2442" spans="3:16" hidden="1" x14ac:dyDescent="0.35">
      <c r="C2442" s="233" t="s">
        <v>231</v>
      </c>
      <c r="D2442" s="233" t="s">
        <v>194</v>
      </c>
      <c r="F2442" s="366">
        <v>54</v>
      </c>
      <c r="G2442" s="245" t="s">
        <v>1924</v>
      </c>
      <c r="I2442" s="146">
        <v>19</v>
      </c>
      <c r="J2442">
        <f t="shared" si="272"/>
        <v>582</v>
      </c>
      <c r="K2442" s="173">
        <v>120</v>
      </c>
      <c r="L2442" s="173">
        <f t="shared" si="269"/>
        <v>3.9175257731958766</v>
      </c>
      <c r="M2442" s="173">
        <f t="shared" si="270"/>
        <v>22.917525773195877</v>
      </c>
      <c r="O2442" s="173">
        <f t="shared" si="271"/>
        <v>34.376288659793815</v>
      </c>
      <c r="P2442" s="173">
        <v>90</v>
      </c>
    </row>
    <row r="2443" spans="3:16" hidden="1" x14ac:dyDescent="0.35">
      <c r="C2443" s="233" t="s">
        <v>231</v>
      </c>
      <c r="D2443" s="233" t="s">
        <v>194</v>
      </c>
      <c r="F2443" s="366">
        <v>56</v>
      </c>
      <c r="G2443" s="245" t="s">
        <v>1924</v>
      </c>
      <c r="I2443" s="146">
        <v>19</v>
      </c>
      <c r="J2443">
        <f t="shared" si="272"/>
        <v>582</v>
      </c>
      <c r="K2443" s="173">
        <v>120</v>
      </c>
      <c r="L2443" s="173">
        <f t="shared" si="269"/>
        <v>3.9175257731958766</v>
      </c>
      <c r="M2443" s="173">
        <f t="shared" si="270"/>
        <v>22.917525773195877</v>
      </c>
      <c r="O2443" s="173">
        <f t="shared" si="271"/>
        <v>34.376288659793815</v>
      </c>
      <c r="P2443" s="173">
        <v>90</v>
      </c>
    </row>
    <row r="2444" spans="3:16" hidden="1" x14ac:dyDescent="0.35">
      <c r="C2444" s="233" t="s">
        <v>231</v>
      </c>
      <c r="D2444" s="233" t="s">
        <v>1872</v>
      </c>
      <c r="F2444" s="366">
        <v>42</v>
      </c>
      <c r="G2444" s="245" t="s">
        <v>1925</v>
      </c>
      <c r="I2444" s="146">
        <v>41</v>
      </c>
      <c r="J2444">
        <f t="shared" si="272"/>
        <v>582</v>
      </c>
      <c r="K2444" s="173">
        <v>120</v>
      </c>
      <c r="L2444" s="173">
        <f t="shared" si="269"/>
        <v>8.4536082474226806</v>
      </c>
      <c r="M2444" s="173">
        <f t="shared" si="270"/>
        <v>49.453608247422679</v>
      </c>
      <c r="O2444" s="173">
        <f t="shared" si="271"/>
        <v>74.180412371134025</v>
      </c>
      <c r="P2444" s="173">
        <v>110</v>
      </c>
    </row>
    <row r="2445" spans="3:16" hidden="1" x14ac:dyDescent="0.35">
      <c r="C2445" s="233" t="s">
        <v>231</v>
      </c>
      <c r="D2445" s="233" t="s">
        <v>1872</v>
      </c>
      <c r="F2445" s="366">
        <v>44</v>
      </c>
      <c r="G2445" s="245" t="s">
        <v>1925</v>
      </c>
      <c r="I2445" s="146">
        <v>41</v>
      </c>
      <c r="J2445">
        <f t="shared" si="272"/>
        <v>582</v>
      </c>
      <c r="K2445" s="173">
        <v>120</v>
      </c>
      <c r="L2445" s="173">
        <f t="shared" si="269"/>
        <v>8.4536082474226806</v>
      </c>
      <c r="M2445" s="173">
        <f t="shared" si="270"/>
        <v>49.453608247422679</v>
      </c>
      <c r="O2445" s="173">
        <f t="shared" si="271"/>
        <v>74.180412371134025</v>
      </c>
      <c r="P2445" s="173">
        <v>110</v>
      </c>
    </row>
    <row r="2446" spans="3:16" hidden="1" x14ac:dyDescent="0.35">
      <c r="C2446" s="233" t="s">
        <v>231</v>
      </c>
      <c r="D2446" s="233" t="s">
        <v>1872</v>
      </c>
      <c r="F2446" s="366">
        <v>46</v>
      </c>
      <c r="G2446" s="245" t="s">
        <v>1925</v>
      </c>
      <c r="I2446" s="146">
        <v>41</v>
      </c>
      <c r="J2446">
        <f t="shared" si="272"/>
        <v>582</v>
      </c>
      <c r="K2446" s="173">
        <v>120</v>
      </c>
      <c r="L2446" s="173">
        <f t="shared" si="269"/>
        <v>8.4536082474226806</v>
      </c>
      <c r="M2446" s="173">
        <f t="shared" si="270"/>
        <v>49.453608247422679</v>
      </c>
      <c r="O2446" s="173">
        <f t="shared" si="271"/>
        <v>74.180412371134025</v>
      </c>
      <c r="P2446" s="173">
        <v>110</v>
      </c>
    </row>
    <row r="2447" spans="3:16" hidden="1" x14ac:dyDescent="0.35">
      <c r="C2447" s="233" t="s">
        <v>231</v>
      </c>
      <c r="D2447" s="233" t="s">
        <v>1872</v>
      </c>
      <c r="F2447" s="366">
        <v>48</v>
      </c>
      <c r="G2447" s="245" t="s">
        <v>1925</v>
      </c>
      <c r="I2447" s="146">
        <v>41</v>
      </c>
      <c r="J2447">
        <f t="shared" si="272"/>
        <v>582</v>
      </c>
      <c r="K2447" s="173">
        <v>120</v>
      </c>
      <c r="L2447" s="173">
        <f t="shared" si="269"/>
        <v>8.4536082474226806</v>
      </c>
      <c r="M2447" s="173">
        <f t="shared" si="270"/>
        <v>49.453608247422679</v>
      </c>
      <c r="O2447" s="173">
        <f t="shared" si="271"/>
        <v>74.180412371134025</v>
      </c>
      <c r="P2447" s="173">
        <v>110</v>
      </c>
    </row>
    <row r="2448" spans="3:16" hidden="1" x14ac:dyDescent="0.35">
      <c r="C2448" s="233" t="s">
        <v>231</v>
      </c>
      <c r="D2448" s="233" t="s">
        <v>1872</v>
      </c>
      <c r="F2448" s="366">
        <v>42</v>
      </c>
      <c r="G2448" s="245" t="s">
        <v>1926</v>
      </c>
      <c r="I2448" s="146">
        <v>37</v>
      </c>
      <c r="J2448">
        <f t="shared" si="272"/>
        <v>582</v>
      </c>
      <c r="K2448" s="173">
        <v>120</v>
      </c>
      <c r="L2448" s="173">
        <f t="shared" si="269"/>
        <v>7.6288659793814428</v>
      </c>
      <c r="M2448" s="173">
        <f t="shared" si="270"/>
        <v>44.628865979381445</v>
      </c>
      <c r="O2448" s="173">
        <f t="shared" si="271"/>
        <v>66.943298969072174</v>
      </c>
      <c r="P2448" s="173">
        <v>110</v>
      </c>
    </row>
    <row r="2449" spans="3:16" hidden="1" x14ac:dyDescent="0.35">
      <c r="C2449" s="233" t="s">
        <v>231</v>
      </c>
      <c r="D2449" s="233" t="s">
        <v>1872</v>
      </c>
      <c r="F2449" s="366">
        <v>44</v>
      </c>
      <c r="G2449" s="245" t="s">
        <v>1926</v>
      </c>
      <c r="I2449" s="146">
        <v>37</v>
      </c>
      <c r="J2449">
        <f t="shared" si="272"/>
        <v>582</v>
      </c>
      <c r="K2449" s="173">
        <v>120</v>
      </c>
      <c r="L2449" s="173">
        <f t="shared" si="269"/>
        <v>7.6288659793814428</v>
      </c>
      <c r="M2449" s="173">
        <f t="shared" si="270"/>
        <v>44.628865979381445</v>
      </c>
      <c r="O2449" s="173">
        <f t="shared" si="271"/>
        <v>66.943298969072174</v>
      </c>
      <c r="P2449" s="173">
        <v>110</v>
      </c>
    </row>
    <row r="2450" spans="3:16" hidden="1" x14ac:dyDescent="0.35">
      <c r="C2450" s="233" t="s">
        <v>231</v>
      </c>
      <c r="D2450" s="233" t="s">
        <v>1872</v>
      </c>
      <c r="F2450" s="366">
        <v>46</v>
      </c>
      <c r="G2450" s="245" t="s">
        <v>1926</v>
      </c>
      <c r="I2450" s="146">
        <v>37</v>
      </c>
      <c r="J2450">
        <f t="shared" si="272"/>
        <v>582</v>
      </c>
      <c r="K2450" s="173">
        <v>120</v>
      </c>
      <c r="L2450" s="173">
        <f t="shared" si="269"/>
        <v>7.6288659793814428</v>
      </c>
      <c r="M2450" s="173">
        <f t="shared" si="270"/>
        <v>44.628865979381445</v>
      </c>
      <c r="O2450" s="173">
        <f t="shared" si="271"/>
        <v>66.943298969072174</v>
      </c>
      <c r="P2450" s="173">
        <v>110</v>
      </c>
    </row>
    <row r="2451" spans="3:16" hidden="1" x14ac:dyDescent="0.35">
      <c r="C2451" s="233" t="s">
        <v>231</v>
      </c>
      <c r="D2451" s="233" t="s">
        <v>1872</v>
      </c>
      <c r="G2451" s="245" t="s">
        <v>1926</v>
      </c>
      <c r="I2451" s="173">
        <v>37</v>
      </c>
      <c r="J2451">
        <f t="shared" si="272"/>
        <v>582</v>
      </c>
      <c r="K2451" s="173">
        <v>120</v>
      </c>
      <c r="L2451" s="173">
        <f t="shared" si="269"/>
        <v>7.6288659793814428</v>
      </c>
      <c r="M2451" s="173">
        <f t="shared" si="270"/>
        <v>44.628865979381445</v>
      </c>
      <c r="O2451" s="173">
        <f t="shared" si="271"/>
        <v>66.943298969072174</v>
      </c>
      <c r="P2451" s="173">
        <v>110</v>
      </c>
    </row>
    <row r="2452" spans="3:16" hidden="1" x14ac:dyDescent="0.35">
      <c r="I2452" s="173">
        <f>SUM(I2440:I2451)</f>
        <v>388</v>
      </c>
      <c r="P2452" s="173">
        <f>SUM(P2440:P2451)</f>
        <v>1240</v>
      </c>
    </row>
    <row r="2453" spans="3:16" hidden="1" x14ac:dyDescent="0.35"/>
    <row r="2454" spans="3:16" hidden="1" x14ac:dyDescent="0.35">
      <c r="C2454" s="233" t="s">
        <v>1877</v>
      </c>
      <c r="D2454" s="233" t="s">
        <v>1877</v>
      </c>
      <c r="G2454" s="245" t="s">
        <v>1934</v>
      </c>
      <c r="I2454" s="173">
        <v>24</v>
      </c>
      <c r="J2454">
        <f>216*1.1</f>
        <v>237.60000000000002</v>
      </c>
      <c r="K2454" s="173">
        <f>7*15</f>
        <v>105</v>
      </c>
      <c r="L2454" s="173">
        <f t="shared" ref="L2454:L2462" si="273">+I2454/J2454*K2454</f>
        <v>10.606060606060604</v>
      </c>
      <c r="M2454" s="173">
        <f t="shared" ref="M2454:M2462" si="274">+I2454+L2454</f>
        <v>34.606060606060602</v>
      </c>
      <c r="O2454" s="173">
        <f t="shared" ref="O2454:O2462" si="275">+M2454*1.5</f>
        <v>51.909090909090907</v>
      </c>
      <c r="P2454" s="173">
        <v>125</v>
      </c>
    </row>
    <row r="2455" spans="3:16" hidden="1" x14ac:dyDescent="0.35">
      <c r="C2455" s="233" t="s">
        <v>1877</v>
      </c>
      <c r="D2455" s="233" t="s">
        <v>1877</v>
      </c>
      <c r="G2455" s="245" t="s">
        <v>1934</v>
      </c>
      <c r="I2455" s="173">
        <v>24</v>
      </c>
      <c r="J2455">
        <f t="shared" ref="J2455:J2462" si="276">216*1.1</f>
        <v>237.60000000000002</v>
      </c>
      <c r="K2455" s="173">
        <f t="shared" ref="K2455:K2462" si="277">7*15</f>
        <v>105</v>
      </c>
      <c r="L2455" s="173">
        <f t="shared" si="273"/>
        <v>10.606060606060604</v>
      </c>
      <c r="M2455" s="173">
        <f t="shared" si="274"/>
        <v>34.606060606060602</v>
      </c>
      <c r="O2455" s="173">
        <f t="shared" si="275"/>
        <v>51.909090909090907</v>
      </c>
      <c r="P2455" s="173">
        <v>125</v>
      </c>
    </row>
    <row r="2456" spans="3:16" hidden="1" x14ac:dyDescent="0.35">
      <c r="C2456" s="233" t="s">
        <v>1877</v>
      </c>
      <c r="D2456" s="233" t="s">
        <v>1877</v>
      </c>
      <c r="G2456" s="245" t="s">
        <v>1934</v>
      </c>
      <c r="I2456" s="173">
        <v>24</v>
      </c>
      <c r="J2456">
        <f t="shared" si="276"/>
        <v>237.60000000000002</v>
      </c>
      <c r="K2456" s="173">
        <f t="shared" si="277"/>
        <v>105</v>
      </c>
      <c r="L2456" s="173">
        <f t="shared" si="273"/>
        <v>10.606060606060604</v>
      </c>
      <c r="M2456" s="173">
        <f t="shared" si="274"/>
        <v>34.606060606060602</v>
      </c>
      <c r="O2456" s="173">
        <f t="shared" si="275"/>
        <v>51.909090909090907</v>
      </c>
      <c r="P2456" s="173">
        <v>125</v>
      </c>
    </row>
    <row r="2457" spans="3:16" hidden="1" x14ac:dyDescent="0.35">
      <c r="C2457" s="233" t="s">
        <v>1877</v>
      </c>
      <c r="D2457" s="233" t="s">
        <v>1877</v>
      </c>
      <c r="G2457" s="245" t="s">
        <v>1935</v>
      </c>
      <c r="I2457" s="173">
        <v>24</v>
      </c>
      <c r="J2457">
        <f t="shared" si="276"/>
        <v>237.60000000000002</v>
      </c>
      <c r="K2457" s="173">
        <f t="shared" si="277"/>
        <v>105</v>
      </c>
      <c r="L2457" s="173">
        <f t="shared" si="273"/>
        <v>10.606060606060604</v>
      </c>
      <c r="M2457" s="173">
        <f t="shared" si="274"/>
        <v>34.606060606060602</v>
      </c>
      <c r="O2457" s="173">
        <f t="shared" si="275"/>
        <v>51.909090909090907</v>
      </c>
      <c r="P2457" s="173">
        <v>125</v>
      </c>
    </row>
    <row r="2458" spans="3:16" hidden="1" x14ac:dyDescent="0.35">
      <c r="C2458" s="233" t="s">
        <v>1877</v>
      </c>
      <c r="D2458" s="233" t="s">
        <v>1877</v>
      </c>
      <c r="G2458" s="245" t="s">
        <v>1935</v>
      </c>
      <c r="I2458" s="173">
        <v>24</v>
      </c>
      <c r="J2458">
        <f t="shared" si="276"/>
        <v>237.60000000000002</v>
      </c>
      <c r="K2458" s="173">
        <f t="shared" si="277"/>
        <v>105</v>
      </c>
      <c r="L2458" s="173">
        <f t="shared" si="273"/>
        <v>10.606060606060604</v>
      </c>
      <c r="M2458" s="173">
        <f t="shared" si="274"/>
        <v>34.606060606060602</v>
      </c>
      <c r="O2458" s="173">
        <f t="shared" si="275"/>
        <v>51.909090909090907</v>
      </c>
      <c r="P2458" s="173">
        <v>125</v>
      </c>
    </row>
    <row r="2459" spans="3:16" hidden="1" x14ac:dyDescent="0.35">
      <c r="C2459" s="233" t="s">
        <v>1877</v>
      </c>
      <c r="D2459" s="233" t="s">
        <v>1877</v>
      </c>
      <c r="G2459" s="245" t="s">
        <v>1935</v>
      </c>
      <c r="I2459" s="173">
        <v>24</v>
      </c>
      <c r="J2459">
        <f t="shared" si="276"/>
        <v>237.60000000000002</v>
      </c>
      <c r="K2459" s="173">
        <f t="shared" si="277"/>
        <v>105</v>
      </c>
      <c r="L2459" s="173">
        <f t="shared" si="273"/>
        <v>10.606060606060604</v>
      </c>
      <c r="M2459" s="173">
        <f t="shared" si="274"/>
        <v>34.606060606060602</v>
      </c>
      <c r="O2459" s="173">
        <f t="shared" si="275"/>
        <v>51.909090909090907</v>
      </c>
      <c r="P2459" s="173">
        <v>125</v>
      </c>
    </row>
    <row r="2460" spans="3:16" hidden="1" x14ac:dyDescent="0.35">
      <c r="C2460" s="233" t="s">
        <v>1877</v>
      </c>
      <c r="D2460" s="233" t="s">
        <v>1877</v>
      </c>
      <c r="G2460" s="245" t="s">
        <v>1936</v>
      </c>
      <c r="I2460" s="173">
        <v>24</v>
      </c>
      <c r="J2460">
        <f t="shared" si="276"/>
        <v>237.60000000000002</v>
      </c>
      <c r="K2460" s="173">
        <f t="shared" si="277"/>
        <v>105</v>
      </c>
      <c r="L2460" s="173">
        <f t="shared" si="273"/>
        <v>10.606060606060604</v>
      </c>
      <c r="M2460" s="173">
        <f t="shared" si="274"/>
        <v>34.606060606060602</v>
      </c>
      <c r="O2460" s="173">
        <f t="shared" si="275"/>
        <v>51.909090909090907</v>
      </c>
      <c r="P2460" s="173">
        <v>125</v>
      </c>
    </row>
    <row r="2461" spans="3:16" hidden="1" x14ac:dyDescent="0.35">
      <c r="C2461" s="233" t="s">
        <v>1877</v>
      </c>
      <c r="D2461" s="233" t="s">
        <v>1877</v>
      </c>
      <c r="G2461" s="245" t="s">
        <v>1936</v>
      </c>
      <c r="I2461" s="173">
        <v>24</v>
      </c>
      <c r="J2461">
        <f t="shared" si="276"/>
        <v>237.60000000000002</v>
      </c>
      <c r="K2461" s="173">
        <f t="shared" si="277"/>
        <v>105</v>
      </c>
      <c r="L2461" s="173">
        <f t="shared" si="273"/>
        <v>10.606060606060604</v>
      </c>
      <c r="M2461" s="173">
        <f t="shared" si="274"/>
        <v>34.606060606060602</v>
      </c>
      <c r="O2461" s="173">
        <f t="shared" si="275"/>
        <v>51.909090909090907</v>
      </c>
      <c r="P2461" s="173">
        <v>125</v>
      </c>
    </row>
    <row r="2462" spans="3:16" hidden="1" x14ac:dyDescent="0.35">
      <c r="C2462" s="233" t="s">
        <v>1877</v>
      </c>
      <c r="D2462" s="233" t="s">
        <v>1877</v>
      </c>
      <c r="G2462" s="245" t="s">
        <v>1936</v>
      </c>
      <c r="I2462" s="173">
        <v>24</v>
      </c>
      <c r="J2462">
        <f t="shared" si="276"/>
        <v>237.60000000000002</v>
      </c>
      <c r="K2462" s="173">
        <f t="shared" si="277"/>
        <v>105</v>
      </c>
      <c r="L2462" s="173">
        <f t="shared" si="273"/>
        <v>10.606060606060604</v>
      </c>
      <c r="M2462" s="173">
        <f t="shared" si="274"/>
        <v>34.606060606060602</v>
      </c>
      <c r="O2462" s="173">
        <f t="shared" si="275"/>
        <v>51.909090909090907</v>
      </c>
      <c r="P2462" s="173">
        <v>125</v>
      </c>
    </row>
    <row r="2463" spans="3:16" hidden="1" x14ac:dyDescent="0.35">
      <c r="I2463" s="173">
        <f>SUM(I2454:I2462)</f>
        <v>216</v>
      </c>
    </row>
    <row r="2464" spans="3:16" hidden="1" x14ac:dyDescent="0.35"/>
    <row r="2465" spans="3:16" hidden="1" x14ac:dyDescent="0.35"/>
    <row r="2466" spans="3:16" hidden="1" x14ac:dyDescent="0.35">
      <c r="D2466" s="233" t="s">
        <v>1923</v>
      </c>
      <c r="I2466" s="173">
        <f>+I2413+I2428+I2438+I2452+I2463</f>
        <v>6497.2000000000007</v>
      </c>
    </row>
    <row r="2467" spans="3:16" hidden="1" x14ac:dyDescent="0.35"/>
    <row r="2468" spans="3:16" hidden="1" x14ac:dyDescent="0.35">
      <c r="D2468" s="232" t="s">
        <v>1305</v>
      </c>
    </row>
    <row r="2469" spans="3:16" hidden="1" x14ac:dyDescent="0.35">
      <c r="C2469" s="233" t="s">
        <v>1938</v>
      </c>
      <c r="D2469" s="233" t="s">
        <v>1577</v>
      </c>
      <c r="F2469" s="366">
        <v>44</v>
      </c>
      <c r="G2469" s="245" t="s">
        <v>1939</v>
      </c>
      <c r="I2469" s="173">
        <v>39</v>
      </c>
      <c r="J2469" s="2">
        <f>+I2476*1.045</f>
        <v>285.28499999999997</v>
      </c>
      <c r="K2469" s="173">
        <f>8*15</f>
        <v>120</v>
      </c>
      <c r="L2469" s="173">
        <f t="shared" ref="L2469:L2475" si="278">+I2469/J2469*K2469</f>
        <v>16.404647983595353</v>
      </c>
      <c r="M2469" s="173">
        <f t="shared" ref="M2469:M2475" si="279">+I2469+L2469</f>
        <v>55.404647983595353</v>
      </c>
      <c r="O2469" s="173">
        <f t="shared" ref="O2469:O2475" si="280">+M2469*1.5</f>
        <v>83.106971975393037</v>
      </c>
      <c r="P2469" s="173">
        <v>125</v>
      </c>
    </row>
    <row r="2470" spans="3:16" hidden="1" x14ac:dyDescent="0.35">
      <c r="C2470" s="233" t="s">
        <v>1938</v>
      </c>
      <c r="D2470" s="233" t="s">
        <v>1577</v>
      </c>
      <c r="F2470" s="366">
        <v>46</v>
      </c>
      <c r="G2470" s="245" t="s">
        <v>1939</v>
      </c>
      <c r="I2470" s="173">
        <v>39</v>
      </c>
      <c r="J2470">
        <v>285</v>
      </c>
      <c r="K2470" s="173">
        <v>120</v>
      </c>
      <c r="L2470" s="173">
        <f t="shared" si="278"/>
        <v>16.421052631578949</v>
      </c>
      <c r="M2470" s="173">
        <f t="shared" si="279"/>
        <v>55.421052631578945</v>
      </c>
      <c r="O2470" s="173">
        <f t="shared" si="280"/>
        <v>83.131578947368411</v>
      </c>
      <c r="P2470" s="173">
        <v>125</v>
      </c>
    </row>
    <row r="2471" spans="3:16" hidden="1" x14ac:dyDescent="0.35">
      <c r="C2471" s="233" t="s">
        <v>1938</v>
      </c>
      <c r="D2471" s="233" t="s">
        <v>1577</v>
      </c>
      <c r="F2471" s="366">
        <v>50</v>
      </c>
      <c r="G2471" s="245" t="s">
        <v>1939</v>
      </c>
      <c r="I2471" s="173">
        <v>39</v>
      </c>
      <c r="J2471">
        <v>285</v>
      </c>
      <c r="K2471" s="173">
        <v>120</v>
      </c>
      <c r="L2471" s="173">
        <f t="shared" si="278"/>
        <v>16.421052631578949</v>
      </c>
      <c r="M2471" s="173">
        <f t="shared" si="279"/>
        <v>55.421052631578945</v>
      </c>
      <c r="O2471" s="173">
        <f t="shared" si="280"/>
        <v>83.131578947368411</v>
      </c>
      <c r="P2471" s="173">
        <v>125</v>
      </c>
    </row>
    <row r="2472" spans="3:16" hidden="1" x14ac:dyDescent="0.35">
      <c r="C2472" s="233" t="s">
        <v>1938</v>
      </c>
      <c r="D2472" s="233" t="s">
        <v>1577</v>
      </c>
      <c r="F2472" s="366">
        <v>44</v>
      </c>
      <c r="G2472" s="245" t="s">
        <v>1940</v>
      </c>
      <c r="I2472" s="173">
        <v>39</v>
      </c>
      <c r="J2472">
        <v>285</v>
      </c>
      <c r="K2472" s="173">
        <v>120</v>
      </c>
      <c r="L2472" s="173">
        <f t="shared" si="278"/>
        <v>16.421052631578949</v>
      </c>
      <c r="M2472" s="173">
        <f t="shared" si="279"/>
        <v>55.421052631578945</v>
      </c>
      <c r="O2472" s="173">
        <f t="shared" si="280"/>
        <v>83.131578947368411</v>
      </c>
      <c r="P2472" s="173">
        <v>125</v>
      </c>
    </row>
    <row r="2473" spans="3:16" hidden="1" x14ac:dyDescent="0.35">
      <c r="C2473" s="233" t="s">
        <v>1938</v>
      </c>
      <c r="D2473" s="233" t="s">
        <v>1577</v>
      </c>
      <c r="F2473" s="366">
        <v>46</v>
      </c>
      <c r="G2473" s="245" t="s">
        <v>1940</v>
      </c>
      <c r="I2473" s="173">
        <v>39</v>
      </c>
      <c r="J2473">
        <v>285</v>
      </c>
      <c r="K2473" s="173">
        <v>120</v>
      </c>
      <c r="L2473" s="173">
        <f t="shared" si="278"/>
        <v>16.421052631578949</v>
      </c>
      <c r="M2473" s="173">
        <f t="shared" si="279"/>
        <v>55.421052631578945</v>
      </c>
      <c r="O2473" s="173">
        <f t="shared" si="280"/>
        <v>83.131578947368411</v>
      </c>
      <c r="P2473" s="173">
        <v>125</v>
      </c>
    </row>
    <row r="2474" spans="3:16" hidden="1" x14ac:dyDescent="0.35">
      <c r="C2474" s="233" t="s">
        <v>1938</v>
      </c>
      <c r="D2474" s="233" t="s">
        <v>1577</v>
      </c>
      <c r="F2474" s="366">
        <v>48</v>
      </c>
      <c r="G2474" s="245" t="s">
        <v>1940</v>
      </c>
      <c r="I2474" s="173">
        <v>39</v>
      </c>
      <c r="J2474">
        <v>285</v>
      </c>
      <c r="K2474" s="173">
        <v>120</v>
      </c>
      <c r="L2474" s="173">
        <f t="shared" si="278"/>
        <v>16.421052631578949</v>
      </c>
      <c r="M2474" s="173">
        <f t="shared" si="279"/>
        <v>55.421052631578945</v>
      </c>
      <c r="O2474" s="173">
        <f t="shared" si="280"/>
        <v>83.131578947368411</v>
      </c>
      <c r="P2474" s="173">
        <v>125</v>
      </c>
    </row>
    <row r="2475" spans="3:16" hidden="1" x14ac:dyDescent="0.35">
      <c r="C2475" s="233" t="s">
        <v>1938</v>
      </c>
      <c r="D2475" s="233" t="s">
        <v>1577</v>
      </c>
      <c r="F2475" s="366">
        <v>50</v>
      </c>
      <c r="G2475" s="245" t="s">
        <v>1940</v>
      </c>
      <c r="I2475" s="173">
        <v>39</v>
      </c>
      <c r="J2475">
        <v>285</v>
      </c>
      <c r="K2475" s="173">
        <v>120</v>
      </c>
      <c r="L2475" s="173">
        <f t="shared" si="278"/>
        <v>16.421052631578949</v>
      </c>
      <c r="M2475" s="173">
        <f t="shared" si="279"/>
        <v>55.421052631578945</v>
      </c>
      <c r="O2475" s="173">
        <f t="shared" si="280"/>
        <v>83.131578947368411</v>
      </c>
      <c r="P2475" s="173">
        <v>125</v>
      </c>
    </row>
    <row r="2476" spans="3:16" hidden="1" x14ac:dyDescent="0.35">
      <c r="I2476" s="173">
        <f>SUM(I2469:I2475)</f>
        <v>273</v>
      </c>
    </row>
    <row r="2477" spans="3:16" hidden="1" x14ac:dyDescent="0.35">
      <c r="D2477" s="232" t="s">
        <v>2065</v>
      </c>
    </row>
    <row r="2478" spans="3:16" hidden="1" x14ac:dyDescent="0.35">
      <c r="C2478" s="233" t="s">
        <v>1432</v>
      </c>
      <c r="D2478" s="233" t="s">
        <v>1432</v>
      </c>
      <c r="F2478" s="366">
        <v>1</v>
      </c>
      <c r="G2478" s="245" t="s">
        <v>1941</v>
      </c>
      <c r="I2478" s="173">
        <v>40</v>
      </c>
      <c r="J2478">
        <v>368</v>
      </c>
      <c r="K2478" s="173">
        <v>94</v>
      </c>
      <c r="L2478" s="173">
        <f t="shared" ref="L2478:L2485" si="281">+I2478/J2478*K2478</f>
        <v>10.217391304347826</v>
      </c>
      <c r="M2478" s="173">
        <f t="shared" ref="M2478:M2485" si="282">+I2478+L2478</f>
        <v>50.217391304347828</v>
      </c>
      <c r="O2478" s="173">
        <f t="shared" ref="O2478:O2485" si="283">+M2478*1.5</f>
        <v>75.326086956521749</v>
      </c>
      <c r="P2478" s="173">
        <v>125</v>
      </c>
    </row>
    <row r="2479" spans="3:16" hidden="1" x14ac:dyDescent="0.35">
      <c r="C2479" s="233" t="s">
        <v>1432</v>
      </c>
      <c r="D2479" s="233" t="s">
        <v>1432</v>
      </c>
      <c r="F2479" s="366">
        <v>2</v>
      </c>
      <c r="G2479" s="245" t="s">
        <v>1941</v>
      </c>
      <c r="I2479" s="173">
        <v>40</v>
      </c>
      <c r="J2479">
        <v>368</v>
      </c>
      <c r="K2479" s="173">
        <v>94</v>
      </c>
      <c r="L2479" s="173">
        <f t="shared" si="281"/>
        <v>10.217391304347826</v>
      </c>
      <c r="M2479" s="173">
        <f t="shared" si="282"/>
        <v>50.217391304347828</v>
      </c>
      <c r="O2479" s="173">
        <f t="shared" si="283"/>
        <v>75.326086956521749</v>
      </c>
      <c r="P2479" s="173">
        <v>125</v>
      </c>
    </row>
    <row r="2480" spans="3:16" hidden="1" x14ac:dyDescent="0.35">
      <c r="C2480" s="233" t="s">
        <v>1432</v>
      </c>
      <c r="D2480" s="233" t="s">
        <v>1432</v>
      </c>
      <c r="F2480" s="366">
        <v>3</v>
      </c>
      <c r="G2480" s="245" t="s">
        <v>1941</v>
      </c>
      <c r="I2480" s="173">
        <v>40</v>
      </c>
      <c r="J2480">
        <v>368</v>
      </c>
      <c r="K2480" s="173">
        <v>94</v>
      </c>
      <c r="L2480" s="173">
        <f t="shared" si="281"/>
        <v>10.217391304347826</v>
      </c>
      <c r="M2480" s="173">
        <f t="shared" si="282"/>
        <v>50.217391304347828</v>
      </c>
      <c r="O2480" s="173">
        <f t="shared" si="283"/>
        <v>75.326086956521749</v>
      </c>
      <c r="P2480" s="173">
        <v>125</v>
      </c>
    </row>
    <row r="2481" spans="3:20" hidden="1" x14ac:dyDescent="0.35">
      <c r="C2481" s="233" t="s">
        <v>1432</v>
      </c>
      <c r="D2481" s="233" t="s">
        <v>1432</v>
      </c>
      <c r="F2481" s="366">
        <v>4</v>
      </c>
      <c r="G2481" s="245" t="s">
        <v>1941</v>
      </c>
      <c r="I2481" s="173">
        <v>40</v>
      </c>
      <c r="J2481">
        <v>368</v>
      </c>
      <c r="K2481" s="173">
        <v>94</v>
      </c>
      <c r="L2481" s="173">
        <f t="shared" si="281"/>
        <v>10.217391304347826</v>
      </c>
      <c r="M2481" s="173">
        <f t="shared" si="282"/>
        <v>50.217391304347828</v>
      </c>
      <c r="O2481" s="173">
        <f t="shared" si="283"/>
        <v>75.326086956521749</v>
      </c>
      <c r="P2481" s="173">
        <v>125</v>
      </c>
    </row>
    <row r="2482" spans="3:20" hidden="1" x14ac:dyDescent="0.35">
      <c r="C2482" s="233" t="s">
        <v>231</v>
      </c>
      <c r="D2482" s="233" t="s">
        <v>194</v>
      </c>
      <c r="F2482" s="366">
        <v>50</v>
      </c>
      <c r="G2482" s="245" t="s">
        <v>1942</v>
      </c>
      <c r="I2482" s="173">
        <v>52</v>
      </c>
      <c r="J2482">
        <v>368</v>
      </c>
      <c r="K2482" s="173">
        <v>94</v>
      </c>
      <c r="L2482" s="173">
        <f t="shared" si="281"/>
        <v>13.282608695652172</v>
      </c>
      <c r="M2482" s="173">
        <f t="shared" si="282"/>
        <v>65.282608695652172</v>
      </c>
      <c r="O2482" s="173">
        <f t="shared" si="283"/>
        <v>97.923913043478251</v>
      </c>
      <c r="P2482" s="173">
        <v>125</v>
      </c>
    </row>
    <row r="2483" spans="3:20" hidden="1" x14ac:dyDescent="0.35">
      <c r="C2483" s="233" t="s">
        <v>231</v>
      </c>
      <c r="D2483" s="233" t="s">
        <v>194</v>
      </c>
      <c r="F2483" s="366">
        <v>52</v>
      </c>
      <c r="G2483" s="245" t="s">
        <v>1942</v>
      </c>
      <c r="I2483" s="173">
        <v>52</v>
      </c>
      <c r="J2483">
        <v>368</v>
      </c>
      <c r="K2483" s="173">
        <v>94</v>
      </c>
      <c r="L2483" s="173">
        <f t="shared" si="281"/>
        <v>13.282608695652172</v>
      </c>
      <c r="M2483" s="173">
        <f t="shared" si="282"/>
        <v>65.282608695652172</v>
      </c>
      <c r="O2483" s="173">
        <f t="shared" si="283"/>
        <v>97.923913043478251</v>
      </c>
      <c r="P2483" s="173">
        <v>125</v>
      </c>
    </row>
    <row r="2484" spans="3:20" hidden="1" x14ac:dyDescent="0.35">
      <c r="C2484" s="233" t="s">
        <v>231</v>
      </c>
      <c r="D2484" s="233" t="s">
        <v>194</v>
      </c>
      <c r="F2484" s="366">
        <v>54</v>
      </c>
      <c r="G2484" s="245" t="s">
        <v>1942</v>
      </c>
      <c r="I2484" s="173">
        <v>52</v>
      </c>
      <c r="J2484">
        <v>368</v>
      </c>
      <c r="K2484" s="173">
        <v>94</v>
      </c>
      <c r="L2484" s="173">
        <f t="shared" si="281"/>
        <v>13.282608695652172</v>
      </c>
      <c r="M2484" s="173">
        <f t="shared" si="282"/>
        <v>65.282608695652172</v>
      </c>
      <c r="O2484" s="173">
        <f t="shared" si="283"/>
        <v>97.923913043478251</v>
      </c>
      <c r="P2484" s="173">
        <v>125</v>
      </c>
    </row>
    <row r="2485" spans="3:20" hidden="1" x14ac:dyDescent="0.35">
      <c r="C2485" s="233" t="s">
        <v>231</v>
      </c>
      <c r="D2485" s="233" t="s">
        <v>194</v>
      </c>
      <c r="F2485" s="366">
        <v>56</v>
      </c>
      <c r="G2485" s="245" t="s">
        <v>1942</v>
      </c>
      <c r="I2485" s="173">
        <v>52</v>
      </c>
      <c r="J2485">
        <v>368</v>
      </c>
      <c r="K2485" s="173">
        <v>94</v>
      </c>
      <c r="L2485" s="173">
        <f t="shared" si="281"/>
        <v>13.282608695652172</v>
      </c>
      <c r="M2485" s="173">
        <f t="shared" si="282"/>
        <v>65.282608695652172</v>
      </c>
      <c r="O2485" s="173">
        <f t="shared" si="283"/>
        <v>97.923913043478251</v>
      </c>
      <c r="P2485" s="173">
        <v>125</v>
      </c>
    </row>
    <row r="2486" spans="3:20" hidden="1" x14ac:dyDescent="0.35">
      <c r="I2486" s="173">
        <f>SUM(I2478:I2485)</f>
        <v>368</v>
      </c>
    </row>
    <row r="2487" spans="3:20" hidden="1" x14ac:dyDescent="0.35">
      <c r="D2487" s="232" t="s">
        <v>2066</v>
      </c>
    </row>
    <row r="2488" spans="3:20" hidden="1" x14ac:dyDescent="0.35">
      <c r="C2488" s="233" t="s">
        <v>2003</v>
      </c>
      <c r="D2488" s="233" t="s">
        <v>1976</v>
      </c>
      <c r="G2488" s="371" t="s">
        <v>2004</v>
      </c>
      <c r="H2488" s="245">
        <v>450</v>
      </c>
      <c r="I2488" s="173">
        <f t="shared" ref="I2488:I2519" si="284">+H2488/7</f>
        <v>64.285714285714292</v>
      </c>
      <c r="J2488">
        <v>4072</v>
      </c>
      <c r="K2488" s="173">
        <v>3073</v>
      </c>
      <c r="L2488" s="173">
        <f t="shared" ref="L2488:L2519" si="285">+I2488/J2488*K2488</f>
        <v>48.514243614931246</v>
      </c>
      <c r="M2488" s="173">
        <f t="shared" ref="M2488:M2519" si="286">+I2488+L2488</f>
        <v>112.79995790064554</v>
      </c>
      <c r="O2488" s="173">
        <f t="shared" ref="O2488:O2519" si="287">+M2488*1.5</f>
        <v>169.1999368509683</v>
      </c>
      <c r="P2488" s="173">
        <v>180</v>
      </c>
    </row>
    <row r="2489" spans="3:20" hidden="1" x14ac:dyDescent="0.35">
      <c r="D2489" s="233" t="s">
        <v>1976</v>
      </c>
      <c r="G2489" s="371" t="s">
        <v>2027</v>
      </c>
      <c r="H2489" s="245">
        <v>450</v>
      </c>
      <c r="I2489" s="173">
        <f t="shared" si="284"/>
        <v>64.285714285714292</v>
      </c>
      <c r="J2489">
        <v>4072</v>
      </c>
      <c r="K2489" s="173">
        <v>3073</v>
      </c>
      <c r="L2489" s="173">
        <f t="shared" si="285"/>
        <v>48.514243614931246</v>
      </c>
      <c r="M2489" s="173">
        <f t="shared" si="286"/>
        <v>112.79995790064554</v>
      </c>
      <c r="O2489" s="173">
        <f t="shared" si="287"/>
        <v>169.1999368509683</v>
      </c>
      <c r="P2489" s="173">
        <v>180</v>
      </c>
    </row>
    <row r="2490" spans="3:20" hidden="1" x14ac:dyDescent="0.35">
      <c r="D2490" s="233" t="s">
        <v>1947</v>
      </c>
      <c r="F2490" s="366" t="s">
        <v>410</v>
      </c>
      <c r="G2490" s="371" t="s">
        <v>1943</v>
      </c>
      <c r="H2490" s="245">
        <v>260</v>
      </c>
      <c r="I2490" s="173">
        <f t="shared" si="284"/>
        <v>37.142857142857146</v>
      </c>
      <c r="J2490">
        <v>4072</v>
      </c>
      <c r="K2490" s="173">
        <v>3073</v>
      </c>
      <c r="L2490" s="173">
        <f t="shared" si="285"/>
        <v>28.030451866404718</v>
      </c>
      <c r="M2490" s="173">
        <f t="shared" si="286"/>
        <v>65.173309009261857</v>
      </c>
      <c r="O2490" s="173">
        <f t="shared" si="287"/>
        <v>97.759963513892785</v>
      </c>
      <c r="P2490" s="173">
        <v>125</v>
      </c>
    </row>
    <row r="2491" spans="3:20" hidden="1" x14ac:dyDescent="0.35">
      <c r="D2491" s="233" t="s">
        <v>1947</v>
      </c>
      <c r="F2491" s="366" t="s">
        <v>760</v>
      </c>
      <c r="G2491" s="371" t="s">
        <v>1943</v>
      </c>
      <c r="H2491" s="245">
        <v>260</v>
      </c>
      <c r="I2491" s="173">
        <f t="shared" si="284"/>
        <v>37.142857142857146</v>
      </c>
      <c r="J2491">
        <v>4072</v>
      </c>
      <c r="K2491" s="173">
        <v>3073</v>
      </c>
      <c r="L2491" s="173">
        <f t="shared" si="285"/>
        <v>28.030451866404718</v>
      </c>
      <c r="M2491" s="173">
        <f t="shared" si="286"/>
        <v>65.173309009261857</v>
      </c>
      <c r="O2491" s="173">
        <f t="shared" si="287"/>
        <v>97.759963513892785</v>
      </c>
      <c r="P2491" s="173">
        <v>125</v>
      </c>
    </row>
    <row r="2492" spans="3:20" hidden="1" x14ac:dyDescent="0.35">
      <c r="D2492" s="233" t="s">
        <v>1947</v>
      </c>
      <c r="F2492" s="366" t="s">
        <v>597</v>
      </c>
      <c r="G2492" s="371" t="s">
        <v>1943</v>
      </c>
      <c r="H2492" s="245">
        <v>260</v>
      </c>
      <c r="I2492" s="173">
        <f t="shared" si="284"/>
        <v>37.142857142857146</v>
      </c>
      <c r="J2492">
        <v>4072</v>
      </c>
      <c r="K2492" s="173">
        <v>3073</v>
      </c>
      <c r="L2492" s="173">
        <f t="shared" si="285"/>
        <v>28.030451866404718</v>
      </c>
      <c r="M2492" s="173">
        <f t="shared" si="286"/>
        <v>65.173309009261857</v>
      </c>
      <c r="O2492" s="173">
        <f t="shared" si="287"/>
        <v>97.759963513892785</v>
      </c>
      <c r="P2492" s="173">
        <v>125</v>
      </c>
    </row>
    <row r="2493" spans="3:20" hidden="1" x14ac:dyDescent="0.35">
      <c r="D2493" s="233" t="s">
        <v>1947</v>
      </c>
      <c r="F2493" s="366" t="s">
        <v>410</v>
      </c>
      <c r="G2493" s="371" t="s">
        <v>1944</v>
      </c>
      <c r="H2493" s="245">
        <v>260</v>
      </c>
      <c r="I2493" s="173">
        <f t="shared" si="284"/>
        <v>37.142857142857146</v>
      </c>
      <c r="J2493">
        <v>4072</v>
      </c>
      <c r="K2493" s="173">
        <v>3073</v>
      </c>
      <c r="L2493" s="173">
        <f t="shared" si="285"/>
        <v>28.030451866404718</v>
      </c>
      <c r="M2493" s="173">
        <f t="shared" si="286"/>
        <v>65.173309009261857</v>
      </c>
      <c r="O2493" s="173">
        <f t="shared" si="287"/>
        <v>97.759963513892785</v>
      </c>
      <c r="P2493" s="173">
        <v>125</v>
      </c>
    </row>
    <row r="2494" spans="3:20" hidden="1" x14ac:dyDescent="0.35">
      <c r="D2494" s="233" t="s">
        <v>1947</v>
      </c>
      <c r="F2494" s="366" t="s">
        <v>760</v>
      </c>
      <c r="G2494" s="371" t="s">
        <v>1944</v>
      </c>
      <c r="H2494" s="245">
        <v>260</v>
      </c>
      <c r="I2494" s="173">
        <f t="shared" si="284"/>
        <v>37.142857142857146</v>
      </c>
      <c r="J2494">
        <v>4072</v>
      </c>
      <c r="K2494" s="173">
        <v>3073</v>
      </c>
      <c r="L2494" s="173">
        <f t="shared" si="285"/>
        <v>28.030451866404718</v>
      </c>
      <c r="M2494" s="173">
        <f t="shared" si="286"/>
        <v>65.173309009261857</v>
      </c>
      <c r="O2494" s="173">
        <f t="shared" si="287"/>
        <v>97.759963513892785</v>
      </c>
      <c r="P2494" s="173">
        <v>125</v>
      </c>
    </row>
    <row r="2495" spans="3:20" hidden="1" x14ac:dyDescent="0.35">
      <c r="D2495" s="233" t="s">
        <v>1947</v>
      </c>
      <c r="F2495" s="366" t="s">
        <v>597</v>
      </c>
      <c r="G2495" s="371" t="s">
        <v>1944</v>
      </c>
      <c r="H2495" s="245">
        <v>260</v>
      </c>
      <c r="I2495" s="173">
        <f t="shared" si="284"/>
        <v>37.142857142857146</v>
      </c>
      <c r="J2495">
        <v>4072</v>
      </c>
      <c r="K2495" s="173">
        <v>3073</v>
      </c>
      <c r="L2495" s="173">
        <f t="shared" si="285"/>
        <v>28.030451866404718</v>
      </c>
      <c r="M2495" s="173">
        <f t="shared" si="286"/>
        <v>65.173309009261857</v>
      </c>
      <c r="O2495" s="173">
        <f t="shared" si="287"/>
        <v>97.759963513892785</v>
      </c>
      <c r="P2495" s="173">
        <v>125</v>
      </c>
    </row>
    <row r="2496" spans="3:20" hidden="1" x14ac:dyDescent="0.35">
      <c r="D2496" s="233" t="s">
        <v>1947</v>
      </c>
      <c r="F2496" s="366" t="s">
        <v>760</v>
      </c>
      <c r="G2496" s="371" t="s">
        <v>1998</v>
      </c>
      <c r="H2496" s="371">
        <v>280</v>
      </c>
      <c r="I2496" s="176">
        <f t="shared" si="284"/>
        <v>40</v>
      </c>
      <c r="J2496" s="12">
        <v>4072</v>
      </c>
      <c r="K2496" s="176">
        <v>3073</v>
      </c>
      <c r="L2496" s="176">
        <f t="shared" si="285"/>
        <v>30.186640471512771</v>
      </c>
      <c r="M2496" s="176">
        <f t="shared" si="286"/>
        <v>70.186640471512774</v>
      </c>
      <c r="N2496" s="12"/>
      <c r="O2496" s="176">
        <f t="shared" si="287"/>
        <v>105.27996070726917</v>
      </c>
      <c r="P2496" s="176">
        <v>150</v>
      </c>
      <c r="S2496" t="s">
        <v>12</v>
      </c>
      <c r="T2496" s="6">
        <v>45985</v>
      </c>
    </row>
    <row r="2497" spans="3:16" hidden="1" x14ac:dyDescent="0.35">
      <c r="D2497" s="233" t="s">
        <v>1947</v>
      </c>
      <c r="F2497" s="366" t="s">
        <v>597</v>
      </c>
      <c r="G2497" s="371" t="s">
        <v>1998</v>
      </c>
      <c r="H2497" s="245">
        <v>280</v>
      </c>
      <c r="I2497" s="173">
        <f t="shared" si="284"/>
        <v>40</v>
      </c>
      <c r="J2497">
        <v>4072</v>
      </c>
      <c r="K2497" s="173">
        <v>3073</v>
      </c>
      <c r="L2497" s="173">
        <f t="shared" si="285"/>
        <v>30.186640471512771</v>
      </c>
      <c r="M2497" s="173">
        <f t="shared" si="286"/>
        <v>70.186640471512774</v>
      </c>
      <c r="O2497" s="173">
        <f t="shared" si="287"/>
        <v>105.27996070726917</v>
      </c>
      <c r="P2497" s="173">
        <v>150</v>
      </c>
    </row>
    <row r="2498" spans="3:16" hidden="1" x14ac:dyDescent="0.35">
      <c r="D2498" s="233" t="s">
        <v>1947</v>
      </c>
      <c r="F2498" s="366" t="s">
        <v>760</v>
      </c>
      <c r="G2498" s="371" t="s">
        <v>1945</v>
      </c>
      <c r="H2498" s="245">
        <v>280</v>
      </c>
      <c r="I2498" s="173">
        <f t="shared" si="284"/>
        <v>40</v>
      </c>
      <c r="J2498">
        <v>4072</v>
      </c>
      <c r="K2498" s="173">
        <v>3073</v>
      </c>
      <c r="L2498" s="173">
        <f t="shared" si="285"/>
        <v>30.186640471512771</v>
      </c>
      <c r="M2498" s="173">
        <f t="shared" si="286"/>
        <v>70.186640471512774</v>
      </c>
      <c r="O2498" s="173">
        <f t="shared" si="287"/>
        <v>105.27996070726917</v>
      </c>
      <c r="P2498" s="173">
        <v>150</v>
      </c>
    </row>
    <row r="2499" spans="3:16" hidden="1" x14ac:dyDescent="0.35">
      <c r="D2499" s="233" t="s">
        <v>1947</v>
      </c>
      <c r="F2499" s="366" t="s">
        <v>597</v>
      </c>
      <c r="G2499" s="371" t="s">
        <v>1945</v>
      </c>
      <c r="H2499" s="245">
        <v>280</v>
      </c>
      <c r="I2499" s="173">
        <f t="shared" si="284"/>
        <v>40</v>
      </c>
      <c r="J2499">
        <v>4072</v>
      </c>
      <c r="K2499" s="173">
        <v>3073</v>
      </c>
      <c r="L2499" s="173">
        <f t="shared" si="285"/>
        <v>30.186640471512771</v>
      </c>
      <c r="M2499" s="173">
        <f t="shared" si="286"/>
        <v>70.186640471512774</v>
      </c>
      <c r="O2499" s="173">
        <f t="shared" si="287"/>
        <v>105.27996070726917</v>
      </c>
      <c r="P2499" s="173">
        <v>150</v>
      </c>
    </row>
    <row r="2500" spans="3:16" hidden="1" x14ac:dyDescent="0.35">
      <c r="D2500" s="233" t="s">
        <v>1947</v>
      </c>
      <c r="F2500" s="366" t="s">
        <v>760</v>
      </c>
      <c r="G2500" s="371" t="s">
        <v>1946</v>
      </c>
      <c r="H2500" s="245">
        <v>280</v>
      </c>
      <c r="I2500" s="173">
        <f t="shared" si="284"/>
        <v>40</v>
      </c>
      <c r="J2500">
        <v>4072</v>
      </c>
      <c r="K2500" s="173">
        <v>3073</v>
      </c>
      <c r="L2500" s="173">
        <f t="shared" si="285"/>
        <v>30.186640471512771</v>
      </c>
      <c r="M2500" s="173">
        <f t="shared" si="286"/>
        <v>70.186640471512774</v>
      </c>
      <c r="O2500" s="173">
        <f t="shared" si="287"/>
        <v>105.27996070726917</v>
      </c>
      <c r="P2500" s="173">
        <v>150</v>
      </c>
    </row>
    <row r="2501" spans="3:16" hidden="1" x14ac:dyDescent="0.35">
      <c r="D2501" s="233" t="s">
        <v>1947</v>
      </c>
      <c r="F2501" s="366" t="s">
        <v>597</v>
      </c>
      <c r="G2501" s="371" t="s">
        <v>1946</v>
      </c>
      <c r="H2501" s="245">
        <v>280</v>
      </c>
      <c r="I2501" s="173">
        <f t="shared" si="284"/>
        <v>40</v>
      </c>
      <c r="J2501">
        <v>4072</v>
      </c>
      <c r="K2501" s="173">
        <v>3073</v>
      </c>
      <c r="L2501" s="173">
        <f t="shared" si="285"/>
        <v>30.186640471512771</v>
      </c>
      <c r="M2501" s="173">
        <f t="shared" si="286"/>
        <v>70.186640471512774</v>
      </c>
      <c r="O2501" s="173">
        <f t="shared" si="287"/>
        <v>105.27996070726917</v>
      </c>
      <c r="P2501" s="173">
        <v>150</v>
      </c>
    </row>
    <row r="2502" spans="3:16" hidden="1" x14ac:dyDescent="0.35">
      <c r="D2502" s="233" t="s">
        <v>1947</v>
      </c>
      <c r="G2502" s="371" t="s">
        <v>2051</v>
      </c>
      <c r="H2502" s="245">
        <v>280</v>
      </c>
      <c r="I2502" s="173">
        <f t="shared" si="284"/>
        <v>40</v>
      </c>
      <c r="J2502">
        <v>4072</v>
      </c>
      <c r="K2502" s="173">
        <v>3073</v>
      </c>
      <c r="L2502" s="173">
        <f t="shared" si="285"/>
        <v>30.186640471512771</v>
      </c>
      <c r="M2502" s="173">
        <f t="shared" si="286"/>
        <v>70.186640471512774</v>
      </c>
      <c r="O2502" s="173">
        <f t="shared" si="287"/>
        <v>105.27996070726917</v>
      </c>
      <c r="P2502" s="173">
        <v>150</v>
      </c>
    </row>
    <row r="2503" spans="3:16" hidden="1" x14ac:dyDescent="0.35">
      <c r="C2503" s="233" t="s">
        <v>1949</v>
      </c>
      <c r="D2503" s="233" t="s">
        <v>1948</v>
      </c>
      <c r="G2503" s="371" t="s">
        <v>1950</v>
      </c>
      <c r="H2503" s="245">
        <v>168</v>
      </c>
      <c r="I2503" s="173">
        <f t="shared" si="284"/>
        <v>24</v>
      </c>
      <c r="J2503">
        <v>4072</v>
      </c>
      <c r="K2503" s="173">
        <v>3073</v>
      </c>
      <c r="L2503" s="173">
        <f t="shared" si="285"/>
        <v>18.111984282907663</v>
      </c>
      <c r="M2503" s="173">
        <f t="shared" si="286"/>
        <v>42.111984282907663</v>
      </c>
      <c r="O2503" s="173">
        <f t="shared" si="287"/>
        <v>63.167976424361498</v>
      </c>
      <c r="P2503" s="173">
        <v>100</v>
      </c>
    </row>
    <row r="2504" spans="3:16" hidden="1" x14ac:dyDescent="0.35">
      <c r="C2504" s="233" t="s">
        <v>1949</v>
      </c>
      <c r="D2504" s="233" t="s">
        <v>1948</v>
      </c>
      <c r="G2504" s="371" t="s">
        <v>1950</v>
      </c>
      <c r="H2504" s="245">
        <v>168</v>
      </c>
      <c r="I2504" s="173">
        <f t="shared" si="284"/>
        <v>24</v>
      </c>
      <c r="J2504">
        <v>4072</v>
      </c>
      <c r="K2504" s="173">
        <v>3073</v>
      </c>
      <c r="L2504" s="173">
        <f t="shared" si="285"/>
        <v>18.111984282907663</v>
      </c>
      <c r="M2504" s="173">
        <f t="shared" si="286"/>
        <v>42.111984282907663</v>
      </c>
      <c r="O2504" s="173">
        <f t="shared" si="287"/>
        <v>63.167976424361498</v>
      </c>
      <c r="P2504" s="173">
        <v>100</v>
      </c>
    </row>
    <row r="2505" spans="3:16" hidden="1" x14ac:dyDescent="0.35">
      <c r="C2505" s="233" t="s">
        <v>1949</v>
      </c>
      <c r="D2505" s="233" t="s">
        <v>1948</v>
      </c>
      <c r="F2505" s="366" t="s">
        <v>589</v>
      </c>
      <c r="G2505" s="371" t="s">
        <v>1951</v>
      </c>
      <c r="H2505" s="245">
        <v>160</v>
      </c>
      <c r="I2505" s="173">
        <f t="shared" si="284"/>
        <v>22.857142857142858</v>
      </c>
      <c r="J2505">
        <v>4072</v>
      </c>
      <c r="K2505" s="173">
        <v>3073</v>
      </c>
      <c r="L2505" s="173">
        <f t="shared" si="285"/>
        <v>17.24950884086444</v>
      </c>
      <c r="M2505" s="173">
        <f t="shared" si="286"/>
        <v>40.106651698007298</v>
      </c>
      <c r="O2505" s="173">
        <f t="shared" si="287"/>
        <v>60.159977547010946</v>
      </c>
      <c r="P2505" s="173">
        <v>100</v>
      </c>
    </row>
    <row r="2506" spans="3:16" hidden="1" x14ac:dyDescent="0.35">
      <c r="C2506" s="233" t="s">
        <v>1949</v>
      </c>
      <c r="D2506" s="233" t="s">
        <v>1948</v>
      </c>
      <c r="F2506" s="366" t="s">
        <v>589</v>
      </c>
      <c r="G2506" s="371" t="s">
        <v>1951</v>
      </c>
      <c r="H2506" s="245">
        <v>160</v>
      </c>
      <c r="I2506" s="173">
        <f t="shared" si="284"/>
        <v>22.857142857142858</v>
      </c>
      <c r="J2506">
        <v>4072</v>
      </c>
      <c r="K2506" s="173">
        <v>3073</v>
      </c>
      <c r="L2506" s="173">
        <f t="shared" si="285"/>
        <v>17.24950884086444</v>
      </c>
      <c r="M2506" s="173">
        <f t="shared" si="286"/>
        <v>40.106651698007298</v>
      </c>
      <c r="O2506" s="173">
        <f t="shared" si="287"/>
        <v>60.159977547010946</v>
      </c>
      <c r="P2506" s="173">
        <v>100</v>
      </c>
    </row>
    <row r="2507" spans="3:16" hidden="1" x14ac:dyDescent="0.35">
      <c r="D2507" s="233" t="s">
        <v>865</v>
      </c>
      <c r="F2507" s="366" t="s">
        <v>407</v>
      </c>
      <c r="G2507" s="371" t="s">
        <v>2011</v>
      </c>
      <c r="H2507" s="245">
        <v>160</v>
      </c>
      <c r="I2507" s="173">
        <f t="shared" si="284"/>
        <v>22.857142857142858</v>
      </c>
      <c r="J2507">
        <v>4072</v>
      </c>
      <c r="K2507" s="173">
        <v>3073</v>
      </c>
      <c r="L2507" s="173">
        <f t="shared" si="285"/>
        <v>17.24950884086444</v>
      </c>
      <c r="M2507" s="173">
        <f t="shared" si="286"/>
        <v>40.106651698007298</v>
      </c>
      <c r="O2507" s="173">
        <f t="shared" si="287"/>
        <v>60.159977547010946</v>
      </c>
      <c r="P2507" s="173">
        <v>125</v>
      </c>
    </row>
    <row r="2508" spans="3:16" hidden="1" x14ac:dyDescent="0.35">
      <c r="D2508" s="233" t="s">
        <v>865</v>
      </c>
      <c r="F2508" s="366" t="s">
        <v>409</v>
      </c>
      <c r="G2508" s="371" t="s">
        <v>2011</v>
      </c>
      <c r="H2508" s="245">
        <v>160</v>
      </c>
      <c r="I2508" s="173">
        <f t="shared" si="284"/>
        <v>22.857142857142858</v>
      </c>
      <c r="J2508">
        <v>4072</v>
      </c>
      <c r="K2508" s="173">
        <v>3073</v>
      </c>
      <c r="L2508" s="173">
        <f t="shared" si="285"/>
        <v>17.24950884086444</v>
      </c>
      <c r="M2508" s="173">
        <f t="shared" si="286"/>
        <v>40.106651698007298</v>
      </c>
      <c r="O2508" s="173">
        <f t="shared" si="287"/>
        <v>60.159977547010946</v>
      </c>
      <c r="P2508" s="173">
        <v>125</v>
      </c>
    </row>
    <row r="2509" spans="3:16" hidden="1" x14ac:dyDescent="0.35">
      <c r="D2509" s="233" t="s">
        <v>865</v>
      </c>
      <c r="F2509" s="366" t="s">
        <v>410</v>
      </c>
      <c r="G2509" s="371" t="s">
        <v>2011</v>
      </c>
      <c r="H2509" s="245">
        <v>165</v>
      </c>
      <c r="I2509" s="173">
        <f t="shared" si="284"/>
        <v>23.571428571428573</v>
      </c>
      <c r="J2509">
        <v>4072</v>
      </c>
      <c r="K2509" s="173">
        <v>3073</v>
      </c>
      <c r="L2509" s="173">
        <f t="shared" si="285"/>
        <v>17.788555992141458</v>
      </c>
      <c r="M2509" s="173">
        <f t="shared" si="286"/>
        <v>41.359984563570031</v>
      </c>
      <c r="O2509" s="173">
        <f t="shared" si="287"/>
        <v>62.039976845355042</v>
      </c>
      <c r="P2509" s="173">
        <v>125</v>
      </c>
    </row>
    <row r="2510" spans="3:16" hidden="1" x14ac:dyDescent="0.35">
      <c r="D2510" s="233" t="s">
        <v>865</v>
      </c>
      <c r="F2510" s="366" t="s">
        <v>410</v>
      </c>
      <c r="G2510" s="371" t="s">
        <v>2011</v>
      </c>
      <c r="H2510" s="245">
        <v>165</v>
      </c>
      <c r="I2510" s="173">
        <f t="shared" si="284"/>
        <v>23.571428571428573</v>
      </c>
      <c r="J2510">
        <v>4072</v>
      </c>
      <c r="K2510" s="173">
        <v>3073</v>
      </c>
      <c r="L2510" s="173">
        <f t="shared" si="285"/>
        <v>17.788555992141458</v>
      </c>
      <c r="M2510" s="173">
        <f t="shared" si="286"/>
        <v>41.359984563570031</v>
      </c>
      <c r="O2510" s="173">
        <f t="shared" si="287"/>
        <v>62.039976845355042</v>
      </c>
      <c r="P2510" s="173">
        <v>125</v>
      </c>
    </row>
    <row r="2511" spans="3:16" hidden="1" x14ac:dyDescent="0.35">
      <c r="D2511" s="233" t="s">
        <v>865</v>
      </c>
      <c r="F2511" s="366" t="s">
        <v>409</v>
      </c>
      <c r="G2511" s="371" t="s">
        <v>2010</v>
      </c>
      <c r="H2511" s="245">
        <v>165</v>
      </c>
      <c r="I2511" s="173">
        <f t="shared" si="284"/>
        <v>23.571428571428573</v>
      </c>
      <c r="J2511">
        <v>4072</v>
      </c>
      <c r="K2511" s="173">
        <v>3073</v>
      </c>
      <c r="L2511" s="173">
        <f t="shared" si="285"/>
        <v>17.788555992141458</v>
      </c>
      <c r="M2511" s="173">
        <f t="shared" si="286"/>
        <v>41.359984563570031</v>
      </c>
      <c r="O2511" s="173">
        <f t="shared" si="287"/>
        <v>62.039976845355042</v>
      </c>
      <c r="P2511" s="173">
        <v>80</v>
      </c>
    </row>
    <row r="2512" spans="3:16" hidden="1" x14ac:dyDescent="0.35">
      <c r="D2512" s="233" t="s">
        <v>865</v>
      </c>
      <c r="F2512" s="366" t="s">
        <v>410</v>
      </c>
      <c r="G2512" s="371" t="s">
        <v>2010</v>
      </c>
      <c r="H2512" s="245">
        <v>165</v>
      </c>
      <c r="I2512" s="173">
        <f t="shared" si="284"/>
        <v>23.571428571428573</v>
      </c>
      <c r="J2512">
        <v>4072</v>
      </c>
      <c r="K2512" s="173">
        <v>3073</v>
      </c>
      <c r="L2512" s="173">
        <f t="shared" si="285"/>
        <v>17.788555992141458</v>
      </c>
      <c r="M2512" s="173">
        <f t="shared" si="286"/>
        <v>41.359984563570031</v>
      </c>
      <c r="O2512" s="173">
        <f t="shared" si="287"/>
        <v>62.039976845355042</v>
      </c>
      <c r="P2512" s="173">
        <v>80</v>
      </c>
    </row>
    <row r="2513" spans="4:16" hidden="1" x14ac:dyDescent="0.35">
      <c r="D2513" s="233" t="s">
        <v>865</v>
      </c>
      <c r="F2513" s="366" t="s">
        <v>410</v>
      </c>
      <c r="G2513" s="371" t="s">
        <v>2010</v>
      </c>
      <c r="H2513" s="245">
        <v>165</v>
      </c>
      <c r="I2513" s="173">
        <f t="shared" si="284"/>
        <v>23.571428571428573</v>
      </c>
      <c r="J2513">
        <v>4072</v>
      </c>
      <c r="K2513" s="173">
        <v>3073</v>
      </c>
      <c r="L2513" s="173">
        <f t="shared" si="285"/>
        <v>17.788555992141458</v>
      </c>
      <c r="M2513" s="173">
        <f t="shared" si="286"/>
        <v>41.359984563570031</v>
      </c>
      <c r="O2513" s="173">
        <f t="shared" si="287"/>
        <v>62.039976845355042</v>
      </c>
      <c r="P2513" s="173">
        <v>80</v>
      </c>
    </row>
    <row r="2514" spans="4:16" hidden="1" x14ac:dyDescent="0.35">
      <c r="D2514" s="233" t="s">
        <v>865</v>
      </c>
      <c r="F2514" s="366" t="s">
        <v>408</v>
      </c>
      <c r="G2514" s="371" t="s">
        <v>2008</v>
      </c>
      <c r="H2514" s="245">
        <v>175</v>
      </c>
      <c r="I2514" s="173">
        <f t="shared" si="284"/>
        <v>25</v>
      </c>
      <c r="J2514">
        <v>4072</v>
      </c>
      <c r="K2514" s="173">
        <v>3073</v>
      </c>
      <c r="L2514" s="173">
        <f t="shared" si="285"/>
        <v>18.866650294695479</v>
      </c>
      <c r="M2514" s="173">
        <f t="shared" si="286"/>
        <v>43.866650294695475</v>
      </c>
      <c r="O2514" s="173">
        <f t="shared" si="287"/>
        <v>65.799975442043205</v>
      </c>
      <c r="P2514" s="173">
        <v>100</v>
      </c>
    </row>
    <row r="2515" spans="4:16" hidden="1" x14ac:dyDescent="0.35">
      <c r="D2515" s="233" t="s">
        <v>865</v>
      </c>
      <c r="F2515" s="366" t="s">
        <v>407</v>
      </c>
      <c r="G2515" s="371" t="s">
        <v>2008</v>
      </c>
      <c r="H2515" s="245">
        <v>175</v>
      </c>
      <c r="I2515" s="173">
        <f t="shared" si="284"/>
        <v>25</v>
      </c>
      <c r="J2515">
        <v>4072</v>
      </c>
      <c r="K2515" s="173">
        <v>3073</v>
      </c>
      <c r="L2515" s="173">
        <f t="shared" si="285"/>
        <v>18.866650294695479</v>
      </c>
      <c r="M2515" s="173">
        <f t="shared" si="286"/>
        <v>43.866650294695475</v>
      </c>
      <c r="O2515" s="173">
        <f t="shared" si="287"/>
        <v>65.799975442043205</v>
      </c>
      <c r="P2515" s="173">
        <v>100</v>
      </c>
    </row>
    <row r="2516" spans="4:16" hidden="1" x14ac:dyDescent="0.35">
      <c r="D2516" s="233" t="s">
        <v>865</v>
      </c>
      <c r="F2516" s="366" t="s">
        <v>409</v>
      </c>
      <c r="G2516" s="371" t="s">
        <v>2009</v>
      </c>
      <c r="H2516" s="245">
        <v>175</v>
      </c>
      <c r="I2516" s="173">
        <f t="shared" si="284"/>
        <v>25</v>
      </c>
      <c r="J2516">
        <v>4072</v>
      </c>
      <c r="K2516" s="173">
        <v>3073</v>
      </c>
      <c r="L2516" s="173">
        <f t="shared" si="285"/>
        <v>18.866650294695479</v>
      </c>
      <c r="M2516" s="173">
        <f t="shared" si="286"/>
        <v>43.866650294695475</v>
      </c>
      <c r="O2516" s="173">
        <f t="shared" si="287"/>
        <v>65.799975442043205</v>
      </c>
      <c r="P2516" s="173">
        <v>100</v>
      </c>
    </row>
    <row r="2517" spans="4:16" hidden="1" x14ac:dyDescent="0.35">
      <c r="D2517" s="233" t="s">
        <v>865</v>
      </c>
      <c r="F2517" s="366" t="s">
        <v>410</v>
      </c>
      <c r="G2517" s="371" t="s">
        <v>2009</v>
      </c>
      <c r="H2517" s="245">
        <v>175</v>
      </c>
      <c r="I2517" s="173">
        <f t="shared" si="284"/>
        <v>25</v>
      </c>
      <c r="J2517">
        <v>4072</v>
      </c>
      <c r="K2517" s="173">
        <v>3073</v>
      </c>
      <c r="L2517" s="173">
        <f t="shared" si="285"/>
        <v>18.866650294695479</v>
      </c>
      <c r="M2517" s="173">
        <f t="shared" si="286"/>
        <v>43.866650294695475</v>
      </c>
      <c r="O2517" s="173">
        <f t="shared" si="287"/>
        <v>65.799975442043205</v>
      </c>
      <c r="P2517" s="173">
        <v>100</v>
      </c>
    </row>
    <row r="2518" spans="4:16" hidden="1" x14ac:dyDescent="0.35">
      <c r="D2518" s="233" t="s">
        <v>865</v>
      </c>
      <c r="F2518" s="366" t="s">
        <v>588</v>
      </c>
      <c r="G2518" s="371" t="s">
        <v>2007</v>
      </c>
      <c r="H2518" s="245">
        <v>165</v>
      </c>
      <c r="I2518" s="173">
        <f t="shared" si="284"/>
        <v>23.571428571428573</v>
      </c>
      <c r="J2518">
        <v>4072</v>
      </c>
      <c r="K2518" s="173">
        <v>3073</v>
      </c>
      <c r="L2518" s="173">
        <f t="shared" si="285"/>
        <v>17.788555992141458</v>
      </c>
      <c r="M2518" s="173">
        <f t="shared" si="286"/>
        <v>41.359984563570031</v>
      </c>
      <c r="O2518" s="173">
        <f t="shared" si="287"/>
        <v>62.039976845355042</v>
      </c>
      <c r="P2518" s="173">
        <v>100</v>
      </c>
    </row>
    <row r="2519" spans="4:16" hidden="1" x14ac:dyDescent="0.35">
      <c r="D2519" s="233" t="s">
        <v>865</v>
      </c>
      <c r="F2519" s="366" t="s">
        <v>588</v>
      </c>
      <c r="G2519" s="371" t="s">
        <v>2007</v>
      </c>
      <c r="H2519" s="245">
        <v>165</v>
      </c>
      <c r="I2519" s="173">
        <f t="shared" si="284"/>
        <v>23.571428571428573</v>
      </c>
      <c r="J2519">
        <v>4072</v>
      </c>
      <c r="K2519" s="173">
        <v>3073</v>
      </c>
      <c r="L2519" s="173">
        <f t="shared" si="285"/>
        <v>17.788555992141458</v>
      </c>
      <c r="M2519" s="173">
        <f t="shared" si="286"/>
        <v>41.359984563570031</v>
      </c>
      <c r="O2519" s="173">
        <f t="shared" si="287"/>
        <v>62.039976845355042</v>
      </c>
      <c r="P2519" s="173">
        <v>100</v>
      </c>
    </row>
    <row r="2520" spans="4:16" hidden="1" x14ac:dyDescent="0.35">
      <c r="D2520" s="233" t="s">
        <v>865</v>
      </c>
      <c r="F2520" s="366" t="s">
        <v>588</v>
      </c>
      <c r="G2520" s="371" t="s">
        <v>1952</v>
      </c>
      <c r="H2520" s="245">
        <v>158</v>
      </c>
      <c r="I2520" s="173">
        <f t="shared" ref="I2520:I2551" si="288">+H2520/7</f>
        <v>22.571428571428573</v>
      </c>
      <c r="J2520">
        <v>4072</v>
      </c>
      <c r="K2520" s="173">
        <v>3073</v>
      </c>
      <c r="L2520" s="173">
        <f t="shared" ref="L2520:L2551" si="289">+I2520/J2520*K2520</f>
        <v>17.033889980353635</v>
      </c>
      <c r="M2520" s="173">
        <f t="shared" ref="M2520:M2551" si="290">+I2520+L2520</f>
        <v>39.605318551782204</v>
      </c>
      <c r="O2520" s="173">
        <f t="shared" ref="O2520:O2551" si="291">+M2520*1.5</f>
        <v>59.407977827673307</v>
      </c>
      <c r="P2520" s="173">
        <v>80</v>
      </c>
    </row>
    <row r="2521" spans="4:16" hidden="1" x14ac:dyDescent="0.35">
      <c r="D2521" s="233" t="s">
        <v>865</v>
      </c>
      <c r="F2521" s="366" t="s">
        <v>588</v>
      </c>
      <c r="G2521" s="371" t="s">
        <v>2022</v>
      </c>
      <c r="H2521" s="245">
        <v>158</v>
      </c>
      <c r="I2521" s="173">
        <f t="shared" si="288"/>
        <v>22.571428571428573</v>
      </c>
      <c r="J2521">
        <v>4072</v>
      </c>
      <c r="K2521" s="173">
        <v>3073</v>
      </c>
      <c r="L2521" s="173">
        <f t="shared" si="289"/>
        <v>17.033889980353635</v>
      </c>
      <c r="M2521" s="173">
        <f t="shared" si="290"/>
        <v>39.605318551782204</v>
      </c>
      <c r="O2521" s="173">
        <f t="shared" si="291"/>
        <v>59.407977827673307</v>
      </c>
      <c r="P2521" s="173">
        <v>100</v>
      </c>
    </row>
    <row r="2522" spans="4:16" hidden="1" x14ac:dyDescent="0.35">
      <c r="D2522" s="233" t="s">
        <v>865</v>
      </c>
      <c r="F2522" s="366" t="s">
        <v>411</v>
      </c>
      <c r="G2522" s="371" t="s">
        <v>1953</v>
      </c>
      <c r="H2522" s="245">
        <v>175</v>
      </c>
      <c r="I2522" s="173">
        <f t="shared" si="288"/>
        <v>25</v>
      </c>
      <c r="J2522">
        <v>4072</v>
      </c>
      <c r="K2522" s="173">
        <v>3073</v>
      </c>
      <c r="L2522" s="173">
        <f t="shared" si="289"/>
        <v>18.866650294695479</v>
      </c>
      <c r="M2522" s="173">
        <f t="shared" si="290"/>
        <v>43.866650294695475</v>
      </c>
      <c r="O2522" s="173">
        <f t="shared" si="291"/>
        <v>65.799975442043205</v>
      </c>
      <c r="P2522" s="173">
        <v>100</v>
      </c>
    </row>
    <row r="2523" spans="4:16" hidden="1" x14ac:dyDescent="0.35">
      <c r="D2523" s="233" t="s">
        <v>865</v>
      </c>
      <c r="F2523" s="366" t="s">
        <v>588</v>
      </c>
      <c r="G2523" s="371" t="s">
        <v>1953</v>
      </c>
      <c r="H2523" s="245">
        <v>175</v>
      </c>
      <c r="I2523" s="173">
        <f t="shared" si="288"/>
        <v>25</v>
      </c>
      <c r="J2523">
        <v>4072</v>
      </c>
      <c r="K2523" s="173">
        <v>3073</v>
      </c>
      <c r="L2523" s="173">
        <f t="shared" si="289"/>
        <v>18.866650294695479</v>
      </c>
      <c r="M2523" s="173">
        <f t="shared" si="290"/>
        <v>43.866650294695475</v>
      </c>
      <c r="O2523" s="173">
        <f t="shared" si="291"/>
        <v>65.799975442043205</v>
      </c>
      <c r="P2523" s="173">
        <v>100</v>
      </c>
    </row>
    <row r="2524" spans="4:16" hidden="1" x14ac:dyDescent="0.35">
      <c r="D2524" s="233" t="s">
        <v>865</v>
      </c>
      <c r="F2524" s="366" t="s">
        <v>409</v>
      </c>
      <c r="G2524" s="371" t="s">
        <v>1954</v>
      </c>
      <c r="H2524" s="245">
        <v>175</v>
      </c>
      <c r="I2524" s="173">
        <f t="shared" si="288"/>
        <v>25</v>
      </c>
      <c r="J2524">
        <v>4072</v>
      </c>
      <c r="K2524" s="173">
        <v>3073</v>
      </c>
      <c r="L2524" s="173">
        <f t="shared" si="289"/>
        <v>18.866650294695479</v>
      </c>
      <c r="M2524" s="173">
        <f t="shared" si="290"/>
        <v>43.866650294695475</v>
      </c>
      <c r="O2524" s="173">
        <f t="shared" si="291"/>
        <v>65.799975442043205</v>
      </c>
      <c r="P2524" s="173">
        <v>100</v>
      </c>
    </row>
    <row r="2525" spans="4:16" hidden="1" x14ac:dyDescent="0.35">
      <c r="D2525" s="233" t="s">
        <v>865</v>
      </c>
      <c r="F2525" s="366" t="s">
        <v>410</v>
      </c>
      <c r="G2525" s="371" t="s">
        <v>1954</v>
      </c>
      <c r="H2525" s="245">
        <v>175</v>
      </c>
      <c r="I2525" s="173">
        <f t="shared" si="288"/>
        <v>25</v>
      </c>
      <c r="J2525">
        <v>4072</v>
      </c>
      <c r="K2525" s="173">
        <v>3073</v>
      </c>
      <c r="L2525" s="173">
        <f t="shared" si="289"/>
        <v>18.866650294695479</v>
      </c>
      <c r="M2525" s="173">
        <f t="shared" si="290"/>
        <v>43.866650294695475</v>
      </c>
      <c r="O2525" s="173">
        <f t="shared" si="291"/>
        <v>65.799975442043205</v>
      </c>
      <c r="P2525" s="173">
        <v>100</v>
      </c>
    </row>
    <row r="2526" spans="4:16" hidden="1" x14ac:dyDescent="0.35">
      <c r="F2526" s="366" t="s">
        <v>410</v>
      </c>
      <c r="G2526" s="371" t="s">
        <v>2017</v>
      </c>
      <c r="H2526" s="245">
        <v>168</v>
      </c>
      <c r="I2526" s="173">
        <f t="shared" si="288"/>
        <v>24</v>
      </c>
      <c r="J2526">
        <v>4072</v>
      </c>
      <c r="K2526" s="173">
        <v>3073</v>
      </c>
      <c r="L2526" s="173">
        <f t="shared" si="289"/>
        <v>18.111984282907663</v>
      </c>
      <c r="M2526" s="173">
        <f t="shared" si="290"/>
        <v>42.111984282907663</v>
      </c>
      <c r="O2526" s="173">
        <f t="shared" si="291"/>
        <v>63.167976424361498</v>
      </c>
      <c r="P2526" s="173">
        <v>80</v>
      </c>
    </row>
    <row r="2527" spans="4:16" hidden="1" x14ac:dyDescent="0.35">
      <c r="F2527" s="366" t="s">
        <v>410</v>
      </c>
      <c r="G2527" s="371" t="s">
        <v>2017</v>
      </c>
      <c r="H2527" s="245">
        <v>168</v>
      </c>
      <c r="I2527" s="173">
        <f t="shared" si="288"/>
        <v>24</v>
      </c>
      <c r="J2527">
        <v>4072</v>
      </c>
      <c r="K2527" s="173">
        <v>3073</v>
      </c>
      <c r="L2527" s="173">
        <f t="shared" si="289"/>
        <v>18.111984282907663</v>
      </c>
      <c r="M2527" s="173">
        <f t="shared" si="290"/>
        <v>42.111984282907663</v>
      </c>
      <c r="O2527" s="173">
        <f t="shared" si="291"/>
        <v>63.167976424361498</v>
      </c>
      <c r="P2527" s="173">
        <v>80</v>
      </c>
    </row>
    <row r="2528" spans="4:16" hidden="1" x14ac:dyDescent="0.35">
      <c r="F2528" s="366" t="s">
        <v>410</v>
      </c>
      <c r="G2528" s="371" t="s">
        <v>2018</v>
      </c>
      <c r="H2528" s="245">
        <v>168</v>
      </c>
      <c r="I2528" s="173">
        <f t="shared" si="288"/>
        <v>24</v>
      </c>
      <c r="J2528">
        <v>4072</v>
      </c>
      <c r="K2528" s="173">
        <v>3073</v>
      </c>
      <c r="L2528" s="173">
        <f t="shared" si="289"/>
        <v>18.111984282907663</v>
      </c>
      <c r="M2528" s="173">
        <f t="shared" si="290"/>
        <v>42.111984282907663</v>
      </c>
      <c r="O2528" s="173">
        <f t="shared" si="291"/>
        <v>63.167976424361498</v>
      </c>
      <c r="P2528" s="173">
        <v>80</v>
      </c>
    </row>
    <row r="2529" spans="4:20" hidden="1" x14ac:dyDescent="0.35">
      <c r="D2529" s="233" t="s">
        <v>865</v>
      </c>
      <c r="F2529" s="366" t="s">
        <v>411</v>
      </c>
      <c r="G2529" s="371" t="s">
        <v>1955</v>
      </c>
      <c r="H2529" s="371">
        <v>190</v>
      </c>
      <c r="I2529" s="176">
        <f t="shared" si="288"/>
        <v>27.142857142857142</v>
      </c>
      <c r="J2529" s="12">
        <v>4072</v>
      </c>
      <c r="K2529" s="176">
        <v>3073</v>
      </c>
      <c r="L2529" s="176">
        <f t="shared" si="289"/>
        <v>20.483791748526521</v>
      </c>
      <c r="M2529" s="176">
        <f t="shared" si="290"/>
        <v>47.626648891383667</v>
      </c>
      <c r="N2529" s="12"/>
      <c r="O2529" s="176">
        <f t="shared" si="291"/>
        <v>71.4399733370755</v>
      </c>
      <c r="P2529" s="176">
        <v>90</v>
      </c>
      <c r="S2529" t="s">
        <v>12</v>
      </c>
      <c r="T2529" s="6">
        <v>45956</v>
      </c>
    </row>
    <row r="2530" spans="4:20" hidden="1" x14ac:dyDescent="0.35">
      <c r="D2530" s="233" t="s">
        <v>865</v>
      </c>
      <c r="F2530" s="366" t="s">
        <v>588</v>
      </c>
      <c r="G2530" s="371" t="s">
        <v>1955</v>
      </c>
      <c r="H2530" s="245">
        <v>190</v>
      </c>
      <c r="I2530" s="173">
        <f t="shared" si="288"/>
        <v>27.142857142857142</v>
      </c>
      <c r="J2530">
        <v>4072</v>
      </c>
      <c r="K2530" s="173">
        <v>3073</v>
      </c>
      <c r="L2530" s="173">
        <f t="shared" si="289"/>
        <v>20.483791748526521</v>
      </c>
      <c r="M2530" s="173">
        <f t="shared" si="290"/>
        <v>47.626648891383667</v>
      </c>
      <c r="O2530" s="173">
        <f t="shared" si="291"/>
        <v>71.4399733370755</v>
      </c>
      <c r="P2530" s="173">
        <v>90</v>
      </c>
    </row>
    <row r="2531" spans="4:20" hidden="1" x14ac:dyDescent="0.35">
      <c r="D2531" s="233" t="s">
        <v>865</v>
      </c>
      <c r="F2531" s="366" t="s">
        <v>588</v>
      </c>
      <c r="G2531" s="371" t="s">
        <v>1955</v>
      </c>
      <c r="H2531" s="245">
        <v>190</v>
      </c>
      <c r="I2531" s="173">
        <f t="shared" si="288"/>
        <v>27.142857142857142</v>
      </c>
      <c r="J2531">
        <v>4072</v>
      </c>
      <c r="K2531" s="173">
        <v>3073</v>
      </c>
      <c r="L2531" s="173">
        <f t="shared" si="289"/>
        <v>20.483791748526521</v>
      </c>
      <c r="M2531" s="173">
        <f t="shared" si="290"/>
        <v>47.626648891383667</v>
      </c>
      <c r="O2531" s="173">
        <f t="shared" si="291"/>
        <v>71.4399733370755</v>
      </c>
      <c r="P2531" s="173">
        <v>90</v>
      </c>
    </row>
    <row r="2532" spans="4:20" hidden="1" x14ac:dyDescent="0.35">
      <c r="D2532" s="233" t="s">
        <v>865</v>
      </c>
      <c r="F2532" s="366" t="s">
        <v>411</v>
      </c>
      <c r="G2532" s="371" t="s">
        <v>1956</v>
      </c>
      <c r="H2532" s="245">
        <v>198</v>
      </c>
      <c r="I2532" s="173">
        <f t="shared" si="288"/>
        <v>28.285714285714285</v>
      </c>
      <c r="J2532">
        <v>4072</v>
      </c>
      <c r="K2532" s="173">
        <v>3073</v>
      </c>
      <c r="L2532" s="173">
        <f t="shared" si="289"/>
        <v>21.346267190569744</v>
      </c>
      <c r="M2532" s="173">
        <f t="shared" si="290"/>
        <v>49.631981476284025</v>
      </c>
      <c r="O2532" s="173">
        <f t="shared" si="291"/>
        <v>74.447972214426045</v>
      </c>
      <c r="P2532" s="173">
        <v>100</v>
      </c>
    </row>
    <row r="2533" spans="4:20" hidden="1" x14ac:dyDescent="0.35">
      <c r="D2533" s="233" t="s">
        <v>865</v>
      </c>
      <c r="F2533" s="366" t="s">
        <v>588</v>
      </c>
      <c r="G2533" s="371" t="s">
        <v>1956</v>
      </c>
      <c r="H2533" s="245">
        <v>198</v>
      </c>
      <c r="I2533" s="173">
        <f t="shared" si="288"/>
        <v>28.285714285714285</v>
      </c>
      <c r="J2533">
        <v>4072</v>
      </c>
      <c r="K2533" s="173">
        <v>3073</v>
      </c>
      <c r="L2533" s="173">
        <f t="shared" si="289"/>
        <v>21.346267190569744</v>
      </c>
      <c r="M2533" s="173">
        <f t="shared" si="290"/>
        <v>49.631981476284025</v>
      </c>
      <c r="O2533" s="173">
        <f t="shared" si="291"/>
        <v>74.447972214426045</v>
      </c>
      <c r="P2533" s="173">
        <v>100</v>
      </c>
    </row>
    <row r="2534" spans="4:20" hidden="1" x14ac:dyDescent="0.35">
      <c r="D2534" s="233" t="s">
        <v>865</v>
      </c>
      <c r="F2534" s="366" t="s">
        <v>410</v>
      </c>
      <c r="G2534" s="371" t="s">
        <v>1956</v>
      </c>
      <c r="H2534" s="245">
        <v>198</v>
      </c>
      <c r="I2534" s="173">
        <f t="shared" si="288"/>
        <v>28.285714285714285</v>
      </c>
      <c r="J2534">
        <v>4072</v>
      </c>
      <c r="K2534" s="173">
        <v>3073</v>
      </c>
      <c r="L2534" s="173">
        <f t="shared" si="289"/>
        <v>21.346267190569744</v>
      </c>
      <c r="M2534" s="173">
        <f t="shared" si="290"/>
        <v>49.631981476284025</v>
      </c>
      <c r="O2534" s="173">
        <f t="shared" si="291"/>
        <v>74.447972214426045</v>
      </c>
      <c r="P2534" s="173">
        <v>100</v>
      </c>
    </row>
    <row r="2535" spans="4:20" hidden="1" x14ac:dyDescent="0.35">
      <c r="D2535" s="233" t="s">
        <v>865</v>
      </c>
      <c r="F2535" s="366" t="s">
        <v>411</v>
      </c>
      <c r="G2535" s="371" t="s">
        <v>1957</v>
      </c>
      <c r="H2535" s="245">
        <v>228</v>
      </c>
      <c r="I2535" s="173">
        <f t="shared" si="288"/>
        <v>32.571428571428569</v>
      </c>
      <c r="J2535">
        <v>4072</v>
      </c>
      <c r="K2535" s="173">
        <v>3073</v>
      </c>
      <c r="L2535" s="173">
        <f t="shared" si="289"/>
        <v>24.580550098231825</v>
      </c>
      <c r="M2535" s="173">
        <f t="shared" si="290"/>
        <v>57.151978669660394</v>
      </c>
      <c r="O2535" s="173">
        <f t="shared" si="291"/>
        <v>85.727968004490592</v>
      </c>
      <c r="P2535" s="173">
        <v>125</v>
      </c>
    </row>
    <row r="2536" spans="4:20" hidden="1" x14ac:dyDescent="0.35">
      <c r="D2536" s="233" t="s">
        <v>865</v>
      </c>
      <c r="F2536" s="366" t="s">
        <v>588</v>
      </c>
      <c r="G2536" s="371" t="s">
        <v>1957</v>
      </c>
      <c r="H2536" s="245">
        <v>228</v>
      </c>
      <c r="I2536" s="173">
        <f t="shared" si="288"/>
        <v>32.571428571428569</v>
      </c>
      <c r="J2536">
        <v>4072</v>
      </c>
      <c r="K2536" s="173">
        <v>3073</v>
      </c>
      <c r="L2536" s="173">
        <f t="shared" si="289"/>
        <v>24.580550098231825</v>
      </c>
      <c r="M2536" s="173">
        <f t="shared" si="290"/>
        <v>57.151978669660394</v>
      </c>
      <c r="O2536" s="173">
        <f t="shared" si="291"/>
        <v>85.727968004490592</v>
      </c>
      <c r="P2536" s="173">
        <v>125</v>
      </c>
    </row>
    <row r="2537" spans="4:20" hidden="1" x14ac:dyDescent="0.35">
      <c r="D2537" s="233" t="s">
        <v>865</v>
      </c>
      <c r="F2537" s="366" t="s">
        <v>588</v>
      </c>
      <c r="G2537" s="371" t="s">
        <v>1957</v>
      </c>
      <c r="H2537" s="245">
        <v>228</v>
      </c>
      <c r="I2537" s="173">
        <f t="shared" si="288"/>
        <v>32.571428571428569</v>
      </c>
      <c r="J2537">
        <v>4072</v>
      </c>
      <c r="K2537" s="173">
        <v>3073</v>
      </c>
      <c r="L2537" s="173">
        <f t="shared" si="289"/>
        <v>24.580550098231825</v>
      </c>
      <c r="M2537" s="173">
        <f t="shared" si="290"/>
        <v>57.151978669660394</v>
      </c>
      <c r="O2537" s="173">
        <f t="shared" si="291"/>
        <v>85.727968004490592</v>
      </c>
      <c r="P2537" s="173">
        <v>125</v>
      </c>
    </row>
    <row r="2538" spans="4:20" hidden="1" x14ac:dyDescent="0.35">
      <c r="D2538" s="233" t="s">
        <v>865</v>
      </c>
      <c r="F2538" s="366" t="s">
        <v>408</v>
      </c>
      <c r="G2538" s="371" t="s">
        <v>1960</v>
      </c>
      <c r="H2538" s="245">
        <v>130</v>
      </c>
      <c r="I2538" s="173">
        <f t="shared" si="288"/>
        <v>18.571428571428573</v>
      </c>
      <c r="J2538">
        <v>4072</v>
      </c>
      <c r="K2538" s="173">
        <v>3073</v>
      </c>
      <c r="L2538" s="173">
        <f t="shared" si="289"/>
        <v>14.015225933202359</v>
      </c>
      <c r="M2538" s="173">
        <f t="shared" si="290"/>
        <v>32.586654504630928</v>
      </c>
      <c r="O2538" s="173">
        <f t="shared" si="291"/>
        <v>48.879981756946393</v>
      </c>
      <c r="P2538" s="173">
        <v>80</v>
      </c>
    </row>
    <row r="2539" spans="4:20" hidden="1" x14ac:dyDescent="0.35">
      <c r="D2539" s="233" t="s">
        <v>865</v>
      </c>
      <c r="F2539" s="366" t="s">
        <v>407</v>
      </c>
      <c r="G2539" s="371" t="s">
        <v>1960</v>
      </c>
      <c r="H2539" s="245">
        <v>130</v>
      </c>
      <c r="I2539" s="173">
        <f t="shared" si="288"/>
        <v>18.571428571428573</v>
      </c>
      <c r="J2539">
        <v>4072</v>
      </c>
      <c r="K2539" s="173">
        <v>3073</v>
      </c>
      <c r="L2539" s="173">
        <f t="shared" si="289"/>
        <v>14.015225933202359</v>
      </c>
      <c r="M2539" s="173">
        <f t="shared" si="290"/>
        <v>32.586654504630928</v>
      </c>
      <c r="O2539" s="173">
        <f t="shared" si="291"/>
        <v>48.879981756946393</v>
      </c>
      <c r="P2539" s="173">
        <v>80</v>
      </c>
    </row>
    <row r="2540" spans="4:20" hidden="1" x14ac:dyDescent="0.35">
      <c r="D2540" s="233" t="s">
        <v>865</v>
      </c>
      <c r="F2540" s="366" t="s">
        <v>409</v>
      </c>
      <c r="G2540" s="371" t="s">
        <v>1960</v>
      </c>
      <c r="H2540" s="245">
        <v>130</v>
      </c>
      <c r="I2540" s="173">
        <f t="shared" si="288"/>
        <v>18.571428571428573</v>
      </c>
      <c r="J2540">
        <v>4072</v>
      </c>
      <c r="K2540" s="173">
        <v>3073</v>
      </c>
      <c r="L2540" s="173">
        <f t="shared" si="289"/>
        <v>14.015225933202359</v>
      </c>
      <c r="M2540" s="173">
        <f t="shared" si="290"/>
        <v>32.586654504630928</v>
      </c>
      <c r="O2540" s="173">
        <f t="shared" si="291"/>
        <v>48.879981756946393</v>
      </c>
      <c r="P2540" s="173">
        <v>80</v>
      </c>
    </row>
    <row r="2541" spans="4:20" hidden="1" x14ac:dyDescent="0.35">
      <c r="D2541" s="233" t="s">
        <v>865</v>
      </c>
      <c r="F2541" s="366" t="s">
        <v>410</v>
      </c>
      <c r="G2541" s="371" t="s">
        <v>1960</v>
      </c>
      <c r="H2541" s="245">
        <v>130</v>
      </c>
      <c r="I2541" s="173">
        <f t="shared" si="288"/>
        <v>18.571428571428573</v>
      </c>
      <c r="J2541">
        <v>4072</v>
      </c>
      <c r="K2541" s="173">
        <v>3073</v>
      </c>
      <c r="L2541" s="173">
        <f t="shared" si="289"/>
        <v>14.015225933202359</v>
      </c>
      <c r="M2541" s="173">
        <f t="shared" si="290"/>
        <v>32.586654504630928</v>
      </c>
      <c r="O2541" s="173">
        <f t="shared" si="291"/>
        <v>48.879981756946393</v>
      </c>
      <c r="P2541" s="173">
        <v>80</v>
      </c>
    </row>
    <row r="2542" spans="4:20" hidden="1" x14ac:dyDescent="0.35">
      <c r="D2542" s="233" t="s">
        <v>865</v>
      </c>
      <c r="F2542" s="366" t="s">
        <v>1079</v>
      </c>
      <c r="G2542" s="371" t="s">
        <v>1959</v>
      </c>
      <c r="H2542" s="245">
        <v>130</v>
      </c>
      <c r="I2542" s="173">
        <f t="shared" si="288"/>
        <v>18.571428571428573</v>
      </c>
      <c r="J2542">
        <v>4072</v>
      </c>
      <c r="K2542" s="173">
        <v>3073</v>
      </c>
      <c r="L2542" s="173">
        <f t="shared" si="289"/>
        <v>14.015225933202359</v>
      </c>
      <c r="M2542" s="173">
        <f t="shared" si="290"/>
        <v>32.586654504630928</v>
      </c>
      <c r="O2542" s="173">
        <f t="shared" si="291"/>
        <v>48.879981756946393</v>
      </c>
      <c r="P2542" s="173">
        <v>80</v>
      </c>
    </row>
    <row r="2543" spans="4:20" hidden="1" x14ac:dyDescent="0.35">
      <c r="D2543" s="233" t="s">
        <v>865</v>
      </c>
      <c r="F2543" s="366" t="s">
        <v>485</v>
      </c>
      <c r="G2543" s="371" t="s">
        <v>1959</v>
      </c>
      <c r="H2543" s="245">
        <v>130</v>
      </c>
      <c r="I2543" s="173">
        <f t="shared" si="288"/>
        <v>18.571428571428573</v>
      </c>
      <c r="J2543">
        <v>4072</v>
      </c>
      <c r="K2543" s="173">
        <v>3073</v>
      </c>
      <c r="L2543" s="173">
        <f t="shared" si="289"/>
        <v>14.015225933202359</v>
      </c>
      <c r="M2543" s="173">
        <f t="shared" si="290"/>
        <v>32.586654504630928</v>
      </c>
      <c r="O2543" s="173">
        <f t="shared" si="291"/>
        <v>48.879981756946393</v>
      </c>
      <c r="P2543" s="173">
        <v>80</v>
      </c>
    </row>
    <row r="2544" spans="4:20" hidden="1" x14ac:dyDescent="0.35">
      <c r="D2544" s="233" t="s">
        <v>865</v>
      </c>
      <c r="F2544" s="366" t="s">
        <v>411</v>
      </c>
      <c r="G2544" s="371" t="s">
        <v>1959</v>
      </c>
      <c r="H2544" s="245">
        <v>130</v>
      </c>
      <c r="I2544" s="173">
        <f t="shared" si="288"/>
        <v>18.571428571428573</v>
      </c>
      <c r="J2544">
        <v>4072</v>
      </c>
      <c r="K2544" s="173">
        <v>3073</v>
      </c>
      <c r="L2544" s="173">
        <f t="shared" si="289"/>
        <v>14.015225933202359</v>
      </c>
      <c r="M2544" s="173">
        <f t="shared" si="290"/>
        <v>32.586654504630928</v>
      </c>
      <c r="O2544" s="173">
        <f t="shared" si="291"/>
        <v>48.879981756946393</v>
      </c>
      <c r="P2544" s="173">
        <v>80</v>
      </c>
    </row>
    <row r="2545" spans="4:16" hidden="1" x14ac:dyDescent="0.35">
      <c r="F2545" s="366" t="s">
        <v>1958</v>
      </c>
      <c r="G2545" s="371" t="s">
        <v>1959</v>
      </c>
      <c r="H2545" s="245">
        <v>130</v>
      </c>
      <c r="I2545" s="173">
        <f t="shared" si="288"/>
        <v>18.571428571428573</v>
      </c>
      <c r="J2545">
        <v>4072</v>
      </c>
      <c r="K2545" s="173">
        <v>3073</v>
      </c>
      <c r="L2545" s="173">
        <f t="shared" si="289"/>
        <v>14.015225933202359</v>
      </c>
      <c r="M2545" s="173">
        <f t="shared" si="290"/>
        <v>32.586654504630928</v>
      </c>
      <c r="O2545" s="173">
        <f t="shared" si="291"/>
        <v>48.879981756946393</v>
      </c>
      <c r="P2545" s="173">
        <v>80</v>
      </c>
    </row>
    <row r="2546" spans="4:16" hidden="1" x14ac:dyDescent="0.35">
      <c r="D2546" s="233" t="s">
        <v>2014</v>
      </c>
      <c r="F2546" s="366" t="s">
        <v>410</v>
      </c>
      <c r="G2546" s="371" t="s">
        <v>1961</v>
      </c>
      <c r="H2546" s="245">
        <v>240</v>
      </c>
      <c r="I2546" s="173">
        <f t="shared" si="288"/>
        <v>34.285714285714285</v>
      </c>
      <c r="J2546">
        <v>4072</v>
      </c>
      <c r="K2546" s="173">
        <v>3073</v>
      </c>
      <c r="L2546" s="173">
        <f t="shared" si="289"/>
        <v>25.874263261296658</v>
      </c>
      <c r="M2546" s="173">
        <f t="shared" si="290"/>
        <v>60.159977547010939</v>
      </c>
      <c r="O2546" s="173">
        <f t="shared" si="291"/>
        <v>90.239966320516402</v>
      </c>
      <c r="P2546" s="173">
        <v>110</v>
      </c>
    </row>
    <row r="2547" spans="4:16" hidden="1" x14ac:dyDescent="0.35">
      <c r="D2547" s="233" t="s">
        <v>2014</v>
      </c>
      <c r="F2547" s="366" t="s">
        <v>760</v>
      </c>
      <c r="G2547" s="371" t="s">
        <v>1961</v>
      </c>
      <c r="H2547" s="245">
        <v>240</v>
      </c>
      <c r="I2547" s="173">
        <f t="shared" si="288"/>
        <v>34.285714285714285</v>
      </c>
      <c r="J2547">
        <v>4072</v>
      </c>
      <c r="K2547" s="173">
        <v>3073</v>
      </c>
      <c r="L2547" s="173">
        <f t="shared" si="289"/>
        <v>25.874263261296658</v>
      </c>
      <c r="M2547" s="173">
        <f t="shared" si="290"/>
        <v>60.159977547010939</v>
      </c>
      <c r="O2547" s="173">
        <f t="shared" si="291"/>
        <v>90.239966320516402</v>
      </c>
      <c r="P2547" s="173">
        <v>110</v>
      </c>
    </row>
    <row r="2548" spans="4:16" hidden="1" x14ac:dyDescent="0.35">
      <c r="F2548" s="366" t="s">
        <v>1962</v>
      </c>
      <c r="G2548" s="371" t="s">
        <v>2028</v>
      </c>
      <c r="H2548" s="245">
        <v>130</v>
      </c>
      <c r="I2548" s="173">
        <f t="shared" si="288"/>
        <v>18.571428571428573</v>
      </c>
      <c r="J2548">
        <v>4072</v>
      </c>
      <c r="K2548" s="173">
        <v>3073</v>
      </c>
      <c r="L2548" s="173">
        <f t="shared" si="289"/>
        <v>14.015225933202359</v>
      </c>
      <c r="M2548" s="173">
        <f t="shared" si="290"/>
        <v>32.586654504630928</v>
      </c>
      <c r="O2548" s="173">
        <f t="shared" si="291"/>
        <v>48.879981756946393</v>
      </c>
      <c r="P2548" s="173">
        <v>90</v>
      </c>
    </row>
    <row r="2549" spans="4:16" hidden="1" x14ac:dyDescent="0.35">
      <c r="F2549" s="366" t="s">
        <v>1962</v>
      </c>
      <c r="G2549" s="371" t="s">
        <v>2028</v>
      </c>
      <c r="H2549" s="245">
        <v>130</v>
      </c>
      <c r="I2549" s="173">
        <f t="shared" si="288"/>
        <v>18.571428571428573</v>
      </c>
      <c r="J2549">
        <v>4072</v>
      </c>
      <c r="K2549" s="173">
        <v>3073</v>
      </c>
      <c r="L2549" s="173">
        <f t="shared" si="289"/>
        <v>14.015225933202359</v>
      </c>
      <c r="M2549" s="173">
        <f t="shared" si="290"/>
        <v>32.586654504630928</v>
      </c>
      <c r="O2549" s="173">
        <f t="shared" si="291"/>
        <v>48.879981756946393</v>
      </c>
      <c r="P2549" s="173">
        <v>90</v>
      </c>
    </row>
    <row r="2550" spans="4:16" hidden="1" x14ac:dyDescent="0.35">
      <c r="F2550" s="366" t="s">
        <v>409</v>
      </c>
      <c r="G2550" s="371" t="s">
        <v>1963</v>
      </c>
      <c r="H2550" s="245">
        <v>158</v>
      </c>
      <c r="I2550" s="173">
        <f t="shared" si="288"/>
        <v>22.571428571428573</v>
      </c>
      <c r="J2550">
        <v>4072</v>
      </c>
      <c r="K2550" s="173">
        <v>3073</v>
      </c>
      <c r="L2550" s="173">
        <f t="shared" si="289"/>
        <v>17.033889980353635</v>
      </c>
      <c r="M2550" s="173">
        <f t="shared" si="290"/>
        <v>39.605318551782204</v>
      </c>
      <c r="O2550" s="173">
        <f t="shared" si="291"/>
        <v>59.407977827673307</v>
      </c>
      <c r="P2550" s="173">
        <v>110</v>
      </c>
    </row>
    <row r="2551" spans="4:16" hidden="1" x14ac:dyDescent="0.35">
      <c r="F2551" s="366" t="s">
        <v>410</v>
      </c>
      <c r="G2551" s="371" t="s">
        <v>1963</v>
      </c>
      <c r="H2551" s="245">
        <v>158</v>
      </c>
      <c r="I2551" s="173">
        <f t="shared" si="288"/>
        <v>22.571428571428573</v>
      </c>
      <c r="J2551">
        <v>4072</v>
      </c>
      <c r="K2551" s="173">
        <v>3073</v>
      </c>
      <c r="L2551" s="173">
        <f t="shared" si="289"/>
        <v>17.033889980353635</v>
      </c>
      <c r="M2551" s="173">
        <f t="shared" si="290"/>
        <v>39.605318551782204</v>
      </c>
      <c r="O2551" s="173">
        <f t="shared" si="291"/>
        <v>59.407977827673307</v>
      </c>
      <c r="P2551" s="173">
        <v>110</v>
      </c>
    </row>
    <row r="2552" spans="4:16" hidden="1" x14ac:dyDescent="0.35">
      <c r="F2552" s="366" t="s">
        <v>1958</v>
      </c>
      <c r="G2552" s="371" t="s">
        <v>2019</v>
      </c>
      <c r="H2552" s="245">
        <v>125</v>
      </c>
      <c r="I2552" s="173">
        <f t="shared" ref="I2552:I2581" si="292">+H2552/7</f>
        <v>17.857142857142858</v>
      </c>
      <c r="J2552">
        <v>4072</v>
      </c>
      <c r="K2552" s="173">
        <v>3073</v>
      </c>
      <c r="L2552" s="173">
        <f t="shared" ref="L2552:L2581" si="293">+I2552/J2552*K2552</f>
        <v>13.476178781925345</v>
      </c>
      <c r="M2552" s="173">
        <f t="shared" ref="M2552:M2581" si="294">+I2552+L2552</f>
        <v>31.333321639068203</v>
      </c>
      <c r="O2552" s="173">
        <f t="shared" ref="O2552:O2581" si="295">+M2552*1.5</f>
        <v>46.999982458602304</v>
      </c>
      <c r="P2552" s="173">
        <v>80</v>
      </c>
    </row>
    <row r="2553" spans="4:16" hidden="1" x14ac:dyDescent="0.35">
      <c r="F2553" s="366" t="s">
        <v>1958</v>
      </c>
      <c r="G2553" s="371" t="s">
        <v>2019</v>
      </c>
      <c r="H2553" s="245">
        <v>125</v>
      </c>
      <c r="I2553" s="173">
        <f t="shared" si="292"/>
        <v>17.857142857142858</v>
      </c>
      <c r="J2553">
        <v>4072</v>
      </c>
      <c r="K2553" s="173">
        <v>3073</v>
      </c>
      <c r="L2553" s="173">
        <f t="shared" si="293"/>
        <v>13.476178781925345</v>
      </c>
      <c r="M2553" s="173">
        <f t="shared" si="294"/>
        <v>31.333321639068203</v>
      </c>
      <c r="O2553" s="173">
        <f t="shared" si="295"/>
        <v>46.999982458602304</v>
      </c>
      <c r="P2553" s="173">
        <v>80</v>
      </c>
    </row>
    <row r="2554" spans="4:16" hidden="1" x14ac:dyDescent="0.35">
      <c r="G2554" s="371" t="s">
        <v>2012</v>
      </c>
      <c r="H2554" s="245">
        <v>125</v>
      </c>
      <c r="I2554" s="173">
        <f t="shared" si="292"/>
        <v>17.857142857142858</v>
      </c>
      <c r="J2554">
        <v>4072</v>
      </c>
      <c r="K2554" s="173">
        <v>3073</v>
      </c>
      <c r="L2554" s="173">
        <f t="shared" si="293"/>
        <v>13.476178781925345</v>
      </c>
      <c r="M2554" s="173">
        <f t="shared" si="294"/>
        <v>31.333321639068203</v>
      </c>
      <c r="O2554" s="173">
        <f t="shared" si="295"/>
        <v>46.999982458602304</v>
      </c>
      <c r="P2554" s="173">
        <v>85</v>
      </c>
    </row>
    <row r="2555" spans="4:16" hidden="1" x14ac:dyDescent="0.35">
      <c r="G2555" s="371" t="s">
        <v>2012</v>
      </c>
      <c r="H2555" s="245">
        <v>125</v>
      </c>
      <c r="I2555" s="173">
        <f t="shared" si="292"/>
        <v>17.857142857142858</v>
      </c>
      <c r="J2555">
        <v>4072</v>
      </c>
      <c r="K2555" s="173">
        <v>3073</v>
      </c>
      <c r="L2555" s="173">
        <f t="shared" si="293"/>
        <v>13.476178781925345</v>
      </c>
      <c r="M2555" s="173">
        <f t="shared" si="294"/>
        <v>31.333321639068203</v>
      </c>
      <c r="O2555" s="173">
        <f t="shared" si="295"/>
        <v>46.999982458602304</v>
      </c>
      <c r="P2555" s="173">
        <v>85</v>
      </c>
    </row>
    <row r="2556" spans="4:16" hidden="1" x14ac:dyDescent="0.35">
      <c r="G2556" s="372" t="s">
        <v>1964</v>
      </c>
      <c r="H2556" s="372"/>
      <c r="I2556" s="173">
        <f t="shared" si="292"/>
        <v>0</v>
      </c>
      <c r="J2556">
        <v>4072</v>
      </c>
      <c r="K2556" s="173">
        <v>3073</v>
      </c>
      <c r="L2556" s="173">
        <f t="shared" si="293"/>
        <v>0</v>
      </c>
      <c r="M2556" s="173">
        <f t="shared" si="294"/>
        <v>0</v>
      </c>
      <c r="O2556" s="173">
        <f t="shared" si="295"/>
        <v>0</v>
      </c>
    </row>
    <row r="2557" spans="4:16" hidden="1" x14ac:dyDescent="0.35">
      <c r="D2557" s="233" t="s">
        <v>1989</v>
      </c>
      <c r="F2557" s="366" t="s">
        <v>409</v>
      </c>
      <c r="G2557" s="371" t="s">
        <v>2057</v>
      </c>
      <c r="H2557" s="245">
        <v>140</v>
      </c>
      <c r="I2557" s="173">
        <f t="shared" si="292"/>
        <v>20</v>
      </c>
      <c r="J2557">
        <v>4072</v>
      </c>
      <c r="K2557" s="173">
        <v>3073</v>
      </c>
      <c r="L2557" s="173">
        <f t="shared" si="293"/>
        <v>15.093320235756385</v>
      </c>
      <c r="M2557" s="173">
        <f t="shared" si="294"/>
        <v>35.093320235756387</v>
      </c>
      <c r="O2557" s="173">
        <f t="shared" si="295"/>
        <v>52.639980353634584</v>
      </c>
      <c r="P2557" s="173">
        <v>85</v>
      </c>
    </row>
    <row r="2558" spans="4:16" hidden="1" x14ac:dyDescent="0.35">
      <c r="D2558" s="233" t="s">
        <v>1989</v>
      </c>
      <c r="F2558" s="366" t="s">
        <v>410</v>
      </c>
      <c r="G2558" s="371" t="s">
        <v>2057</v>
      </c>
      <c r="H2558" s="245">
        <v>140</v>
      </c>
      <c r="I2558" s="173">
        <f t="shared" si="292"/>
        <v>20</v>
      </c>
      <c r="J2558">
        <v>4072</v>
      </c>
      <c r="K2558" s="173">
        <v>3073</v>
      </c>
      <c r="L2558" s="173">
        <f t="shared" si="293"/>
        <v>15.093320235756385</v>
      </c>
      <c r="M2558" s="173">
        <f t="shared" si="294"/>
        <v>35.093320235756387</v>
      </c>
      <c r="O2558" s="173">
        <f t="shared" si="295"/>
        <v>52.639980353634584</v>
      </c>
      <c r="P2558" s="173">
        <v>85</v>
      </c>
    </row>
    <row r="2559" spans="4:16" hidden="1" x14ac:dyDescent="0.35">
      <c r="D2559" s="233" t="s">
        <v>1988</v>
      </c>
      <c r="F2559" s="366" t="s">
        <v>409</v>
      </c>
      <c r="G2559" s="371" t="s">
        <v>1987</v>
      </c>
      <c r="H2559" s="245">
        <v>135</v>
      </c>
      <c r="I2559" s="173">
        <f t="shared" si="292"/>
        <v>19.285714285714285</v>
      </c>
      <c r="J2559">
        <v>4072</v>
      </c>
      <c r="K2559" s="173">
        <v>3073</v>
      </c>
      <c r="L2559" s="173">
        <f t="shared" si="293"/>
        <v>14.554273084479371</v>
      </c>
      <c r="M2559" s="173">
        <f t="shared" si="294"/>
        <v>33.839987370193654</v>
      </c>
      <c r="O2559" s="173">
        <f t="shared" si="295"/>
        <v>50.759981055290481</v>
      </c>
      <c r="P2559" s="173">
        <v>110</v>
      </c>
    </row>
    <row r="2560" spans="4:16" hidden="1" x14ac:dyDescent="0.35">
      <c r="D2560" s="233" t="s">
        <v>1988</v>
      </c>
      <c r="F2560" s="366" t="s">
        <v>409</v>
      </c>
      <c r="G2560" s="371" t="s">
        <v>1966</v>
      </c>
      <c r="H2560" s="245">
        <v>135</v>
      </c>
      <c r="I2560" s="173">
        <f t="shared" si="292"/>
        <v>19.285714285714285</v>
      </c>
      <c r="J2560">
        <v>4072</v>
      </c>
      <c r="K2560" s="173">
        <v>3073</v>
      </c>
      <c r="L2560" s="173">
        <f t="shared" si="293"/>
        <v>14.554273084479371</v>
      </c>
      <c r="M2560" s="173">
        <f t="shared" si="294"/>
        <v>33.839987370193654</v>
      </c>
      <c r="O2560" s="173">
        <f t="shared" si="295"/>
        <v>50.759981055290481</v>
      </c>
      <c r="P2560" s="173">
        <v>110</v>
      </c>
    </row>
    <row r="2561" spans="3:16" hidden="1" x14ac:dyDescent="0.35">
      <c r="F2561" s="366" t="s">
        <v>410</v>
      </c>
      <c r="G2561" s="371" t="s">
        <v>1967</v>
      </c>
      <c r="H2561" s="245">
        <v>135</v>
      </c>
      <c r="I2561" s="173">
        <f t="shared" si="292"/>
        <v>19.285714285714285</v>
      </c>
      <c r="J2561">
        <v>4072</v>
      </c>
      <c r="K2561" s="173">
        <v>3073</v>
      </c>
      <c r="L2561" s="173">
        <f t="shared" si="293"/>
        <v>14.554273084479371</v>
      </c>
      <c r="M2561" s="173">
        <f t="shared" si="294"/>
        <v>33.839987370193654</v>
      </c>
      <c r="O2561" s="173">
        <f t="shared" si="295"/>
        <v>50.759981055290481</v>
      </c>
      <c r="P2561" s="173">
        <v>110</v>
      </c>
    </row>
    <row r="2562" spans="3:16" hidden="1" x14ac:dyDescent="0.35">
      <c r="F2562" s="366" t="s">
        <v>410</v>
      </c>
      <c r="G2562" s="371" t="s">
        <v>1967</v>
      </c>
      <c r="H2562" s="245">
        <v>135</v>
      </c>
      <c r="I2562" s="173">
        <f t="shared" si="292"/>
        <v>19.285714285714285</v>
      </c>
      <c r="J2562">
        <v>4072</v>
      </c>
      <c r="K2562" s="173">
        <v>3073</v>
      </c>
      <c r="L2562" s="173">
        <f t="shared" si="293"/>
        <v>14.554273084479371</v>
      </c>
      <c r="M2562" s="173">
        <f t="shared" si="294"/>
        <v>33.839987370193654</v>
      </c>
      <c r="O2562" s="173">
        <f t="shared" si="295"/>
        <v>50.759981055290481</v>
      </c>
      <c r="P2562" s="173">
        <v>110</v>
      </c>
    </row>
    <row r="2563" spans="3:16" hidden="1" x14ac:dyDescent="0.35">
      <c r="G2563" s="371" t="s">
        <v>2029</v>
      </c>
      <c r="H2563" s="245">
        <v>195</v>
      </c>
      <c r="I2563" s="173">
        <f t="shared" si="292"/>
        <v>27.857142857142858</v>
      </c>
      <c r="J2563">
        <v>4072</v>
      </c>
      <c r="K2563" s="173">
        <v>3073</v>
      </c>
      <c r="L2563" s="173">
        <f t="shared" si="293"/>
        <v>21.022838899803535</v>
      </c>
      <c r="M2563" s="173">
        <f t="shared" si="294"/>
        <v>48.879981756946393</v>
      </c>
      <c r="O2563" s="173">
        <f t="shared" si="295"/>
        <v>73.319972635419589</v>
      </c>
      <c r="P2563" s="173">
        <v>90</v>
      </c>
    </row>
    <row r="2564" spans="3:16" hidden="1" x14ac:dyDescent="0.35">
      <c r="F2564" s="366" t="s">
        <v>409</v>
      </c>
      <c r="G2564" s="371" t="s">
        <v>1969</v>
      </c>
      <c r="H2564" s="245">
        <v>225</v>
      </c>
      <c r="I2564" s="173">
        <f t="shared" si="292"/>
        <v>32.142857142857146</v>
      </c>
      <c r="J2564">
        <v>4072</v>
      </c>
      <c r="K2564" s="173">
        <v>3073</v>
      </c>
      <c r="L2564" s="173">
        <f t="shared" si="293"/>
        <v>24.257121807465623</v>
      </c>
      <c r="M2564" s="173">
        <f t="shared" si="294"/>
        <v>56.399978950322769</v>
      </c>
      <c r="O2564" s="173">
        <f t="shared" si="295"/>
        <v>84.59996842548415</v>
      </c>
      <c r="P2564" s="173">
        <v>125</v>
      </c>
    </row>
    <row r="2565" spans="3:16" hidden="1" x14ac:dyDescent="0.35">
      <c r="F2565" s="366" t="s">
        <v>410</v>
      </c>
      <c r="G2565" s="371" t="s">
        <v>1969</v>
      </c>
      <c r="H2565" s="245">
        <v>225</v>
      </c>
      <c r="I2565" s="173">
        <f t="shared" si="292"/>
        <v>32.142857142857146</v>
      </c>
      <c r="J2565">
        <v>4072</v>
      </c>
      <c r="K2565" s="173">
        <v>3073</v>
      </c>
      <c r="L2565" s="173">
        <f t="shared" si="293"/>
        <v>24.257121807465623</v>
      </c>
      <c r="M2565" s="173">
        <f t="shared" si="294"/>
        <v>56.399978950322769</v>
      </c>
      <c r="O2565" s="173">
        <f t="shared" si="295"/>
        <v>84.59996842548415</v>
      </c>
      <c r="P2565" s="173">
        <v>125</v>
      </c>
    </row>
    <row r="2566" spans="3:16" hidden="1" x14ac:dyDescent="0.35">
      <c r="C2566" s="233" t="s">
        <v>2005</v>
      </c>
      <c r="F2566" s="366" t="s">
        <v>1958</v>
      </c>
      <c r="G2566" s="371" t="s">
        <v>1971</v>
      </c>
      <c r="H2566" s="245">
        <v>189</v>
      </c>
      <c r="I2566" s="173">
        <f t="shared" si="292"/>
        <v>27</v>
      </c>
      <c r="J2566">
        <v>4072</v>
      </c>
      <c r="K2566" s="173">
        <v>3073</v>
      </c>
      <c r="L2566" s="173">
        <f t="shared" si="293"/>
        <v>20.37598231827112</v>
      </c>
      <c r="M2566" s="173">
        <f t="shared" si="294"/>
        <v>47.37598231827112</v>
      </c>
      <c r="O2566" s="173">
        <f t="shared" si="295"/>
        <v>71.063973477406677</v>
      </c>
      <c r="P2566" s="173">
        <v>90</v>
      </c>
    </row>
    <row r="2567" spans="3:16" hidden="1" x14ac:dyDescent="0.35">
      <c r="C2567" s="233" t="s">
        <v>2005</v>
      </c>
      <c r="F2567" s="366" t="s">
        <v>1958</v>
      </c>
      <c r="G2567" s="371" t="s">
        <v>1971</v>
      </c>
      <c r="H2567" s="245">
        <v>189</v>
      </c>
      <c r="I2567" s="173">
        <f t="shared" si="292"/>
        <v>27</v>
      </c>
      <c r="J2567">
        <v>4072</v>
      </c>
      <c r="K2567" s="173">
        <v>3073</v>
      </c>
      <c r="L2567" s="173">
        <f t="shared" si="293"/>
        <v>20.37598231827112</v>
      </c>
      <c r="M2567" s="173">
        <f t="shared" si="294"/>
        <v>47.37598231827112</v>
      </c>
      <c r="O2567" s="173">
        <f t="shared" si="295"/>
        <v>71.063973477406677</v>
      </c>
      <c r="P2567" s="173">
        <v>90</v>
      </c>
    </row>
    <row r="2568" spans="3:16" hidden="1" x14ac:dyDescent="0.35">
      <c r="C2568" s="233" t="s">
        <v>2005</v>
      </c>
      <c r="F2568" s="366" t="s">
        <v>1958</v>
      </c>
      <c r="G2568" s="371" t="s">
        <v>1972</v>
      </c>
      <c r="H2568" s="245">
        <v>189</v>
      </c>
      <c r="I2568" s="173">
        <f t="shared" si="292"/>
        <v>27</v>
      </c>
      <c r="J2568">
        <v>4072</v>
      </c>
      <c r="K2568" s="173">
        <v>3073</v>
      </c>
      <c r="L2568" s="173">
        <f t="shared" si="293"/>
        <v>20.37598231827112</v>
      </c>
      <c r="M2568" s="173">
        <f t="shared" si="294"/>
        <v>47.37598231827112</v>
      </c>
      <c r="O2568" s="173">
        <f t="shared" si="295"/>
        <v>71.063973477406677</v>
      </c>
      <c r="P2568" s="173">
        <v>90</v>
      </c>
    </row>
    <row r="2569" spans="3:16" hidden="1" x14ac:dyDescent="0.35">
      <c r="C2569" s="233" t="s">
        <v>2005</v>
      </c>
      <c r="F2569" s="366" t="s">
        <v>1958</v>
      </c>
      <c r="G2569" s="371" t="s">
        <v>1972</v>
      </c>
      <c r="H2569" s="245">
        <v>189</v>
      </c>
      <c r="I2569" s="173">
        <f t="shared" si="292"/>
        <v>27</v>
      </c>
      <c r="J2569">
        <v>4072</v>
      </c>
      <c r="K2569" s="173">
        <v>3073</v>
      </c>
      <c r="L2569" s="173">
        <f t="shared" si="293"/>
        <v>20.37598231827112</v>
      </c>
      <c r="M2569" s="173">
        <f t="shared" si="294"/>
        <v>47.37598231827112</v>
      </c>
      <c r="O2569" s="173">
        <f t="shared" si="295"/>
        <v>71.063973477406677</v>
      </c>
      <c r="P2569" s="173">
        <v>90</v>
      </c>
    </row>
    <row r="2570" spans="3:16" hidden="1" x14ac:dyDescent="0.35">
      <c r="C2570" s="233" t="s">
        <v>2005</v>
      </c>
      <c r="F2570" s="366" t="s">
        <v>1958</v>
      </c>
      <c r="G2570" s="371" t="s">
        <v>1973</v>
      </c>
      <c r="H2570" s="245">
        <v>189</v>
      </c>
      <c r="I2570" s="173">
        <f t="shared" si="292"/>
        <v>27</v>
      </c>
      <c r="J2570">
        <v>4072</v>
      </c>
      <c r="K2570" s="173">
        <v>3073</v>
      </c>
      <c r="L2570" s="173">
        <f t="shared" si="293"/>
        <v>20.37598231827112</v>
      </c>
      <c r="M2570" s="173">
        <f t="shared" si="294"/>
        <v>47.37598231827112</v>
      </c>
      <c r="O2570" s="173">
        <f t="shared" si="295"/>
        <v>71.063973477406677</v>
      </c>
      <c r="P2570" s="173">
        <v>90</v>
      </c>
    </row>
    <row r="2571" spans="3:16" hidden="1" x14ac:dyDescent="0.35">
      <c r="C2571" s="233" t="s">
        <v>2005</v>
      </c>
      <c r="F2571" s="366" t="s">
        <v>1958</v>
      </c>
      <c r="G2571" s="371" t="s">
        <v>1973</v>
      </c>
      <c r="H2571" s="245">
        <v>189</v>
      </c>
      <c r="I2571" s="173">
        <f t="shared" si="292"/>
        <v>27</v>
      </c>
      <c r="J2571">
        <v>4072</v>
      </c>
      <c r="K2571" s="173">
        <v>3073</v>
      </c>
      <c r="L2571" s="173">
        <f t="shared" si="293"/>
        <v>20.37598231827112</v>
      </c>
      <c r="M2571" s="173">
        <f t="shared" si="294"/>
        <v>47.37598231827112</v>
      </c>
      <c r="O2571" s="173">
        <f t="shared" si="295"/>
        <v>71.063973477406677</v>
      </c>
      <c r="P2571" s="173">
        <v>90</v>
      </c>
    </row>
    <row r="2572" spans="3:16" hidden="1" x14ac:dyDescent="0.35">
      <c r="C2572" s="233" t="s">
        <v>1999</v>
      </c>
      <c r="F2572" s="366" t="s">
        <v>409</v>
      </c>
      <c r="G2572" s="371" t="s">
        <v>2000</v>
      </c>
      <c r="H2572" s="245">
        <v>210</v>
      </c>
      <c r="I2572" s="173">
        <f t="shared" si="292"/>
        <v>30</v>
      </c>
      <c r="J2572">
        <v>4072</v>
      </c>
      <c r="K2572" s="173">
        <v>3073</v>
      </c>
      <c r="L2572" s="173">
        <f t="shared" si="293"/>
        <v>22.639980353634577</v>
      </c>
      <c r="M2572" s="173">
        <f t="shared" si="294"/>
        <v>52.639980353634577</v>
      </c>
      <c r="O2572" s="173">
        <f t="shared" si="295"/>
        <v>78.959970530451869</v>
      </c>
      <c r="P2572" s="173">
        <v>125</v>
      </c>
    </row>
    <row r="2573" spans="3:16" hidden="1" x14ac:dyDescent="0.35">
      <c r="C2573" s="233" t="s">
        <v>1999</v>
      </c>
      <c r="F2573" s="366" t="s">
        <v>410</v>
      </c>
      <c r="G2573" s="371" t="s">
        <v>2000</v>
      </c>
      <c r="H2573" s="245">
        <v>210</v>
      </c>
      <c r="I2573" s="173">
        <f t="shared" si="292"/>
        <v>30</v>
      </c>
      <c r="J2573">
        <v>4072</v>
      </c>
      <c r="K2573" s="173">
        <v>3073</v>
      </c>
      <c r="L2573" s="173">
        <f t="shared" si="293"/>
        <v>22.639980353634577</v>
      </c>
      <c r="M2573" s="173">
        <f t="shared" si="294"/>
        <v>52.639980353634577</v>
      </c>
      <c r="O2573" s="173">
        <f t="shared" si="295"/>
        <v>78.959970530451869</v>
      </c>
      <c r="P2573" s="173">
        <v>125</v>
      </c>
    </row>
    <row r="2574" spans="3:16" hidden="1" x14ac:dyDescent="0.35">
      <c r="C2574" s="233" t="s">
        <v>2001</v>
      </c>
      <c r="F2574" s="366" t="s">
        <v>407</v>
      </c>
      <c r="G2574" s="371" t="s">
        <v>2002</v>
      </c>
      <c r="H2574" s="245">
        <v>210</v>
      </c>
      <c r="I2574" s="173">
        <f t="shared" si="292"/>
        <v>30</v>
      </c>
      <c r="J2574">
        <v>4072</v>
      </c>
      <c r="K2574" s="173">
        <v>3073</v>
      </c>
      <c r="L2574" s="173">
        <f t="shared" si="293"/>
        <v>22.639980353634577</v>
      </c>
      <c r="M2574" s="173">
        <f t="shared" si="294"/>
        <v>52.639980353634577</v>
      </c>
      <c r="O2574" s="173">
        <f t="shared" si="295"/>
        <v>78.959970530451869</v>
      </c>
      <c r="P2574" s="173">
        <v>125</v>
      </c>
    </row>
    <row r="2575" spans="3:16" hidden="1" x14ac:dyDescent="0.35">
      <c r="C2575" s="233" t="s">
        <v>2001</v>
      </c>
      <c r="F2575" s="366" t="s">
        <v>409</v>
      </c>
      <c r="G2575" s="371" t="s">
        <v>2002</v>
      </c>
      <c r="H2575" s="245">
        <v>210</v>
      </c>
      <c r="I2575" s="173">
        <f t="shared" si="292"/>
        <v>30</v>
      </c>
      <c r="J2575">
        <v>4072</v>
      </c>
      <c r="K2575" s="173">
        <v>3073</v>
      </c>
      <c r="L2575" s="173">
        <f t="shared" si="293"/>
        <v>22.639980353634577</v>
      </c>
      <c r="M2575" s="173">
        <f t="shared" si="294"/>
        <v>52.639980353634577</v>
      </c>
      <c r="O2575" s="173">
        <f t="shared" si="295"/>
        <v>78.959970530451869</v>
      </c>
      <c r="P2575" s="173">
        <v>125</v>
      </c>
    </row>
    <row r="2576" spans="3:16" hidden="1" x14ac:dyDescent="0.35">
      <c r="C2576" s="233" t="s">
        <v>2001</v>
      </c>
      <c r="F2576" s="366" t="s">
        <v>410</v>
      </c>
      <c r="G2576" s="371" t="s">
        <v>2002</v>
      </c>
      <c r="H2576" s="245">
        <v>210</v>
      </c>
      <c r="I2576" s="173">
        <f t="shared" si="292"/>
        <v>30</v>
      </c>
      <c r="J2576">
        <v>4072</v>
      </c>
      <c r="K2576" s="173">
        <v>3073</v>
      </c>
      <c r="L2576" s="173">
        <f t="shared" si="293"/>
        <v>22.639980353634577</v>
      </c>
      <c r="M2576" s="173">
        <f t="shared" si="294"/>
        <v>52.639980353634577</v>
      </c>
      <c r="O2576" s="173">
        <f t="shared" si="295"/>
        <v>78.959970530451869</v>
      </c>
      <c r="P2576" s="173">
        <v>125</v>
      </c>
    </row>
    <row r="2577" spans="3:20" hidden="1" x14ac:dyDescent="0.35">
      <c r="F2577" s="366" t="s">
        <v>409</v>
      </c>
      <c r="G2577" s="371" t="s">
        <v>2013</v>
      </c>
      <c r="H2577" s="245">
        <v>178</v>
      </c>
      <c r="I2577" s="173">
        <f t="shared" si="292"/>
        <v>25.428571428571427</v>
      </c>
      <c r="J2577">
        <v>4072</v>
      </c>
      <c r="K2577" s="173">
        <v>3073</v>
      </c>
      <c r="L2577" s="173">
        <f t="shared" si="293"/>
        <v>19.190078585461688</v>
      </c>
      <c r="M2577" s="173">
        <f t="shared" si="294"/>
        <v>44.618650014033115</v>
      </c>
      <c r="O2577" s="173">
        <f t="shared" si="295"/>
        <v>66.927975021049676</v>
      </c>
      <c r="P2577" s="173">
        <v>110</v>
      </c>
    </row>
    <row r="2578" spans="3:20" hidden="1" x14ac:dyDescent="0.35">
      <c r="F2578" s="366" t="s">
        <v>409</v>
      </c>
      <c r="G2578" s="371" t="s">
        <v>2013</v>
      </c>
      <c r="H2578" s="245">
        <v>178</v>
      </c>
      <c r="I2578" s="173">
        <f t="shared" si="292"/>
        <v>25.428571428571427</v>
      </c>
      <c r="J2578">
        <v>4072</v>
      </c>
      <c r="K2578" s="173">
        <v>3073</v>
      </c>
      <c r="L2578" s="173">
        <f t="shared" si="293"/>
        <v>19.190078585461688</v>
      </c>
      <c r="M2578" s="173">
        <f t="shared" si="294"/>
        <v>44.618650014033115</v>
      </c>
      <c r="O2578" s="173">
        <f t="shared" si="295"/>
        <v>66.927975021049676</v>
      </c>
      <c r="P2578" s="173">
        <v>110</v>
      </c>
    </row>
    <row r="2579" spans="3:20" hidden="1" x14ac:dyDescent="0.35">
      <c r="F2579" s="366" t="s">
        <v>410</v>
      </c>
      <c r="G2579" s="371" t="s">
        <v>2013</v>
      </c>
      <c r="H2579" s="245">
        <v>178</v>
      </c>
      <c r="I2579" s="173">
        <f t="shared" si="292"/>
        <v>25.428571428571427</v>
      </c>
      <c r="J2579">
        <v>4072</v>
      </c>
      <c r="K2579" s="173">
        <v>3073</v>
      </c>
      <c r="L2579" s="173">
        <f t="shared" si="293"/>
        <v>19.190078585461688</v>
      </c>
      <c r="M2579" s="173">
        <f t="shared" si="294"/>
        <v>44.618650014033115</v>
      </c>
      <c r="O2579" s="173">
        <f t="shared" si="295"/>
        <v>66.927975021049676</v>
      </c>
      <c r="P2579" s="173">
        <v>110</v>
      </c>
    </row>
    <row r="2580" spans="3:20" hidden="1" x14ac:dyDescent="0.35">
      <c r="F2580" s="366" t="s">
        <v>410</v>
      </c>
      <c r="G2580" s="371" t="s">
        <v>2013</v>
      </c>
      <c r="H2580" s="245">
        <v>178</v>
      </c>
      <c r="I2580" s="173">
        <f t="shared" si="292"/>
        <v>25.428571428571427</v>
      </c>
      <c r="J2580">
        <v>4072</v>
      </c>
      <c r="K2580" s="173">
        <v>3073</v>
      </c>
      <c r="L2580" s="173">
        <f t="shared" si="293"/>
        <v>19.190078585461688</v>
      </c>
      <c r="M2580" s="173">
        <f t="shared" si="294"/>
        <v>44.618650014033115</v>
      </c>
      <c r="O2580" s="173">
        <f t="shared" si="295"/>
        <v>66.927975021049676</v>
      </c>
      <c r="P2580" s="173">
        <v>110</v>
      </c>
    </row>
    <row r="2581" spans="3:20" hidden="1" x14ac:dyDescent="0.35">
      <c r="C2581" s="233" t="s">
        <v>1949</v>
      </c>
      <c r="G2581" s="371" t="s">
        <v>2032</v>
      </c>
      <c r="H2581" s="245">
        <v>168</v>
      </c>
      <c r="I2581" s="173">
        <f t="shared" si="292"/>
        <v>24</v>
      </c>
      <c r="J2581">
        <v>4072</v>
      </c>
      <c r="K2581" s="173">
        <v>3073</v>
      </c>
      <c r="L2581" s="173">
        <f t="shared" si="293"/>
        <v>18.111984282907663</v>
      </c>
      <c r="M2581" s="173">
        <f t="shared" si="294"/>
        <v>42.111984282907663</v>
      </c>
      <c r="O2581" s="173">
        <f t="shared" si="295"/>
        <v>63.167976424361498</v>
      </c>
      <c r="P2581" s="173">
        <v>80</v>
      </c>
    </row>
    <row r="2582" spans="3:20" hidden="1" x14ac:dyDescent="0.35">
      <c r="G2582" s="245" t="s">
        <v>1965</v>
      </c>
    </row>
    <row r="2583" spans="3:20" hidden="1" x14ac:dyDescent="0.35">
      <c r="G2583" s="372" t="s">
        <v>2031</v>
      </c>
      <c r="I2583" s="173">
        <f t="shared" ref="I2583:I2614" si="296">+H2583/7</f>
        <v>0</v>
      </c>
      <c r="J2583">
        <v>4072</v>
      </c>
      <c r="K2583" s="173">
        <v>3073</v>
      </c>
      <c r="L2583" s="173">
        <f t="shared" ref="L2583:L2614" si="297">+I2583/J2583*K2583</f>
        <v>0</v>
      </c>
      <c r="M2583" s="173">
        <f t="shared" ref="M2583:M2614" si="298">+I2583+L2583</f>
        <v>0</v>
      </c>
      <c r="O2583" s="173">
        <f t="shared" ref="O2583:O2614" si="299">+M2583*1.5</f>
        <v>0</v>
      </c>
    </row>
    <row r="2584" spans="3:20" hidden="1" x14ac:dyDescent="0.35">
      <c r="G2584" s="372" t="s">
        <v>2031</v>
      </c>
      <c r="I2584" s="173">
        <f t="shared" si="296"/>
        <v>0</v>
      </c>
      <c r="J2584">
        <v>4072</v>
      </c>
      <c r="K2584" s="173">
        <v>3073</v>
      </c>
      <c r="L2584" s="173">
        <f t="shared" si="297"/>
        <v>0</v>
      </c>
      <c r="M2584" s="173">
        <f t="shared" si="298"/>
        <v>0</v>
      </c>
      <c r="O2584" s="173">
        <f t="shared" si="299"/>
        <v>0</v>
      </c>
    </row>
    <row r="2585" spans="3:20" hidden="1" x14ac:dyDescent="0.35">
      <c r="G2585" s="371" t="s">
        <v>2031</v>
      </c>
      <c r="H2585" s="371">
        <v>65</v>
      </c>
      <c r="I2585" s="176">
        <f t="shared" si="296"/>
        <v>9.2857142857142865</v>
      </c>
      <c r="J2585" s="12">
        <v>4072</v>
      </c>
      <c r="K2585" s="176">
        <v>3073</v>
      </c>
      <c r="L2585" s="176">
        <f t="shared" si="297"/>
        <v>7.0076129666011795</v>
      </c>
      <c r="M2585" s="176">
        <f t="shared" si="298"/>
        <v>16.293327252315464</v>
      </c>
      <c r="N2585" s="12"/>
      <c r="O2585" s="176">
        <f t="shared" si="299"/>
        <v>24.439990878473196</v>
      </c>
      <c r="P2585" s="176">
        <v>100</v>
      </c>
      <c r="S2585" t="s">
        <v>2060</v>
      </c>
      <c r="T2585" s="6">
        <v>45987</v>
      </c>
    </row>
    <row r="2586" spans="3:20" hidden="1" x14ac:dyDescent="0.35">
      <c r="G2586" s="371" t="s">
        <v>2031</v>
      </c>
      <c r="H2586" s="245">
        <v>65</v>
      </c>
      <c r="I2586" s="173">
        <f t="shared" si="296"/>
        <v>9.2857142857142865</v>
      </c>
      <c r="J2586">
        <v>4072</v>
      </c>
      <c r="K2586" s="173">
        <v>3073</v>
      </c>
      <c r="L2586" s="173">
        <f t="shared" si="297"/>
        <v>7.0076129666011795</v>
      </c>
      <c r="M2586" s="173">
        <f t="shared" si="298"/>
        <v>16.293327252315464</v>
      </c>
      <c r="O2586" s="173">
        <f t="shared" si="299"/>
        <v>24.439990878473196</v>
      </c>
      <c r="P2586" s="173">
        <v>100</v>
      </c>
    </row>
    <row r="2587" spans="3:20" hidden="1" x14ac:dyDescent="0.35">
      <c r="F2587" s="366" t="s">
        <v>570</v>
      </c>
      <c r="G2587" s="371" t="s">
        <v>1968</v>
      </c>
      <c r="H2587" s="245">
        <v>27</v>
      </c>
      <c r="I2587" s="173">
        <f t="shared" si="296"/>
        <v>3.8571428571428572</v>
      </c>
      <c r="J2587">
        <v>4072</v>
      </c>
      <c r="K2587" s="173">
        <v>3073</v>
      </c>
      <c r="L2587" s="173">
        <f t="shared" si="297"/>
        <v>2.9108546168958744</v>
      </c>
      <c r="M2587" s="173">
        <f t="shared" si="298"/>
        <v>6.7679974740387312</v>
      </c>
      <c r="O2587" s="173">
        <f t="shared" si="299"/>
        <v>10.151996211058098</v>
      </c>
      <c r="P2587" s="173">
        <v>45</v>
      </c>
    </row>
    <row r="2588" spans="3:20" hidden="1" x14ac:dyDescent="0.35">
      <c r="F2588" s="366" t="s">
        <v>570</v>
      </c>
      <c r="G2588" s="371" t="s">
        <v>1968</v>
      </c>
      <c r="H2588" s="245">
        <v>27</v>
      </c>
      <c r="I2588" s="173">
        <f t="shared" si="296"/>
        <v>3.8571428571428572</v>
      </c>
      <c r="J2588">
        <v>4072</v>
      </c>
      <c r="K2588" s="173">
        <v>3073</v>
      </c>
      <c r="L2588" s="173">
        <f t="shared" si="297"/>
        <v>2.9108546168958744</v>
      </c>
      <c r="M2588" s="173">
        <f t="shared" si="298"/>
        <v>6.7679974740387312</v>
      </c>
      <c r="O2588" s="173">
        <f t="shared" si="299"/>
        <v>10.151996211058098</v>
      </c>
      <c r="P2588" s="173">
        <v>45</v>
      </c>
    </row>
    <row r="2589" spans="3:20" hidden="1" x14ac:dyDescent="0.35">
      <c r="F2589" s="366" t="s">
        <v>570</v>
      </c>
      <c r="G2589" s="371" t="s">
        <v>1968</v>
      </c>
      <c r="H2589" s="245">
        <v>27</v>
      </c>
      <c r="I2589" s="173">
        <f t="shared" si="296"/>
        <v>3.8571428571428572</v>
      </c>
      <c r="J2589">
        <v>4072</v>
      </c>
      <c r="K2589" s="173">
        <v>3073</v>
      </c>
      <c r="L2589" s="173">
        <f t="shared" si="297"/>
        <v>2.9108546168958744</v>
      </c>
      <c r="M2589" s="173">
        <f t="shared" si="298"/>
        <v>6.7679974740387312</v>
      </c>
      <c r="O2589" s="173">
        <f t="shared" si="299"/>
        <v>10.151996211058098</v>
      </c>
      <c r="P2589" s="173">
        <v>45</v>
      </c>
    </row>
    <row r="2590" spans="3:20" hidden="1" x14ac:dyDescent="0.35">
      <c r="F2590" s="366" t="s">
        <v>570</v>
      </c>
      <c r="G2590" s="371" t="s">
        <v>1968</v>
      </c>
      <c r="H2590" s="245">
        <v>27</v>
      </c>
      <c r="I2590" s="173">
        <f t="shared" si="296"/>
        <v>3.8571428571428572</v>
      </c>
      <c r="J2590">
        <v>4072</v>
      </c>
      <c r="K2590" s="173">
        <v>3073</v>
      </c>
      <c r="L2590" s="173">
        <f t="shared" si="297"/>
        <v>2.9108546168958744</v>
      </c>
      <c r="M2590" s="173">
        <f t="shared" si="298"/>
        <v>6.7679974740387312</v>
      </c>
      <c r="O2590" s="173">
        <f t="shared" si="299"/>
        <v>10.151996211058098</v>
      </c>
      <c r="P2590" s="173">
        <v>45</v>
      </c>
    </row>
    <row r="2591" spans="3:20" hidden="1" x14ac:dyDescent="0.35">
      <c r="F2591" s="366" t="s">
        <v>570</v>
      </c>
      <c r="G2591" s="371" t="s">
        <v>1968</v>
      </c>
      <c r="H2591" s="245">
        <v>27</v>
      </c>
      <c r="I2591" s="173">
        <f t="shared" si="296"/>
        <v>3.8571428571428572</v>
      </c>
      <c r="J2591">
        <v>4072</v>
      </c>
      <c r="K2591" s="173">
        <v>3073</v>
      </c>
      <c r="L2591" s="173">
        <f t="shared" si="297"/>
        <v>2.9108546168958744</v>
      </c>
      <c r="M2591" s="173">
        <f t="shared" si="298"/>
        <v>6.7679974740387312</v>
      </c>
      <c r="O2591" s="173">
        <f t="shared" si="299"/>
        <v>10.151996211058098</v>
      </c>
      <c r="P2591" s="173">
        <v>45</v>
      </c>
    </row>
    <row r="2592" spans="3:20" hidden="1" x14ac:dyDescent="0.35">
      <c r="F2592" s="366" t="s">
        <v>570</v>
      </c>
      <c r="G2592" s="371" t="s">
        <v>2006</v>
      </c>
      <c r="H2592" s="245">
        <v>100</v>
      </c>
      <c r="I2592" s="173">
        <f t="shared" si="296"/>
        <v>14.285714285714286</v>
      </c>
      <c r="J2592">
        <v>4072</v>
      </c>
      <c r="K2592" s="173">
        <v>3073</v>
      </c>
      <c r="L2592" s="173">
        <f t="shared" si="297"/>
        <v>10.780943025540276</v>
      </c>
      <c r="M2592" s="173">
        <f t="shared" si="298"/>
        <v>25.066657311254563</v>
      </c>
      <c r="O2592" s="173">
        <f t="shared" si="299"/>
        <v>37.599985966881846</v>
      </c>
      <c r="P2592" s="173">
        <v>75</v>
      </c>
    </row>
    <row r="2593" spans="3:20" hidden="1" x14ac:dyDescent="0.35">
      <c r="G2593" s="371" t="s">
        <v>2020</v>
      </c>
      <c r="H2593" s="245">
        <v>195</v>
      </c>
      <c r="I2593" s="173">
        <f t="shared" si="296"/>
        <v>27.857142857142858</v>
      </c>
      <c r="J2593">
        <v>4072</v>
      </c>
      <c r="K2593" s="173">
        <v>3073</v>
      </c>
      <c r="L2593" s="173">
        <f t="shared" si="297"/>
        <v>21.022838899803535</v>
      </c>
      <c r="M2593" s="173">
        <f t="shared" si="298"/>
        <v>48.879981756946393</v>
      </c>
      <c r="O2593" s="173">
        <f t="shared" si="299"/>
        <v>73.319972635419589</v>
      </c>
      <c r="P2593" s="173">
        <v>110</v>
      </c>
    </row>
    <row r="2594" spans="3:20" hidden="1" x14ac:dyDescent="0.35">
      <c r="G2594" s="371" t="s">
        <v>2020</v>
      </c>
      <c r="H2594" s="245">
        <v>195</v>
      </c>
      <c r="I2594" s="173">
        <f t="shared" si="296"/>
        <v>27.857142857142858</v>
      </c>
      <c r="J2594">
        <v>4072</v>
      </c>
      <c r="K2594" s="173">
        <v>3073</v>
      </c>
      <c r="L2594" s="173">
        <f t="shared" si="297"/>
        <v>21.022838899803535</v>
      </c>
      <c r="M2594" s="173">
        <f t="shared" si="298"/>
        <v>48.879981756946393</v>
      </c>
      <c r="O2594" s="173">
        <f t="shared" si="299"/>
        <v>73.319972635419589</v>
      </c>
      <c r="P2594" s="173">
        <v>110</v>
      </c>
    </row>
    <row r="2595" spans="3:20" hidden="1" x14ac:dyDescent="0.35">
      <c r="G2595" s="371" t="s">
        <v>2021</v>
      </c>
      <c r="H2595" s="245">
        <v>195</v>
      </c>
      <c r="I2595" s="173">
        <f t="shared" si="296"/>
        <v>27.857142857142858</v>
      </c>
      <c r="J2595">
        <v>4072</v>
      </c>
      <c r="K2595" s="173">
        <v>3073</v>
      </c>
      <c r="L2595" s="173">
        <f t="shared" si="297"/>
        <v>21.022838899803535</v>
      </c>
      <c r="M2595" s="173">
        <f t="shared" si="298"/>
        <v>48.879981756946393</v>
      </c>
      <c r="O2595" s="173">
        <f t="shared" si="299"/>
        <v>73.319972635419589</v>
      </c>
      <c r="P2595" s="173">
        <v>110</v>
      </c>
    </row>
    <row r="2596" spans="3:20" hidden="1" x14ac:dyDescent="0.35">
      <c r="G2596" s="371" t="s">
        <v>2030</v>
      </c>
      <c r="H2596" s="371">
        <v>150</v>
      </c>
      <c r="I2596" s="176">
        <f t="shared" si="296"/>
        <v>21.428571428571427</v>
      </c>
      <c r="J2596" s="12">
        <v>4072</v>
      </c>
      <c r="K2596" s="176">
        <v>3073</v>
      </c>
      <c r="L2596" s="176">
        <f t="shared" si="297"/>
        <v>16.171414538310412</v>
      </c>
      <c r="M2596" s="176">
        <f t="shared" si="298"/>
        <v>37.599985966881839</v>
      </c>
      <c r="N2596" s="12"/>
      <c r="O2596" s="176">
        <f t="shared" si="299"/>
        <v>56.399978950322762</v>
      </c>
      <c r="P2596" s="176">
        <v>100</v>
      </c>
      <c r="S2596" t="s">
        <v>1761</v>
      </c>
      <c r="T2596" s="6">
        <v>45987</v>
      </c>
    </row>
    <row r="2597" spans="3:20" hidden="1" x14ac:dyDescent="0.35">
      <c r="F2597" s="366" t="s">
        <v>570</v>
      </c>
      <c r="G2597" s="371" t="s">
        <v>1970</v>
      </c>
      <c r="H2597" s="245">
        <v>195</v>
      </c>
      <c r="I2597" s="173">
        <f t="shared" si="296"/>
        <v>27.857142857142858</v>
      </c>
      <c r="J2597">
        <v>4072</v>
      </c>
      <c r="K2597" s="173">
        <v>3073</v>
      </c>
      <c r="L2597" s="173">
        <f t="shared" si="297"/>
        <v>21.022838899803535</v>
      </c>
      <c r="M2597" s="173">
        <f t="shared" si="298"/>
        <v>48.879981756946393</v>
      </c>
      <c r="O2597" s="173">
        <f t="shared" si="299"/>
        <v>73.319972635419589</v>
      </c>
      <c r="P2597" s="173">
        <v>110</v>
      </c>
    </row>
    <row r="2598" spans="3:20" hidden="1" x14ac:dyDescent="0.35">
      <c r="F2598" s="366" t="s">
        <v>570</v>
      </c>
      <c r="G2598" s="371" t="s">
        <v>1970</v>
      </c>
      <c r="H2598" s="245">
        <v>195</v>
      </c>
      <c r="I2598" s="173">
        <f t="shared" si="296"/>
        <v>27.857142857142858</v>
      </c>
      <c r="J2598">
        <v>4072</v>
      </c>
      <c r="K2598" s="173">
        <v>3073</v>
      </c>
      <c r="L2598" s="173">
        <f t="shared" si="297"/>
        <v>21.022838899803535</v>
      </c>
      <c r="M2598" s="173">
        <f t="shared" si="298"/>
        <v>48.879981756946393</v>
      </c>
      <c r="O2598" s="173">
        <f t="shared" si="299"/>
        <v>73.319972635419589</v>
      </c>
      <c r="P2598" s="173">
        <v>110</v>
      </c>
    </row>
    <row r="2599" spans="3:20" hidden="1" x14ac:dyDescent="0.35">
      <c r="F2599" s="366" t="s">
        <v>409</v>
      </c>
      <c r="G2599" s="371" t="s">
        <v>2015</v>
      </c>
      <c r="H2599" s="245">
        <v>135</v>
      </c>
      <c r="I2599" s="173">
        <f t="shared" si="296"/>
        <v>19.285714285714285</v>
      </c>
      <c r="J2599">
        <v>4072</v>
      </c>
      <c r="K2599" s="173">
        <v>3073</v>
      </c>
      <c r="L2599" s="173">
        <f t="shared" si="297"/>
        <v>14.554273084479371</v>
      </c>
      <c r="M2599" s="173">
        <f t="shared" si="298"/>
        <v>33.839987370193654</v>
      </c>
      <c r="O2599" s="173">
        <f t="shared" si="299"/>
        <v>50.759981055290481</v>
      </c>
      <c r="P2599" s="173">
        <v>70</v>
      </c>
    </row>
    <row r="2600" spans="3:20" hidden="1" x14ac:dyDescent="0.35">
      <c r="F2600" s="366" t="s">
        <v>410</v>
      </c>
      <c r="G2600" s="371" t="s">
        <v>2015</v>
      </c>
      <c r="H2600" s="245">
        <v>135</v>
      </c>
      <c r="I2600" s="173">
        <f t="shared" si="296"/>
        <v>19.285714285714285</v>
      </c>
      <c r="J2600">
        <v>4072</v>
      </c>
      <c r="K2600" s="173">
        <v>3073</v>
      </c>
      <c r="L2600" s="173">
        <f t="shared" si="297"/>
        <v>14.554273084479371</v>
      </c>
      <c r="M2600" s="173">
        <f t="shared" si="298"/>
        <v>33.839987370193654</v>
      </c>
      <c r="O2600" s="173">
        <f t="shared" si="299"/>
        <v>50.759981055290481</v>
      </c>
      <c r="P2600" s="173">
        <v>70</v>
      </c>
    </row>
    <row r="2601" spans="3:20" hidden="1" x14ac:dyDescent="0.35">
      <c r="F2601" s="366" t="s">
        <v>411</v>
      </c>
      <c r="G2601" s="371" t="s">
        <v>1974</v>
      </c>
      <c r="H2601" s="245">
        <v>115</v>
      </c>
      <c r="I2601" s="173">
        <f t="shared" si="296"/>
        <v>16.428571428571427</v>
      </c>
      <c r="J2601">
        <v>4072</v>
      </c>
      <c r="K2601" s="173">
        <v>3073</v>
      </c>
      <c r="L2601" s="173">
        <f t="shared" si="297"/>
        <v>12.398084479371315</v>
      </c>
      <c r="M2601" s="173">
        <f t="shared" si="298"/>
        <v>28.826655907942744</v>
      </c>
      <c r="O2601" s="173">
        <f t="shared" si="299"/>
        <v>43.239983861914112</v>
      </c>
      <c r="P2601" s="173">
        <v>75</v>
      </c>
    </row>
    <row r="2602" spans="3:20" hidden="1" x14ac:dyDescent="0.35">
      <c r="F2602" s="366" t="s">
        <v>588</v>
      </c>
      <c r="G2602" s="371" t="s">
        <v>1974</v>
      </c>
      <c r="H2602" s="245">
        <v>115</v>
      </c>
      <c r="I2602" s="173">
        <f t="shared" si="296"/>
        <v>16.428571428571427</v>
      </c>
      <c r="J2602">
        <v>4072</v>
      </c>
      <c r="K2602" s="173">
        <v>3073</v>
      </c>
      <c r="L2602" s="173">
        <f t="shared" si="297"/>
        <v>12.398084479371315</v>
      </c>
      <c r="M2602" s="173">
        <f t="shared" si="298"/>
        <v>28.826655907942744</v>
      </c>
      <c r="O2602" s="173">
        <f t="shared" si="299"/>
        <v>43.239983861914112</v>
      </c>
      <c r="P2602" s="173">
        <v>75</v>
      </c>
    </row>
    <row r="2603" spans="3:20" hidden="1" x14ac:dyDescent="0.35">
      <c r="F2603" s="366" t="s">
        <v>407</v>
      </c>
      <c r="G2603" s="371" t="s">
        <v>1975</v>
      </c>
      <c r="H2603" s="245">
        <v>140</v>
      </c>
      <c r="I2603" s="173">
        <f t="shared" si="296"/>
        <v>20</v>
      </c>
      <c r="J2603">
        <v>4072</v>
      </c>
      <c r="K2603" s="173">
        <v>3073</v>
      </c>
      <c r="L2603" s="173">
        <f t="shared" si="297"/>
        <v>15.093320235756385</v>
      </c>
      <c r="M2603" s="173">
        <f t="shared" si="298"/>
        <v>35.093320235756387</v>
      </c>
      <c r="O2603" s="173">
        <f t="shared" si="299"/>
        <v>52.639980353634584</v>
      </c>
      <c r="P2603" s="173">
        <v>80</v>
      </c>
    </row>
    <row r="2604" spans="3:20" hidden="1" x14ac:dyDescent="0.35">
      <c r="F2604" s="366" t="s">
        <v>409</v>
      </c>
      <c r="G2604" s="371" t="s">
        <v>1975</v>
      </c>
      <c r="H2604" s="245">
        <v>140</v>
      </c>
      <c r="I2604" s="173">
        <f t="shared" si="296"/>
        <v>20</v>
      </c>
      <c r="J2604">
        <v>4072</v>
      </c>
      <c r="K2604" s="173">
        <v>3073</v>
      </c>
      <c r="L2604" s="173">
        <f t="shared" si="297"/>
        <v>15.093320235756385</v>
      </c>
      <c r="M2604" s="173">
        <f t="shared" si="298"/>
        <v>35.093320235756387</v>
      </c>
      <c r="O2604" s="173">
        <f t="shared" si="299"/>
        <v>52.639980353634584</v>
      </c>
      <c r="P2604" s="173">
        <v>80</v>
      </c>
    </row>
    <row r="2605" spans="3:20" hidden="1" x14ac:dyDescent="0.35">
      <c r="F2605" s="366" t="s">
        <v>410</v>
      </c>
      <c r="G2605" s="371" t="s">
        <v>1975</v>
      </c>
      <c r="H2605" s="245">
        <v>140</v>
      </c>
      <c r="I2605" s="173">
        <f t="shared" si="296"/>
        <v>20</v>
      </c>
      <c r="J2605">
        <v>4072</v>
      </c>
      <c r="K2605" s="173">
        <v>3073</v>
      </c>
      <c r="L2605" s="173">
        <f t="shared" si="297"/>
        <v>15.093320235756385</v>
      </c>
      <c r="M2605" s="173">
        <f t="shared" si="298"/>
        <v>35.093320235756387</v>
      </c>
      <c r="O2605" s="173">
        <f t="shared" si="299"/>
        <v>52.639980353634584</v>
      </c>
      <c r="P2605" s="173">
        <v>80</v>
      </c>
    </row>
    <row r="2606" spans="3:20" hidden="1" x14ac:dyDescent="0.35">
      <c r="F2606" s="366" t="s">
        <v>409</v>
      </c>
      <c r="G2606" s="371" t="s">
        <v>2016</v>
      </c>
      <c r="H2606" s="245">
        <v>128</v>
      </c>
      <c r="I2606" s="173">
        <f t="shared" si="296"/>
        <v>18.285714285714285</v>
      </c>
      <c r="J2606">
        <v>4072</v>
      </c>
      <c r="K2606" s="173">
        <v>3073</v>
      </c>
      <c r="L2606" s="173">
        <f t="shared" si="297"/>
        <v>13.799607072691551</v>
      </c>
      <c r="M2606" s="173">
        <f t="shared" si="298"/>
        <v>32.085321358405835</v>
      </c>
      <c r="O2606" s="173">
        <f t="shared" si="299"/>
        <v>48.127982037608753</v>
      </c>
      <c r="P2606" s="173">
        <v>65</v>
      </c>
    </row>
    <row r="2607" spans="3:20" hidden="1" x14ac:dyDescent="0.35">
      <c r="C2607" s="233" t="s">
        <v>1359</v>
      </c>
      <c r="G2607" s="527" t="s">
        <v>1990</v>
      </c>
      <c r="H2607" s="245">
        <v>85</v>
      </c>
      <c r="I2607" s="173">
        <f t="shared" si="296"/>
        <v>12.142857142857142</v>
      </c>
      <c r="J2607">
        <v>4072</v>
      </c>
      <c r="K2607" s="173">
        <v>3073</v>
      </c>
      <c r="L2607" s="173">
        <f t="shared" si="297"/>
        <v>9.163801571709234</v>
      </c>
      <c r="M2607" s="173">
        <f t="shared" si="298"/>
        <v>21.306658714566375</v>
      </c>
      <c r="O2607" s="173">
        <f t="shared" si="299"/>
        <v>31.959988071849562</v>
      </c>
      <c r="P2607" s="173">
        <v>55</v>
      </c>
    </row>
    <row r="2608" spans="3:20" hidden="1" x14ac:dyDescent="0.35">
      <c r="G2608" s="527" t="s">
        <v>1991</v>
      </c>
      <c r="H2608" s="245">
        <v>85</v>
      </c>
      <c r="I2608" s="173">
        <f t="shared" si="296"/>
        <v>12.142857142857142</v>
      </c>
      <c r="J2608">
        <v>4072</v>
      </c>
      <c r="K2608" s="173">
        <v>3073</v>
      </c>
      <c r="L2608" s="173">
        <f t="shared" si="297"/>
        <v>9.163801571709234</v>
      </c>
      <c r="M2608" s="173">
        <f t="shared" si="298"/>
        <v>21.306658714566375</v>
      </c>
      <c r="O2608" s="173">
        <f t="shared" si="299"/>
        <v>31.959988071849562</v>
      </c>
      <c r="P2608" s="173">
        <v>55</v>
      </c>
    </row>
    <row r="2609" spans="7:20" hidden="1" x14ac:dyDescent="0.35">
      <c r="G2609" s="527" t="s">
        <v>1991</v>
      </c>
      <c r="H2609" s="245">
        <v>85</v>
      </c>
      <c r="I2609" s="173">
        <f t="shared" si="296"/>
        <v>12.142857142857142</v>
      </c>
      <c r="J2609">
        <v>4072</v>
      </c>
      <c r="K2609" s="173">
        <v>3073</v>
      </c>
      <c r="L2609" s="173">
        <f t="shared" si="297"/>
        <v>9.163801571709234</v>
      </c>
      <c r="M2609" s="173">
        <f t="shared" si="298"/>
        <v>21.306658714566375</v>
      </c>
      <c r="O2609" s="173">
        <f t="shared" si="299"/>
        <v>31.959988071849562</v>
      </c>
      <c r="P2609" s="173">
        <v>55</v>
      </c>
    </row>
    <row r="2610" spans="7:20" hidden="1" x14ac:dyDescent="0.35">
      <c r="G2610" s="527" t="s">
        <v>1991</v>
      </c>
      <c r="H2610" s="245">
        <v>85</v>
      </c>
      <c r="I2610" s="173">
        <f t="shared" si="296"/>
        <v>12.142857142857142</v>
      </c>
      <c r="J2610">
        <v>4072</v>
      </c>
      <c r="K2610" s="173">
        <v>3073</v>
      </c>
      <c r="L2610" s="173">
        <f t="shared" si="297"/>
        <v>9.163801571709234</v>
      </c>
      <c r="M2610" s="173">
        <f t="shared" si="298"/>
        <v>21.306658714566375</v>
      </c>
      <c r="O2610" s="173">
        <f t="shared" si="299"/>
        <v>31.959988071849562</v>
      </c>
      <c r="P2610" s="173">
        <v>55</v>
      </c>
    </row>
    <row r="2611" spans="7:20" hidden="1" x14ac:dyDescent="0.35">
      <c r="G2611" s="527" t="s">
        <v>1992</v>
      </c>
      <c r="H2611" s="245">
        <v>85</v>
      </c>
      <c r="I2611" s="173">
        <f t="shared" si="296"/>
        <v>12.142857142857142</v>
      </c>
      <c r="J2611">
        <v>4072</v>
      </c>
      <c r="K2611" s="173">
        <v>3073</v>
      </c>
      <c r="L2611" s="173">
        <f t="shared" si="297"/>
        <v>9.163801571709234</v>
      </c>
      <c r="M2611" s="173">
        <f t="shared" si="298"/>
        <v>21.306658714566375</v>
      </c>
      <c r="O2611" s="173">
        <f t="shared" si="299"/>
        <v>31.959988071849562</v>
      </c>
      <c r="P2611" s="173">
        <v>55</v>
      </c>
    </row>
    <row r="2612" spans="7:20" hidden="1" x14ac:dyDescent="0.35">
      <c r="G2612" s="527" t="s">
        <v>1993</v>
      </c>
      <c r="H2612" s="245">
        <v>85</v>
      </c>
      <c r="I2612" s="173">
        <f t="shared" si="296"/>
        <v>12.142857142857142</v>
      </c>
      <c r="J2612">
        <v>4072</v>
      </c>
      <c r="K2612" s="173">
        <v>3073</v>
      </c>
      <c r="L2612" s="173">
        <f t="shared" si="297"/>
        <v>9.163801571709234</v>
      </c>
      <c r="M2612" s="173">
        <f t="shared" si="298"/>
        <v>21.306658714566375</v>
      </c>
      <c r="O2612" s="173">
        <f t="shared" si="299"/>
        <v>31.959988071849562</v>
      </c>
      <c r="P2612" s="173">
        <v>55</v>
      </c>
    </row>
    <row r="2613" spans="7:20" hidden="1" x14ac:dyDescent="0.35">
      <c r="G2613" s="527" t="s">
        <v>1993</v>
      </c>
      <c r="H2613" s="245">
        <v>85</v>
      </c>
      <c r="I2613" s="173">
        <f t="shared" si="296"/>
        <v>12.142857142857142</v>
      </c>
      <c r="J2613">
        <v>4072</v>
      </c>
      <c r="K2613" s="173">
        <v>3073</v>
      </c>
      <c r="L2613" s="173">
        <f t="shared" si="297"/>
        <v>9.163801571709234</v>
      </c>
      <c r="M2613" s="173">
        <f t="shared" si="298"/>
        <v>21.306658714566375</v>
      </c>
      <c r="O2613" s="173">
        <f t="shared" si="299"/>
        <v>31.959988071849562</v>
      </c>
      <c r="P2613" s="173">
        <v>55</v>
      </c>
    </row>
    <row r="2614" spans="7:20" hidden="1" x14ac:dyDescent="0.35">
      <c r="G2614" s="371" t="s">
        <v>1994</v>
      </c>
      <c r="H2614" s="371">
        <v>85</v>
      </c>
      <c r="I2614" s="176">
        <f t="shared" si="296"/>
        <v>12.142857142857142</v>
      </c>
      <c r="J2614" s="12">
        <v>4072</v>
      </c>
      <c r="K2614" s="176">
        <v>3073</v>
      </c>
      <c r="L2614" s="176">
        <f t="shared" si="297"/>
        <v>9.163801571709234</v>
      </c>
      <c r="M2614" s="176">
        <f t="shared" si="298"/>
        <v>21.306658714566375</v>
      </c>
      <c r="N2614" s="12"/>
      <c r="O2614" s="176">
        <f t="shared" si="299"/>
        <v>31.959988071849562</v>
      </c>
      <c r="P2614" s="176">
        <v>55</v>
      </c>
      <c r="S2614" t="s">
        <v>1459</v>
      </c>
      <c r="T2614" s="6">
        <v>45987</v>
      </c>
    </row>
    <row r="2615" spans="7:20" hidden="1" x14ac:dyDescent="0.35">
      <c r="G2615" s="527" t="s">
        <v>1994</v>
      </c>
      <c r="H2615" s="245">
        <v>85</v>
      </c>
      <c r="I2615" s="173">
        <f t="shared" ref="I2615:I2637" si="300">+H2615/7</f>
        <v>12.142857142857142</v>
      </c>
      <c r="J2615">
        <v>4072</v>
      </c>
      <c r="K2615" s="173">
        <v>3073</v>
      </c>
      <c r="L2615" s="173">
        <f t="shared" ref="L2615:L2637" si="301">+I2615/J2615*K2615</f>
        <v>9.163801571709234</v>
      </c>
      <c r="M2615" s="173">
        <f t="shared" ref="M2615:M2637" si="302">+I2615+L2615</f>
        <v>21.306658714566375</v>
      </c>
      <c r="O2615" s="173">
        <f t="shared" ref="O2615:O2637" si="303">+M2615*1.5</f>
        <v>31.959988071849562</v>
      </c>
      <c r="P2615" s="173">
        <v>55</v>
      </c>
    </row>
    <row r="2616" spans="7:20" hidden="1" x14ac:dyDescent="0.35">
      <c r="G2616" s="527" t="s">
        <v>1994</v>
      </c>
      <c r="H2616" s="245">
        <v>85</v>
      </c>
      <c r="I2616" s="173">
        <f t="shared" si="300"/>
        <v>12.142857142857142</v>
      </c>
      <c r="J2616">
        <v>4072</v>
      </c>
      <c r="K2616" s="173">
        <v>3073</v>
      </c>
      <c r="L2616" s="173">
        <f t="shared" si="301"/>
        <v>9.163801571709234</v>
      </c>
      <c r="M2616" s="173">
        <f t="shared" si="302"/>
        <v>21.306658714566375</v>
      </c>
      <c r="O2616" s="173">
        <f t="shared" si="303"/>
        <v>31.959988071849562</v>
      </c>
      <c r="P2616" s="173">
        <v>55</v>
      </c>
    </row>
    <row r="2617" spans="7:20" hidden="1" x14ac:dyDescent="0.35">
      <c r="G2617" s="527" t="s">
        <v>1994</v>
      </c>
      <c r="H2617" s="245">
        <v>85</v>
      </c>
      <c r="I2617" s="173">
        <f t="shared" si="300"/>
        <v>12.142857142857142</v>
      </c>
      <c r="J2617">
        <v>4072</v>
      </c>
      <c r="K2617" s="173">
        <v>3073</v>
      </c>
      <c r="L2617" s="173">
        <f t="shared" si="301"/>
        <v>9.163801571709234</v>
      </c>
      <c r="M2617" s="173">
        <f t="shared" si="302"/>
        <v>21.306658714566375</v>
      </c>
      <c r="O2617" s="173">
        <f t="shared" si="303"/>
        <v>31.959988071849562</v>
      </c>
      <c r="P2617" s="173">
        <v>55</v>
      </c>
    </row>
    <row r="2618" spans="7:20" hidden="1" x14ac:dyDescent="0.35">
      <c r="G2618" s="527" t="s">
        <v>1994</v>
      </c>
      <c r="H2618" s="245">
        <v>85</v>
      </c>
      <c r="I2618" s="173">
        <f t="shared" si="300"/>
        <v>12.142857142857142</v>
      </c>
      <c r="J2618">
        <v>4072</v>
      </c>
      <c r="K2618" s="173">
        <v>3073</v>
      </c>
      <c r="L2618" s="173">
        <f t="shared" si="301"/>
        <v>9.163801571709234</v>
      </c>
      <c r="M2618" s="173">
        <f t="shared" si="302"/>
        <v>21.306658714566375</v>
      </c>
      <c r="O2618" s="173">
        <f t="shared" si="303"/>
        <v>31.959988071849562</v>
      </c>
      <c r="P2618" s="173">
        <v>55</v>
      </c>
    </row>
    <row r="2619" spans="7:20" hidden="1" x14ac:dyDescent="0.35">
      <c r="G2619" s="527" t="s">
        <v>1994</v>
      </c>
      <c r="H2619" s="245">
        <v>85</v>
      </c>
      <c r="I2619" s="173">
        <f t="shared" si="300"/>
        <v>12.142857142857142</v>
      </c>
      <c r="J2619">
        <v>4072</v>
      </c>
      <c r="K2619" s="173">
        <v>3073</v>
      </c>
      <c r="L2619" s="173">
        <f t="shared" si="301"/>
        <v>9.163801571709234</v>
      </c>
      <c r="M2619" s="173">
        <f t="shared" si="302"/>
        <v>21.306658714566375</v>
      </c>
      <c r="O2619" s="173">
        <f t="shared" si="303"/>
        <v>31.959988071849562</v>
      </c>
      <c r="P2619" s="173">
        <v>55</v>
      </c>
    </row>
    <row r="2620" spans="7:20" hidden="1" x14ac:dyDescent="0.35">
      <c r="G2620" s="527" t="s">
        <v>1994</v>
      </c>
      <c r="H2620" s="245">
        <v>85</v>
      </c>
      <c r="I2620" s="173">
        <f t="shared" si="300"/>
        <v>12.142857142857142</v>
      </c>
      <c r="J2620">
        <v>4072</v>
      </c>
      <c r="K2620" s="173">
        <v>3073</v>
      </c>
      <c r="L2620" s="173">
        <f t="shared" si="301"/>
        <v>9.163801571709234</v>
      </c>
      <c r="M2620" s="173">
        <f t="shared" si="302"/>
        <v>21.306658714566375</v>
      </c>
      <c r="O2620" s="173">
        <f t="shared" si="303"/>
        <v>31.959988071849562</v>
      </c>
      <c r="P2620" s="173">
        <v>55</v>
      </c>
    </row>
    <row r="2621" spans="7:20" hidden="1" x14ac:dyDescent="0.35">
      <c r="G2621" s="527" t="s">
        <v>2026</v>
      </c>
      <c r="H2621" s="245">
        <v>85</v>
      </c>
      <c r="I2621" s="173">
        <f t="shared" si="300"/>
        <v>12.142857142857142</v>
      </c>
      <c r="J2621">
        <v>4072</v>
      </c>
      <c r="K2621" s="173">
        <v>3073</v>
      </c>
      <c r="L2621" s="173">
        <f t="shared" si="301"/>
        <v>9.163801571709234</v>
      </c>
      <c r="M2621" s="173">
        <f t="shared" si="302"/>
        <v>21.306658714566375</v>
      </c>
      <c r="O2621" s="173">
        <f t="shared" si="303"/>
        <v>31.959988071849562</v>
      </c>
      <c r="P2621" s="173">
        <v>55</v>
      </c>
    </row>
    <row r="2622" spans="7:20" hidden="1" x14ac:dyDescent="0.35">
      <c r="G2622" s="527" t="s">
        <v>2025</v>
      </c>
      <c r="H2622" s="245">
        <v>85</v>
      </c>
      <c r="I2622" s="173">
        <f t="shared" si="300"/>
        <v>12.142857142857142</v>
      </c>
      <c r="J2622">
        <v>4072</v>
      </c>
      <c r="K2622" s="173">
        <v>3073</v>
      </c>
      <c r="L2622" s="173">
        <f t="shared" si="301"/>
        <v>9.163801571709234</v>
      </c>
      <c r="M2622" s="173">
        <f t="shared" si="302"/>
        <v>21.306658714566375</v>
      </c>
      <c r="O2622" s="173">
        <f t="shared" si="303"/>
        <v>31.959988071849562</v>
      </c>
      <c r="P2622" s="173">
        <v>55</v>
      </c>
    </row>
    <row r="2623" spans="7:20" hidden="1" x14ac:dyDescent="0.35">
      <c r="G2623" s="527" t="s">
        <v>2025</v>
      </c>
      <c r="H2623" s="245">
        <v>85</v>
      </c>
      <c r="I2623" s="173">
        <f t="shared" si="300"/>
        <v>12.142857142857142</v>
      </c>
      <c r="J2623">
        <v>4072</v>
      </c>
      <c r="K2623" s="173">
        <v>3073</v>
      </c>
      <c r="L2623" s="173">
        <f t="shared" si="301"/>
        <v>9.163801571709234</v>
      </c>
      <c r="M2623" s="173">
        <f t="shared" si="302"/>
        <v>21.306658714566375</v>
      </c>
      <c r="O2623" s="173">
        <f t="shared" si="303"/>
        <v>31.959988071849562</v>
      </c>
      <c r="P2623" s="173">
        <v>55</v>
      </c>
    </row>
    <row r="2624" spans="7:20" hidden="1" x14ac:dyDescent="0.35">
      <c r="G2624" s="527" t="s">
        <v>2025</v>
      </c>
      <c r="H2624" s="245">
        <v>85</v>
      </c>
      <c r="I2624" s="173">
        <f t="shared" si="300"/>
        <v>12.142857142857142</v>
      </c>
      <c r="J2624">
        <v>4072</v>
      </c>
      <c r="K2624" s="173">
        <v>3073</v>
      </c>
      <c r="L2624" s="173">
        <f t="shared" si="301"/>
        <v>9.163801571709234</v>
      </c>
      <c r="M2624" s="173">
        <f t="shared" si="302"/>
        <v>21.306658714566375</v>
      </c>
      <c r="O2624" s="173">
        <f t="shared" si="303"/>
        <v>31.959988071849562</v>
      </c>
      <c r="P2624" s="173">
        <v>55</v>
      </c>
    </row>
    <row r="2625" spans="4:16" hidden="1" x14ac:dyDescent="0.35">
      <c r="G2625" s="527" t="s">
        <v>2052</v>
      </c>
      <c r="H2625" s="245">
        <v>85</v>
      </c>
      <c r="I2625" s="173">
        <f t="shared" si="300"/>
        <v>12.142857142857142</v>
      </c>
      <c r="J2625">
        <v>4072</v>
      </c>
      <c r="K2625" s="173">
        <v>3073</v>
      </c>
      <c r="L2625" s="173">
        <f t="shared" si="301"/>
        <v>9.163801571709234</v>
      </c>
      <c r="M2625" s="173">
        <f t="shared" si="302"/>
        <v>21.306658714566375</v>
      </c>
      <c r="O2625" s="173">
        <f t="shared" si="303"/>
        <v>31.959988071849562</v>
      </c>
      <c r="P2625" s="173">
        <v>55</v>
      </c>
    </row>
    <row r="2626" spans="4:16" hidden="1" x14ac:dyDescent="0.35">
      <c r="G2626" s="527" t="s">
        <v>2052</v>
      </c>
      <c r="H2626" s="245">
        <v>85</v>
      </c>
      <c r="I2626" s="173">
        <f t="shared" si="300"/>
        <v>12.142857142857142</v>
      </c>
      <c r="J2626">
        <v>4072</v>
      </c>
      <c r="K2626" s="173">
        <v>3073</v>
      </c>
      <c r="L2626" s="173">
        <f t="shared" si="301"/>
        <v>9.163801571709234</v>
      </c>
      <c r="M2626" s="173">
        <f t="shared" si="302"/>
        <v>21.306658714566375</v>
      </c>
      <c r="O2626" s="173">
        <f t="shared" si="303"/>
        <v>31.959988071849562</v>
      </c>
      <c r="P2626" s="173">
        <v>55</v>
      </c>
    </row>
    <row r="2627" spans="4:16" hidden="1" x14ac:dyDescent="0.35">
      <c r="G2627" s="527" t="s">
        <v>2052</v>
      </c>
      <c r="H2627" s="245">
        <v>85</v>
      </c>
      <c r="I2627" s="173">
        <f t="shared" si="300"/>
        <v>12.142857142857142</v>
      </c>
      <c r="J2627">
        <v>4072</v>
      </c>
      <c r="K2627" s="173">
        <v>3073</v>
      </c>
      <c r="L2627" s="173">
        <f t="shared" si="301"/>
        <v>9.163801571709234</v>
      </c>
      <c r="M2627" s="173">
        <f t="shared" si="302"/>
        <v>21.306658714566375</v>
      </c>
      <c r="O2627" s="173">
        <f t="shared" si="303"/>
        <v>31.959988071849562</v>
      </c>
      <c r="P2627" s="173">
        <v>55</v>
      </c>
    </row>
    <row r="2628" spans="4:16" hidden="1" x14ac:dyDescent="0.35">
      <c r="G2628" s="527" t="s">
        <v>2052</v>
      </c>
      <c r="H2628" s="245">
        <v>85</v>
      </c>
      <c r="I2628" s="173">
        <f t="shared" si="300"/>
        <v>12.142857142857142</v>
      </c>
      <c r="J2628">
        <v>4072</v>
      </c>
      <c r="K2628" s="173">
        <v>3073</v>
      </c>
      <c r="L2628" s="173">
        <f t="shared" si="301"/>
        <v>9.163801571709234</v>
      </c>
      <c r="M2628" s="173">
        <f t="shared" si="302"/>
        <v>21.306658714566375</v>
      </c>
      <c r="O2628" s="173">
        <f t="shared" si="303"/>
        <v>31.959988071849562</v>
      </c>
      <c r="P2628" s="173">
        <v>55</v>
      </c>
    </row>
    <row r="2629" spans="4:16" hidden="1" x14ac:dyDescent="0.35">
      <c r="G2629" s="527" t="s">
        <v>2023</v>
      </c>
      <c r="H2629" s="245">
        <v>85</v>
      </c>
      <c r="I2629" s="173">
        <f t="shared" si="300"/>
        <v>12.142857142857142</v>
      </c>
      <c r="J2629">
        <v>4072</v>
      </c>
      <c r="K2629" s="173">
        <v>3073</v>
      </c>
      <c r="L2629" s="173">
        <f t="shared" si="301"/>
        <v>9.163801571709234</v>
      </c>
      <c r="M2629" s="173">
        <f t="shared" si="302"/>
        <v>21.306658714566375</v>
      </c>
      <c r="O2629" s="173">
        <f t="shared" si="303"/>
        <v>31.959988071849562</v>
      </c>
      <c r="P2629" s="173">
        <v>55</v>
      </c>
    </row>
    <row r="2630" spans="4:16" hidden="1" x14ac:dyDescent="0.35">
      <c r="G2630" s="527" t="s">
        <v>2023</v>
      </c>
      <c r="H2630" s="245">
        <v>85</v>
      </c>
      <c r="I2630" s="173">
        <f t="shared" si="300"/>
        <v>12.142857142857142</v>
      </c>
      <c r="J2630">
        <v>4072</v>
      </c>
      <c r="K2630" s="173">
        <v>3073</v>
      </c>
      <c r="L2630" s="173">
        <f t="shared" si="301"/>
        <v>9.163801571709234</v>
      </c>
      <c r="M2630" s="173">
        <f t="shared" si="302"/>
        <v>21.306658714566375</v>
      </c>
      <c r="O2630" s="173">
        <f t="shared" si="303"/>
        <v>31.959988071849562</v>
      </c>
      <c r="P2630" s="173">
        <v>55</v>
      </c>
    </row>
    <row r="2631" spans="4:16" hidden="1" x14ac:dyDescent="0.35">
      <c r="G2631" s="527" t="s">
        <v>2024</v>
      </c>
      <c r="H2631" s="245">
        <v>85</v>
      </c>
      <c r="I2631" s="173">
        <f t="shared" si="300"/>
        <v>12.142857142857142</v>
      </c>
      <c r="J2631">
        <v>4072</v>
      </c>
      <c r="K2631" s="173">
        <v>3073</v>
      </c>
      <c r="L2631" s="173">
        <f t="shared" si="301"/>
        <v>9.163801571709234</v>
      </c>
      <c r="M2631" s="173">
        <f t="shared" si="302"/>
        <v>21.306658714566375</v>
      </c>
      <c r="O2631" s="173">
        <f t="shared" si="303"/>
        <v>31.959988071849562</v>
      </c>
      <c r="P2631" s="173">
        <v>55</v>
      </c>
    </row>
    <row r="2632" spans="4:16" hidden="1" x14ac:dyDescent="0.35">
      <c r="G2632" s="527" t="s">
        <v>1995</v>
      </c>
      <c r="H2632" s="245">
        <v>85</v>
      </c>
      <c r="I2632" s="173">
        <f t="shared" si="300"/>
        <v>12.142857142857142</v>
      </c>
      <c r="J2632">
        <v>4072</v>
      </c>
      <c r="K2632" s="173">
        <v>3073</v>
      </c>
      <c r="L2632" s="173">
        <f t="shared" si="301"/>
        <v>9.163801571709234</v>
      </c>
      <c r="M2632" s="173">
        <f t="shared" si="302"/>
        <v>21.306658714566375</v>
      </c>
      <c r="O2632" s="173">
        <f t="shared" si="303"/>
        <v>31.959988071849562</v>
      </c>
      <c r="P2632" s="173">
        <v>55</v>
      </c>
    </row>
    <row r="2633" spans="4:16" hidden="1" x14ac:dyDescent="0.35">
      <c r="G2633" s="527" t="s">
        <v>1996</v>
      </c>
      <c r="H2633" s="245">
        <v>85</v>
      </c>
      <c r="I2633" s="173">
        <f t="shared" si="300"/>
        <v>12.142857142857142</v>
      </c>
      <c r="J2633">
        <v>4072</v>
      </c>
      <c r="K2633" s="173">
        <v>3073</v>
      </c>
      <c r="L2633" s="173">
        <f t="shared" si="301"/>
        <v>9.163801571709234</v>
      </c>
      <c r="M2633" s="173">
        <f t="shared" si="302"/>
        <v>21.306658714566375</v>
      </c>
      <c r="O2633" s="173">
        <f t="shared" si="303"/>
        <v>31.959988071849562</v>
      </c>
      <c r="P2633" s="173">
        <v>55</v>
      </c>
    </row>
    <row r="2634" spans="4:16" hidden="1" x14ac:dyDescent="0.35">
      <c r="G2634" s="527" t="s">
        <v>1997</v>
      </c>
      <c r="H2634" s="245">
        <v>85</v>
      </c>
      <c r="I2634" s="173">
        <f t="shared" si="300"/>
        <v>12.142857142857142</v>
      </c>
      <c r="J2634">
        <v>4072</v>
      </c>
      <c r="K2634" s="173">
        <v>3073</v>
      </c>
      <c r="L2634" s="173">
        <f t="shared" si="301"/>
        <v>9.163801571709234</v>
      </c>
      <c r="M2634" s="173">
        <f t="shared" si="302"/>
        <v>21.306658714566375</v>
      </c>
      <c r="O2634" s="173">
        <f t="shared" si="303"/>
        <v>31.959988071849562</v>
      </c>
      <c r="P2634" s="173">
        <v>55</v>
      </c>
    </row>
    <row r="2635" spans="4:16" hidden="1" x14ac:dyDescent="0.35">
      <c r="G2635" s="527" t="s">
        <v>2053</v>
      </c>
      <c r="H2635" s="245">
        <v>85</v>
      </c>
      <c r="I2635" s="173">
        <f t="shared" si="300"/>
        <v>12.142857142857142</v>
      </c>
      <c r="J2635">
        <v>4072</v>
      </c>
      <c r="K2635" s="173">
        <v>3073</v>
      </c>
      <c r="L2635" s="173">
        <f t="shared" si="301"/>
        <v>9.163801571709234</v>
      </c>
      <c r="M2635" s="173">
        <f t="shared" si="302"/>
        <v>21.306658714566375</v>
      </c>
      <c r="O2635" s="173">
        <f t="shared" si="303"/>
        <v>31.959988071849562</v>
      </c>
      <c r="P2635" s="173">
        <v>55</v>
      </c>
    </row>
    <row r="2636" spans="4:16" hidden="1" x14ac:dyDescent="0.35">
      <c r="G2636" s="527" t="s">
        <v>2053</v>
      </c>
      <c r="H2636" s="245">
        <v>85</v>
      </c>
      <c r="I2636" s="173">
        <f t="shared" si="300"/>
        <v>12.142857142857142</v>
      </c>
      <c r="J2636">
        <v>4072</v>
      </c>
      <c r="K2636" s="173">
        <v>3073</v>
      </c>
      <c r="L2636" s="173">
        <f t="shared" si="301"/>
        <v>9.163801571709234</v>
      </c>
      <c r="M2636" s="173">
        <f t="shared" si="302"/>
        <v>21.306658714566375</v>
      </c>
      <c r="O2636" s="173">
        <f t="shared" si="303"/>
        <v>31.959988071849562</v>
      </c>
      <c r="P2636" s="173">
        <v>55</v>
      </c>
    </row>
    <row r="2637" spans="4:16" hidden="1" x14ac:dyDescent="0.35">
      <c r="G2637" s="435" t="s">
        <v>1984</v>
      </c>
      <c r="H2637" s="435">
        <v>85</v>
      </c>
      <c r="I2637" s="344">
        <f t="shared" si="300"/>
        <v>12.142857142857142</v>
      </c>
      <c r="J2637" s="13">
        <v>4072</v>
      </c>
      <c r="K2637" s="344">
        <v>3073</v>
      </c>
      <c r="L2637" s="344">
        <f t="shared" si="301"/>
        <v>9.163801571709234</v>
      </c>
      <c r="M2637" s="344">
        <f t="shared" si="302"/>
        <v>21.306658714566375</v>
      </c>
      <c r="N2637" s="13"/>
      <c r="O2637" s="344">
        <f t="shared" si="303"/>
        <v>31.959988071849562</v>
      </c>
      <c r="P2637" s="344">
        <v>55</v>
      </c>
    </row>
    <row r="2638" spans="4:16" hidden="1" x14ac:dyDescent="0.35"/>
    <row r="2639" spans="4:16" hidden="1" x14ac:dyDescent="0.35">
      <c r="D2639" s="233" t="s">
        <v>1895</v>
      </c>
    </row>
    <row r="2640" spans="4:16" hidden="1" x14ac:dyDescent="0.35">
      <c r="G2640" s="371" t="s">
        <v>1904</v>
      </c>
      <c r="H2640" s="245">
        <v>8.4</v>
      </c>
      <c r="I2640" s="173">
        <f t="shared" ref="I2640:I2674" si="304">+H2640/7</f>
        <v>1.2</v>
      </c>
      <c r="J2640">
        <v>4072</v>
      </c>
      <c r="K2640" s="173">
        <v>3073</v>
      </c>
      <c r="L2640" s="173">
        <f t="shared" ref="L2640:L2674" si="305">+I2640/J2640*K2640</f>
        <v>0.90559921414538314</v>
      </c>
      <c r="M2640" s="173">
        <f t="shared" ref="M2640:M2674" si="306">+I2640+L2640</f>
        <v>2.105599214145383</v>
      </c>
      <c r="O2640" s="173">
        <f t="shared" ref="O2640:O2674" si="307">+M2640*1.5</f>
        <v>3.1583988212180745</v>
      </c>
      <c r="P2640" s="173">
        <v>5</v>
      </c>
    </row>
    <row r="2641" spans="7:16" hidden="1" x14ac:dyDescent="0.35">
      <c r="G2641" s="371" t="s">
        <v>1904</v>
      </c>
      <c r="H2641" s="245">
        <v>8.4</v>
      </c>
      <c r="I2641" s="173">
        <f t="shared" si="304"/>
        <v>1.2</v>
      </c>
      <c r="J2641">
        <v>4072</v>
      </c>
      <c r="K2641" s="173">
        <v>3073</v>
      </c>
      <c r="L2641" s="173">
        <f t="shared" si="305"/>
        <v>0.90559921414538314</v>
      </c>
      <c r="M2641" s="173">
        <f t="shared" si="306"/>
        <v>2.105599214145383</v>
      </c>
      <c r="O2641" s="173">
        <f t="shared" si="307"/>
        <v>3.1583988212180745</v>
      </c>
      <c r="P2641" s="173">
        <v>5</v>
      </c>
    </row>
    <row r="2642" spans="7:16" hidden="1" x14ac:dyDescent="0.35">
      <c r="G2642" s="371" t="s">
        <v>1904</v>
      </c>
      <c r="H2642" s="245">
        <v>8.4</v>
      </c>
      <c r="I2642" s="173">
        <f t="shared" si="304"/>
        <v>1.2</v>
      </c>
      <c r="J2642">
        <v>4072</v>
      </c>
      <c r="K2642" s="173">
        <v>3073</v>
      </c>
      <c r="L2642" s="173">
        <f t="shared" si="305"/>
        <v>0.90559921414538314</v>
      </c>
      <c r="M2642" s="173">
        <f t="shared" si="306"/>
        <v>2.105599214145383</v>
      </c>
      <c r="O2642" s="173">
        <f t="shared" si="307"/>
        <v>3.1583988212180745</v>
      </c>
      <c r="P2642" s="173">
        <v>5</v>
      </c>
    </row>
    <row r="2643" spans="7:16" hidden="1" x14ac:dyDescent="0.35">
      <c r="G2643" s="371" t="s">
        <v>1904</v>
      </c>
      <c r="H2643" s="245">
        <v>8.4</v>
      </c>
      <c r="I2643" s="173">
        <f t="shared" si="304"/>
        <v>1.2</v>
      </c>
      <c r="J2643">
        <v>4072</v>
      </c>
      <c r="K2643" s="173">
        <v>3073</v>
      </c>
      <c r="L2643" s="173">
        <f t="shared" si="305"/>
        <v>0.90559921414538314</v>
      </c>
      <c r="M2643" s="173">
        <f t="shared" si="306"/>
        <v>2.105599214145383</v>
      </c>
      <c r="O2643" s="173">
        <f t="shared" si="307"/>
        <v>3.1583988212180745</v>
      </c>
      <c r="P2643" s="173">
        <v>5</v>
      </c>
    </row>
    <row r="2644" spans="7:16" hidden="1" x14ac:dyDescent="0.35">
      <c r="G2644" s="371" t="s">
        <v>1904</v>
      </c>
      <c r="H2644" s="245">
        <v>8.4</v>
      </c>
      <c r="I2644" s="173">
        <f t="shared" si="304"/>
        <v>1.2</v>
      </c>
      <c r="J2644">
        <v>4072</v>
      </c>
      <c r="K2644" s="173">
        <v>3073</v>
      </c>
      <c r="L2644" s="173">
        <f t="shared" si="305"/>
        <v>0.90559921414538314</v>
      </c>
      <c r="M2644" s="173">
        <f t="shared" si="306"/>
        <v>2.105599214145383</v>
      </c>
      <c r="O2644" s="173">
        <f t="shared" si="307"/>
        <v>3.1583988212180745</v>
      </c>
      <c r="P2644" s="173">
        <v>5</v>
      </c>
    </row>
    <row r="2645" spans="7:16" hidden="1" x14ac:dyDescent="0.35">
      <c r="G2645" s="371" t="s">
        <v>1904</v>
      </c>
      <c r="H2645" s="245">
        <v>8.4</v>
      </c>
      <c r="I2645" s="173">
        <f t="shared" si="304"/>
        <v>1.2</v>
      </c>
      <c r="J2645">
        <v>4072</v>
      </c>
      <c r="K2645" s="173">
        <v>3073</v>
      </c>
      <c r="L2645" s="173">
        <f t="shared" si="305"/>
        <v>0.90559921414538314</v>
      </c>
      <c r="M2645" s="173">
        <f t="shared" si="306"/>
        <v>2.105599214145383</v>
      </c>
      <c r="O2645" s="173">
        <f t="shared" si="307"/>
        <v>3.1583988212180745</v>
      </c>
      <c r="P2645" s="173">
        <v>5</v>
      </c>
    </row>
    <row r="2646" spans="7:16" hidden="1" x14ac:dyDescent="0.35">
      <c r="G2646" s="371" t="s">
        <v>1904</v>
      </c>
      <c r="H2646" s="245">
        <v>8.4</v>
      </c>
      <c r="I2646" s="173">
        <f t="shared" si="304"/>
        <v>1.2</v>
      </c>
      <c r="J2646">
        <v>4072</v>
      </c>
      <c r="K2646" s="173">
        <v>3073</v>
      </c>
      <c r="L2646" s="173">
        <f t="shared" si="305"/>
        <v>0.90559921414538314</v>
      </c>
      <c r="M2646" s="173">
        <f t="shared" si="306"/>
        <v>2.105599214145383</v>
      </c>
      <c r="O2646" s="173">
        <f t="shared" si="307"/>
        <v>3.1583988212180745</v>
      </c>
      <c r="P2646" s="173">
        <v>5</v>
      </c>
    </row>
    <row r="2647" spans="7:16" hidden="1" x14ac:dyDescent="0.35">
      <c r="G2647" s="371" t="s">
        <v>1904</v>
      </c>
      <c r="H2647" s="245">
        <v>8.4</v>
      </c>
      <c r="I2647" s="173">
        <f t="shared" si="304"/>
        <v>1.2</v>
      </c>
      <c r="J2647">
        <v>4072</v>
      </c>
      <c r="K2647" s="173">
        <v>3073</v>
      </c>
      <c r="L2647" s="173">
        <f t="shared" si="305"/>
        <v>0.90559921414538314</v>
      </c>
      <c r="M2647" s="173">
        <f t="shared" si="306"/>
        <v>2.105599214145383</v>
      </c>
      <c r="O2647" s="173">
        <f t="shared" si="307"/>
        <v>3.1583988212180745</v>
      </c>
      <c r="P2647" s="173">
        <v>5</v>
      </c>
    </row>
    <row r="2648" spans="7:16" hidden="1" x14ac:dyDescent="0.35">
      <c r="G2648" s="371" t="s">
        <v>1904</v>
      </c>
      <c r="H2648" s="245">
        <v>8.4</v>
      </c>
      <c r="I2648" s="173">
        <f t="shared" si="304"/>
        <v>1.2</v>
      </c>
      <c r="J2648">
        <v>4072</v>
      </c>
      <c r="K2648" s="173">
        <v>3073</v>
      </c>
      <c r="L2648" s="173">
        <f t="shared" si="305"/>
        <v>0.90559921414538314</v>
      </c>
      <c r="M2648" s="173">
        <f t="shared" si="306"/>
        <v>2.105599214145383</v>
      </c>
      <c r="O2648" s="173">
        <f t="shared" si="307"/>
        <v>3.1583988212180745</v>
      </c>
      <c r="P2648" s="173">
        <v>5</v>
      </c>
    </row>
    <row r="2649" spans="7:16" hidden="1" x14ac:dyDescent="0.35">
      <c r="G2649" s="371" t="s">
        <v>1904</v>
      </c>
      <c r="H2649" s="245">
        <v>8.4</v>
      </c>
      <c r="I2649" s="173">
        <f t="shared" si="304"/>
        <v>1.2</v>
      </c>
      <c r="J2649">
        <v>4072</v>
      </c>
      <c r="K2649" s="173">
        <v>3073</v>
      </c>
      <c r="L2649" s="173">
        <f t="shared" si="305"/>
        <v>0.90559921414538314</v>
      </c>
      <c r="M2649" s="173">
        <f t="shared" si="306"/>
        <v>2.105599214145383</v>
      </c>
      <c r="O2649" s="173">
        <f t="shared" si="307"/>
        <v>3.1583988212180745</v>
      </c>
      <c r="P2649" s="173">
        <v>5</v>
      </c>
    </row>
    <row r="2650" spans="7:16" hidden="1" x14ac:dyDescent="0.35">
      <c r="G2650" s="371" t="s">
        <v>1904</v>
      </c>
      <c r="H2650" s="245">
        <v>8.4</v>
      </c>
      <c r="I2650" s="173">
        <f t="shared" si="304"/>
        <v>1.2</v>
      </c>
      <c r="J2650">
        <v>4072</v>
      </c>
      <c r="K2650" s="173">
        <v>3073</v>
      </c>
      <c r="L2650" s="173">
        <f t="shared" si="305"/>
        <v>0.90559921414538314</v>
      </c>
      <c r="M2650" s="173">
        <f t="shared" si="306"/>
        <v>2.105599214145383</v>
      </c>
      <c r="O2650" s="173">
        <f t="shared" si="307"/>
        <v>3.1583988212180745</v>
      </c>
      <c r="P2650" s="173">
        <v>5</v>
      </c>
    </row>
    <row r="2651" spans="7:16" hidden="1" x14ac:dyDescent="0.35">
      <c r="G2651" s="371" t="s">
        <v>1904</v>
      </c>
      <c r="H2651" s="245">
        <v>8.4</v>
      </c>
      <c r="I2651" s="173">
        <f t="shared" si="304"/>
        <v>1.2</v>
      </c>
      <c r="J2651">
        <v>4072</v>
      </c>
      <c r="K2651" s="173">
        <v>3073</v>
      </c>
      <c r="L2651" s="173">
        <f t="shared" si="305"/>
        <v>0.90559921414538314</v>
      </c>
      <c r="M2651" s="173">
        <f t="shared" si="306"/>
        <v>2.105599214145383</v>
      </c>
      <c r="O2651" s="173">
        <f t="shared" si="307"/>
        <v>3.1583988212180745</v>
      </c>
      <c r="P2651" s="173">
        <v>5</v>
      </c>
    </row>
    <row r="2652" spans="7:16" hidden="1" x14ac:dyDescent="0.35">
      <c r="G2652" s="371" t="s">
        <v>1904</v>
      </c>
      <c r="H2652" s="245">
        <v>8.4</v>
      </c>
      <c r="I2652" s="173">
        <f t="shared" si="304"/>
        <v>1.2</v>
      </c>
      <c r="J2652">
        <v>4072</v>
      </c>
      <c r="K2652" s="173">
        <v>3073</v>
      </c>
      <c r="L2652" s="173">
        <f t="shared" si="305"/>
        <v>0.90559921414538314</v>
      </c>
      <c r="M2652" s="173">
        <f t="shared" si="306"/>
        <v>2.105599214145383</v>
      </c>
      <c r="O2652" s="173">
        <f t="shared" si="307"/>
        <v>3.1583988212180745</v>
      </c>
      <c r="P2652" s="173">
        <v>5</v>
      </c>
    </row>
    <row r="2653" spans="7:16" hidden="1" x14ac:dyDescent="0.35">
      <c r="G2653" s="371" t="s">
        <v>1904</v>
      </c>
      <c r="H2653" s="245">
        <v>8.4</v>
      </c>
      <c r="I2653" s="173">
        <f t="shared" si="304"/>
        <v>1.2</v>
      </c>
      <c r="J2653">
        <v>4072</v>
      </c>
      <c r="K2653" s="173">
        <v>3073</v>
      </c>
      <c r="L2653" s="173">
        <f t="shared" si="305"/>
        <v>0.90559921414538314</v>
      </c>
      <c r="M2653" s="173">
        <f t="shared" si="306"/>
        <v>2.105599214145383</v>
      </c>
      <c r="O2653" s="173">
        <f t="shared" si="307"/>
        <v>3.1583988212180745</v>
      </c>
      <c r="P2653" s="173">
        <v>5</v>
      </c>
    </row>
    <row r="2654" spans="7:16" hidden="1" x14ac:dyDescent="0.35">
      <c r="G2654" s="371" t="s">
        <v>1904</v>
      </c>
      <c r="H2654" s="245">
        <v>8.4</v>
      </c>
      <c r="I2654" s="173">
        <f t="shared" si="304"/>
        <v>1.2</v>
      </c>
      <c r="J2654">
        <v>4072</v>
      </c>
      <c r="K2654" s="173">
        <v>3073</v>
      </c>
      <c r="L2654" s="173">
        <f t="shared" si="305"/>
        <v>0.90559921414538314</v>
      </c>
      <c r="M2654" s="173">
        <f t="shared" si="306"/>
        <v>2.105599214145383</v>
      </c>
      <c r="O2654" s="173">
        <f t="shared" si="307"/>
        <v>3.1583988212180745</v>
      </c>
      <c r="P2654" s="173">
        <v>5</v>
      </c>
    </row>
    <row r="2655" spans="7:16" hidden="1" x14ac:dyDescent="0.35">
      <c r="G2655" s="371" t="s">
        <v>1904</v>
      </c>
      <c r="H2655" s="245">
        <v>8.4</v>
      </c>
      <c r="I2655" s="173">
        <f t="shared" si="304"/>
        <v>1.2</v>
      </c>
      <c r="J2655">
        <v>4072</v>
      </c>
      <c r="K2655" s="173">
        <v>3073</v>
      </c>
      <c r="L2655" s="173">
        <f t="shared" si="305"/>
        <v>0.90559921414538314</v>
      </c>
      <c r="M2655" s="173">
        <f t="shared" si="306"/>
        <v>2.105599214145383</v>
      </c>
      <c r="O2655" s="173">
        <f t="shared" si="307"/>
        <v>3.1583988212180745</v>
      </c>
      <c r="P2655" s="173">
        <v>5</v>
      </c>
    </row>
    <row r="2656" spans="7:16" hidden="1" x14ac:dyDescent="0.35">
      <c r="G2656" s="371" t="s">
        <v>1904</v>
      </c>
      <c r="H2656" s="245">
        <v>8.4</v>
      </c>
      <c r="I2656" s="173">
        <f t="shared" si="304"/>
        <v>1.2</v>
      </c>
      <c r="J2656">
        <v>4072</v>
      </c>
      <c r="K2656" s="173">
        <v>3073</v>
      </c>
      <c r="L2656" s="173">
        <f t="shared" si="305"/>
        <v>0.90559921414538314</v>
      </c>
      <c r="M2656" s="173">
        <f t="shared" si="306"/>
        <v>2.105599214145383</v>
      </c>
      <c r="O2656" s="173">
        <f t="shared" si="307"/>
        <v>3.1583988212180745</v>
      </c>
      <c r="P2656" s="173">
        <v>5</v>
      </c>
    </row>
    <row r="2657" spans="7:16" hidden="1" x14ac:dyDescent="0.35">
      <c r="G2657" s="371" t="s">
        <v>1904</v>
      </c>
      <c r="H2657" s="245">
        <v>8.4</v>
      </c>
      <c r="I2657" s="173">
        <f t="shared" si="304"/>
        <v>1.2</v>
      </c>
      <c r="J2657">
        <v>4072</v>
      </c>
      <c r="K2657" s="173">
        <v>3073</v>
      </c>
      <c r="L2657" s="173">
        <f t="shared" si="305"/>
        <v>0.90559921414538314</v>
      </c>
      <c r="M2657" s="173">
        <f t="shared" si="306"/>
        <v>2.105599214145383</v>
      </c>
      <c r="O2657" s="173">
        <f t="shared" si="307"/>
        <v>3.1583988212180745</v>
      </c>
      <c r="P2657" s="173">
        <v>5</v>
      </c>
    </row>
    <row r="2658" spans="7:16" hidden="1" x14ac:dyDescent="0.35">
      <c r="G2658" s="371" t="s">
        <v>1904</v>
      </c>
      <c r="H2658" s="245">
        <v>8.4</v>
      </c>
      <c r="I2658" s="173">
        <f t="shared" si="304"/>
        <v>1.2</v>
      </c>
      <c r="J2658">
        <v>4072</v>
      </c>
      <c r="K2658" s="173">
        <v>3073</v>
      </c>
      <c r="L2658" s="173">
        <f t="shared" si="305"/>
        <v>0.90559921414538314</v>
      </c>
      <c r="M2658" s="173">
        <f t="shared" si="306"/>
        <v>2.105599214145383</v>
      </c>
      <c r="O2658" s="173">
        <f t="shared" si="307"/>
        <v>3.1583988212180745</v>
      </c>
      <c r="P2658" s="173">
        <v>5</v>
      </c>
    </row>
    <row r="2659" spans="7:16" hidden="1" x14ac:dyDescent="0.35">
      <c r="G2659" s="371" t="s">
        <v>1904</v>
      </c>
      <c r="H2659" s="245">
        <v>8.4</v>
      </c>
      <c r="I2659" s="173">
        <f t="shared" si="304"/>
        <v>1.2</v>
      </c>
      <c r="J2659">
        <v>4072</v>
      </c>
      <c r="K2659" s="173">
        <v>3073</v>
      </c>
      <c r="L2659" s="173">
        <f t="shared" si="305"/>
        <v>0.90559921414538314</v>
      </c>
      <c r="M2659" s="173">
        <f t="shared" si="306"/>
        <v>2.105599214145383</v>
      </c>
      <c r="O2659" s="173">
        <f t="shared" si="307"/>
        <v>3.1583988212180745</v>
      </c>
      <c r="P2659" s="173">
        <v>5</v>
      </c>
    </row>
    <row r="2660" spans="7:16" hidden="1" x14ac:dyDescent="0.35">
      <c r="G2660" s="371" t="s">
        <v>1904</v>
      </c>
      <c r="H2660" s="245">
        <v>8.4</v>
      </c>
      <c r="I2660" s="173">
        <f t="shared" si="304"/>
        <v>1.2</v>
      </c>
      <c r="J2660">
        <v>4072</v>
      </c>
      <c r="K2660" s="173">
        <v>3073</v>
      </c>
      <c r="L2660" s="173">
        <f t="shared" si="305"/>
        <v>0.90559921414538314</v>
      </c>
      <c r="M2660" s="173">
        <f t="shared" si="306"/>
        <v>2.105599214145383</v>
      </c>
      <c r="O2660" s="173">
        <f t="shared" si="307"/>
        <v>3.1583988212180745</v>
      </c>
      <c r="P2660" s="173">
        <v>5</v>
      </c>
    </row>
    <row r="2661" spans="7:16" hidden="1" x14ac:dyDescent="0.35">
      <c r="G2661" s="371" t="s">
        <v>1904</v>
      </c>
      <c r="H2661" s="245">
        <v>8.4</v>
      </c>
      <c r="I2661" s="173">
        <f t="shared" si="304"/>
        <v>1.2</v>
      </c>
      <c r="J2661">
        <v>4072</v>
      </c>
      <c r="K2661" s="173">
        <v>3073</v>
      </c>
      <c r="L2661" s="173">
        <f t="shared" si="305"/>
        <v>0.90559921414538314</v>
      </c>
      <c r="M2661" s="173">
        <f t="shared" si="306"/>
        <v>2.105599214145383</v>
      </c>
      <c r="O2661" s="173">
        <f t="shared" si="307"/>
        <v>3.1583988212180745</v>
      </c>
      <c r="P2661" s="173">
        <v>5</v>
      </c>
    </row>
    <row r="2662" spans="7:16" hidden="1" x14ac:dyDescent="0.35">
      <c r="G2662" s="371" t="s">
        <v>1904</v>
      </c>
      <c r="H2662" s="245">
        <v>8.4</v>
      </c>
      <c r="I2662" s="173">
        <f t="shared" si="304"/>
        <v>1.2</v>
      </c>
      <c r="J2662">
        <v>4072</v>
      </c>
      <c r="K2662" s="173">
        <v>3073</v>
      </c>
      <c r="L2662" s="173">
        <f t="shared" si="305"/>
        <v>0.90559921414538314</v>
      </c>
      <c r="M2662" s="173">
        <f t="shared" si="306"/>
        <v>2.105599214145383</v>
      </c>
      <c r="O2662" s="173">
        <f t="shared" si="307"/>
        <v>3.1583988212180745</v>
      </c>
      <c r="P2662" s="173">
        <v>5</v>
      </c>
    </row>
    <row r="2663" spans="7:16" hidden="1" x14ac:dyDescent="0.35">
      <c r="G2663" s="371" t="s">
        <v>1904</v>
      </c>
      <c r="H2663" s="245">
        <v>8.4</v>
      </c>
      <c r="I2663" s="173">
        <f t="shared" si="304"/>
        <v>1.2</v>
      </c>
      <c r="J2663">
        <v>4072</v>
      </c>
      <c r="K2663" s="173">
        <v>3073</v>
      </c>
      <c r="L2663" s="173">
        <f t="shared" si="305"/>
        <v>0.90559921414538314</v>
      </c>
      <c r="M2663" s="173">
        <f t="shared" si="306"/>
        <v>2.105599214145383</v>
      </c>
      <c r="O2663" s="173">
        <f t="shared" si="307"/>
        <v>3.1583988212180745</v>
      </c>
      <c r="P2663" s="173">
        <v>5</v>
      </c>
    </row>
    <row r="2664" spans="7:16" hidden="1" x14ac:dyDescent="0.35">
      <c r="G2664" s="371" t="s">
        <v>1904</v>
      </c>
      <c r="H2664" s="245">
        <v>8.4</v>
      </c>
      <c r="I2664" s="173">
        <f t="shared" si="304"/>
        <v>1.2</v>
      </c>
      <c r="J2664">
        <v>4072</v>
      </c>
      <c r="K2664" s="173">
        <v>3073</v>
      </c>
      <c r="L2664" s="173">
        <f t="shared" si="305"/>
        <v>0.90559921414538314</v>
      </c>
      <c r="M2664" s="173">
        <f t="shared" si="306"/>
        <v>2.105599214145383</v>
      </c>
      <c r="O2664" s="173">
        <f t="shared" si="307"/>
        <v>3.1583988212180745</v>
      </c>
      <c r="P2664" s="173">
        <v>5</v>
      </c>
    </row>
    <row r="2665" spans="7:16" hidden="1" x14ac:dyDescent="0.35">
      <c r="G2665" s="371" t="s">
        <v>1904</v>
      </c>
      <c r="H2665" s="245">
        <v>8.4</v>
      </c>
      <c r="I2665" s="173">
        <f t="shared" si="304"/>
        <v>1.2</v>
      </c>
      <c r="J2665">
        <v>4072</v>
      </c>
      <c r="K2665" s="173">
        <v>3073</v>
      </c>
      <c r="L2665" s="173">
        <f t="shared" si="305"/>
        <v>0.90559921414538314</v>
      </c>
      <c r="M2665" s="173">
        <f t="shared" si="306"/>
        <v>2.105599214145383</v>
      </c>
      <c r="O2665" s="173">
        <f t="shared" si="307"/>
        <v>3.1583988212180745</v>
      </c>
      <c r="P2665" s="173">
        <v>5</v>
      </c>
    </row>
    <row r="2666" spans="7:16" hidden="1" x14ac:dyDescent="0.35">
      <c r="G2666" s="371" t="s">
        <v>1904</v>
      </c>
      <c r="H2666" s="245">
        <v>8.4</v>
      </c>
      <c r="I2666" s="173">
        <f t="shared" si="304"/>
        <v>1.2</v>
      </c>
      <c r="J2666">
        <v>4072</v>
      </c>
      <c r="K2666" s="173">
        <v>3073</v>
      </c>
      <c r="L2666" s="173">
        <f t="shared" si="305"/>
        <v>0.90559921414538314</v>
      </c>
      <c r="M2666" s="173">
        <f t="shared" si="306"/>
        <v>2.105599214145383</v>
      </c>
      <c r="O2666" s="173">
        <f t="shared" si="307"/>
        <v>3.1583988212180745</v>
      </c>
      <c r="P2666" s="173">
        <v>5</v>
      </c>
    </row>
    <row r="2667" spans="7:16" hidden="1" x14ac:dyDescent="0.35">
      <c r="G2667" s="371" t="s">
        <v>1904</v>
      </c>
      <c r="H2667" s="245">
        <v>8.4</v>
      </c>
      <c r="I2667" s="173">
        <f t="shared" si="304"/>
        <v>1.2</v>
      </c>
      <c r="J2667">
        <v>4072</v>
      </c>
      <c r="K2667" s="173">
        <v>3073</v>
      </c>
      <c r="L2667" s="173">
        <f t="shared" si="305"/>
        <v>0.90559921414538314</v>
      </c>
      <c r="M2667" s="173">
        <f t="shared" si="306"/>
        <v>2.105599214145383</v>
      </c>
      <c r="O2667" s="173">
        <f t="shared" si="307"/>
        <v>3.1583988212180745</v>
      </c>
      <c r="P2667" s="173">
        <v>5</v>
      </c>
    </row>
    <row r="2668" spans="7:16" hidden="1" x14ac:dyDescent="0.35">
      <c r="G2668" s="371" t="s">
        <v>1904</v>
      </c>
      <c r="H2668" s="245">
        <v>8.4</v>
      </c>
      <c r="I2668" s="173">
        <f t="shared" si="304"/>
        <v>1.2</v>
      </c>
      <c r="J2668">
        <v>4072</v>
      </c>
      <c r="K2668" s="173">
        <v>3073</v>
      </c>
      <c r="L2668" s="173">
        <f t="shared" si="305"/>
        <v>0.90559921414538314</v>
      </c>
      <c r="M2668" s="173">
        <f t="shared" si="306"/>
        <v>2.105599214145383</v>
      </c>
      <c r="O2668" s="173">
        <f t="shared" si="307"/>
        <v>3.1583988212180745</v>
      </c>
      <c r="P2668" s="173">
        <v>5</v>
      </c>
    </row>
    <row r="2669" spans="7:16" hidden="1" x14ac:dyDescent="0.35">
      <c r="G2669" s="371" t="s">
        <v>1904</v>
      </c>
      <c r="H2669" s="245">
        <v>8.4</v>
      </c>
      <c r="I2669" s="173">
        <f t="shared" si="304"/>
        <v>1.2</v>
      </c>
      <c r="J2669">
        <v>4072</v>
      </c>
      <c r="K2669" s="173">
        <v>3073</v>
      </c>
      <c r="L2669" s="173">
        <f t="shared" si="305"/>
        <v>0.90559921414538314</v>
      </c>
      <c r="M2669" s="173">
        <f t="shared" si="306"/>
        <v>2.105599214145383</v>
      </c>
      <c r="O2669" s="173">
        <f t="shared" si="307"/>
        <v>3.1583988212180745</v>
      </c>
      <c r="P2669" s="173">
        <v>5</v>
      </c>
    </row>
    <row r="2670" spans="7:16" hidden="1" x14ac:dyDescent="0.35">
      <c r="G2670" s="371" t="s">
        <v>1904</v>
      </c>
      <c r="H2670" s="245">
        <v>8.4</v>
      </c>
      <c r="I2670" s="173">
        <f t="shared" si="304"/>
        <v>1.2</v>
      </c>
      <c r="J2670">
        <v>4072</v>
      </c>
      <c r="K2670" s="173">
        <v>3073</v>
      </c>
      <c r="L2670" s="173">
        <f t="shared" si="305"/>
        <v>0.90559921414538314</v>
      </c>
      <c r="M2670" s="173">
        <f t="shared" si="306"/>
        <v>2.105599214145383</v>
      </c>
      <c r="O2670" s="173">
        <f t="shared" si="307"/>
        <v>3.1583988212180745</v>
      </c>
      <c r="P2670" s="173">
        <v>5</v>
      </c>
    </row>
    <row r="2671" spans="7:16" hidden="1" x14ac:dyDescent="0.35">
      <c r="G2671" s="371" t="s">
        <v>1904</v>
      </c>
      <c r="H2671" s="245">
        <v>8.4</v>
      </c>
      <c r="I2671" s="173">
        <f t="shared" si="304"/>
        <v>1.2</v>
      </c>
      <c r="J2671">
        <v>4072</v>
      </c>
      <c r="K2671" s="173">
        <v>3073</v>
      </c>
      <c r="L2671" s="173">
        <f t="shared" si="305"/>
        <v>0.90559921414538314</v>
      </c>
      <c r="M2671" s="173">
        <f t="shared" si="306"/>
        <v>2.105599214145383</v>
      </c>
      <c r="O2671" s="173">
        <f t="shared" si="307"/>
        <v>3.1583988212180745</v>
      </c>
      <c r="P2671" s="173">
        <v>5</v>
      </c>
    </row>
    <row r="2672" spans="7:16" hidden="1" x14ac:dyDescent="0.35">
      <c r="G2672" s="371" t="s">
        <v>1904</v>
      </c>
      <c r="H2672" s="245">
        <v>8.4</v>
      </c>
      <c r="I2672" s="173">
        <f t="shared" si="304"/>
        <v>1.2</v>
      </c>
      <c r="J2672">
        <v>4072</v>
      </c>
      <c r="K2672" s="173">
        <v>3073</v>
      </c>
      <c r="L2672" s="173">
        <f t="shared" si="305"/>
        <v>0.90559921414538314</v>
      </c>
      <c r="M2672" s="173">
        <f t="shared" si="306"/>
        <v>2.105599214145383</v>
      </c>
      <c r="O2672" s="173">
        <f t="shared" si="307"/>
        <v>3.1583988212180745</v>
      </c>
      <c r="P2672" s="173">
        <v>5</v>
      </c>
    </row>
    <row r="2673" spans="4:16" hidden="1" x14ac:dyDescent="0.35">
      <c r="G2673" s="371" t="s">
        <v>1904</v>
      </c>
      <c r="H2673" s="245">
        <v>8.4</v>
      </c>
      <c r="I2673" s="173">
        <f t="shared" si="304"/>
        <v>1.2</v>
      </c>
      <c r="J2673">
        <v>4072</v>
      </c>
      <c r="K2673" s="173">
        <v>3073</v>
      </c>
      <c r="L2673" s="173">
        <f t="shared" si="305"/>
        <v>0.90559921414538314</v>
      </c>
      <c r="M2673" s="173">
        <f t="shared" si="306"/>
        <v>2.105599214145383</v>
      </c>
      <c r="O2673" s="173">
        <f t="shared" si="307"/>
        <v>3.1583988212180745</v>
      </c>
      <c r="P2673" s="173">
        <v>5</v>
      </c>
    </row>
    <row r="2674" spans="4:16" hidden="1" x14ac:dyDescent="0.35">
      <c r="G2674" s="371" t="s">
        <v>1904</v>
      </c>
      <c r="H2674" s="245">
        <v>8.4</v>
      </c>
      <c r="I2674" s="173">
        <f t="shared" si="304"/>
        <v>1.2</v>
      </c>
      <c r="J2674">
        <v>4072</v>
      </c>
      <c r="K2674" s="173">
        <v>3073</v>
      </c>
      <c r="L2674" s="173">
        <f t="shared" si="305"/>
        <v>0.90559921414538314</v>
      </c>
      <c r="M2674" s="173">
        <f t="shared" si="306"/>
        <v>2.105599214145383</v>
      </c>
      <c r="O2674" s="173">
        <f t="shared" si="307"/>
        <v>3.1583988212180745</v>
      </c>
      <c r="P2674" s="173">
        <v>5</v>
      </c>
    </row>
    <row r="2675" spans="4:16" hidden="1" x14ac:dyDescent="0.35"/>
    <row r="2676" spans="4:16" hidden="1" x14ac:dyDescent="0.35">
      <c r="D2676" s="233" t="s">
        <v>1977</v>
      </c>
      <c r="G2676" s="245" t="s">
        <v>2054</v>
      </c>
      <c r="H2676" s="245">
        <v>10</v>
      </c>
      <c r="I2676" s="173">
        <f t="shared" ref="I2676:I2695" si="308">+H2676/7</f>
        <v>1.4285714285714286</v>
      </c>
      <c r="J2676">
        <v>4072</v>
      </c>
      <c r="K2676" s="173">
        <v>3073</v>
      </c>
      <c r="L2676" s="173">
        <f t="shared" ref="L2676:L2695" si="309">+I2676/J2676*K2676</f>
        <v>1.0780943025540275</v>
      </c>
      <c r="M2676" s="173">
        <f t="shared" ref="M2676:M2695" si="310">+I2676+L2676</f>
        <v>2.5066657311254561</v>
      </c>
      <c r="O2676" s="173">
        <f t="shared" ref="O2676:O2695" si="311">+M2676*1.5</f>
        <v>3.7599985966881841</v>
      </c>
      <c r="P2676" s="173">
        <v>5</v>
      </c>
    </row>
    <row r="2677" spans="4:16" hidden="1" x14ac:dyDescent="0.35">
      <c r="D2677" s="233" t="s">
        <v>1977</v>
      </c>
      <c r="G2677" s="245" t="s">
        <v>2054</v>
      </c>
      <c r="H2677" s="245">
        <v>10</v>
      </c>
      <c r="I2677" s="173">
        <f t="shared" si="308"/>
        <v>1.4285714285714286</v>
      </c>
      <c r="J2677">
        <v>4072</v>
      </c>
      <c r="K2677" s="173">
        <v>3073</v>
      </c>
      <c r="L2677" s="173">
        <f t="shared" si="309"/>
        <v>1.0780943025540275</v>
      </c>
      <c r="M2677" s="173">
        <f t="shared" si="310"/>
        <v>2.5066657311254561</v>
      </c>
      <c r="O2677" s="173">
        <f t="shared" si="311"/>
        <v>3.7599985966881841</v>
      </c>
      <c r="P2677" s="173">
        <v>5</v>
      </c>
    </row>
    <row r="2678" spans="4:16" hidden="1" x14ac:dyDescent="0.35">
      <c r="D2678" s="233" t="s">
        <v>1977</v>
      </c>
      <c r="G2678" s="245" t="s">
        <v>2054</v>
      </c>
      <c r="H2678" s="245">
        <v>10</v>
      </c>
      <c r="I2678" s="173">
        <f t="shared" si="308"/>
        <v>1.4285714285714286</v>
      </c>
      <c r="J2678">
        <v>4072</v>
      </c>
      <c r="K2678" s="173">
        <v>3073</v>
      </c>
      <c r="L2678" s="173">
        <f t="shared" si="309"/>
        <v>1.0780943025540275</v>
      </c>
      <c r="M2678" s="173">
        <f t="shared" si="310"/>
        <v>2.5066657311254561</v>
      </c>
      <c r="O2678" s="173">
        <f t="shared" si="311"/>
        <v>3.7599985966881841</v>
      </c>
      <c r="P2678" s="173">
        <v>5</v>
      </c>
    </row>
    <row r="2679" spans="4:16" hidden="1" x14ac:dyDescent="0.35">
      <c r="D2679" s="233" t="s">
        <v>1977</v>
      </c>
      <c r="G2679" s="245" t="s">
        <v>2054</v>
      </c>
      <c r="H2679" s="245">
        <v>10</v>
      </c>
      <c r="I2679" s="173">
        <f t="shared" si="308"/>
        <v>1.4285714285714286</v>
      </c>
      <c r="J2679">
        <v>4072</v>
      </c>
      <c r="K2679" s="173">
        <v>3073</v>
      </c>
      <c r="L2679" s="173">
        <f t="shared" si="309"/>
        <v>1.0780943025540275</v>
      </c>
      <c r="M2679" s="173">
        <f t="shared" si="310"/>
        <v>2.5066657311254561</v>
      </c>
      <c r="O2679" s="173">
        <f t="shared" si="311"/>
        <v>3.7599985966881841</v>
      </c>
      <c r="P2679" s="173">
        <v>5</v>
      </c>
    </row>
    <row r="2680" spans="4:16" hidden="1" x14ac:dyDescent="0.35">
      <c r="D2680" s="233" t="s">
        <v>1977</v>
      </c>
      <c r="G2680" s="245" t="s">
        <v>2054</v>
      </c>
      <c r="H2680" s="245">
        <v>10</v>
      </c>
      <c r="I2680" s="173">
        <f t="shared" si="308"/>
        <v>1.4285714285714286</v>
      </c>
      <c r="J2680">
        <v>4072</v>
      </c>
      <c r="K2680" s="173">
        <v>3073</v>
      </c>
      <c r="L2680" s="173">
        <f t="shared" si="309"/>
        <v>1.0780943025540275</v>
      </c>
      <c r="M2680" s="173">
        <f t="shared" si="310"/>
        <v>2.5066657311254561</v>
      </c>
      <c r="O2680" s="173">
        <f t="shared" si="311"/>
        <v>3.7599985966881841</v>
      </c>
      <c r="P2680" s="173">
        <v>5</v>
      </c>
    </row>
    <row r="2681" spans="4:16" hidden="1" x14ac:dyDescent="0.35">
      <c r="D2681" s="233" t="s">
        <v>1977</v>
      </c>
      <c r="G2681" s="245" t="s">
        <v>2054</v>
      </c>
      <c r="H2681" s="245">
        <v>10</v>
      </c>
      <c r="I2681" s="173">
        <f t="shared" si="308"/>
        <v>1.4285714285714286</v>
      </c>
      <c r="J2681">
        <v>4072</v>
      </c>
      <c r="K2681" s="173">
        <v>3073</v>
      </c>
      <c r="L2681" s="173">
        <f t="shared" si="309"/>
        <v>1.0780943025540275</v>
      </c>
      <c r="M2681" s="173">
        <f t="shared" si="310"/>
        <v>2.5066657311254561</v>
      </c>
      <c r="O2681" s="173">
        <f t="shared" si="311"/>
        <v>3.7599985966881841</v>
      </c>
      <c r="P2681" s="173">
        <v>5</v>
      </c>
    </row>
    <row r="2682" spans="4:16" hidden="1" x14ac:dyDescent="0.35">
      <c r="D2682" s="233" t="s">
        <v>1977</v>
      </c>
      <c r="G2682" s="245" t="s">
        <v>2054</v>
      </c>
      <c r="H2682" s="245">
        <v>10</v>
      </c>
      <c r="I2682" s="173">
        <f t="shared" si="308"/>
        <v>1.4285714285714286</v>
      </c>
      <c r="J2682">
        <v>4072</v>
      </c>
      <c r="K2682" s="173">
        <v>3073</v>
      </c>
      <c r="L2682" s="173">
        <f t="shared" si="309"/>
        <v>1.0780943025540275</v>
      </c>
      <c r="M2682" s="173">
        <f t="shared" si="310"/>
        <v>2.5066657311254561</v>
      </c>
      <c r="O2682" s="173">
        <f t="shared" si="311"/>
        <v>3.7599985966881841</v>
      </c>
      <c r="P2682" s="173">
        <v>5</v>
      </c>
    </row>
    <row r="2683" spans="4:16" hidden="1" x14ac:dyDescent="0.35">
      <c r="D2683" s="233" t="s">
        <v>1977</v>
      </c>
      <c r="G2683" s="245" t="s">
        <v>2054</v>
      </c>
      <c r="H2683" s="245">
        <v>10</v>
      </c>
      <c r="I2683" s="173">
        <f t="shared" si="308"/>
        <v>1.4285714285714286</v>
      </c>
      <c r="J2683">
        <v>4072</v>
      </c>
      <c r="K2683" s="173">
        <v>3073</v>
      </c>
      <c r="L2683" s="173">
        <f t="shared" si="309"/>
        <v>1.0780943025540275</v>
      </c>
      <c r="M2683" s="173">
        <f t="shared" si="310"/>
        <v>2.5066657311254561</v>
      </c>
      <c r="O2683" s="173">
        <f t="shared" si="311"/>
        <v>3.7599985966881841</v>
      </c>
      <c r="P2683" s="173">
        <v>5</v>
      </c>
    </row>
    <row r="2684" spans="4:16" hidden="1" x14ac:dyDescent="0.35">
      <c r="D2684" s="233" t="s">
        <v>1977</v>
      </c>
      <c r="G2684" s="245" t="s">
        <v>2054</v>
      </c>
      <c r="H2684" s="245">
        <v>10</v>
      </c>
      <c r="I2684" s="173">
        <f t="shared" si="308"/>
        <v>1.4285714285714286</v>
      </c>
      <c r="J2684">
        <v>4072</v>
      </c>
      <c r="K2684" s="173">
        <v>3073</v>
      </c>
      <c r="L2684" s="173">
        <f t="shared" si="309"/>
        <v>1.0780943025540275</v>
      </c>
      <c r="M2684" s="173">
        <f t="shared" si="310"/>
        <v>2.5066657311254561</v>
      </c>
      <c r="O2684" s="173">
        <f t="shared" si="311"/>
        <v>3.7599985966881841</v>
      </c>
      <c r="P2684" s="173">
        <v>5</v>
      </c>
    </row>
    <row r="2685" spans="4:16" hidden="1" x14ac:dyDescent="0.35">
      <c r="D2685" s="233" t="s">
        <v>1977</v>
      </c>
      <c r="G2685" s="245" t="s">
        <v>2054</v>
      </c>
      <c r="H2685" s="245">
        <v>10</v>
      </c>
      <c r="I2685" s="173">
        <f t="shared" si="308"/>
        <v>1.4285714285714286</v>
      </c>
      <c r="J2685">
        <v>4072</v>
      </c>
      <c r="K2685" s="173">
        <v>3073</v>
      </c>
      <c r="L2685" s="173">
        <f t="shared" si="309"/>
        <v>1.0780943025540275</v>
      </c>
      <c r="M2685" s="173">
        <f t="shared" si="310"/>
        <v>2.5066657311254561</v>
      </c>
      <c r="O2685" s="173">
        <f t="shared" si="311"/>
        <v>3.7599985966881841</v>
      </c>
      <c r="P2685" s="173">
        <v>5</v>
      </c>
    </row>
    <row r="2686" spans="4:16" hidden="1" x14ac:dyDescent="0.35">
      <c r="D2686" s="233" t="s">
        <v>1977</v>
      </c>
      <c r="G2686" s="245" t="s">
        <v>2055</v>
      </c>
      <c r="H2686" s="245">
        <v>10</v>
      </c>
      <c r="I2686" s="173">
        <f t="shared" si="308"/>
        <v>1.4285714285714286</v>
      </c>
      <c r="J2686">
        <v>4072</v>
      </c>
      <c r="K2686" s="173">
        <v>3073</v>
      </c>
      <c r="L2686" s="173">
        <f t="shared" si="309"/>
        <v>1.0780943025540275</v>
      </c>
      <c r="M2686" s="173">
        <f t="shared" si="310"/>
        <v>2.5066657311254561</v>
      </c>
      <c r="O2686" s="173">
        <f t="shared" si="311"/>
        <v>3.7599985966881841</v>
      </c>
      <c r="P2686" s="173">
        <v>5</v>
      </c>
    </row>
    <row r="2687" spans="4:16" hidden="1" x14ac:dyDescent="0.35">
      <c r="D2687" s="233" t="s">
        <v>1977</v>
      </c>
      <c r="G2687" s="245" t="s">
        <v>2055</v>
      </c>
      <c r="H2687" s="245">
        <v>10</v>
      </c>
      <c r="I2687" s="173">
        <f t="shared" si="308"/>
        <v>1.4285714285714286</v>
      </c>
      <c r="J2687">
        <v>4072</v>
      </c>
      <c r="K2687" s="173">
        <v>3073</v>
      </c>
      <c r="L2687" s="173">
        <f t="shared" si="309"/>
        <v>1.0780943025540275</v>
      </c>
      <c r="M2687" s="173">
        <f t="shared" si="310"/>
        <v>2.5066657311254561</v>
      </c>
      <c r="O2687" s="173">
        <f t="shared" si="311"/>
        <v>3.7599985966881841</v>
      </c>
      <c r="P2687" s="173">
        <v>5</v>
      </c>
    </row>
    <row r="2688" spans="4:16" hidden="1" x14ac:dyDescent="0.35">
      <c r="D2688" s="233" t="s">
        <v>1977</v>
      </c>
      <c r="G2688" s="245" t="s">
        <v>2055</v>
      </c>
      <c r="H2688" s="245">
        <v>10</v>
      </c>
      <c r="I2688" s="173">
        <f t="shared" si="308"/>
        <v>1.4285714285714286</v>
      </c>
      <c r="J2688">
        <v>4072</v>
      </c>
      <c r="K2688" s="173">
        <v>3073</v>
      </c>
      <c r="L2688" s="173">
        <f t="shared" si="309"/>
        <v>1.0780943025540275</v>
      </c>
      <c r="M2688" s="173">
        <f t="shared" si="310"/>
        <v>2.5066657311254561</v>
      </c>
      <c r="O2688" s="173">
        <f t="shared" si="311"/>
        <v>3.7599985966881841</v>
      </c>
      <c r="P2688" s="173">
        <v>5</v>
      </c>
    </row>
    <row r="2689" spans="4:16" hidden="1" x14ac:dyDescent="0.35">
      <c r="D2689" s="233" t="s">
        <v>1977</v>
      </c>
      <c r="G2689" s="245" t="s">
        <v>2055</v>
      </c>
      <c r="H2689" s="245">
        <v>10</v>
      </c>
      <c r="I2689" s="173">
        <f t="shared" si="308"/>
        <v>1.4285714285714286</v>
      </c>
      <c r="J2689">
        <v>4072</v>
      </c>
      <c r="K2689" s="173">
        <v>3073</v>
      </c>
      <c r="L2689" s="173">
        <f t="shared" si="309"/>
        <v>1.0780943025540275</v>
      </c>
      <c r="M2689" s="173">
        <f t="shared" si="310"/>
        <v>2.5066657311254561</v>
      </c>
      <c r="O2689" s="173">
        <f t="shared" si="311"/>
        <v>3.7599985966881841</v>
      </c>
      <c r="P2689" s="173">
        <v>5</v>
      </c>
    </row>
    <row r="2690" spans="4:16" hidden="1" x14ac:dyDescent="0.35">
      <c r="D2690" s="233" t="s">
        <v>1977</v>
      </c>
      <c r="G2690" s="245" t="s">
        <v>2055</v>
      </c>
      <c r="H2690" s="245">
        <v>10</v>
      </c>
      <c r="I2690" s="173">
        <f t="shared" si="308"/>
        <v>1.4285714285714286</v>
      </c>
      <c r="J2690">
        <v>4072</v>
      </c>
      <c r="K2690" s="173">
        <v>3073</v>
      </c>
      <c r="L2690" s="173">
        <f t="shared" si="309"/>
        <v>1.0780943025540275</v>
      </c>
      <c r="M2690" s="173">
        <f t="shared" si="310"/>
        <v>2.5066657311254561</v>
      </c>
      <c r="O2690" s="173">
        <f t="shared" si="311"/>
        <v>3.7599985966881841</v>
      </c>
      <c r="P2690" s="173">
        <v>5</v>
      </c>
    </row>
    <row r="2691" spans="4:16" hidden="1" x14ac:dyDescent="0.35">
      <c r="D2691" s="233" t="s">
        <v>1977</v>
      </c>
      <c r="G2691" s="245" t="s">
        <v>2055</v>
      </c>
      <c r="H2691" s="245">
        <v>10</v>
      </c>
      <c r="I2691" s="173">
        <f t="shared" si="308"/>
        <v>1.4285714285714286</v>
      </c>
      <c r="J2691">
        <v>4072</v>
      </c>
      <c r="K2691" s="173">
        <v>3073</v>
      </c>
      <c r="L2691" s="173">
        <f t="shared" si="309"/>
        <v>1.0780943025540275</v>
      </c>
      <c r="M2691" s="173">
        <f t="shared" si="310"/>
        <v>2.5066657311254561</v>
      </c>
      <c r="O2691" s="173">
        <f t="shared" si="311"/>
        <v>3.7599985966881841</v>
      </c>
      <c r="P2691" s="173">
        <v>5</v>
      </c>
    </row>
    <row r="2692" spans="4:16" hidden="1" x14ac:dyDescent="0.35">
      <c r="D2692" s="233" t="s">
        <v>1977</v>
      </c>
      <c r="G2692" s="245" t="s">
        <v>2055</v>
      </c>
      <c r="H2692" s="245">
        <v>10</v>
      </c>
      <c r="I2692" s="173">
        <f t="shared" si="308"/>
        <v>1.4285714285714286</v>
      </c>
      <c r="J2692">
        <v>4072</v>
      </c>
      <c r="K2692" s="173">
        <v>3073</v>
      </c>
      <c r="L2692" s="173">
        <f t="shared" si="309"/>
        <v>1.0780943025540275</v>
      </c>
      <c r="M2692" s="173">
        <f t="shared" si="310"/>
        <v>2.5066657311254561</v>
      </c>
      <c r="O2692" s="173">
        <f t="shared" si="311"/>
        <v>3.7599985966881841</v>
      </c>
      <c r="P2692" s="173">
        <v>5</v>
      </c>
    </row>
    <row r="2693" spans="4:16" hidden="1" x14ac:dyDescent="0.35">
      <c r="D2693" s="233" t="s">
        <v>1977</v>
      </c>
      <c r="G2693" s="245" t="s">
        <v>2055</v>
      </c>
      <c r="H2693" s="245">
        <v>10</v>
      </c>
      <c r="I2693" s="173">
        <f t="shared" si="308"/>
        <v>1.4285714285714286</v>
      </c>
      <c r="J2693">
        <v>4072</v>
      </c>
      <c r="K2693" s="173">
        <v>3073</v>
      </c>
      <c r="L2693" s="173">
        <f t="shared" si="309"/>
        <v>1.0780943025540275</v>
      </c>
      <c r="M2693" s="173">
        <f t="shared" si="310"/>
        <v>2.5066657311254561</v>
      </c>
      <c r="O2693" s="173">
        <f t="shared" si="311"/>
        <v>3.7599985966881841</v>
      </c>
      <c r="P2693" s="173">
        <v>5</v>
      </c>
    </row>
    <row r="2694" spans="4:16" hidden="1" x14ac:dyDescent="0.35">
      <c r="D2694" s="233" t="s">
        <v>1977</v>
      </c>
      <c r="G2694" s="245" t="s">
        <v>2055</v>
      </c>
      <c r="H2694" s="245">
        <v>10</v>
      </c>
      <c r="I2694" s="173">
        <f t="shared" si="308"/>
        <v>1.4285714285714286</v>
      </c>
      <c r="J2694">
        <v>4072</v>
      </c>
      <c r="K2694" s="173">
        <v>3073</v>
      </c>
      <c r="L2694" s="173">
        <f t="shared" si="309"/>
        <v>1.0780943025540275</v>
      </c>
      <c r="M2694" s="173">
        <f t="shared" si="310"/>
        <v>2.5066657311254561</v>
      </c>
      <c r="O2694" s="173">
        <f t="shared" si="311"/>
        <v>3.7599985966881841</v>
      </c>
      <c r="P2694" s="173">
        <v>5</v>
      </c>
    </row>
    <row r="2695" spans="4:16" hidden="1" x14ac:dyDescent="0.35">
      <c r="D2695" s="233" t="s">
        <v>1977</v>
      </c>
      <c r="G2695" s="245" t="s">
        <v>2055</v>
      </c>
      <c r="H2695" s="245">
        <v>10</v>
      </c>
      <c r="I2695" s="173">
        <f t="shared" si="308"/>
        <v>1.4285714285714286</v>
      </c>
      <c r="J2695">
        <v>4072</v>
      </c>
      <c r="K2695" s="173">
        <v>3073</v>
      </c>
      <c r="L2695" s="173">
        <f t="shared" si="309"/>
        <v>1.0780943025540275</v>
      </c>
      <c r="M2695" s="173">
        <f t="shared" si="310"/>
        <v>2.5066657311254561</v>
      </c>
      <c r="O2695" s="173">
        <f t="shared" si="311"/>
        <v>3.7599985966881841</v>
      </c>
      <c r="P2695" s="173">
        <v>5</v>
      </c>
    </row>
    <row r="2696" spans="4:16" hidden="1" x14ac:dyDescent="0.35"/>
    <row r="2697" spans="4:16" hidden="1" x14ac:dyDescent="0.35">
      <c r="D2697" s="233" t="s">
        <v>1978</v>
      </c>
    </row>
    <row r="2698" spans="4:16" hidden="1" x14ac:dyDescent="0.35">
      <c r="G2698" s="371" t="s">
        <v>1979</v>
      </c>
      <c r="H2698" s="245">
        <v>20</v>
      </c>
      <c r="I2698" s="173">
        <f t="shared" ref="I2698:I2741" si="312">+H2698/7</f>
        <v>2.8571428571428572</v>
      </c>
      <c r="J2698">
        <v>4072</v>
      </c>
      <c r="K2698" s="173">
        <v>3073</v>
      </c>
      <c r="L2698" s="173">
        <f t="shared" ref="L2698:L2741" si="313">+I2698/J2698*K2698</f>
        <v>2.156188605108055</v>
      </c>
      <c r="M2698" s="173">
        <f t="shared" ref="M2698:M2741" si="314">+I2698+L2698</f>
        <v>5.0133314622509122</v>
      </c>
      <c r="O2698" s="173">
        <f t="shared" ref="O2698:O2741" si="315">+M2698*1.5</f>
        <v>7.5199971933763683</v>
      </c>
      <c r="P2698" s="173">
        <v>15</v>
      </c>
    </row>
    <row r="2699" spans="4:16" hidden="1" x14ac:dyDescent="0.35">
      <c r="G2699" s="371" t="s">
        <v>1979</v>
      </c>
      <c r="H2699" s="245">
        <v>20</v>
      </c>
      <c r="I2699" s="173">
        <f t="shared" si="312"/>
        <v>2.8571428571428572</v>
      </c>
      <c r="J2699">
        <v>4072</v>
      </c>
      <c r="K2699" s="173">
        <v>3073</v>
      </c>
      <c r="L2699" s="173">
        <f t="shared" si="313"/>
        <v>2.156188605108055</v>
      </c>
      <c r="M2699" s="173">
        <f t="shared" si="314"/>
        <v>5.0133314622509122</v>
      </c>
      <c r="O2699" s="173">
        <f t="shared" si="315"/>
        <v>7.5199971933763683</v>
      </c>
      <c r="P2699" s="173">
        <v>15</v>
      </c>
    </row>
    <row r="2700" spans="4:16" hidden="1" x14ac:dyDescent="0.35">
      <c r="G2700" s="371" t="s">
        <v>1979</v>
      </c>
      <c r="H2700" s="245">
        <v>20</v>
      </c>
      <c r="I2700" s="173">
        <f t="shared" si="312"/>
        <v>2.8571428571428572</v>
      </c>
      <c r="J2700">
        <v>4072</v>
      </c>
      <c r="K2700" s="173">
        <v>3073</v>
      </c>
      <c r="L2700" s="173">
        <f t="shared" si="313"/>
        <v>2.156188605108055</v>
      </c>
      <c r="M2700" s="173">
        <f t="shared" si="314"/>
        <v>5.0133314622509122</v>
      </c>
      <c r="O2700" s="173">
        <f t="shared" si="315"/>
        <v>7.5199971933763683</v>
      </c>
      <c r="P2700" s="173">
        <v>15</v>
      </c>
    </row>
    <row r="2701" spans="4:16" hidden="1" x14ac:dyDescent="0.35">
      <c r="G2701" s="371" t="s">
        <v>1979</v>
      </c>
      <c r="H2701" s="245">
        <v>20</v>
      </c>
      <c r="I2701" s="173">
        <f t="shared" si="312"/>
        <v>2.8571428571428572</v>
      </c>
      <c r="J2701">
        <v>4072</v>
      </c>
      <c r="K2701" s="173">
        <v>3073</v>
      </c>
      <c r="L2701" s="173">
        <f t="shared" si="313"/>
        <v>2.156188605108055</v>
      </c>
      <c r="M2701" s="173">
        <f t="shared" si="314"/>
        <v>5.0133314622509122</v>
      </c>
      <c r="O2701" s="173">
        <f t="shared" si="315"/>
        <v>7.5199971933763683</v>
      </c>
      <c r="P2701" s="173">
        <v>15</v>
      </c>
    </row>
    <row r="2702" spans="4:16" hidden="1" x14ac:dyDescent="0.35">
      <c r="G2702" s="371" t="s">
        <v>1979</v>
      </c>
      <c r="H2702" s="245">
        <v>20</v>
      </c>
      <c r="I2702" s="173">
        <f t="shared" si="312"/>
        <v>2.8571428571428572</v>
      </c>
      <c r="J2702">
        <v>4072</v>
      </c>
      <c r="K2702" s="173">
        <v>3073</v>
      </c>
      <c r="L2702" s="173">
        <f t="shared" si="313"/>
        <v>2.156188605108055</v>
      </c>
      <c r="M2702" s="173">
        <f t="shared" si="314"/>
        <v>5.0133314622509122</v>
      </c>
      <c r="O2702" s="173">
        <f t="shared" si="315"/>
        <v>7.5199971933763683</v>
      </c>
      <c r="P2702" s="173">
        <v>15</v>
      </c>
    </row>
    <row r="2703" spans="4:16" hidden="1" x14ac:dyDescent="0.35">
      <c r="G2703" s="371" t="s">
        <v>1979</v>
      </c>
      <c r="H2703" s="245">
        <v>20</v>
      </c>
      <c r="I2703" s="173">
        <f t="shared" si="312"/>
        <v>2.8571428571428572</v>
      </c>
      <c r="J2703">
        <v>4072</v>
      </c>
      <c r="K2703" s="173">
        <v>3073</v>
      </c>
      <c r="L2703" s="173">
        <f t="shared" si="313"/>
        <v>2.156188605108055</v>
      </c>
      <c r="M2703" s="173">
        <f t="shared" si="314"/>
        <v>5.0133314622509122</v>
      </c>
      <c r="O2703" s="173">
        <f t="shared" si="315"/>
        <v>7.5199971933763683</v>
      </c>
      <c r="P2703" s="173">
        <v>15</v>
      </c>
    </row>
    <row r="2704" spans="4:16" hidden="1" x14ac:dyDescent="0.35">
      <c r="G2704" s="371" t="s">
        <v>1979</v>
      </c>
      <c r="H2704" s="245">
        <v>20</v>
      </c>
      <c r="I2704" s="173">
        <f t="shared" si="312"/>
        <v>2.8571428571428572</v>
      </c>
      <c r="J2704">
        <v>4072</v>
      </c>
      <c r="K2704" s="173">
        <v>3073</v>
      </c>
      <c r="L2704" s="173">
        <f t="shared" si="313"/>
        <v>2.156188605108055</v>
      </c>
      <c r="M2704" s="173">
        <f t="shared" si="314"/>
        <v>5.0133314622509122</v>
      </c>
      <c r="O2704" s="173">
        <f t="shared" si="315"/>
        <v>7.5199971933763683</v>
      </c>
      <c r="P2704" s="173">
        <v>15</v>
      </c>
    </row>
    <row r="2705" spans="7:16" hidden="1" x14ac:dyDescent="0.35">
      <c r="G2705" s="371" t="s">
        <v>1979</v>
      </c>
      <c r="H2705" s="245">
        <v>20</v>
      </c>
      <c r="I2705" s="173">
        <f t="shared" si="312"/>
        <v>2.8571428571428572</v>
      </c>
      <c r="J2705">
        <v>4072</v>
      </c>
      <c r="K2705" s="173">
        <v>3073</v>
      </c>
      <c r="L2705" s="173">
        <f t="shared" si="313"/>
        <v>2.156188605108055</v>
      </c>
      <c r="M2705" s="173">
        <f t="shared" si="314"/>
        <v>5.0133314622509122</v>
      </c>
      <c r="O2705" s="173">
        <f t="shared" si="315"/>
        <v>7.5199971933763683</v>
      </c>
      <c r="P2705" s="173">
        <v>15</v>
      </c>
    </row>
    <row r="2706" spans="7:16" hidden="1" x14ac:dyDescent="0.35">
      <c r="G2706" s="371" t="s">
        <v>1979</v>
      </c>
      <c r="H2706" s="245">
        <v>20</v>
      </c>
      <c r="I2706" s="173">
        <f t="shared" si="312"/>
        <v>2.8571428571428572</v>
      </c>
      <c r="J2706">
        <v>4072</v>
      </c>
      <c r="K2706" s="173">
        <v>3073</v>
      </c>
      <c r="L2706" s="173">
        <f t="shared" si="313"/>
        <v>2.156188605108055</v>
      </c>
      <c r="M2706" s="173">
        <f t="shared" si="314"/>
        <v>5.0133314622509122</v>
      </c>
      <c r="O2706" s="173">
        <f t="shared" si="315"/>
        <v>7.5199971933763683</v>
      </c>
      <c r="P2706" s="173">
        <v>15</v>
      </c>
    </row>
    <row r="2707" spans="7:16" hidden="1" x14ac:dyDescent="0.35">
      <c r="G2707" s="371" t="s">
        <v>1979</v>
      </c>
      <c r="H2707" s="245">
        <v>20</v>
      </c>
      <c r="I2707" s="173">
        <f t="shared" si="312"/>
        <v>2.8571428571428572</v>
      </c>
      <c r="J2707">
        <v>4072</v>
      </c>
      <c r="K2707" s="173">
        <v>3073</v>
      </c>
      <c r="L2707" s="173">
        <f t="shared" si="313"/>
        <v>2.156188605108055</v>
      </c>
      <c r="M2707" s="173">
        <f t="shared" si="314"/>
        <v>5.0133314622509122</v>
      </c>
      <c r="O2707" s="173">
        <f t="shared" si="315"/>
        <v>7.5199971933763683</v>
      </c>
      <c r="P2707" s="173">
        <v>15</v>
      </c>
    </row>
    <row r="2708" spans="7:16" hidden="1" x14ac:dyDescent="0.35">
      <c r="G2708" s="371" t="s">
        <v>1979</v>
      </c>
      <c r="H2708" s="245">
        <v>20</v>
      </c>
      <c r="I2708" s="173">
        <f t="shared" si="312"/>
        <v>2.8571428571428572</v>
      </c>
      <c r="J2708">
        <v>4072</v>
      </c>
      <c r="K2708" s="173">
        <v>3073</v>
      </c>
      <c r="L2708" s="173">
        <f t="shared" si="313"/>
        <v>2.156188605108055</v>
      </c>
      <c r="M2708" s="173">
        <f t="shared" si="314"/>
        <v>5.0133314622509122</v>
      </c>
      <c r="O2708" s="173">
        <f t="shared" si="315"/>
        <v>7.5199971933763683</v>
      </c>
      <c r="P2708" s="173">
        <v>15</v>
      </c>
    </row>
    <row r="2709" spans="7:16" hidden="1" x14ac:dyDescent="0.35">
      <c r="G2709" s="371" t="s">
        <v>1979</v>
      </c>
      <c r="H2709" s="245">
        <v>20</v>
      </c>
      <c r="I2709" s="173">
        <f t="shared" si="312"/>
        <v>2.8571428571428572</v>
      </c>
      <c r="J2709">
        <v>4072</v>
      </c>
      <c r="K2709" s="173">
        <v>3073</v>
      </c>
      <c r="L2709" s="173">
        <f t="shared" si="313"/>
        <v>2.156188605108055</v>
      </c>
      <c r="M2709" s="173">
        <f t="shared" si="314"/>
        <v>5.0133314622509122</v>
      </c>
      <c r="O2709" s="173">
        <f t="shared" si="315"/>
        <v>7.5199971933763683</v>
      </c>
      <c r="P2709" s="173">
        <v>15</v>
      </c>
    </row>
    <row r="2710" spans="7:16" hidden="1" x14ac:dyDescent="0.35">
      <c r="G2710" s="371" t="s">
        <v>1979</v>
      </c>
      <c r="H2710" s="245">
        <v>20</v>
      </c>
      <c r="I2710" s="173">
        <f t="shared" si="312"/>
        <v>2.8571428571428572</v>
      </c>
      <c r="J2710">
        <v>4072</v>
      </c>
      <c r="K2710" s="173">
        <v>3073</v>
      </c>
      <c r="L2710" s="173">
        <f t="shared" si="313"/>
        <v>2.156188605108055</v>
      </c>
      <c r="M2710" s="173">
        <f t="shared" si="314"/>
        <v>5.0133314622509122</v>
      </c>
      <c r="O2710" s="173">
        <f t="shared" si="315"/>
        <v>7.5199971933763683</v>
      </c>
      <c r="P2710" s="173">
        <v>15</v>
      </c>
    </row>
    <row r="2711" spans="7:16" hidden="1" x14ac:dyDescent="0.35">
      <c r="G2711" s="371" t="s">
        <v>1979</v>
      </c>
      <c r="H2711" s="245">
        <v>20</v>
      </c>
      <c r="I2711" s="173">
        <f t="shared" si="312"/>
        <v>2.8571428571428572</v>
      </c>
      <c r="J2711">
        <v>4072</v>
      </c>
      <c r="K2711" s="173">
        <v>3073</v>
      </c>
      <c r="L2711" s="173">
        <f t="shared" si="313"/>
        <v>2.156188605108055</v>
      </c>
      <c r="M2711" s="173">
        <f t="shared" si="314"/>
        <v>5.0133314622509122</v>
      </c>
      <c r="O2711" s="173">
        <f t="shared" si="315"/>
        <v>7.5199971933763683</v>
      </c>
      <c r="P2711" s="173">
        <v>15</v>
      </c>
    </row>
    <row r="2712" spans="7:16" hidden="1" x14ac:dyDescent="0.35">
      <c r="G2712" s="371" t="s">
        <v>1979</v>
      </c>
      <c r="H2712" s="245">
        <v>20</v>
      </c>
      <c r="I2712" s="173">
        <f t="shared" si="312"/>
        <v>2.8571428571428572</v>
      </c>
      <c r="J2712">
        <v>4072</v>
      </c>
      <c r="K2712" s="173">
        <v>3073</v>
      </c>
      <c r="L2712" s="173">
        <f t="shared" si="313"/>
        <v>2.156188605108055</v>
      </c>
      <c r="M2712" s="173">
        <f t="shared" si="314"/>
        <v>5.0133314622509122</v>
      </c>
      <c r="O2712" s="173">
        <f t="shared" si="315"/>
        <v>7.5199971933763683</v>
      </c>
      <c r="P2712" s="173">
        <v>15</v>
      </c>
    </row>
    <row r="2713" spans="7:16" hidden="1" x14ac:dyDescent="0.35">
      <c r="G2713" s="371" t="s">
        <v>1979</v>
      </c>
      <c r="H2713" s="245">
        <v>20</v>
      </c>
      <c r="I2713" s="173">
        <f t="shared" si="312"/>
        <v>2.8571428571428572</v>
      </c>
      <c r="J2713">
        <v>4072</v>
      </c>
      <c r="K2713" s="173">
        <v>3073</v>
      </c>
      <c r="L2713" s="173">
        <f t="shared" si="313"/>
        <v>2.156188605108055</v>
      </c>
      <c r="M2713" s="173">
        <f t="shared" si="314"/>
        <v>5.0133314622509122</v>
      </c>
      <c r="O2713" s="173">
        <f t="shared" si="315"/>
        <v>7.5199971933763683</v>
      </c>
      <c r="P2713" s="173">
        <v>15</v>
      </c>
    </row>
    <row r="2714" spans="7:16" hidden="1" x14ac:dyDescent="0.35">
      <c r="G2714" s="371" t="s">
        <v>1979</v>
      </c>
      <c r="H2714" s="245">
        <v>20</v>
      </c>
      <c r="I2714" s="173">
        <f t="shared" si="312"/>
        <v>2.8571428571428572</v>
      </c>
      <c r="J2714">
        <v>4072</v>
      </c>
      <c r="K2714" s="173">
        <v>3073</v>
      </c>
      <c r="L2714" s="173">
        <f t="shared" si="313"/>
        <v>2.156188605108055</v>
      </c>
      <c r="M2714" s="173">
        <f t="shared" si="314"/>
        <v>5.0133314622509122</v>
      </c>
      <c r="O2714" s="173">
        <f t="shared" si="315"/>
        <v>7.5199971933763683</v>
      </c>
      <c r="P2714" s="173">
        <v>15</v>
      </c>
    </row>
    <row r="2715" spans="7:16" hidden="1" x14ac:dyDescent="0.35">
      <c r="G2715" s="371" t="s">
        <v>1979</v>
      </c>
      <c r="H2715" s="245">
        <v>20</v>
      </c>
      <c r="I2715" s="173">
        <f t="shared" si="312"/>
        <v>2.8571428571428572</v>
      </c>
      <c r="J2715">
        <v>4072</v>
      </c>
      <c r="K2715" s="173">
        <v>3073</v>
      </c>
      <c r="L2715" s="173">
        <f t="shared" si="313"/>
        <v>2.156188605108055</v>
      </c>
      <c r="M2715" s="173">
        <f t="shared" si="314"/>
        <v>5.0133314622509122</v>
      </c>
      <c r="O2715" s="173">
        <f t="shared" si="315"/>
        <v>7.5199971933763683</v>
      </c>
      <c r="P2715" s="173">
        <v>15</v>
      </c>
    </row>
    <row r="2716" spans="7:16" hidden="1" x14ac:dyDescent="0.35">
      <c r="G2716" s="371" t="s">
        <v>1979</v>
      </c>
      <c r="H2716" s="245">
        <v>20</v>
      </c>
      <c r="I2716" s="173">
        <f t="shared" si="312"/>
        <v>2.8571428571428572</v>
      </c>
      <c r="J2716">
        <v>4072</v>
      </c>
      <c r="K2716" s="173">
        <v>3073</v>
      </c>
      <c r="L2716" s="173">
        <f t="shared" si="313"/>
        <v>2.156188605108055</v>
      </c>
      <c r="M2716" s="173">
        <f t="shared" si="314"/>
        <v>5.0133314622509122</v>
      </c>
      <c r="O2716" s="173">
        <f t="shared" si="315"/>
        <v>7.5199971933763683</v>
      </c>
      <c r="P2716" s="173">
        <v>15</v>
      </c>
    </row>
    <row r="2717" spans="7:16" hidden="1" x14ac:dyDescent="0.35">
      <c r="G2717" s="371" t="s">
        <v>1979</v>
      </c>
      <c r="H2717" s="245">
        <v>20</v>
      </c>
      <c r="I2717" s="173">
        <f t="shared" si="312"/>
        <v>2.8571428571428572</v>
      </c>
      <c r="J2717">
        <v>4072</v>
      </c>
      <c r="K2717" s="173">
        <v>3073</v>
      </c>
      <c r="L2717" s="173">
        <f t="shared" si="313"/>
        <v>2.156188605108055</v>
      </c>
      <c r="M2717" s="173">
        <f t="shared" si="314"/>
        <v>5.0133314622509122</v>
      </c>
      <c r="O2717" s="173">
        <f t="shared" si="315"/>
        <v>7.5199971933763683</v>
      </c>
      <c r="P2717" s="173">
        <v>15</v>
      </c>
    </row>
    <row r="2718" spans="7:16" hidden="1" x14ac:dyDescent="0.35">
      <c r="G2718" s="371" t="s">
        <v>1979</v>
      </c>
      <c r="H2718" s="245">
        <v>20</v>
      </c>
      <c r="I2718" s="173">
        <f t="shared" si="312"/>
        <v>2.8571428571428572</v>
      </c>
      <c r="J2718">
        <v>4072</v>
      </c>
      <c r="K2718" s="173">
        <v>3073</v>
      </c>
      <c r="L2718" s="173">
        <f t="shared" si="313"/>
        <v>2.156188605108055</v>
      </c>
      <c r="M2718" s="173">
        <f t="shared" si="314"/>
        <v>5.0133314622509122</v>
      </c>
      <c r="O2718" s="173">
        <f t="shared" si="315"/>
        <v>7.5199971933763683</v>
      </c>
      <c r="P2718" s="173">
        <v>15</v>
      </c>
    </row>
    <row r="2719" spans="7:16" hidden="1" x14ac:dyDescent="0.35">
      <c r="G2719" s="371" t="s">
        <v>1979</v>
      </c>
      <c r="H2719" s="245">
        <v>20</v>
      </c>
      <c r="I2719" s="173">
        <f t="shared" si="312"/>
        <v>2.8571428571428572</v>
      </c>
      <c r="J2719">
        <v>4072</v>
      </c>
      <c r="K2719" s="173">
        <v>3073</v>
      </c>
      <c r="L2719" s="173">
        <f t="shared" si="313"/>
        <v>2.156188605108055</v>
      </c>
      <c r="M2719" s="173">
        <f t="shared" si="314"/>
        <v>5.0133314622509122</v>
      </c>
      <c r="O2719" s="173">
        <f t="shared" si="315"/>
        <v>7.5199971933763683</v>
      </c>
      <c r="P2719" s="173">
        <v>15</v>
      </c>
    </row>
    <row r="2720" spans="7:16" hidden="1" x14ac:dyDescent="0.35">
      <c r="G2720" s="371" t="s">
        <v>1986</v>
      </c>
      <c r="H2720" s="245">
        <v>38</v>
      </c>
      <c r="I2720" s="173">
        <f t="shared" si="312"/>
        <v>5.4285714285714288</v>
      </c>
      <c r="J2720">
        <v>4072</v>
      </c>
      <c r="K2720" s="173">
        <v>3073</v>
      </c>
      <c r="L2720" s="173">
        <f t="shared" si="313"/>
        <v>4.0967583497053051</v>
      </c>
      <c r="M2720" s="173">
        <f t="shared" si="314"/>
        <v>9.5253297782767348</v>
      </c>
      <c r="O2720" s="173">
        <f t="shared" si="315"/>
        <v>14.287994667415102</v>
      </c>
      <c r="P2720" s="173">
        <v>25</v>
      </c>
    </row>
    <row r="2721" spans="4:16" hidden="1" x14ac:dyDescent="0.35">
      <c r="G2721" s="371" t="s">
        <v>1986</v>
      </c>
      <c r="H2721" s="245">
        <v>38</v>
      </c>
      <c r="I2721" s="173">
        <f t="shared" si="312"/>
        <v>5.4285714285714288</v>
      </c>
      <c r="J2721">
        <v>4072</v>
      </c>
      <c r="K2721" s="173">
        <v>3073</v>
      </c>
      <c r="L2721" s="173">
        <f t="shared" si="313"/>
        <v>4.0967583497053051</v>
      </c>
      <c r="M2721" s="173">
        <f t="shared" si="314"/>
        <v>9.5253297782767348</v>
      </c>
      <c r="O2721" s="173">
        <f t="shared" si="315"/>
        <v>14.287994667415102</v>
      </c>
      <c r="P2721" s="173">
        <v>25</v>
      </c>
    </row>
    <row r="2722" spans="4:16" hidden="1" x14ac:dyDescent="0.35">
      <c r="D2722" s="233" t="s">
        <v>2068</v>
      </c>
      <c r="G2722" s="245" t="s">
        <v>1980</v>
      </c>
      <c r="H2722" s="245">
        <v>38</v>
      </c>
      <c r="I2722" s="173">
        <f t="shared" si="312"/>
        <v>5.4285714285714288</v>
      </c>
      <c r="J2722">
        <v>4072</v>
      </c>
      <c r="K2722" s="173">
        <v>3073</v>
      </c>
      <c r="L2722" s="173">
        <f t="shared" si="313"/>
        <v>4.0967583497053051</v>
      </c>
      <c r="M2722" s="173">
        <f t="shared" si="314"/>
        <v>9.5253297782767348</v>
      </c>
      <c r="O2722" s="173">
        <f t="shared" si="315"/>
        <v>14.287994667415102</v>
      </c>
      <c r="P2722" s="173">
        <v>25</v>
      </c>
    </row>
    <row r="2723" spans="4:16" hidden="1" x14ac:dyDescent="0.35">
      <c r="D2723" s="233" t="s">
        <v>2068</v>
      </c>
      <c r="G2723" s="245" t="s">
        <v>1980</v>
      </c>
      <c r="H2723" s="245">
        <v>38</v>
      </c>
      <c r="I2723" s="173">
        <f t="shared" si="312"/>
        <v>5.4285714285714288</v>
      </c>
      <c r="J2723">
        <v>4072</v>
      </c>
      <c r="K2723" s="173">
        <v>3073</v>
      </c>
      <c r="L2723" s="173">
        <f t="shared" si="313"/>
        <v>4.0967583497053051</v>
      </c>
      <c r="M2723" s="173">
        <f t="shared" si="314"/>
        <v>9.5253297782767348</v>
      </c>
      <c r="O2723" s="173">
        <f t="shared" si="315"/>
        <v>14.287994667415102</v>
      </c>
      <c r="P2723" s="173">
        <v>25</v>
      </c>
    </row>
    <row r="2724" spans="4:16" hidden="1" x14ac:dyDescent="0.35">
      <c r="D2724" s="233" t="s">
        <v>2068</v>
      </c>
      <c r="G2724" s="245" t="s">
        <v>1980</v>
      </c>
      <c r="H2724" s="245">
        <v>38</v>
      </c>
      <c r="I2724" s="173">
        <f t="shared" si="312"/>
        <v>5.4285714285714288</v>
      </c>
      <c r="J2724">
        <v>4072</v>
      </c>
      <c r="K2724" s="173">
        <v>3073</v>
      </c>
      <c r="L2724" s="173">
        <f t="shared" si="313"/>
        <v>4.0967583497053051</v>
      </c>
      <c r="M2724" s="173">
        <f t="shared" si="314"/>
        <v>9.5253297782767348</v>
      </c>
      <c r="O2724" s="173">
        <f t="shared" si="315"/>
        <v>14.287994667415102</v>
      </c>
      <c r="P2724" s="173">
        <v>25</v>
      </c>
    </row>
    <row r="2725" spans="4:16" hidden="1" x14ac:dyDescent="0.35">
      <c r="D2725" s="233" t="s">
        <v>2068</v>
      </c>
      <c r="G2725" s="245" t="s">
        <v>1980</v>
      </c>
      <c r="H2725" s="245">
        <v>38</v>
      </c>
      <c r="I2725" s="173">
        <f t="shared" si="312"/>
        <v>5.4285714285714288</v>
      </c>
      <c r="J2725">
        <v>4072</v>
      </c>
      <c r="K2725" s="173">
        <v>3073</v>
      </c>
      <c r="L2725" s="173">
        <f t="shared" si="313"/>
        <v>4.0967583497053051</v>
      </c>
      <c r="M2725" s="173">
        <f t="shared" si="314"/>
        <v>9.5253297782767348</v>
      </c>
      <c r="O2725" s="173">
        <f t="shared" si="315"/>
        <v>14.287994667415102</v>
      </c>
      <c r="P2725" s="173">
        <v>25</v>
      </c>
    </row>
    <row r="2726" spans="4:16" hidden="1" x14ac:dyDescent="0.35">
      <c r="D2726" s="233" t="s">
        <v>2068</v>
      </c>
      <c r="G2726" s="245" t="s">
        <v>1980</v>
      </c>
      <c r="H2726" s="245">
        <v>38</v>
      </c>
      <c r="I2726" s="173">
        <f t="shared" si="312"/>
        <v>5.4285714285714288</v>
      </c>
      <c r="J2726">
        <v>4072</v>
      </c>
      <c r="K2726" s="173">
        <v>3073</v>
      </c>
      <c r="L2726" s="173">
        <f t="shared" si="313"/>
        <v>4.0967583497053051</v>
      </c>
      <c r="M2726" s="173">
        <f t="shared" si="314"/>
        <v>9.5253297782767348</v>
      </c>
      <c r="O2726" s="173">
        <f t="shared" si="315"/>
        <v>14.287994667415102</v>
      </c>
      <c r="P2726" s="173">
        <v>25</v>
      </c>
    </row>
    <row r="2727" spans="4:16" hidden="1" x14ac:dyDescent="0.35">
      <c r="D2727" s="233" t="s">
        <v>2068</v>
      </c>
      <c r="G2727" s="245" t="s">
        <v>1980</v>
      </c>
      <c r="H2727" s="245">
        <v>38</v>
      </c>
      <c r="I2727" s="173">
        <f t="shared" si="312"/>
        <v>5.4285714285714288</v>
      </c>
      <c r="J2727">
        <v>4072</v>
      </c>
      <c r="K2727" s="173">
        <v>3073</v>
      </c>
      <c r="L2727" s="173">
        <f t="shared" si="313"/>
        <v>4.0967583497053051</v>
      </c>
      <c r="M2727" s="173">
        <f t="shared" si="314"/>
        <v>9.5253297782767348</v>
      </c>
      <c r="O2727" s="173">
        <f t="shared" si="315"/>
        <v>14.287994667415102</v>
      </c>
      <c r="P2727" s="173">
        <v>25</v>
      </c>
    </row>
    <row r="2728" spans="4:16" hidden="1" x14ac:dyDescent="0.35">
      <c r="D2728" s="233" t="s">
        <v>2068</v>
      </c>
      <c r="G2728" s="245" t="s">
        <v>1980</v>
      </c>
      <c r="H2728" s="245">
        <v>38</v>
      </c>
      <c r="I2728" s="173">
        <f t="shared" si="312"/>
        <v>5.4285714285714288</v>
      </c>
      <c r="J2728">
        <v>4072</v>
      </c>
      <c r="K2728" s="173">
        <v>3073</v>
      </c>
      <c r="L2728" s="173">
        <f t="shared" si="313"/>
        <v>4.0967583497053051</v>
      </c>
      <c r="M2728" s="173">
        <f t="shared" si="314"/>
        <v>9.5253297782767348</v>
      </c>
      <c r="O2728" s="173">
        <f t="shared" si="315"/>
        <v>14.287994667415102</v>
      </c>
      <c r="P2728" s="173">
        <v>25</v>
      </c>
    </row>
    <row r="2729" spans="4:16" hidden="1" x14ac:dyDescent="0.35">
      <c r="D2729" s="233" t="s">
        <v>2068</v>
      </c>
      <c r="G2729" s="245" t="s">
        <v>1980</v>
      </c>
      <c r="H2729" s="245">
        <v>38</v>
      </c>
      <c r="I2729" s="173">
        <f t="shared" si="312"/>
        <v>5.4285714285714288</v>
      </c>
      <c r="J2729">
        <v>4072</v>
      </c>
      <c r="K2729" s="173">
        <v>3073</v>
      </c>
      <c r="L2729" s="173">
        <f t="shared" si="313"/>
        <v>4.0967583497053051</v>
      </c>
      <c r="M2729" s="173">
        <f t="shared" si="314"/>
        <v>9.5253297782767348</v>
      </c>
      <c r="O2729" s="173">
        <f t="shared" si="315"/>
        <v>14.287994667415102</v>
      </c>
      <c r="P2729" s="173">
        <v>25</v>
      </c>
    </row>
    <row r="2730" spans="4:16" hidden="1" x14ac:dyDescent="0.35">
      <c r="D2730" s="233" t="s">
        <v>2068</v>
      </c>
      <c r="G2730" s="245" t="s">
        <v>1980</v>
      </c>
      <c r="H2730" s="245">
        <v>38</v>
      </c>
      <c r="I2730" s="173">
        <f t="shared" si="312"/>
        <v>5.4285714285714288</v>
      </c>
      <c r="J2730">
        <v>4072</v>
      </c>
      <c r="K2730" s="173">
        <v>3073</v>
      </c>
      <c r="L2730" s="173">
        <f t="shared" si="313"/>
        <v>4.0967583497053051</v>
      </c>
      <c r="M2730" s="173">
        <f t="shared" si="314"/>
        <v>9.5253297782767348</v>
      </c>
      <c r="O2730" s="173">
        <f t="shared" si="315"/>
        <v>14.287994667415102</v>
      </c>
      <c r="P2730" s="173">
        <v>25</v>
      </c>
    </row>
    <row r="2731" spans="4:16" hidden="1" x14ac:dyDescent="0.35">
      <c r="D2731" s="233" t="s">
        <v>2068</v>
      </c>
      <c r="G2731" s="245" t="s">
        <v>1980</v>
      </c>
      <c r="H2731" s="245">
        <v>38</v>
      </c>
      <c r="I2731" s="173">
        <f t="shared" si="312"/>
        <v>5.4285714285714288</v>
      </c>
      <c r="J2731">
        <v>4072</v>
      </c>
      <c r="K2731" s="173">
        <v>3073</v>
      </c>
      <c r="L2731" s="173">
        <f t="shared" si="313"/>
        <v>4.0967583497053051</v>
      </c>
      <c r="M2731" s="173">
        <f t="shared" si="314"/>
        <v>9.5253297782767348</v>
      </c>
      <c r="O2731" s="173">
        <f t="shared" si="315"/>
        <v>14.287994667415102</v>
      </c>
      <c r="P2731" s="173">
        <v>25</v>
      </c>
    </row>
    <row r="2732" spans="4:16" hidden="1" x14ac:dyDescent="0.35">
      <c r="D2732" s="233" t="s">
        <v>2068</v>
      </c>
      <c r="G2732" s="245" t="s">
        <v>1980</v>
      </c>
      <c r="H2732" s="245">
        <v>38</v>
      </c>
      <c r="I2732" s="173">
        <f t="shared" si="312"/>
        <v>5.4285714285714288</v>
      </c>
      <c r="J2732">
        <v>4072</v>
      </c>
      <c r="K2732" s="173">
        <v>3073</v>
      </c>
      <c r="L2732" s="173">
        <f t="shared" si="313"/>
        <v>4.0967583497053051</v>
      </c>
      <c r="M2732" s="173">
        <f t="shared" si="314"/>
        <v>9.5253297782767348</v>
      </c>
      <c r="O2732" s="173">
        <f t="shared" si="315"/>
        <v>14.287994667415102</v>
      </c>
      <c r="P2732" s="173">
        <v>25</v>
      </c>
    </row>
    <row r="2733" spans="4:16" hidden="1" x14ac:dyDescent="0.35">
      <c r="D2733" s="233" t="s">
        <v>2068</v>
      </c>
      <c r="G2733" s="245" t="s">
        <v>1980</v>
      </c>
      <c r="H2733" s="245">
        <v>38</v>
      </c>
      <c r="I2733" s="173">
        <f t="shared" si="312"/>
        <v>5.4285714285714288</v>
      </c>
      <c r="J2733">
        <v>4072</v>
      </c>
      <c r="K2733" s="173">
        <v>3073</v>
      </c>
      <c r="L2733" s="173">
        <f t="shared" si="313"/>
        <v>4.0967583497053051</v>
      </c>
      <c r="M2733" s="173">
        <f t="shared" si="314"/>
        <v>9.5253297782767348</v>
      </c>
      <c r="O2733" s="173">
        <f t="shared" si="315"/>
        <v>14.287994667415102</v>
      </c>
      <c r="P2733" s="173">
        <v>25</v>
      </c>
    </row>
    <row r="2734" spans="4:16" hidden="1" x14ac:dyDescent="0.35">
      <c r="D2734" s="233" t="s">
        <v>2068</v>
      </c>
      <c r="G2734" s="245" t="s">
        <v>1980</v>
      </c>
      <c r="H2734" s="245">
        <v>38</v>
      </c>
      <c r="I2734" s="173">
        <f t="shared" si="312"/>
        <v>5.4285714285714288</v>
      </c>
      <c r="J2734">
        <v>4072</v>
      </c>
      <c r="K2734" s="173">
        <v>3073</v>
      </c>
      <c r="L2734" s="173">
        <f t="shared" si="313"/>
        <v>4.0967583497053051</v>
      </c>
      <c r="M2734" s="173">
        <f t="shared" si="314"/>
        <v>9.5253297782767348</v>
      </c>
      <c r="O2734" s="173">
        <f t="shared" si="315"/>
        <v>14.287994667415102</v>
      </c>
      <c r="P2734" s="173">
        <v>25</v>
      </c>
    </row>
    <row r="2735" spans="4:16" hidden="1" x14ac:dyDescent="0.35">
      <c r="D2735" s="233" t="s">
        <v>2068</v>
      </c>
      <c r="G2735" s="245" t="s">
        <v>1980</v>
      </c>
      <c r="H2735" s="245">
        <v>38</v>
      </c>
      <c r="I2735" s="173">
        <f t="shared" si="312"/>
        <v>5.4285714285714288</v>
      </c>
      <c r="J2735">
        <v>4072</v>
      </c>
      <c r="K2735" s="173">
        <v>3073</v>
      </c>
      <c r="L2735" s="173">
        <f t="shared" si="313"/>
        <v>4.0967583497053051</v>
      </c>
      <c r="M2735" s="173">
        <f t="shared" si="314"/>
        <v>9.5253297782767348</v>
      </c>
      <c r="O2735" s="173">
        <f t="shared" si="315"/>
        <v>14.287994667415102</v>
      </c>
      <c r="P2735" s="173">
        <v>25</v>
      </c>
    </row>
    <row r="2736" spans="4:16" hidden="1" x14ac:dyDescent="0.35">
      <c r="D2736" s="233" t="s">
        <v>2068</v>
      </c>
      <c r="G2736" s="245" t="s">
        <v>1980</v>
      </c>
      <c r="H2736" s="245">
        <v>38</v>
      </c>
      <c r="I2736" s="173">
        <f t="shared" si="312"/>
        <v>5.4285714285714288</v>
      </c>
      <c r="J2736">
        <v>4072</v>
      </c>
      <c r="K2736" s="173">
        <v>3073</v>
      </c>
      <c r="L2736" s="173">
        <f t="shared" si="313"/>
        <v>4.0967583497053051</v>
      </c>
      <c r="M2736" s="173">
        <f t="shared" si="314"/>
        <v>9.5253297782767348</v>
      </c>
      <c r="O2736" s="173">
        <f t="shared" si="315"/>
        <v>14.287994667415102</v>
      </c>
      <c r="P2736" s="173">
        <v>25</v>
      </c>
    </row>
    <row r="2737" spans="4:16" hidden="1" x14ac:dyDescent="0.35">
      <c r="D2737" s="233" t="s">
        <v>2068</v>
      </c>
      <c r="G2737" s="245" t="s">
        <v>1980</v>
      </c>
      <c r="H2737" s="245">
        <v>38</v>
      </c>
      <c r="I2737" s="173">
        <f t="shared" si="312"/>
        <v>5.4285714285714288</v>
      </c>
      <c r="J2737">
        <v>4072</v>
      </c>
      <c r="K2737" s="173">
        <v>3073</v>
      </c>
      <c r="L2737" s="173">
        <f t="shared" si="313"/>
        <v>4.0967583497053051</v>
      </c>
      <c r="M2737" s="173">
        <f t="shared" si="314"/>
        <v>9.5253297782767348</v>
      </c>
      <c r="O2737" s="173">
        <f t="shared" si="315"/>
        <v>14.287994667415102</v>
      </c>
      <c r="P2737" s="173">
        <v>25</v>
      </c>
    </row>
    <row r="2738" spans="4:16" hidden="1" x14ac:dyDescent="0.35">
      <c r="D2738" s="233" t="s">
        <v>2068</v>
      </c>
      <c r="G2738" s="245" t="s">
        <v>1980</v>
      </c>
      <c r="H2738" s="245">
        <v>38</v>
      </c>
      <c r="I2738" s="173">
        <f t="shared" si="312"/>
        <v>5.4285714285714288</v>
      </c>
      <c r="J2738">
        <v>4072</v>
      </c>
      <c r="K2738" s="173">
        <v>3073</v>
      </c>
      <c r="L2738" s="173">
        <f t="shared" si="313"/>
        <v>4.0967583497053051</v>
      </c>
      <c r="M2738" s="173">
        <f t="shared" si="314"/>
        <v>9.5253297782767348</v>
      </c>
      <c r="O2738" s="173">
        <f t="shared" si="315"/>
        <v>14.287994667415102</v>
      </c>
      <c r="P2738" s="173">
        <v>25</v>
      </c>
    </row>
    <row r="2739" spans="4:16" hidden="1" x14ac:dyDescent="0.35">
      <c r="D2739" s="233" t="s">
        <v>2068</v>
      </c>
      <c r="G2739" s="245" t="s">
        <v>1980</v>
      </c>
      <c r="H2739" s="245">
        <v>38</v>
      </c>
      <c r="I2739" s="173">
        <f t="shared" si="312"/>
        <v>5.4285714285714288</v>
      </c>
      <c r="J2739">
        <v>4072</v>
      </c>
      <c r="K2739" s="173">
        <v>3073</v>
      </c>
      <c r="L2739" s="173">
        <f t="shared" si="313"/>
        <v>4.0967583497053051</v>
      </c>
      <c r="M2739" s="173">
        <f t="shared" si="314"/>
        <v>9.5253297782767348</v>
      </c>
      <c r="O2739" s="173">
        <f t="shared" si="315"/>
        <v>14.287994667415102</v>
      </c>
      <c r="P2739" s="173">
        <v>25</v>
      </c>
    </row>
    <row r="2740" spans="4:16" hidden="1" x14ac:dyDescent="0.35">
      <c r="D2740" s="233" t="s">
        <v>2068</v>
      </c>
      <c r="G2740" s="245" t="s">
        <v>1981</v>
      </c>
      <c r="H2740" s="245">
        <v>78</v>
      </c>
      <c r="I2740" s="173">
        <f t="shared" si="312"/>
        <v>11.142857142857142</v>
      </c>
      <c r="J2740">
        <v>4072</v>
      </c>
      <c r="K2740" s="173">
        <v>3073</v>
      </c>
      <c r="L2740" s="173">
        <f t="shared" si="313"/>
        <v>8.4091355599214133</v>
      </c>
      <c r="M2740" s="173">
        <f t="shared" si="314"/>
        <v>19.551992702778556</v>
      </c>
      <c r="O2740" s="173">
        <f t="shared" si="315"/>
        <v>29.327989054167833</v>
      </c>
      <c r="P2740" s="173">
        <v>55</v>
      </c>
    </row>
    <row r="2741" spans="4:16" hidden="1" x14ac:dyDescent="0.35">
      <c r="D2741" s="233" t="s">
        <v>2068</v>
      </c>
      <c r="G2741" s="245" t="s">
        <v>1981</v>
      </c>
      <c r="H2741" s="245">
        <v>78</v>
      </c>
      <c r="I2741" s="173">
        <f t="shared" si="312"/>
        <v>11.142857142857142</v>
      </c>
      <c r="J2741">
        <v>4072</v>
      </c>
      <c r="K2741" s="173">
        <v>3073</v>
      </c>
      <c r="L2741" s="173">
        <f t="shared" si="313"/>
        <v>8.4091355599214133</v>
      </c>
      <c r="M2741" s="173">
        <f t="shared" si="314"/>
        <v>19.551992702778556</v>
      </c>
      <c r="O2741" s="173">
        <f t="shared" si="315"/>
        <v>29.327989054167833</v>
      </c>
      <c r="P2741" s="173">
        <v>55</v>
      </c>
    </row>
    <row r="2742" spans="4:16" hidden="1" x14ac:dyDescent="0.35"/>
    <row r="2743" spans="4:16" hidden="1" x14ac:dyDescent="0.35">
      <c r="D2743" s="233" t="s">
        <v>232</v>
      </c>
      <c r="F2743" s="366">
        <v>1</v>
      </c>
      <c r="G2743" s="371" t="s">
        <v>2033</v>
      </c>
      <c r="H2743" s="245">
        <v>85</v>
      </c>
      <c r="I2743" s="173">
        <f t="shared" ref="I2743:I2793" si="316">+H2743/7</f>
        <v>12.142857142857142</v>
      </c>
      <c r="J2743">
        <v>4072</v>
      </c>
      <c r="K2743" s="173">
        <v>3073</v>
      </c>
      <c r="L2743" s="173">
        <f t="shared" ref="L2743:L2782" si="317">+I2743/J2743*K2743</f>
        <v>9.163801571709234</v>
      </c>
      <c r="M2743" s="173">
        <f t="shared" ref="M2743:M2782" si="318">+I2743+L2743</f>
        <v>21.306658714566375</v>
      </c>
      <c r="O2743" s="173">
        <f t="shared" ref="O2743:O2782" si="319">+M2743*1.5</f>
        <v>31.959988071849562</v>
      </c>
      <c r="P2743" s="173">
        <v>45</v>
      </c>
    </row>
    <row r="2744" spans="4:16" hidden="1" x14ac:dyDescent="0.35">
      <c r="F2744" s="366">
        <v>2</v>
      </c>
      <c r="G2744" s="670" t="s">
        <v>2033</v>
      </c>
    </row>
    <row r="2745" spans="4:16" hidden="1" x14ac:dyDescent="0.35">
      <c r="F2745" s="366">
        <v>3</v>
      </c>
      <c r="G2745" s="670" t="s">
        <v>2033</v>
      </c>
    </row>
    <row r="2746" spans="4:16" hidden="1" x14ac:dyDescent="0.35">
      <c r="F2746" s="366">
        <v>4</v>
      </c>
      <c r="G2746" s="371" t="s">
        <v>2034</v>
      </c>
      <c r="H2746" s="245">
        <v>85</v>
      </c>
      <c r="I2746" s="173">
        <f t="shared" si="316"/>
        <v>12.142857142857142</v>
      </c>
      <c r="J2746">
        <v>4072</v>
      </c>
      <c r="K2746" s="173">
        <v>3073</v>
      </c>
      <c r="L2746" s="173">
        <f t="shared" si="317"/>
        <v>9.163801571709234</v>
      </c>
      <c r="M2746" s="173">
        <f t="shared" si="318"/>
        <v>21.306658714566375</v>
      </c>
      <c r="O2746" s="173">
        <f t="shared" si="319"/>
        <v>31.959988071849562</v>
      </c>
      <c r="P2746" s="173">
        <v>45</v>
      </c>
    </row>
    <row r="2747" spans="4:16" hidden="1" x14ac:dyDescent="0.35">
      <c r="F2747" s="366">
        <v>5</v>
      </c>
      <c r="G2747" s="371" t="s">
        <v>2034</v>
      </c>
      <c r="H2747" s="245">
        <v>85</v>
      </c>
      <c r="I2747" s="173">
        <f t="shared" si="316"/>
        <v>12.142857142857142</v>
      </c>
      <c r="J2747">
        <v>4072</v>
      </c>
      <c r="K2747" s="173">
        <v>3073</v>
      </c>
      <c r="L2747" s="173">
        <f t="shared" si="317"/>
        <v>9.163801571709234</v>
      </c>
      <c r="M2747" s="173">
        <f t="shared" si="318"/>
        <v>21.306658714566375</v>
      </c>
      <c r="O2747" s="173">
        <f t="shared" si="319"/>
        <v>31.959988071849562</v>
      </c>
      <c r="P2747" s="173">
        <v>45</v>
      </c>
    </row>
    <row r="2748" spans="4:16" hidden="1" x14ac:dyDescent="0.35">
      <c r="F2748" s="366">
        <v>6</v>
      </c>
      <c r="G2748" s="371" t="s">
        <v>2034</v>
      </c>
      <c r="H2748" s="245">
        <v>85</v>
      </c>
      <c r="I2748" s="173">
        <f t="shared" si="316"/>
        <v>12.142857142857142</v>
      </c>
      <c r="J2748">
        <v>4072</v>
      </c>
      <c r="K2748" s="173">
        <v>3073</v>
      </c>
      <c r="L2748" s="173">
        <f t="shared" si="317"/>
        <v>9.163801571709234</v>
      </c>
      <c r="M2748" s="173">
        <f t="shared" si="318"/>
        <v>21.306658714566375</v>
      </c>
      <c r="O2748" s="173">
        <f t="shared" si="319"/>
        <v>31.959988071849562</v>
      </c>
      <c r="P2748" s="173">
        <v>45</v>
      </c>
    </row>
    <row r="2749" spans="4:16" hidden="1" x14ac:dyDescent="0.35">
      <c r="F2749" s="366">
        <v>7</v>
      </c>
      <c r="G2749" s="670" t="s">
        <v>2034</v>
      </c>
    </row>
    <row r="2750" spans="4:16" hidden="1" x14ac:dyDescent="0.35">
      <c r="F2750" s="366">
        <v>8</v>
      </c>
      <c r="G2750" s="670" t="s">
        <v>2034</v>
      </c>
    </row>
    <row r="2751" spans="4:16" hidden="1" x14ac:dyDescent="0.35">
      <c r="F2751" s="366">
        <v>9</v>
      </c>
      <c r="G2751" s="371" t="s">
        <v>2035</v>
      </c>
      <c r="H2751" s="245">
        <v>85</v>
      </c>
      <c r="I2751" s="173">
        <f t="shared" si="316"/>
        <v>12.142857142857142</v>
      </c>
      <c r="J2751">
        <v>4072</v>
      </c>
      <c r="K2751" s="173">
        <v>3073</v>
      </c>
      <c r="L2751" s="173">
        <f t="shared" si="317"/>
        <v>9.163801571709234</v>
      </c>
      <c r="M2751" s="173">
        <f t="shared" si="318"/>
        <v>21.306658714566375</v>
      </c>
      <c r="O2751" s="173">
        <f t="shared" si="319"/>
        <v>31.959988071849562</v>
      </c>
      <c r="P2751" s="173">
        <v>45</v>
      </c>
    </row>
    <row r="2752" spans="4:16" hidden="1" x14ac:dyDescent="0.35">
      <c r="F2752" s="366">
        <v>10</v>
      </c>
      <c r="G2752" s="371" t="s">
        <v>2035</v>
      </c>
      <c r="H2752" s="245">
        <v>85</v>
      </c>
      <c r="I2752" s="173">
        <f t="shared" si="316"/>
        <v>12.142857142857142</v>
      </c>
      <c r="J2752">
        <v>4072</v>
      </c>
      <c r="K2752" s="173">
        <v>3073</v>
      </c>
      <c r="L2752" s="173">
        <f t="shared" si="317"/>
        <v>9.163801571709234</v>
      </c>
      <c r="M2752" s="173">
        <f t="shared" si="318"/>
        <v>21.306658714566375</v>
      </c>
      <c r="O2752" s="173">
        <f t="shared" si="319"/>
        <v>31.959988071849562</v>
      </c>
      <c r="P2752" s="173">
        <v>45</v>
      </c>
    </row>
    <row r="2753" spans="4:20" hidden="1" x14ac:dyDescent="0.35">
      <c r="F2753" s="366">
        <v>11</v>
      </c>
      <c r="G2753" s="372" t="s">
        <v>2036</v>
      </c>
      <c r="H2753" s="372">
        <v>85</v>
      </c>
      <c r="I2753" s="373">
        <f t="shared" si="316"/>
        <v>12.142857142857142</v>
      </c>
      <c r="J2753" s="343">
        <v>4072</v>
      </c>
      <c r="K2753" s="373">
        <v>3073</v>
      </c>
      <c r="L2753" s="373">
        <f t="shared" si="317"/>
        <v>9.163801571709234</v>
      </c>
      <c r="M2753" s="373">
        <f t="shared" si="318"/>
        <v>21.306658714566375</v>
      </c>
      <c r="N2753" s="343"/>
      <c r="O2753" s="373"/>
      <c r="P2753" s="373"/>
      <c r="S2753" t="s">
        <v>2071</v>
      </c>
      <c r="T2753" s="6">
        <v>45994</v>
      </c>
    </row>
    <row r="2754" spans="4:20" hidden="1" x14ac:dyDescent="0.35">
      <c r="F2754" s="366">
        <v>12</v>
      </c>
      <c r="G2754" s="371" t="s">
        <v>2036</v>
      </c>
      <c r="H2754" s="245">
        <v>85</v>
      </c>
      <c r="I2754" s="173">
        <f t="shared" si="316"/>
        <v>12.142857142857142</v>
      </c>
      <c r="J2754">
        <v>4072</v>
      </c>
      <c r="K2754" s="173">
        <v>3073</v>
      </c>
      <c r="L2754" s="173">
        <f t="shared" si="317"/>
        <v>9.163801571709234</v>
      </c>
      <c r="M2754" s="173">
        <f t="shared" si="318"/>
        <v>21.306658714566375</v>
      </c>
      <c r="O2754" s="173">
        <f t="shared" si="319"/>
        <v>31.959988071849562</v>
      </c>
      <c r="P2754" s="173">
        <v>55</v>
      </c>
    </row>
    <row r="2755" spans="4:20" hidden="1" x14ac:dyDescent="0.35">
      <c r="F2755" s="366">
        <v>13</v>
      </c>
      <c r="G2755" s="371" t="s">
        <v>2036</v>
      </c>
      <c r="H2755" s="245">
        <v>85</v>
      </c>
      <c r="I2755" s="173">
        <f t="shared" si="316"/>
        <v>12.142857142857142</v>
      </c>
      <c r="J2755">
        <v>4072</v>
      </c>
      <c r="K2755" s="173">
        <v>3073</v>
      </c>
      <c r="L2755" s="173">
        <f t="shared" si="317"/>
        <v>9.163801571709234</v>
      </c>
      <c r="M2755" s="173">
        <f t="shared" si="318"/>
        <v>21.306658714566375</v>
      </c>
      <c r="O2755" s="173">
        <f t="shared" si="319"/>
        <v>31.959988071849562</v>
      </c>
      <c r="P2755" s="173">
        <v>55</v>
      </c>
    </row>
    <row r="2756" spans="4:20" hidden="1" x14ac:dyDescent="0.35">
      <c r="F2756" s="366">
        <v>14</v>
      </c>
      <c r="G2756" s="670" t="s">
        <v>2036</v>
      </c>
    </row>
    <row r="2757" spans="4:20" hidden="1" x14ac:dyDescent="0.35">
      <c r="F2757" s="366">
        <v>15</v>
      </c>
      <c r="G2757" s="670" t="s">
        <v>2036</v>
      </c>
    </row>
    <row r="2758" spans="4:20" hidden="1" x14ac:dyDescent="0.35">
      <c r="F2758" s="366">
        <v>16</v>
      </c>
      <c r="G2758" s="371" t="s">
        <v>2037</v>
      </c>
      <c r="H2758" s="245">
        <v>85</v>
      </c>
      <c r="I2758" s="173">
        <f t="shared" si="316"/>
        <v>12.142857142857142</v>
      </c>
      <c r="J2758">
        <v>4072</v>
      </c>
      <c r="K2758" s="173">
        <v>3073</v>
      </c>
      <c r="L2758" s="173">
        <f t="shared" si="317"/>
        <v>9.163801571709234</v>
      </c>
      <c r="M2758" s="173">
        <f t="shared" si="318"/>
        <v>21.306658714566375</v>
      </c>
      <c r="O2758" s="173">
        <f t="shared" si="319"/>
        <v>31.959988071849562</v>
      </c>
      <c r="P2758" s="173">
        <v>55</v>
      </c>
    </row>
    <row r="2759" spans="4:20" hidden="1" x14ac:dyDescent="0.35">
      <c r="D2759" s="233" t="s">
        <v>2039</v>
      </c>
      <c r="F2759" s="366">
        <v>17</v>
      </c>
      <c r="G2759" s="371" t="s">
        <v>2038</v>
      </c>
      <c r="H2759" s="245">
        <v>85</v>
      </c>
      <c r="I2759" s="173">
        <f t="shared" si="316"/>
        <v>12.142857142857142</v>
      </c>
      <c r="J2759">
        <v>4072</v>
      </c>
      <c r="K2759" s="173">
        <v>3073</v>
      </c>
      <c r="L2759" s="173">
        <f t="shared" si="317"/>
        <v>9.163801571709234</v>
      </c>
      <c r="M2759" s="173">
        <f t="shared" si="318"/>
        <v>21.306658714566375</v>
      </c>
      <c r="O2759" s="173">
        <f t="shared" si="319"/>
        <v>31.959988071849562</v>
      </c>
      <c r="P2759" s="173">
        <v>55</v>
      </c>
    </row>
    <row r="2760" spans="4:20" hidden="1" x14ac:dyDescent="0.35">
      <c r="D2760" s="233" t="s">
        <v>2039</v>
      </c>
      <c r="F2760" s="366">
        <v>18</v>
      </c>
      <c r="G2760" s="371" t="s">
        <v>2038</v>
      </c>
      <c r="H2760" s="245">
        <v>85</v>
      </c>
      <c r="I2760" s="173">
        <f t="shared" si="316"/>
        <v>12.142857142857142</v>
      </c>
      <c r="J2760">
        <v>4072</v>
      </c>
      <c r="K2760" s="173">
        <v>3073</v>
      </c>
      <c r="L2760" s="173">
        <f t="shared" si="317"/>
        <v>9.163801571709234</v>
      </c>
      <c r="M2760" s="173">
        <f t="shared" si="318"/>
        <v>21.306658714566375</v>
      </c>
      <c r="O2760" s="173">
        <f t="shared" si="319"/>
        <v>31.959988071849562</v>
      </c>
      <c r="P2760" s="173">
        <v>55</v>
      </c>
    </row>
    <row r="2761" spans="4:20" hidden="1" x14ac:dyDescent="0.35">
      <c r="D2761" s="233" t="s">
        <v>2039</v>
      </c>
      <c r="F2761" s="366">
        <v>19</v>
      </c>
      <c r="G2761" s="371" t="s">
        <v>2038</v>
      </c>
      <c r="H2761" s="245">
        <v>85</v>
      </c>
      <c r="I2761" s="173">
        <f t="shared" si="316"/>
        <v>12.142857142857142</v>
      </c>
      <c r="J2761">
        <v>4072</v>
      </c>
      <c r="K2761" s="173">
        <v>3073</v>
      </c>
      <c r="L2761" s="173">
        <f t="shared" si="317"/>
        <v>9.163801571709234</v>
      </c>
      <c r="M2761" s="173">
        <f t="shared" si="318"/>
        <v>21.306658714566375</v>
      </c>
      <c r="O2761" s="173">
        <f t="shared" si="319"/>
        <v>31.959988071849562</v>
      </c>
      <c r="P2761" s="173">
        <v>55</v>
      </c>
    </row>
    <row r="2762" spans="4:20" hidden="1" x14ac:dyDescent="0.35">
      <c r="F2762" s="366">
        <v>20</v>
      </c>
      <c r="G2762" s="670" t="s">
        <v>2038</v>
      </c>
    </row>
    <row r="2763" spans="4:20" hidden="1" x14ac:dyDescent="0.35">
      <c r="F2763" s="366">
        <v>21</v>
      </c>
      <c r="G2763" s="670" t="s">
        <v>2038</v>
      </c>
    </row>
    <row r="2764" spans="4:20" hidden="1" x14ac:dyDescent="0.35">
      <c r="F2764" s="366">
        <v>22</v>
      </c>
      <c r="G2764" s="670" t="s">
        <v>2038</v>
      </c>
    </row>
    <row r="2765" spans="4:20" hidden="1" x14ac:dyDescent="0.35">
      <c r="F2765" s="366">
        <v>23</v>
      </c>
      <c r="G2765" s="371" t="s">
        <v>2047</v>
      </c>
      <c r="H2765" s="245">
        <v>85</v>
      </c>
      <c r="I2765" s="173">
        <f t="shared" si="316"/>
        <v>12.142857142857142</v>
      </c>
      <c r="J2765">
        <v>4072</v>
      </c>
      <c r="K2765" s="173">
        <v>3073</v>
      </c>
      <c r="L2765" s="173">
        <f t="shared" si="317"/>
        <v>9.163801571709234</v>
      </c>
      <c r="M2765" s="173">
        <f t="shared" si="318"/>
        <v>21.306658714566375</v>
      </c>
      <c r="O2765" s="173">
        <f t="shared" si="319"/>
        <v>31.959988071849562</v>
      </c>
      <c r="P2765" s="173">
        <v>55</v>
      </c>
    </row>
    <row r="2766" spans="4:20" hidden="1" x14ac:dyDescent="0.35">
      <c r="D2766" s="233" t="s">
        <v>2040</v>
      </c>
      <c r="F2766" s="366">
        <v>24</v>
      </c>
      <c r="G2766" s="371" t="s">
        <v>2041</v>
      </c>
      <c r="H2766" s="245">
        <v>85</v>
      </c>
      <c r="I2766" s="173">
        <f t="shared" si="316"/>
        <v>12.142857142857142</v>
      </c>
      <c r="J2766">
        <v>4072</v>
      </c>
      <c r="K2766" s="173">
        <v>3073</v>
      </c>
      <c r="L2766" s="173">
        <f t="shared" si="317"/>
        <v>9.163801571709234</v>
      </c>
      <c r="M2766" s="173">
        <f t="shared" si="318"/>
        <v>21.306658714566375</v>
      </c>
      <c r="O2766" s="173">
        <f t="shared" si="319"/>
        <v>31.959988071849562</v>
      </c>
      <c r="P2766" s="173">
        <v>45</v>
      </c>
    </row>
    <row r="2767" spans="4:20" hidden="1" x14ac:dyDescent="0.35">
      <c r="F2767" s="366">
        <v>25</v>
      </c>
      <c r="G2767" s="670" t="s">
        <v>2041</v>
      </c>
    </row>
    <row r="2768" spans="4:20" hidden="1" x14ac:dyDescent="0.35">
      <c r="D2768" s="233" t="s">
        <v>2040</v>
      </c>
      <c r="F2768" s="366">
        <v>26</v>
      </c>
      <c r="G2768" s="371" t="s">
        <v>2042</v>
      </c>
      <c r="H2768" s="245">
        <v>85</v>
      </c>
      <c r="I2768" s="173">
        <f t="shared" si="316"/>
        <v>12.142857142857142</v>
      </c>
      <c r="J2768">
        <v>4072</v>
      </c>
      <c r="K2768" s="173">
        <v>3073</v>
      </c>
      <c r="L2768" s="173">
        <f t="shared" si="317"/>
        <v>9.163801571709234</v>
      </c>
      <c r="M2768" s="173">
        <f t="shared" si="318"/>
        <v>21.306658714566375</v>
      </c>
      <c r="O2768" s="173">
        <f t="shared" si="319"/>
        <v>31.959988071849562</v>
      </c>
      <c r="P2768" s="173">
        <v>45</v>
      </c>
    </row>
    <row r="2769" spans="4:20" hidden="1" x14ac:dyDescent="0.35">
      <c r="D2769" s="233" t="s">
        <v>2040</v>
      </c>
      <c r="F2769" s="366">
        <v>27</v>
      </c>
      <c r="G2769" s="371" t="s">
        <v>2043</v>
      </c>
      <c r="H2769" s="245">
        <v>85</v>
      </c>
      <c r="I2769" s="173">
        <f t="shared" si="316"/>
        <v>12.142857142857142</v>
      </c>
      <c r="J2769">
        <v>4072</v>
      </c>
      <c r="K2769" s="173">
        <v>3073</v>
      </c>
      <c r="L2769" s="173">
        <f t="shared" si="317"/>
        <v>9.163801571709234</v>
      </c>
      <c r="M2769" s="173">
        <f t="shared" si="318"/>
        <v>21.306658714566375</v>
      </c>
      <c r="O2769" s="173">
        <f t="shared" si="319"/>
        <v>31.959988071849562</v>
      </c>
      <c r="P2769" s="173">
        <v>45</v>
      </c>
    </row>
    <row r="2770" spans="4:20" hidden="1" x14ac:dyDescent="0.35">
      <c r="F2770" s="366">
        <v>28</v>
      </c>
      <c r="G2770" s="670" t="s">
        <v>2043</v>
      </c>
    </row>
    <row r="2771" spans="4:20" hidden="1" x14ac:dyDescent="0.35">
      <c r="D2771" s="233" t="s">
        <v>2040</v>
      </c>
      <c r="F2771" s="366">
        <v>29</v>
      </c>
      <c r="G2771" s="371" t="s">
        <v>2044</v>
      </c>
      <c r="H2771" s="245">
        <v>85</v>
      </c>
      <c r="I2771" s="173">
        <f t="shared" si="316"/>
        <v>12.142857142857142</v>
      </c>
      <c r="J2771">
        <v>4072</v>
      </c>
      <c r="K2771" s="173">
        <v>3073</v>
      </c>
      <c r="L2771" s="173">
        <f t="shared" si="317"/>
        <v>9.163801571709234</v>
      </c>
      <c r="M2771" s="173">
        <f t="shared" si="318"/>
        <v>21.306658714566375</v>
      </c>
      <c r="O2771" s="173">
        <f t="shared" si="319"/>
        <v>31.959988071849562</v>
      </c>
      <c r="P2771" s="173">
        <v>45</v>
      </c>
    </row>
    <row r="2772" spans="4:20" hidden="1" x14ac:dyDescent="0.35">
      <c r="F2772" s="366">
        <v>30</v>
      </c>
      <c r="G2772" s="670" t="s">
        <v>2044</v>
      </c>
    </row>
    <row r="2773" spans="4:20" hidden="1" x14ac:dyDescent="0.35">
      <c r="F2773" s="366">
        <v>31</v>
      </c>
      <c r="G2773" s="670" t="s">
        <v>2044</v>
      </c>
    </row>
    <row r="2774" spans="4:20" hidden="1" x14ac:dyDescent="0.35">
      <c r="F2774" s="366">
        <v>32</v>
      </c>
      <c r="G2774" s="670" t="s">
        <v>2075</v>
      </c>
    </row>
    <row r="2775" spans="4:20" hidden="1" x14ac:dyDescent="0.35">
      <c r="D2775" s="233" t="s">
        <v>2040</v>
      </c>
      <c r="F2775" s="366">
        <v>33</v>
      </c>
      <c r="G2775" s="371" t="s">
        <v>2075</v>
      </c>
      <c r="H2775" s="245">
        <v>85</v>
      </c>
      <c r="I2775" s="173">
        <f t="shared" si="316"/>
        <v>12.142857142857142</v>
      </c>
      <c r="J2775">
        <v>4072</v>
      </c>
      <c r="K2775" s="173">
        <v>3073</v>
      </c>
      <c r="L2775" s="173">
        <f t="shared" si="317"/>
        <v>9.163801571709234</v>
      </c>
      <c r="M2775" s="173">
        <f t="shared" si="318"/>
        <v>21.306658714566375</v>
      </c>
      <c r="O2775" s="173">
        <f t="shared" si="319"/>
        <v>31.959988071849562</v>
      </c>
      <c r="P2775" s="173">
        <v>45</v>
      </c>
    </row>
    <row r="2776" spans="4:20" hidden="1" x14ac:dyDescent="0.35">
      <c r="F2776" s="366">
        <v>34</v>
      </c>
      <c r="G2776" s="371" t="s">
        <v>2045</v>
      </c>
      <c r="H2776" s="371">
        <v>85</v>
      </c>
      <c r="I2776" s="176">
        <f t="shared" si="316"/>
        <v>12.142857142857142</v>
      </c>
      <c r="J2776" s="12">
        <v>4072</v>
      </c>
      <c r="K2776" s="176">
        <v>3073</v>
      </c>
      <c r="L2776" s="176">
        <f t="shared" si="317"/>
        <v>9.163801571709234</v>
      </c>
      <c r="M2776" s="176">
        <f t="shared" si="318"/>
        <v>21.306658714566375</v>
      </c>
      <c r="N2776" s="12"/>
      <c r="O2776" s="176">
        <f t="shared" si="319"/>
        <v>31.959988071849562</v>
      </c>
      <c r="P2776" s="176">
        <v>45</v>
      </c>
      <c r="S2776" t="s">
        <v>12</v>
      </c>
      <c r="T2776" s="6">
        <v>45985</v>
      </c>
    </row>
    <row r="2777" spans="4:20" hidden="1" x14ac:dyDescent="0.35">
      <c r="F2777" s="366">
        <v>35</v>
      </c>
      <c r="G2777" s="371" t="s">
        <v>2046</v>
      </c>
      <c r="H2777" s="245">
        <v>85</v>
      </c>
      <c r="I2777" s="173">
        <f t="shared" si="316"/>
        <v>12.142857142857142</v>
      </c>
      <c r="J2777">
        <v>4072</v>
      </c>
      <c r="K2777" s="173">
        <v>3073</v>
      </c>
      <c r="L2777" s="173">
        <f t="shared" si="317"/>
        <v>9.163801571709234</v>
      </c>
      <c r="M2777" s="173">
        <f t="shared" si="318"/>
        <v>21.306658714566375</v>
      </c>
      <c r="O2777" s="173">
        <f t="shared" si="319"/>
        <v>31.959988071849562</v>
      </c>
      <c r="P2777" s="173">
        <v>45</v>
      </c>
    </row>
    <row r="2778" spans="4:20" hidden="1" x14ac:dyDescent="0.35">
      <c r="F2778" s="366">
        <v>36</v>
      </c>
      <c r="G2778" s="670" t="s">
        <v>2046</v>
      </c>
    </row>
    <row r="2779" spans="4:20" hidden="1" x14ac:dyDescent="0.35">
      <c r="F2779" s="366">
        <v>37</v>
      </c>
      <c r="G2779" s="670" t="s">
        <v>2046</v>
      </c>
    </row>
    <row r="2780" spans="4:20" hidden="1" x14ac:dyDescent="0.35">
      <c r="F2780" s="366">
        <v>38</v>
      </c>
      <c r="G2780" s="670" t="s">
        <v>2046</v>
      </c>
    </row>
    <row r="2781" spans="4:20" hidden="1" x14ac:dyDescent="0.35">
      <c r="F2781" s="366">
        <v>39</v>
      </c>
      <c r="G2781" s="670" t="s">
        <v>2046</v>
      </c>
    </row>
    <row r="2782" spans="4:20" hidden="1" x14ac:dyDescent="0.35">
      <c r="F2782" s="366">
        <v>40</v>
      </c>
      <c r="G2782" s="371" t="s">
        <v>2047</v>
      </c>
      <c r="H2782" s="245">
        <v>85</v>
      </c>
      <c r="I2782" s="173">
        <f t="shared" si="316"/>
        <v>12.142857142857142</v>
      </c>
      <c r="J2782">
        <v>4072</v>
      </c>
      <c r="K2782" s="173">
        <v>3073</v>
      </c>
      <c r="L2782" s="173">
        <f t="shared" si="317"/>
        <v>9.163801571709234</v>
      </c>
      <c r="M2782" s="173">
        <f t="shared" si="318"/>
        <v>21.306658714566375</v>
      </c>
      <c r="O2782" s="173">
        <f t="shared" si="319"/>
        <v>31.959988071849562</v>
      </c>
      <c r="P2782" s="173">
        <v>45</v>
      </c>
    </row>
    <row r="2783" spans="4:20" hidden="1" x14ac:dyDescent="0.35">
      <c r="F2783" s="366">
        <v>41</v>
      </c>
      <c r="G2783" s="670" t="s">
        <v>2076</v>
      </c>
    </row>
    <row r="2784" spans="4:20" hidden="1" x14ac:dyDescent="0.35">
      <c r="I2784" s="173">
        <f t="shared" si="316"/>
        <v>0</v>
      </c>
    </row>
    <row r="2785" spans="4:16" hidden="1" x14ac:dyDescent="0.35">
      <c r="D2785" s="233" t="s">
        <v>66</v>
      </c>
      <c r="I2785" s="173">
        <f t="shared" si="316"/>
        <v>0</v>
      </c>
    </row>
    <row r="2786" spans="4:16" hidden="1" x14ac:dyDescent="0.35">
      <c r="F2786" s="366" t="s">
        <v>2048</v>
      </c>
      <c r="G2786" s="245" t="s">
        <v>1982</v>
      </c>
      <c r="H2786" s="245">
        <v>8.5</v>
      </c>
      <c r="I2786" s="173">
        <f t="shared" si="316"/>
        <v>1.2142857142857142</v>
      </c>
      <c r="J2786">
        <v>4072</v>
      </c>
      <c r="K2786" s="173">
        <v>3073</v>
      </c>
      <c r="L2786" s="173">
        <f t="shared" ref="L2786:L2827" si="320">+I2786/J2786*K2786</f>
        <v>0.91638015717092325</v>
      </c>
      <c r="M2786" s="173">
        <f t="shared" ref="M2786:M2827" si="321">+I2786+L2786</f>
        <v>2.1306658714566376</v>
      </c>
      <c r="O2786" s="173">
        <f t="shared" ref="O2786:O2827" si="322">+M2786*1.5</f>
        <v>3.1959988071849565</v>
      </c>
      <c r="P2786" s="173">
        <v>5</v>
      </c>
    </row>
    <row r="2787" spans="4:16" hidden="1" x14ac:dyDescent="0.35">
      <c r="F2787" s="366" t="s">
        <v>2048</v>
      </c>
      <c r="G2787" s="245" t="s">
        <v>1982</v>
      </c>
      <c r="H2787" s="245">
        <v>8.5</v>
      </c>
      <c r="I2787" s="173">
        <f t="shared" si="316"/>
        <v>1.2142857142857142</v>
      </c>
      <c r="J2787">
        <v>4072</v>
      </c>
      <c r="K2787" s="173">
        <v>3073</v>
      </c>
      <c r="L2787" s="173">
        <f t="shared" si="320"/>
        <v>0.91638015717092325</v>
      </c>
      <c r="M2787" s="173">
        <f t="shared" si="321"/>
        <v>2.1306658714566376</v>
      </c>
      <c r="O2787" s="173">
        <f t="shared" si="322"/>
        <v>3.1959988071849565</v>
      </c>
      <c r="P2787" s="173">
        <v>5</v>
      </c>
    </row>
    <row r="2788" spans="4:16" hidden="1" x14ac:dyDescent="0.35">
      <c r="F2788" s="366" t="s">
        <v>405</v>
      </c>
      <c r="G2788" s="245" t="s">
        <v>1982</v>
      </c>
      <c r="H2788" s="245">
        <v>8.5</v>
      </c>
      <c r="I2788" s="173">
        <f t="shared" si="316"/>
        <v>1.2142857142857142</v>
      </c>
      <c r="J2788">
        <v>4072</v>
      </c>
      <c r="K2788" s="173">
        <v>3073</v>
      </c>
      <c r="L2788" s="173">
        <f t="shared" si="320"/>
        <v>0.91638015717092325</v>
      </c>
      <c r="M2788" s="173">
        <f t="shared" si="321"/>
        <v>2.1306658714566376</v>
      </c>
      <c r="O2788" s="173">
        <f t="shared" si="322"/>
        <v>3.1959988071849565</v>
      </c>
      <c r="P2788" s="173">
        <v>5</v>
      </c>
    </row>
    <row r="2789" spans="4:16" hidden="1" x14ac:dyDescent="0.35">
      <c r="F2789" s="366" t="s">
        <v>405</v>
      </c>
      <c r="G2789" s="245" t="s">
        <v>1982</v>
      </c>
      <c r="H2789" s="245">
        <v>8.5</v>
      </c>
      <c r="I2789" s="173">
        <f t="shared" si="316"/>
        <v>1.2142857142857142</v>
      </c>
      <c r="J2789">
        <v>4072</v>
      </c>
      <c r="K2789" s="173">
        <v>3073</v>
      </c>
      <c r="L2789" s="173">
        <f t="shared" si="320"/>
        <v>0.91638015717092325</v>
      </c>
      <c r="M2789" s="173">
        <f t="shared" si="321"/>
        <v>2.1306658714566376</v>
      </c>
      <c r="O2789" s="173">
        <f t="shared" si="322"/>
        <v>3.1959988071849565</v>
      </c>
      <c r="P2789" s="173">
        <v>5</v>
      </c>
    </row>
    <row r="2790" spans="4:16" hidden="1" x14ac:dyDescent="0.35">
      <c r="F2790" s="366" t="s">
        <v>589</v>
      </c>
      <c r="G2790" s="245" t="s">
        <v>1982</v>
      </c>
      <c r="H2790" s="245">
        <v>8.5</v>
      </c>
      <c r="I2790" s="173">
        <f t="shared" si="316"/>
        <v>1.2142857142857142</v>
      </c>
      <c r="J2790">
        <v>4072</v>
      </c>
      <c r="K2790" s="173">
        <v>3073</v>
      </c>
      <c r="L2790" s="173">
        <f t="shared" si="320"/>
        <v>0.91638015717092325</v>
      </c>
      <c r="M2790" s="173">
        <f t="shared" si="321"/>
        <v>2.1306658714566376</v>
      </c>
      <c r="O2790" s="173">
        <f t="shared" si="322"/>
        <v>3.1959988071849565</v>
      </c>
      <c r="P2790" s="173">
        <v>5</v>
      </c>
    </row>
    <row r="2791" spans="4:16" hidden="1" x14ac:dyDescent="0.35">
      <c r="F2791" s="366" t="s">
        <v>627</v>
      </c>
      <c r="G2791" s="245" t="s">
        <v>1982</v>
      </c>
      <c r="H2791" s="245">
        <v>8.5</v>
      </c>
      <c r="I2791" s="173">
        <f t="shared" si="316"/>
        <v>1.2142857142857142</v>
      </c>
      <c r="J2791">
        <v>4072</v>
      </c>
      <c r="K2791" s="173">
        <v>3073</v>
      </c>
      <c r="L2791" s="173">
        <f t="shared" si="320"/>
        <v>0.91638015717092325</v>
      </c>
      <c r="M2791" s="173">
        <f t="shared" si="321"/>
        <v>2.1306658714566376</v>
      </c>
      <c r="O2791" s="173">
        <f t="shared" si="322"/>
        <v>3.1959988071849565</v>
      </c>
      <c r="P2791" s="173">
        <v>5</v>
      </c>
    </row>
    <row r="2792" spans="4:16" hidden="1" x14ac:dyDescent="0.35">
      <c r="F2792" s="366" t="s">
        <v>2048</v>
      </c>
      <c r="G2792" s="245" t="s">
        <v>2049</v>
      </c>
      <c r="H2792" s="245">
        <v>8.5</v>
      </c>
      <c r="I2792" s="173">
        <f t="shared" si="316"/>
        <v>1.2142857142857142</v>
      </c>
      <c r="J2792">
        <v>4072</v>
      </c>
      <c r="K2792" s="173">
        <v>3073</v>
      </c>
      <c r="L2792" s="173">
        <f t="shared" si="320"/>
        <v>0.91638015717092325</v>
      </c>
      <c r="M2792" s="173">
        <f t="shared" si="321"/>
        <v>2.1306658714566376</v>
      </c>
      <c r="O2792" s="173">
        <f t="shared" si="322"/>
        <v>3.1959988071849565</v>
      </c>
      <c r="P2792" s="173">
        <v>5</v>
      </c>
    </row>
    <row r="2793" spans="4:16" hidden="1" x14ac:dyDescent="0.35">
      <c r="F2793" s="366" t="s">
        <v>2048</v>
      </c>
      <c r="G2793" s="245" t="s">
        <v>2049</v>
      </c>
      <c r="H2793" s="245">
        <v>8.5</v>
      </c>
      <c r="I2793" s="173">
        <f t="shared" si="316"/>
        <v>1.2142857142857142</v>
      </c>
      <c r="J2793">
        <v>4072</v>
      </c>
      <c r="K2793" s="173">
        <v>3073</v>
      </c>
      <c r="L2793" s="173">
        <f t="shared" si="320"/>
        <v>0.91638015717092325</v>
      </c>
      <c r="M2793" s="173">
        <f t="shared" si="321"/>
        <v>2.1306658714566376</v>
      </c>
      <c r="O2793" s="173">
        <f t="shared" si="322"/>
        <v>3.1959988071849565</v>
      </c>
      <c r="P2793" s="173">
        <v>5</v>
      </c>
    </row>
    <row r="2794" spans="4:16" hidden="1" x14ac:dyDescent="0.35">
      <c r="F2794" s="366" t="s">
        <v>405</v>
      </c>
      <c r="G2794" s="245" t="s">
        <v>2049</v>
      </c>
      <c r="H2794" s="245">
        <v>8.5</v>
      </c>
      <c r="I2794" s="173">
        <f t="shared" ref="I2794:I2825" si="323">+H2794/7</f>
        <v>1.2142857142857142</v>
      </c>
      <c r="J2794">
        <v>4072</v>
      </c>
      <c r="K2794" s="173">
        <v>3073</v>
      </c>
      <c r="L2794" s="173">
        <f t="shared" si="320"/>
        <v>0.91638015717092325</v>
      </c>
      <c r="M2794" s="173">
        <f t="shared" si="321"/>
        <v>2.1306658714566376</v>
      </c>
      <c r="O2794" s="173">
        <f t="shared" si="322"/>
        <v>3.1959988071849565</v>
      </c>
      <c r="P2794" s="173">
        <v>5</v>
      </c>
    </row>
    <row r="2795" spans="4:16" hidden="1" x14ac:dyDescent="0.35">
      <c r="F2795" s="366" t="s">
        <v>405</v>
      </c>
      <c r="G2795" s="245" t="s">
        <v>2049</v>
      </c>
      <c r="H2795" s="245">
        <v>8.5</v>
      </c>
      <c r="I2795" s="173">
        <f t="shared" si="323"/>
        <v>1.2142857142857142</v>
      </c>
      <c r="J2795">
        <v>4072</v>
      </c>
      <c r="K2795" s="173">
        <v>3073</v>
      </c>
      <c r="L2795" s="173">
        <f t="shared" si="320"/>
        <v>0.91638015717092325</v>
      </c>
      <c r="M2795" s="173">
        <f t="shared" si="321"/>
        <v>2.1306658714566376</v>
      </c>
      <c r="O2795" s="173">
        <f t="shared" si="322"/>
        <v>3.1959988071849565</v>
      </c>
      <c r="P2795" s="173">
        <v>5</v>
      </c>
    </row>
    <row r="2796" spans="4:16" hidden="1" x14ac:dyDescent="0.35">
      <c r="F2796" s="366" t="s">
        <v>589</v>
      </c>
      <c r="G2796" s="245" t="s">
        <v>2049</v>
      </c>
      <c r="H2796" s="245">
        <v>8.5</v>
      </c>
      <c r="I2796" s="173">
        <f t="shared" si="323"/>
        <v>1.2142857142857142</v>
      </c>
      <c r="J2796">
        <v>4072</v>
      </c>
      <c r="K2796" s="173">
        <v>3073</v>
      </c>
      <c r="L2796" s="173">
        <f t="shared" si="320"/>
        <v>0.91638015717092325</v>
      </c>
      <c r="M2796" s="173">
        <f t="shared" si="321"/>
        <v>2.1306658714566376</v>
      </c>
      <c r="O2796" s="173">
        <f t="shared" si="322"/>
        <v>3.1959988071849565</v>
      </c>
      <c r="P2796" s="173">
        <v>5</v>
      </c>
    </row>
    <row r="2797" spans="4:16" hidden="1" x14ac:dyDescent="0.35">
      <c r="F2797" s="366" t="s">
        <v>627</v>
      </c>
      <c r="G2797" s="245" t="s">
        <v>2049</v>
      </c>
      <c r="H2797" s="245">
        <v>8.5</v>
      </c>
      <c r="I2797" s="173">
        <f t="shared" si="323"/>
        <v>1.2142857142857142</v>
      </c>
      <c r="J2797">
        <v>4072</v>
      </c>
      <c r="K2797" s="173">
        <v>3073</v>
      </c>
      <c r="L2797" s="173">
        <f t="shared" si="320"/>
        <v>0.91638015717092325</v>
      </c>
      <c r="M2797" s="173">
        <f t="shared" si="321"/>
        <v>2.1306658714566376</v>
      </c>
      <c r="O2797" s="173">
        <f t="shared" si="322"/>
        <v>3.1959988071849565</v>
      </c>
      <c r="P2797" s="173">
        <v>5</v>
      </c>
    </row>
    <row r="2798" spans="4:16" hidden="1" x14ac:dyDescent="0.35">
      <c r="F2798" s="366" t="s">
        <v>408</v>
      </c>
      <c r="G2798" s="372" t="s">
        <v>2050</v>
      </c>
      <c r="H2798" s="372">
        <v>12</v>
      </c>
      <c r="I2798" s="373">
        <f t="shared" si="323"/>
        <v>1.7142857142857142</v>
      </c>
      <c r="J2798" s="343">
        <v>4072</v>
      </c>
      <c r="K2798" s="373">
        <v>3073</v>
      </c>
      <c r="L2798" s="373">
        <f t="shared" si="320"/>
        <v>1.2937131630648329</v>
      </c>
      <c r="M2798" s="373">
        <f t="shared" si="321"/>
        <v>3.0079988773505471</v>
      </c>
      <c r="N2798" s="343"/>
      <c r="O2798" s="373">
        <f t="shared" si="322"/>
        <v>4.5119983160258208</v>
      </c>
      <c r="P2798" s="373">
        <v>5</v>
      </c>
    </row>
    <row r="2799" spans="4:16" hidden="1" x14ac:dyDescent="0.35">
      <c r="F2799" s="366" t="s">
        <v>408</v>
      </c>
      <c r="G2799" s="372" t="s">
        <v>2050</v>
      </c>
      <c r="H2799" s="372">
        <v>12</v>
      </c>
      <c r="I2799" s="373">
        <f t="shared" si="323"/>
        <v>1.7142857142857142</v>
      </c>
      <c r="J2799" s="343">
        <v>4072</v>
      </c>
      <c r="K2799" s="373">
        <v>3073</v>
      </c>
      <c r="L2799" s="373">
        <f t="shared" si="320"/>
        <v>1.2937131630648329</v>
      </c>
      <c r="M2799" s="373">
        <f t="shared" si="321"/>
        <v>3.0079988773505471</v>
      </c>
      <c r="N2799" s="343"/>
      <c r="O2799" s="373">
        <f t="shared" si="322"/>
        <v>4.5119983160258208</v>
      </c>
      <c r="P2799" s="373">
        <v>5</v>
      </c>
    </row>
    <row r="2800" spans="4:16" hidden="1" x14ac:dyDescent="0.35">
      <c r="F2800" s="366" t="s">
        <v>408</v>
      </c>
      <c r="G2800" s="245" t="s">
        <v>2050</v>
      </c>
      <c r="H2800" s="245">
        <v>12</v>
      </c>
      <c r="I2800" s="173">
        <f t="shared" si="323"/>
        <v>1.7142857142857142</v>
      </c>
      <c r="J2800">
        <v>4072</v>
      </c>
      <c r="K2800" s="173">
        <v>3073</v>
      </c>
      <c r="L2800" s="173">
        <f t="shared" si="320"/>
        <v>1.2937131630648329</v>
      </c>
      <c r="M2800" s="173">
        <f t="shared" si="321"/>
        <v>3.0079988773505471</v>
      </c>
      <c r="O2800" s="173">
        <f t="shared" si="322"/>
        <v>4.5119983160258208</v>
      </c>
      <c r="P2800" s="173">
        <v>5</v>
      </c>
    </row>
    <row r="2801" spans="6:16" hidden="1" x14ac:dyDescent="0.35">
      <c r="F2801" s="366" t="s">
        <v>408</v>
      </c>
      <c r="G2801" s="245" t="s">
        <v>2050</v>
      </c>
      <c r="H2801" s="245">
        <v>12</v>
      </c>
      <c r="I2801" s="173">
        <f t="shared" si="323"/>
        <v>1.7142857142857142</v>
      </c>
      <c r="J2801">
        <v>4072</v>
      </c>
      <c r="K2801" s="173">
        <v>3073</v>
      </c>
      <c r="L2801" s="173">
        <f t="shared" si="320"/>
        <v>1.2937131630648329</v>
      </c>
      <c r="M2801" s="173">
        <f t="shared" si="321"/>
        <v>3.0079988773505471</v>
      </c>
      <c r="O2801" s="173">
        <f t="shared" si="322"/>
        <v>4.5119983160258208</v>
      </c>
      <c r="P2801" s="173">
        <v>5</v>
      </c>
    </row>
    <row r="2802" spans="6:16" hidden="1" x14ac:dyDescent="0.35">
      <c r="F2802" s="366" t="s">
        <v>408</v>
      </c>
      <c r="G2802" s="245" t="s">
        <v>2050</v>
      </c>
      <c r="H2802" s="245">
        <v>12</v>
      </c>
      <c r="I2802" s="173">
        <f t="shared" si="323"/>
        <v>1.7142857142857142</v>
      </c>
      <c r="J2802">
        <v>4072</v>
      </c>
      <c r="K2802" s="173">
        <v>3073</v>
      </c>
      <c r="L2802" s="173">
        <f t="shared" si="320"/>
        <v>1.2937131630648329</v>
      </c>
      <c r="M2802" s="173">
        <f t="shared" si="321"/>
        <v>3.0079988773505471</v>
      </c>
      <c r="O2802" s="173">
        <f t="shared" si="322"/>
        <v>4.5119983160258208</v>
      </c>
      <c r="P2802" s="173">
        <v>5</v>
      </c>
    </row>
    <row r="2803" spans="6:16" hidden="1" x14ac:dyDescent="0.35">
      <c r="F2803" s="366" t="s">
        <v>408</v>
      </c>
      <c r="G2803" s="245" t="s">
        <v>2050</v>
      </c>
      <c r="H2803" s="245">
        <v>12</v>
      </c>
      <c r="I2803" s="173">
        <f t="shared" si="323"/>
        <v>1.7142857142857142</v>
      </c>
      <c r="J2803">
        <v>4072</v>
      </c>
      <c r="K2803" s="173">
        <v>3073</v>
      </c>
      <c r="L2803" s="173">
        <f t="shared" si="320"/>
        <v>1.2937131630648329</v>
      </c>
      <c r="M2803" s="173">
        <f t="shared" si="321"/>
        <v>3.0079988773505471</v>
      </c>
      <c r="O2803" s="173">
        <f t="shared" si="322"/>
        <v>4.5119983160258208</v>
      </c>
      <c r="P2803" s="173">
        <v>5</v>
      </c>
    </row>
    <row r="2804" spans="6:16" hidden="1" x14ac:dyDescent="0.35">
      <c r="F2804" s="366" t="s">
        <v>407</v>
      </c>
      <c r="G2804" s="245" t="s">
        <v>2050</v>
      </c>
      <c r="H2804" s="245">
        <v>12</v>
      </c>
      <c r="I2804" s="173">
        <f t="shared" si="323"/>
        <v>1.7142857142857142</v>
      </c>
      <c r="J2804">
        <v>4072</v>
      </c>
      <c r="K2804" s="173">
        <v>3073</v>
      </c>
      <c r="L2804" s="173">
        <f t="shared" si="320"/>
        <v>1.2937131630648329</v>
      </c>
      <c r="M2804" s="173">
        <f t="shared" si="321"/>
        <v>3.0079988773505471</v>
      </c>
      <c r="O2804" s="173">
        <f t="shared" si="322"/>
        <v>4.5119983160258208</v>
      </c>
      <c r="P2804" s="173">
        <v>5</v>
      </c>
    </row>
    <row r="2805" spans="6:16" hidden="1" x14ac:dyDescent="0.35">
      <c r="F2805" s="366" t="s">
        <v>407</v>
      </c>
      <c r="G2805" s="245" t="s">
        <v>2050</v>
      </c>
      <c r="H2805" s="245">
        <v>12</v>
      </c>
      <c r="I2805" s="173">
        <f t="shared" si="323"/>
        <v>1.7142857142857142</v>
      </c>
      <c r="J2805">
        <v>4072</v>
      </c>
      <c r="K2805" s="173">
        <v>3073</v>
      </c>
      <c r="L2805" s="173">
        <f t="shared" si="320"/>
        <v>1.2937131630648329</v>
      </c>
      <c r="M2805" s="173">
        <f t="shared" si="321"/>
        <v>3.0079988773505471</v>
      </c>
      <c r="O2805" s="173">
        <f t="shared" si="322"/>
        <v>4.5119983160258208</v>
      </c>
      <c r="P2805" s="173">
        <v>5</v>
      </c>
    </row>
    <row r="2806" spans="6:16" hidden="1" x14ac:dyDescent="0.35">
      <c r="F2806" s="366" t="s">
        <v>407</v>
      </c>
      <c r="G2806" s="245" t="s">
        <v>2050</v>
      </c>
      <c r="H2806" s="245">
        <v>12</v>
      </c>
      <c r="I2806" s="173">
        <f t="shared" si="323"/>
        <v>1.7142857142857142</v>
      </c>
      <c r="J2806">
        <v>4072</v>
      </c>
      <c r="K2806" s="173">
        <v>3073</v>
      </c>
      <c r="L2806" s="173">
        <f t="shared" si="320"/>
        <v>1.2937131630648329</v>
      </c>
      <c r="M2806" s="173">
        <f t="shared" si="321"/>
        <v>3.0079988773505471</v>
      </c>
      <c r="O2806" s="173">
        <f t="shared" si="322"/>
        <v>4.5119983160258208</v>
      </c>
      <c r="P2806" s="173">
        <v>5</v>
      </c>
    </row>
    <row r="2807" spans="6:16" hidden="1" x14ac:dyDescent="0.35">
      <c r="F2807" s="366" t="s">
        <v>407</v>
      </c>
      <c r="G2807" s="245" t="s">
        <v>2050</v>
      </c>
      <c r="H2807" s="245">
        <v>12</v>
      </c>
      <c r="I2807" s="173">
        <f t="shared" si="323"/>
        <v>1.7142857142857142</v>
      </c>
      <c r="J2807">
        <v>4072</v>
      </c>
      <c r="K2807" s="173">
        <v>3073</v>
      </c>
      <c r="L2807" s="173">
        <f t="shared" si="320"/>
        <v>1.2937131630648329</v>
      </c>
      <c r="M2807" s="173">
        <f t="shared" si="321"/>
        <v>3.0079988773505471</v>
      </c>
      <c r="O2807" s="173">
        <f t="shared" si="322"/>
        <v>4.5119983160258208</v>
      </c>
      <c r="P2807" s="173">
        <v>5</v>
      </c>
    </row>
    <row r="2808" spans="6:16" hidden="1" x14ac:dyDescent="0.35">
      <c r="F2808" s="366" t="s">
        <v>407</v>
      </c>
      <c r="G2808" s="245" t="s">
        <v>2050</v>
      </c>
      <c r="H2808" s="245">
        <v>12</v>
      </c>
      <c r="I2808" s="173">
        <f t="shared" si="323"/>
        <v>1.7142857142857142</v>
      </c>
      <c r="J2808">
        <v>4072</v>
      </c>
      <c r="K2808" s="173">
        <v>3073</v>
      </c>
      <c r="L2808" s="173">
        <f t="shared" si="320"/>
        <v>1.2937131630648329</v>
      </c>
      <c r="M2808" s="173">
        <f t="shared" si="321"/>
        <v>3.0079988773505471</v>
      </c>
      <c r="O2808" s="173">
        <f t="shared" si="322"/>
        <v>4.5119983160258208</v>
      </c>
      <c r="P2808" s="173">
        <v>5</v>
      </c>
    </row>
    <row r="2809" spans="6:16" hidden="1" x14ac:dyDescent="0.35">
      <c r="F2809" s="366" t="s">
        <v>407</v>
      </c>
      <c r="G2809" s="245" t="s">
        <v>2050</v>
      </c>
      <c r="H2809" s="245">
        <v>12</v>
      </c>
      <c r="I2809" s="173">
        <f t="shared" si="323"/>
        <v>1.7142857142857142</v>
      </c>
      <c r="J2809">
        <v>4072</v>
      </c>
      <c r="K2809" s="173">
        <v>3073</v>
      </c>
      <c r="L2809" s="173">
        <f t="shared" si="320"/>
        <v>1.2937131630648329</v>
      </c>
      <c r="M2809" s="173">
        <f t="shared" si="321"/>
        <v>3.0079988773505471</v>
      </c>
      <c r="O2809" s="173">
        <f t="shared" si="322"/>
        <v>4.5119983160258208</v>
      </c>
      <c r="P2809" s="173">
        <v>5</v>
      </c>
    </row>
    <row r="2810" spans="6:16" hidden="1" x14ac:dyDescent="0.35">
      <c r="F2810" s="366" t="s">
        <v>409</v>
      </c>
      <c r="G2810" s="372" t="s">
        <v>2050</v>
      </c>
      <c r="H2810" s="372">
        <v>12</v>
      </c>
      <c r="I2810" s="373">
        <f t="shared" si="323"/>
        <v>1.7142857142857142</v>
      </c>
      <c r="J2810" s="343">
        <v>4072</v>
      </c>
      <c r="K2810" s="373">
        <v>3073</v>
      </c>
      <c r="L2810" s="373">
        <f t="shared" si="320"/>
        <v>1.2937131630648329</v>
      </c>
      <c r="M2810" s="373">
        <f t="shared" si="321"/>
        <v>3.0079988773505471</v>
      </c>
      <c r="N2810" s="343"/>
      <c r="O2810" s="373">
        <f t="shared" si="322"/>
        <v>4.5119983160258208</v>
      </c>
      <c r="P2810" s="373">
        <v>5</v>
      </c>
    </row>
    <row r="2811" spans="6:16" hidden="1" x14ac:dyDescent="0.35">
      <c r="F2811" s="366" t="s">
        <v>409</v>
      </c>
      <c r="G2811" s="245" t="s">
        <v>2050</v>
      </c>
      <c r="H2811" s="245">
        <v>12</v>
      </c>
      <c r="I2811" s="173">
        <f t="shared" si="323"/>
        <v>1.7142857142857142</v>
      </c>
      <c r="J2811">
        <v>4072</v>
      </c>
      <c r="K2811" s="173">
        <v>3073</v>
      </c>
      <c r="L2811" s="173">
        <f t="shared" si="320"/>
        <v>1.2937131630648329</v>
      </c>
      <c r="M2811" s="173">
        <f t="shared" si="321"/>
        <v>3.0079988773505471</v>
      </c>
      <c r="O2811" s="173">
        <f t="shared" si="322"/>
        <v>4.5119983160258208</v>
      </c>
      <c r="P2811" s="173">
        <v>5</v>
      </c>
    </row>
    <row r="2812" spans="6:16" hidden="1" x14ac:dyDescent="0.35">
      <c r="F2812" s="366" t="s">
        <v>409</v>
      </c>
      <c r="G2812" s="245" t="s">
        <v>2050</v>
      </c>
      <c r="H2812" s="245">
        <v>12</v>
      </c>
      <c r="I2812" s="173">
        <f t="shared" si="323"/>
        <v>1.7142857142857142</v>
      </c>
      <c r="J2812">
        <v>4072</v>
      </c>
      <c r="K2812" s="173">
        <v>3073</v>
      </c>
      <c r="L2812" s="173">
        <f t="shared" si="320"/>
        <v>1.2937131630648329</v>
      </c>
      <c r="M2812" s="173">
        <f t="shared" si="321"/>
        <v>3.0079988773505471</v>
      </c>
      <c r="O2812" s="173">
        <f t="shared" si="322"/>
        <v>4.5119983160258208</v>
      </c>
      <c r="P2812" s="173">
        <v>5</v>
      </c>
    </row>
    <row r="2813" spans="6:16" hidden="1" x14ac:dyDescent="0.35">
      <c r="F2813" s="366" t="s">
        <v>409</v>
      </c>
      <c r="G2813" s="245" t="s">
        <v>2050</v>
      </c>
      <c r="H2813" s="245">
        <v>12</v>
      </c>
      <c r="I2813" s="173">
        <f t="shared" si="323"/>
        <v>1.7142857142857142</v>
      </c>
      <c r="J2813">
        <v>4072</v>
      </c>
      <c r="K2813" s="173">
        <v>3073</v>
      </c>
      <c r="L2813" s="173">
        <f t="shared" si="320"/>
        <v>1.2937131630648329</v>
      </c>
      <c r="M2813" s="173">
        <f t="shared" si="321"/>
        <v>3.0079988773505471</v>
      </c>
      <c r="O2813" s="173">
        <f t="shared" si="322"/>
        <v>4.5119983160258208</v>
      </c>
      <c r="P2813" s="173">
        <v>5</v>
      </c>
    </row>
    <row r="2814" spans="6:16" hidden="1" x14ac:dyDescent="0.35">
      <c r="F2814" s="366" t="s">
        <v>409</v>
      </c>
      <c r="G2814" s="245" t="s">
        <v>2050</v>
      </c>
      <c r="H2814" s="245">
        <v>12</v>
      </c>
      <c r="I2814" s="173">
        <f t="shared" si="323"/>
        <v>1.7142857142857142</v>
      </c>
      <c r="J2814">
        <v>4072</v>
      </c>
      <c r="K2814" s="173">
        <v>3073</v>
      </c>
      <c r="L2814" s="173">
        <f t="shared" si="320"/>
        <v>1.2937131630648329</v>
      </c>
      <c r="M2814" s="173">
        <f t="shared" si="321"/>
        <v>3.0079988773505471</v>
      </c>
      <c r="O2814" s="173">
        <f t="shared" si="322"/>
        <v>4.5119983160258208</v>
      </c>
      <c r="P2814" s="173">
        <v>5</v>
      </c>
    </row>
    <row r="2815" spans="6:16" hidden="1" x14ac:dyDescent="0.35">
      <c r="F2815" s="366" t="s">
        <v>409</v>
      </c>
      <c r="G2815" s="245" t="s">
        <v>2050</v>
      </c>
      <c r="H2815" s="245">
        <v>12</v>
      </c>
      <c r="I2815" s="173">
        <f t="shared" si="323"/>
        <v>1.7142857142857142</v>
      </c>
      <c r="J2815">
        <v>4072</v>
      </c>
      <c r="K2815" s="173">
        <v>3073</v>
      </c>
      <c r="L2815" s="173">
        <f t="shared" si="320"/>
        <v>1.2937131630648329</v>
      </c>
      <c r="M2815" s="173">
        <f t="shared" si="321"/>
        <v>3.0079988773505471</v>
      </c>
      <c r="O2815" s="173">
        <f t="shared" si="322"/>
        <v>4.5119983160258208</v>
      </c>
      <c r="P2815" s="173">
        <v>5</v>
      </c>
    </row>
    <row r="2816" spans="6:16" hidden="1" x14ac:dyDescent="0.35">
      <c r="F2816" s="366" t="s">
        <v>410</v>
      </c>
      <c r="G2816" s="245" t="s">
        <v>2050</v>
      </c>
      <c r="H2816" s="245">
        <v>12</v>
      </c>
      <c r="I2816" s="173">
        <f t="shared" si="323"/>
        <v>1.7142857142857142</v>
      </c>
      <c r="J2816">
        <v>4072</v>
      </c>
      <c r="K2816" s="173">
        <v>3073</v>
      </c>
      <c r="L2816" s="173">
        <f t="shared" si="320"/>
        <v>1.2937131630648329</v>
      </c>
      <c r="M2816" s="173">
        <f t="shared" si="321"/>
        <v>3.0079988773505471</v>
      </c>
      <c r="O2816" s="173">
        <f t="shared" si="322"/>
        <v>4.5119983160258208</v>
      </c>
      <c r="P2816" s="173">
        <v>5</v>
      </c>
    </row>
    <row r="2817" spans="4:16" hidden="1" x14ac:dyDescent="0.35">
      <c r="F2817" s="366" t="s">
        <v>410</v>
      </c>
      <c r="G2817" s="245" t="s">
        <v>2050</v>
      </c>
      <c r="H2817" s="245">
        <v>12</v>
      </c>
      <c r="I2817" s="173">
        <f t="shared" si="323"/>
        <v>1.7142857142857142</v>
      </c>
      <c r="J2817">
        <v>4072</v>
      </c>
      <c r="K2817" s="173">
        <v>3073</v>
      </c>
      <c r="L2817" s="173">
        <f t="shared" si="320"/>
        <v>1.2937131630648329</v>
      </c>
      <c r="M2817" s="173">
        <f t="shared" si="321"/>
        <v>3.0079988773505471</v>
      </c>
      <c r="O2817" s="173">
        <f t="shared" si="322"/>
        <v>4.5119983160258208</v>
      </c>
      <c r="P2817" s="173">
        <v>5</v>
      </c>
    </row>
    <row r="2818" spans="4:16" hidden="1" x14ac:dyDescent="0.35">
      <c r="F2818" s="366" t="s">
        <v>410</v>
      </c>
      <c r="G2818" s="245" t="s">
        <v>2050</v>
      </c>
      <c r="H2818" s="245">
        <v>12</v>
      </c>
      <c r="I2818" s="173">
        <f t="shared" si="323"/>
        <v>1.7142857142857142</v>
      </c>
      <c r="J2818">
        <v>4072</v>
      </c>
      <c r="K2818" s="173">
        <v>3073</v>
      </c>
      <c r="L2818" s="173">
        <f t="shared" si="320"/>
        <v>1.2937131630648329</v>
      </c>
      <c r="M2818" s="173">
        <f t="shared" si="321"/>
        <v>3.0079988773505471</v>
      </c>
      <c r="O2818" s="173">
        <f t="shared" si="322"/>
        <v>4.5119983160258208</v>
      </c>
      <c r="P2818" s="173">
        <v>5</v>
      </c>
    </row>
    <row r="2819" spans="4:16" hidden="1" x14ac:dyDescent="0.35">
      <c r="F2819" s="366" t="s">
        <v>410</v>
      </c>
      <c r="G2819" s="245" t="s">
        <v>2050</v>
      </c>
      <c r="H2819" s="245">
        <v>12</v>
      </c>
      <c r="I2819" s="173">
        <f t="shared" si="323"/>
        <v>1.7142857142857142</v>
      </c>
      <c r="J2819">
        <v>4072</v>
      </c>
      <c r="K2819" s="173">
        <v>3073</v>
      </c>
      <c r="L2819" s="173">
        <f t="shared" si="320"/>
        <v>1.2937131630648329</v>
      </c>
      <c r="M2819" s="173">
        <f t="shared" si="321"/>
        <v>3.0079988773505471</v>
      </c>
      <c r="O2819" s="173">
        <f t="shared" si="322"/>
        <v>4.5119983160258208</v>
      </c>
      <c r="P2819" s="173">
        <v>5</v>
      </c>
    </row>
    <row r="2820" spans="4:16" hidden="1" x14ac:dyDescent="0.35">
      <c r="F2820" s="366" t="s">
        <v>410</v>
      </c>
      <c r="G2820" s="245" t="s">
        <v>2050</v>
      </c>
      <c r="H2820" s="245">
        <v>12</v>
      </c>
      <c r="I2820" s="173">
        <f t="shared" si="323"/>
        <v>1.7142857142857142</v>
      </c>
      <c r="J2820">
        <v>4072</v>
      </c>
      <c r="K2820" s="173">
        <v>3073</v>
      </c>
      <c r="L2820" s="173">
        <f t="shared" si="320"/>
        <v>1.2937131630648329</v>
      </c>
      <c r="M2820" s="173">
        <f t="shared" si="321"/>
        <v>3.0079988773505471</v>
      </c>
      <c r="O2820" s="173">
        <f t="shared" si="322"/>
        <v>4.5119983160258208</v>
      </c>
      <c r="P2820" s="173">
        <v>5</v>
      </c>
    </row>
    <row r="2821" spans="4:16" hidden="1" x14ac:dyDescent="0.35">
      <c r="F2821" s="366" t="s">
        <v>410</v>
      </c>
      <c r="G2821" s="245" t="s">
        <v>2050</v>
      </c>
      <c r="H2821" s="245">
        <v>12</v>
      </c>
      <c r="I2821" s="173">
        <f t="shared" si="323"/>
        <v>1.7142857142857142</v>
      </c>
      <c r="J2821">
        <v>4072</v>
      </c>
      <c r="K2821" s="173">
        <v>3073</v>
      </c>
      <c r="L2821" s="173">
        <f t="shared" si="320"/>
        <v>1.2937131630648329</v>
      </c>
      <c r="M2821" s="173">
        <f t="shared" si="321"/>
        <v>3.0079988773505471</v>
      </c>
      <c r="O2821" s="173">
        <f t="shared" si="322"/>
        <v>4.5119983160258208</v>
      </c>
      <c r="P2821" s="173">
        <v>5</v>
      </c>
    </row>
    <row r="2822" spans="4:16" hidden="1" x14ac:dyDescent="0.35">
      <c r="F2822" s="366" t="s">
        <v>410</v>
      </c>
      <c r="G2822" s="245" t="s">
        <v>2050</v>
      </c>
      <c r="H2822" s="245">
        <v>12</v>
      </c>
      <c r="I2822" s="173">
        <f t="shared" si="323"/>
        <v>1.7142857142857142</v>
      </c>
      <c r="J2822">
        <v>4072</v>
      </c>
      <c r="K2822" s="173">
        <v>3073</v>
      </c>
      <c r="L2822" s="173">
        <f t="shared" si="320"/>
        <v>1.2937131630648329</v>
      </c>
      <c r="M2822" s="173">
        <f t="shared" si="321"/>
        <v>3.0079988773505471</v>
      </c>
      <c r="O2822" s="173">
        <f t="shared" si="322"/>
        <v>4.5119983160258208</v>
      </c>
      <c r="P2822" s="173">
        <v>5</v>
      </c>
    </row>
    <row r="2823" spans="4:16" hidden="1" x14ac:dyDescent="0.35">
      <c r="F2823" s="366" t="s">
        <v>410</v>
      </c>
      <c r="G2823" s="245" t="s">
        <v>2050</v>
      </c>
      <c r="H2823" s="245">
        <v>12</v>
      </c>
      <c r="I2823" s="173">
        <f t="shared" si="323"/>
        <v>1.7142857142857142</v>
      </c>
      <c r="J2823">
        <v>4072</v>
      </c>
      <c r="K2823" s="173">
        <v>3073</v>
      </c>
      <c r="L2823" s="173">
        <f t="shared" si="320"/>
        <v>1.2937131630648329</v>
      </c>
      <c r="M2823" s="173">
        <f t="shared" si="321"/>
        <v>3.0079988773505471</v>
      </c>
      <c r="O2823" s="173">
        <f t="shared" si="322"/>
        <v>4.5119983160258208</v>
      </c>
      <c r="P2823" s="173">
        <v>5</v>
      </c>
    </row>
    <row r="2824" spans="4:16" hidden="1" x14ac:dyDescent="0.35">
      <c r="F2824" s="366" t="s">
        <v>410</v>
      </c>
      <c r="G2824" s="245" t="s">
        <v>2050</v>
      </c>
      <c r="H2824" s="245">
        <v>12</v>
      </c>
      <c r="I2824" s="173">
        <f t="shared" si="323"/>
        <v>1.7142857142857142</v>
      </c>
      <c r="J2824">
        <v>4072</v>
      </c>
      <c r="K2824" s="173">
        <v>3073</v>
      </c>
      <c r="L2824" s="173">
        <f t="shared" si="320"/>
        <v>1.2937131630648329</v>
      </c>
      <c r="M2824" s="173">
        <f t="shared" si="321"/>
        <v>3.0079988773505471</v>
      </c>
      <c r="O2824" s="173">
        <f t="shared" si="322"/>
        <v>4.5119983160258208</v>
      </c>
      <c r="P2824" s="173">
        <v>5</v>
      </c>
    </row>
    <row r="2825" spans="4:16" hidden="1" x14ac:dyDescent="0.35">
      <c r="F2825" s="366" t="s">
        <v>410</v>
      </c>
      <c r="G2825" s="245" t="s">
        <v>2050</v>
      </c>
      <c r="H2825" s="245">
        <v>12</v>
      </c>
      <c r="I2825" s="173">
        <f t="shared" si="323"/>
        <v>1.7142857142857142</v>
      </c>
      <c r="J2825">
        <v>4072</v>
      </c>
      <c r="K2825" s="173">
        <v>3073</v>
      </c>
      <c r="L2825" s="173">
        <f t="shared" si="320"/>
        <v>1.2937131630648329</v>
      </c>
      <c r="M2825" s="173">
        <f t="shared" si="321"/>
        <v>3.0079988773505471</v>
      </c>
      <c r="O2825" s="173">
        <f t="shared" si="322"/>
        <v>4.5119983160258208</v>
      </c>
      <c r="P2825" s="173">
        <v>5</v>
      </c>
    </row>
    <row r="2826" spans="4:16" hidden="1" x14ac:dyDescent="0.35">
      <c r="F2826" s="366" t="s">
        <v>410</v>
      </c>
      <c r="G2826" s="245" t="s">
        <v>2050</v>
      </c>
      <c r="H2826" s="245">
        <v>12</v>
      </c>
      <c r="I2826" s="173">
        <f>+H2826/7</f>
        <v>1.7142857142857142</v>
      </c>
      <c r="J2826">
        <v>4072</v>
      </c>
      <c r="K2826" s="173">
        <v>3073</v>
      </c>
      <c r="L2826" s="173">
        <f t="shared" si="320"/>
        <v>1.2937131630648329</v>
      </c>
      <c r="M2826" s="173">
        <f t="shared" si="321"/>
        <v>3.0079988773505471</v>
      </c>
      <c r="O2826" s="173">
        <f t="shared" si="322"/>
        <v>4.5119983160258208</v>
      </c>
      <c r="P2826" s="173">
        <v>5</v>
      </c>
    </row>
    <row r="2827" spans="4:16" hidden="1" x14ac:dyDescent="0.35">
      <c r="F2827" s="366" t="s">
        <v>410</v>
      </c>
      <c r="G2827" s="245" t="s">
        <v>2050</v>
      </c>
      <c r="H2827" s="245">
        <v>12</v>
      </c>
      <c r="I2827" s="173">
        <f>+H2827/7</f>
        <v>1.7142857142857142</v>
      </c>
      <c r="J2827">
        <v>4072</v>
      </c>
      <c r="K2827" s="173">
        <v>3073</v>
      </c>
      <c r="L2827" s="173">
        <f t="shared" si="320"/>
        <v>1.2937131630648329</v>
      </c>
      <c r="M2827" s="173">
        <f t="shared" si="321"/>
        <v>3.0079988773505471</v>
      </c>
      <c r="O2827" s="173">
        <f t="shared" si="322"/>
        <v>4.5119983160258208</v>
      </c>
      <c r="P2827" s="173">
        <v>5</v>
      </c>
    </row>
    <row r="2828" spans="4:16" hidden="1" x14ac:dyDescent="0.35"/>
    <row r="2829" spans="4:16" hidden="1" x14ac:dyDescent="0.35">
      <c r="D2829" s="233" t="s">
        <v>1985</v>
      </c>
      <c r="F2829" s="366">
        <v>1</v>
      </c>
      <c r="G2829" s="372" t="s">
        <v>2072</v>
      </c>
      <c r="I2829" s="173">
        <f t="shared" ref="I2829:I2838" si="324">+H2829/7</f>
        <v>0</v>
      </c>
      <c r="J2829">
        <v>4072</v>
      </c>
      <c r="K2829" s="173">
        <v>3073</v>
      </c>
      <c r="L2829" s="173">
        <f t="shared" ref="L2829:L2841" si="325">+I2829/J2829*K2829</f>
        <v>0</v>
      </c>
      <c r="M2829" s="173">
        <f t="shared" ref="M2829:M2841" si="326">+I2829+L2829</f>
        <v>0</v>
      </c>
      <c r="O2829" s="173">
        <f t="shared" ref="O2829:O2841" si="327">+M2829*1.5</f>
        <v>0</v>
      </c>
    </row>
    <row r="2830" spans="4:16" hidden="1" x14ac:dyDescent="0.35">
      <c r="F2830" s="366">
        <v>2</v>
      </c>
      <c r="G2830" s="372" t="s">
        <v>2072</v>
      </c>
      <c r="I2830" s="173">
        <f t="shared" si="324"/>
        <v>0</v>
      </c>
      <c r="J2830">
        <v>4072</v>
      </c>
      <c r="K2830" s="173">
        <v>3073</v>
      </c>
      <c r="L2830" s="173">
        <f t="shared" si="325"/>
        <v>0</v>
      </c>
      <c r="M2830" s="173">
        <f t="shared" si="326"/>
        <v>0</v>
      </c>
      <c r="O2830" s="173">
        <f t="shared" si="327"/>
        <v>0</v>
      </c>
    </row>
    <row r="2831" spans="4:16" hidden="1" x14ac:dyDescent="0.35">
      <c r="F2831" s="366">
        <v>3</v>
      </c>
      <c r="G2831" s="372" t="s">
        <v>2072</v>
      </c>
      <c r="I2831" s="173">
        <f t="shared" si="324"/>
        <v>0</v>
      </c>
      <c r="J2831">
        <v>4072</v>
      </c>
      <c r="K2831" s="173">
        <v>3073</v>
      </c>
      <c r="L2831" s="173">
        <f t="shared" si="325"/>
        <v>0</v>
      </c>
      <c r="M2831" s="173">
        <f t="shared" si="326"/>
        <v>0</v>
      </c>
      <c r="O2831" s="173">
        <f t="shared" si="327"/>
        <v>0</v>
      </c>
    </row>
    <row r="2832" spans="4:16" hidden="1" x14ac:dyDescent="0.35">
      <c r="F2832" s="366">
        <v>4</v>
      </c>
      <c r="G2832" s="372" t="s">
        <v>2072</v>
      </c>
      <c r="I2832" s="173">
        <f t="shared" si="324"/>
        <v>0</v>
      </c>
      <c r="J2832">
        <v>4072</v>
      </c>
      <c r="K2832" s="173">
        <v>3073</v>
      </c>
      <c r="L2832" s="173">
        <f t="shared" si="325"/>
        <v>0</v>
      </c>
      <c r="M2832" s="173">
        <f t="shared" si="326"/>
        <v>0</v>
      </c>
      <c r="O2832" s="173">
        <f t="shared" si="327"/>
        <v>0</v>
      </c>
    </row>
    <row r="2833" spans="4:16" hidden="1" x14ac:dyDescent="0.35">
      <c r="F2833" s="366">
        <v>5</v>
      </c>
      <c r="G2833" s="372" t="s">
        <v>2072</v>
      </c>
      <c r="I2833" s="173">
        <f t="shared" si="324"/>
        <v>0</v>
      </c>
      <c r="J2833">
        <v>4072</v>
      </c>
      <c r="K2833" s="173">
        <v>3073</v>
      </c>
      <c r="L2833" s="173">
        <f t="shared" si="325"/>
        <v>0</v>
      </c>
      <c r="M2833" s="173">
        <f t="shared" si="326"/>
        <v>0</v>
      </c>
      <c r="O2833" s="173">
        <f t="shared" si="327"/>
        <v>0</v>
      </c>
    </row>
    <row r="2834" spans="4:16" hidden="1" x14ac:dyDescent="0.35">
      <c r="F2834" s="366">
        <v>6</v>
      </c>
      <c r="G2834" s="372" t="s">
        <v>2072</v>
      </c>
      <c r="I2834" s="173">
        <f t="shared" si="324"/>
        <v>0</v>
      </c>
      <c r="J2834">
        <v>4072</v>
      </c>
      <c r="K2834" s="173">
        <v>3073</v>
      </c>
      <c r="L2834" s="173">
        <f t="shared" si="325"/>
        <v>0</v>
      </c>
      <c r="M2834" s="173">
        <f t="shared" si="326"/>
        <v>0</v>
      </c>
      <c r="O2834" s="173">
        <f t="shared" si="327"/>
        <v>0</v>
      </c>
    </row>
    <row r="2835" spans="4:16" hidden="1" x14ac:dyDescent="0.35">
      <c r="F2835" s="366">
        <v>7</v>
      </c>
      <c r="G2835" s="245" t="s">
        <v>2072</v>
      </c>
      <c r="H2835" s="245">
        <v>11</v>
      </c>
      <c r="I2835" s="173">
        <f t="shared" si="324"/>
        <v>1.5714285714285714</v>
      </c>
      <c r="J2835">
        <v>4072</v>
      </c>
      <c r="K2835" s="173">
        <v>3073</v>
      </c>
      <c r="L2835" s="173">
        <f t="shared" si="325"/>
        <v>1.1859037328094302</v>
      </c>
      <c r="M2835" s="173">
        <f t="shared" si="326"/>
        <v>2.7573323042380018</v>
      </c>
      <c r="O2835" s="173">
        <f t="shared" si="327"/>
        <v>4.1359984563570027</v>
      </c>
      <c r="P2835" s="173">
        <v>10</v>
      </c>
    </row>
    <row r="2836" spans="4:16" hidden="1" x14ac:dyDescent="0.35">
      <c r="F2836" s="366">
        <v>8</v>
      </c>
      <c r="G2836" s="245" t="s">
        <v>2072</v>
      </c>
      <c r="H2836" s="245">
        <v>11</v>
      </c>
      <c r="I2836" s="173">
        <f t="shared" si="324"/>
        <v>1.5714285714285714</v>
      </c>
      <c r="J2836">
        <v>4072</v>
      </c>
      <c r="K2836" s="173">
        <v>3073</v>
      </c>
      <c r="L2836" s="173">
        <f t="shared" si="325"/>
        <v>1.1859037328094302</v>
      </c>
      <c r="M2836" s="173">
        <f t="shared" si="326"/>
        <v>2.7573323042380018</v>
      </c>
      <c r="O2836" s="173">
        <f t="shared" si="327"/>
        <v>4.1359984563570027</v>
      </c>
      <c r="P2836" s="173">
        <v>10</v>
      </c>
    </row>
    <row r="2837" spans="4:16" hidden="1" x14ac:dyDescent="0.35">
      <c r="F2837" s="366">
        <v>9</v>
      </c>
      <c r="G2837" s="245" t="s">
        <v>2072</v>
      </c>
      <c r="H2837" s="245">
        <v>11</v>
      </c>
      <c r="I2837" s="173">
        <f t="shared" si="324"/>
        <v>1.5714285714285714</v>
      </c>
      <c r="J2837">
        <v>4072</v>
      </c>
      <c r="K2837" s="173">
        <v>3073</v>
      </c>
      <c r="L2837" s="173">
        <f t="shared" si="325"/>
        <v>1.1859037328094302</v>
      </c>
      <c r="M2837" s="173">
        <f t="shared" si="326"/>
        <v>2.7573323042380018</v>
      </c>
      <c r="O2837" s="173">
        <f t="shared" si="327"/>
        <v>4.1359984563570027</v>
      </c>
      <c r="P2837" s="173">
        <v>10</v>
      </c>
    </row>
    <row r="2838" spans="4:16" hidden="1" x14ac:dyDescent="0.35">
      <c r="F2838" s="366">
        <v>10</v>
      </c>
      <c r="G2838" s="245" t="s">
        <v>2072</v>
      </c>
      <c r="H2838" s="245">
        <v>11</v>
      </c>
      <c r="I2838" s="173">
        <f t="shared" si="324"/>
        <v>1.5714285714285714</v>
      </c>
      <c r="J2838">
        <v>4072</v>
      </c>
      <c r="K2838" s="173">
        <v>3073</v>
      </c>
      <c r="L2838" s="173">
        <f t="shared" si="325"/>
        <v>1.1859037328094302</v>
      </c>
      <c r="M2838" s="173">
        <f t="shared" si="326"/>
        <v>2.7573323042380018</v>
      </c>
      <c r="O2838" s="173">
        <f t="shared" si="327"/>
        <v>4.1359984563570027</v>
      </c>
      <c r="P2838" s="173">
        <v>10</v>
      </c>
    </row>
    <row r="2839" spans="4:16" hidden="1" x14ac:dyDescent="0.35">
      <c r="F2839" s="366">
        <v>11</v>
      </c>
      <c r="G2839" s="245" t="s">
        <v>2072</v>
      </c>
      <c r="H2839" s="245">
        <v>11</v>
      </c>
      <c r="I2839" s="173">
        <f>+H2839/7</f>
        <v>1.5714285714285714</v>
      </c>
      <c r="J2839">
        <v>4072</v>
      </c>
      <c r="K2839" s="173">
        <v>3073</v>
      </c>
      <c r="L2839" s="173">
        <f t="shared" si="325"/>
        <v>1.1859037328094302</v>
      </c>
      <c r="M2839" s="173">
        <f t="shared" si="326"/>
        <v>2.7573323042380018</v>
      </c>
      <c r="O2839" s="173">
        <f t="shared" si="327"/>
        <v>4.1359984563570027</v>
      </c>
      <c r="P2839" s="173">
        <v>10</v>
      </c>
    </row>
    <row r="2840" spans="4:16" hidden="1" x14ac:dyDescent="0.35">
      <c r="F2840" s="366">
        <v>12</v>
      </c>
      <c r="G2840" s="245" t="s">
        <v>2072</v>
      </c>
      <c r="H2840" s="245">
        <v>11</v>
      </c>
      <c r="I2840" s="173">
        <f>+H2840/7</f>
        <v>1.5714285714285714</v>
      </c>
      <c r="J2840">
        <v>4072</v>
      </c>
      <c r="K2840" s="173">
        <v>3073</v>
      </c>
      <c r="L2840" s="173">
        <f t="shared" si="325"/>
        <v>1.1859037328094302</v>
      </c>
      <c r="M2840" s="173">
        <f t="shared" si="326"/>
        <v>2.7573323042380018</v>
      </c>
      <c r="O2840" s="173">
        <f t="shared" si="327"/>
        <v>4.1359984563570027</v>
      </c>
      <c r="P2840" s="173">
        <v>10</v>
      </c>
    </row>
    <row r="2841" spans="4:16" hidden="1" x14ac:dyDescent="0.35">
      <c r="F2841" s="366">
        <v>13</v>
      </c>
      <c r="G2841" s="245" t="s">
        <v>2072</v>
      </c>
      <c r="H2841" s="245">
        <v>11</v>
      </c>
      <c r="I2841" s="173">
        <f>+H2841/7</f>
        <v>1.5714285714285714</v>
      </c>
      <c r="J2841">
        <v>4072</v>
      </c>
      <c r="K2841" s="173">
        <v>3073</v>
      </c>
      <c r="L2841" s="173">
        <f t="shared" si="325"/>
        <v>1.1859037328094302</v>
      </c>
      <c r="M2841" s="173">
        <f t="shared" si="326"/>
        <v>2.7573323042380018</v>
      </c>
      <c r="O2841" s="173">
        <f t="shared" si="327"/>
        <v>4.1359984563570027</v>
      </c>
      <c r="P2841" s="173">
        <v>10</v>
      </c>
    </row>
    <row r="2842" spans="4:16" hidden="1" x14ac:dyDescent="0.35">
      <c r="I2842" s="173">
        <f>+H2842/7</f>
        <v>0</v>
      </c>
    </row>
    <row r="2843" spans="4:16" hidden="1" x14ac:dyDescent="0.35">
      <c r="I2843" s="173">
        <f>+H2843/7</f>
        <v>0</v>
      </c>
    </row>
    <row r="2844" spans="4:16" hidden="1" x14ac:dyDescent="0.35">
      <c r="H2844" s="245">
        <f>SUM(H2488:H2843)</f>
        <v>27176.000000000051</v>
      </c>
      <c r="I2844" s="668">
        <f>SUM(I2488:I2843)</f>
        <v>3882.2857142857215</v>
      </c>
      <c r="J2844" s="668"/>
      <c r="K2844" s="668"/>
      <c r="L2844" s="668"/>
      <c r="M2844" s="668"/>
      <c r="N2844" s="668"/>
      <c r="O2844" s="668"/>
      <c r="P2844" s="668">
        <f>SUM(P2488:P2843)</f>
        <v>15850</v>
      </c>
    </row>
    <row r="2845" spans="4:16" hidden="1" x14ac:dyDescent="0.35">
      <c r="I2845" s="668"/>
      <c r="J2845" s="668"/>
      <c r="K2845" s="668"/>
      <c r="L2845" s="668"/>
      <c r="M2845" s="668"/>
      <c r="N2845" s="668"/>
      <c r="O2845" s="668"/>
      <c r="P2845" s="668"/>
    </row>
    <row r="2846" spans="4:16" s="5" customFormat="1" ht="18.5" hidden="1" x14ac:dyDescent="0.45">
      <c r="F2846" s="599"/>
      <c r="G2846" s="598" t="s">
        <v>2100</v>
      </c>
      <c r="H2846" s="598"/>
      <c r="I2846" s="672">
        <f>+I2844+I2486+I2476</f>
        <v>4523.285714285721</v>
      </c>
      <c r="J2846" s="672"/>
      <c r="K2846" s="672"/>
      <c r="L2846" s="672"/>
      <c r="M2846" s="672"/>
      <c r="N2846" s="672"/>
      <c r="O2846" s="672"/>
      <c r="P2846" s="672"/>
    </row>
    <row r="2847" spans="4:16" hidden="1" x14ac:dyDescent="0.35">
      <c r="P2847" s="173">
        <f>+P2844/I2844</f>
        <v>4.0826464527524209</v>
      </c>
    </row>
    <row r="2848" spans="4:16" ht="18.5" hidden="1" x14ac:dyDescent="0.45">
      <c r="D2848" s="5" t="s">
        <v>2074</v>
      </c>
    </row>
    <row r="2849" spans="3:16" hidden="1" x14ac:dyDescent="0.35">
      <c r="C2849" s="233" t="s">
        <v>2061</v>
      </c>
      <c r="D2849" s="233" t="s">
        <v>1432</v>
      </c>
      <c r="G2849" s="245" t="s">
        <v>2062</v>
      </c>
      <c r="I2849" s="173">
        <v>30</v>
      </c>
      <c r="J2849">
        <f>340*1.05</f>
        <v>357</v>
      </c>
      <c r="K2849" s="173">
        <v>100</v>
      </c>
      <c r="L2849" s="173">
        <f>+I2849/J2849*K2849</f>
        <v>8.4033613445378155</v>
      </c>
      <c r="M2849" s="173">
        <f>+I2849+L2849</f>
        <v>38.403361344537814</v>
      </c>
      <c r="O2849" s="173">
        <f>+M2849*1.5</f>
        <v>57.605042016806721</v>
      </c>
      <c r="P2849" s="173">
        <v>125</v>
      </c>
    </row>
    <row r="2850" spans="3:16" hidden="1" x14ac:dyDescent="0.35">
      <c r="C2850" s="233" t="s">
        <v>2061</v>
      </c>
      <c r="D2850" s="233" t="s">
        <v>1432</v>
      </c>
      <c r="G2850" s="245" t="s">
        <v>2062</v>
      </c>
      <c r="I2850" s="173">
        <v>30</v>
      </c>
      <c r="J2850">
        <f t="shared" ref="J2850:J2860" si="328">340*1.05</f>
        <v>357</v>
      </c>
      <c r="K2850" s="173">
        <v>100</v>
      </c>
      <c r="L2850" s="173">
        <f t="shared" ref="L2850:L2860" si="329">+I2850/J2850*K2850</f>
        <v>8.4033613445378155</v>
      </c>
      <c r="M2850" s="173">
        <f t="shared" ref="M2850:M2860" si="330">+I2850+L2850</f>
        <v>38.403361344537814</v>
      </c>
      <c r="O2850" s="173">
        <f t="shared" ref="O2850:O2860" si="331">+M2850*1.5</f>
        <v>57.605042016806721</v>
      </c>
      <c r="P2850" s="173">
        <v>125</v>
      </c>
    </row>
    <row r="2851" spans="3:16" hidden="1" x14ac:dyDescent="0.35">
      <c r="C2851" s="233" t="s">
        <v>2061</v>
      </c>
      <c r="D2851" s="233" t="s">
        <v>1432</v>
      </c>
      <c r="G2851" s="245" t="s">
        <v>2062</v>
      </c>
      <c r="I2851" s="173">
        <v>30</v>
      </c>
      <c r="J2851">
        <f t="shared" si="328"/>
        <v>357</v>
      </c>
      <c r="K2851" s="173">
        <v>100</v>
      </c>
      <c r="L2851" s="173">
        <f t="shared" si="329"/>
        <v>8.4033613445378155</v>
      </c>
      <c r="M2851" s="173">
        <f t="shared" si="330"/>
        <v>38.403361344537814</v>
      </c>
      <c r="O2851" s="173">
        <f t="shared" si="331"/>
        <v>57.605042016806721</v>
      </c>
      <c r="P2851" s="173">
        <v>125</v>
      </c>
    </row>
    <row r="2852" spans="3:16" hidden="1" x14ac:dyDescent="0.35">
      <c r="C2852" s="233" t="s">
        <v>2061</v>
      </c>
      <c r="D2852" s="233" t="s">
        <v>1432</v>
      </c>
      <c r="G2852" s="245" t="s">
        <v>2062</v>
      </c>
      <c r="I2852" s="173">
        <v>30</v>
      </c>
      <c r="J2852">
        <f t="shared" si="328"/>
        <v>357</v>
      </c>
      <c r="K2852" s="173">
        <v>100</v>
      </c>
      <c r="L2852" s="173">
        <f t="shared" si="329"/>
        <v>8.4033613445378155</v>
      </c>
      <c r="M2852" s="173">
        <f t="shared" si="330"/>
        <v>38.403361344537814</v>
      </c>
      <c r="O2852" s="173">
        <f t="shared" si="331"/>
        <v>57.605042016806721</v>
      </c>
      <c r="P2852" s="173">
        <v>125</v>
      </c>
    </row>
    <row r="2853" spans="3:16" hidden="1" x14ac:dyDescent="0.35">
      <c r="C2853" s="233" t="s">
        <v>2061</v>
      </c>
      <c r="D2853" s="233" t="s">
        <v>1432</v>
      </c>
      <c r="G2853" s="245" t="s">
        <v>2063</v>
      </c>
      <c r="I2853" s="173">
        <v>25</v>
      </c>
      <c r="J2853">
        <f t="shared" si="328"/>
        <v>357</v>
      </c>
      <c r="K2853" s="173">
        <v>100</v>
      </c>
      <c r="L2853" s="173">
        <f t="shared" si="329"/>
        <v>7.0028011204481793</v>
      </c>
      <c r="M2853" s="173">
        <f t="shared" si="330"/>
        <v>32.002801120448183</v>
      </c>
      <c r="O2853" s="173">
        <f t="shared" si="331"/>
        <v>48.004201680672274</v>
      </c>
      <c r="P2853" s="173">
        <v>110</v>
      </c>
    </row>
    <row r="2854" spans="3:16" hidden="1" x14ac:dyDescent="0.35">
      <c r="C2854" s="233" t="s">
        <v>2061</v>
      </c>
      <c r="D2854" s="233" t="s">
        <v>1432</v>
      </c>
      <c r="G2854" s="245" t="s">
        <v>2063</v>
      </c>
      <c r="I2854" s="173">
        <v>25</v>
      </c>
      <c r="J2854">
        <f t="shared" si="328"/>
        <v>357</v>
      </c>
      <c r="K2854" s="173">
        <v>100</v>
      </c>
      <c r="L2854" s="173">
        <f t="shared" si="329"/>
        <v>7.0028011204481793</v>
      </c>
      <c r="M2854" s="173">
        <f t="shared" si="330"/>
        <v>32.002801120448183</v>
      </c>
      <c r="O2854" s="173">
        <f t="shared" si="331"/>
        <v>48.004201680672274</v>
      </c>
      <c r="P2854" s="173">
        <v>110</v>
      </c>
    </row>
    <row r="2855" spans="3:16" hidden="1" x14ac:dyDescent="0.35">
      <c r="C2855" s="233" t="s">
        <v>2061</v>
      </c>
      <c r="D2855" s="233" t="s">
        <v>1432</v>
      </c>
      <c r="G2855" s="245" t="s">
        <v>2063</v>
      </c>
      <c r="I2855" s="173">
        <v>25</v>
      </c>
      <c r="J2855">
        <f t="shared" si="328"/>
        <v>357</v>
      </c>
      <c r="K2855" s="173">
        <v>100</v>
      </c>
      <c r="L2855" s="173">
        <f t="shared" si="329"/>
        <v>7.0028011204481793</v>
      </c>
      <c r="M2855" s="173">
        <f t="shared" si="330"/>
        <v>32.002801120448183</v>
      </c>
      <c r="O2855" s="173">
        <f t="shared" si="331"/>
        <v>48.004201680672274</v>
      </c>
      <c r="P2855" s="173">
        <v>110</v>
      </c>
    </row>
    <row r="2856" spans="3:16" hidden="1" x14ac:dyDescent="0.35">
      <c r="C2856" s="233" t="s">
        <v>2061</v>
      </c>
      <c r="D2856" s="233" t="s">
        <v>1432</v>
      </c>
      <c r="G2856" s="245" t="s">
        <v>2063</v>
      </c>
      <c r="I2856" s="173">
        <v>25</v>
      </c>
      <c r="J2856">
        <f t="shared" si="328"/>
        <v>357</v>
      </c>
      <c r="K2856" s="173">
        <v>100</v>
      </c>
      <c r="L2856" s="173">
        <f t="shared" si="329"/>
        <v>7.0028011204481793</v>
      </c>
      <c r="M2856" s="173">
        <f t="shared" si="330"/>
        <v>32.002801120448183</v>
      </c>
      <c r="O2856" s="173">
        <f t="shared" si="331"/>
        <v>48.004201680672274</v>
      </c>
      <c r="P2856" s="173">
        <v>110</v>
      </c>
    </row>
    <row r="2857" spans="3:16" hidden="1" x14ac:dyDescent="0.35">
      <c r="C2857" s="233" t="s">
        <v>2061</v>
      </c>
      <c r="D2857" s="233" t="s">
        <v>1432</v>
      </c>
      <c r="G2857" s="245" t="s">
        <v>2064</v>
      </c>
      <c r="I2857" s="173">
        <v>30</v>
      </c>
      <c r="J2857">
        <f t="shared" si="328"/>
        <v>357</v>
      </c>
      <c r="K2857" s="173">
        <v>100</v>
      </c>
      <c r="L2857" s="173">
        <f t="shared" si="329"/>
        <v>8.4033613445378155</v>
      </c>
      <c r="M2857" s="173">
        <f t="shared" si="330"/>
        <v>38.403361344537814</v>
      </c>
      <c r="O2857" s="173">
        <f t="shared" si="331"/>
        <v>57.605042016806721</v>
      </c>
      <c r="P2857" s="173">
        <v>110</v>
      </c>
    </row>
    <row r="2858" spans="3:16" hidden="1" x14ac:dyDescent="0.35">
      <c r="C2858" s="233" t="s">
        <v>2061</v>
      </c>
      <c r="D2858" s="233" t="s">
        <v>1432</v>
      </c>
      <c r="G2858" s="245" t="s">
        <v>2064</v>
      </c>
      <c r="I2858" s="173">
        <v>30</v>
      </c>
      <c r="J2858">
        <f t="shared" si="328"/>
        <v>357</v>
      </c>
      <c r="K2858" s="173">
        <v>100</v>
      </c>
      <c r="L2858" s="173">
        <f t="shared" si="329"/>
        <v>8.4033613445378155</v>
      </c>
      <c r="M2858" s="173">
        <f t="shared" si="330"/>
        <v>38.403361344537814</v>
      </c>
      <c r="O2858" s="173">
        <f t="shared" si="331"/>
        <v>57.605042016806721</v>
      </c>
      <c r="P2858" s="173">
        <v>110</v>
      </c>
    </row>
    <row r="2859" spans="3:16" hidden="1" x14ac:dyDescent="0.35">
      <c r="C2859" s="233" t="s">
        <v>2061</v>
      </c>
      <c r="D2859" s="233" t="s">
        <v>1432</v>
      </c>
      <c r="G2859" s="245" t="s">
        <v>2064</v>
      </c>
      <c r="I2859" s="173">
        <v>30</v>
      </c>
      <c r="J2859">
        <f t="shared" si="328"/>
        <v>357</v>
      </c>
      <c r="K2859" s="173">
        <v>100</v>
      </c>
      <c r="L2859" s="173">
        <f t="shared" si="329"/>
        <v>8.4033613445378155</v>
      </c>
      <c r="M2859" s="173">
        <f t="shared" si="330"/>
        <v>38.403361344537814</v>
      </c>
      <c r="O2859" s="173">
        <f t="shared" si="331"/>
        <v>57.605042016806721</v>
      </c>
      <c r="P2859" s="173">
        <v>110</v>
      </c>
    </row>
    <row r="2860" spans="3:16" hidden="1" x14ac:dyDescent="0.35">
      <c r="C2860" s="233" t="s">
        <v>2061</v>
      </c>
      <c r="D2860" s="233" t="s">
        <v>1432</v>
      </c>
      <c r="G2860" s="245" t="s">
        <v>2064</v>
      </c>
      <c r="I2860" s="173">
        <v>30</v>
      </c>
      <c r="J2860">
        <f t="shared" si="328"/>
        <v>357</v>
      </c>
      <c r="K2860" s="173">
        <v>100</v>
      </c>
      <c r="L2860" s="173">
        <f t="shared" si="329"/>
        <v>8.4033613445378155</v>
      </c>
      <c r="M2860" s="173">
        <f t="shared" si="330"/>
        <v>38.403361344537814</v>
      </c>
      <c r="O2860" s="173">
        <f t="shared" si="331"/>
        <v>57.605042016806721</v>
      </c>
      <c r="P2860" s="173">
        <v>110</v>
      </c>
    </row>
    <row r="2861" spans="3:16" hidden="1" x14ac:dyDescent="0.35">
      <c r="I2861" s="173">
        <f>SUM(I2849:I2860)</f>
        <v>340</v>
      </c>
    </row>
    <row r="2862" spans="3:16" hidden="1" x14ac:dyDescent="0.35">
      <c r="G2862" s="256" t="s">
        <v>2095</v>
      </c>
    </row>
    <row r="2863" spans="3:16" hidden="1" x14ac:dyDescent="0.35">
      <c r="G2863" s="245" t="s">
        <v>2093</v>
      </c>
      <c r="H2863" s="245">
        <v>85</v>
      </c>
      <c r="I2863" s="173">
        <f>+H2863/6.9</f>
        <v>12.318840579710145</v>
      </c>
      <c r="P2863" s="173">
        <v>55</v>
      </c>
    </row>
    <row r="2864" spans="3:16" hidden="1" x14ac:dyDescent="0.35">
      <c r="G2864" s="245" t="s">
        <v>2093</v>
      </c>
      <c r="H2864" s="245">
        <v>85</v>
      </c>
      <c r="I2864" s="173">
        <f t="shared" ref="I2864:I2872" si="332">+H2864/6.9</f>
        <v>12.318840579710145</v>
      </c>
      <c r="P2864" s="173">
        <v>55</v>
      </c>
    </row>
    <row r="2865" spans="1:16" hidden="1" x14ac:dyDescent="0.35">
      <c r="G2865" s="245" t="s">
        <v>2093</v>
      </c>
      <c r="H2865" s="245">
        <v>85</v>
      </c>
      <c r="I2865" s="173">
        <f t="shared" si="332"/>
        <v>12.318840579710145</v>
      </c>
      <c r="P2865" s="173">
        <v>55</v>
      </c>
    </row>
    <row r="2866" spans="1:16" hidden="1" x14ac:dyDescent="0.35">
      <c r="G2866" s="245" t="s">
        <v>2093</v>
      </c>
      <c r="H2866" s="245">
        <v>85</v>
      </c>
      <c r="I2866" s="173">
        <f t="shared" si="332"/>
        <v>12.318840579710145</v>
      </c>
      <c r="P2866" s="173">
        <v>55</v>
      </c>
    </row>
    <row r="2867" spans="1:16" hidden="1" x14ac:dyDescent="0.35">
      <c r="G2867" s="245" t="s">
        <v>2093</v>
      </c>
      <c r="H2867" s="245">
        <v>85</v>
      </c>
      <c r="I2867" s="173">
        <f t="shared" si="332"/>
        <v>12.318840579710145</v>
      </c>
      <c r="P2867" s="173">
        <v>55</v>
      </c>
    </row>
    <row r="2868" spans="1:16" hidden="1" x14ac:dyDescent="0.35">
      <c r="G2868" s="245" t="s">
        <v>2093</v>
      </c>
      <c r="H2868" s="245">
        <v>85</v>
      </c>
      <c r="I2868" s="173">
        <f t="shared" si="332"/>
        <v>12.318840579710145</v>
      </c>
      <c r="P2868" s="173">
        <v>55</v>
      </c>
    </row>
    <row r="2869" spans="1:16" hidden="1" x14ac:dyDescent="0.35">
      <c r="G2869" s="245" t="s">
        <v>2094</v>
      </c>
      <c r="H2869" s="245">
        <v>130</v>
      </c>
      <c r="I2869" s="173">
        <f t="shared" si="332"/>
        <v>18.840579710144926</v>
      </c>
      <c r="P2869" s="173">
        <v>90</v>
      </c>
    </row>
    <row r="2870" spans="1:16" hidden="1" x14ac:dyDescent="0.35">
      <c r="G2870" s="245" t="s">
        <v>2094</v>
      </c>
      <c r="H2870" s="245">
        <v>130</v>
      </c>
      <c r="I2870" s="173">
        <f t="shared" si="332"/>
        <v>18.840579710144926</v>
      </c>
      <c r="P2870" s="173">
        <v>90</v>
      </c>
    </row>
    <row r="2871" spans="1:16" hidden="1" x14ac:dyDescent="0.35">
      <c r="G2871" s="245" t="s">
        <v>2094</v>
      </c>
      <c r="H2871" s="245">
        <v>130</v>
      </c>
      <c r="I2871" s="173">
        <f t="shared" si="332"/>
        <v>18.840579710144926</v>
      </c>
      <c r="P2871" s="173">
        <v>90</v>
      </c>
    </row>
    <row r="2872" spans="1:16" hidden="1" x14ac:dyDescent="0.35">
      <c r="G2872" s="245" t="s">
        <v>2094</v>
      </c>
      <c r="H2872" s="245">
        <v>130</v>
      </c>
      <c r="I2872" s="173">
        <f t="shared" si="332"/>
        <v>18.840579710144926</v>
      </c>
      <c r="P2872" s="173">
        <v>90</v>
      </c>
    </row>
    <row r="2873" spans="1:16" hidden="1" x14ac:dyDescent="0.35">
      <c r="I2873" s="173">
        <f>SUM(I2863:I2872)</f>
        <v>149.27536231884056</v>
      </c>
      <c r="P2873" s="173">
        <f>SUM(P2863:P2872)</f>
        <v>690</v>
      </c>
    </row>
    <row r="2874" spans="1:16" hidden="1" x14ac:dyDescent="0.35"/>
    <row r="2875" spans="1:16" s="5" customFormat="1" ht="18.5" hidden="1" x14ac:dyDescent="0.45">
      <c r="F2875" s="599"/>
      <c r="G2875" s="598" t="s">
        <v>2099</v>
      </c>
      <c r="H2875" s="598"/>
      <c r="I2875" s="307">
        <f>+I2873+I2861</f>
        <v>489.27536231884056</v>
      </c>
      <c r="K2875" s="307"/>
      <c r="L2875" s="307"/>
      <c r="M2875" s="307"/>
      <c r="O2875" s="307"/>
      <c r="P2875" s="307"/>
    </row>
    <row r="2876" spans="1:16" s="708" customFormat="1" ht="21" x14ac:dyDescent="0.5">
      <c r="A2876" s="707"/>
      <c r="B2876" s="707"/>
      <c r="G2876" s="708" t="s">
        <v>2135</v>
      </c>
      <c r="I2876" s="709"/>
      <c r="K2876" s="709"/>
      <c r="L2876" s="709"/>
      <c r="M2876" s="709"/>
      <c r="O2876" s="709"/>
      <c r="P2876" s="709"/>
    </row>
    <row r="2878" spans="1:16" x14ac:dyDescent="0.35">
      <c r="C2878" s="233" t="s">
        <v>2136</v>
      </c>
    </row>
    <row r="2879" spans="1:16" x14ac:dyDescent="0.35">
      <c r="C2879" s="233" t="s">
        <v>2137</v>
      </c>
      <c r="F2879" s="366">
        <v>8</v>
      </c>
      <c r="G2879" s="245" t="s">
        <v>2138</v>
      </c>
      <c r="H2879" s="245">
        <v>55</v>
      </c>
      <c r="I2879" s="173">
        <v>8</v>
      </c>
      <c r="J2879">
        <v>246</v>
      </c>
      <c r="K2879" s="173">
        <v>232</v>
      </c>
      <c r="L2879" s="173">
        <f>+I2879/J2879*K2879</f>
        <v>7.5447154471544726</v>
      </c>
      <c r="M2879" s="173">
        <f>+I2879+L2879</f>
        <v>15.544715447154474</v>
      </c>
      <c r="O2879" s="173">
        <f>16*1.5</f>
        <v>24</v>
      </c>
      <c r="P2879" s="173">
        <v>30</v>
      </c>
    </row>
    <row r="2880" spans="1:16" x14ac:dyDescent="0.35">
      <c r="C2880" s="233" t="s">
        <v>2137</v>
      </c>
      <c r="F2880" s="366">
        <v>8</v>
      </c>
      <c r="G2880" s="245" t="s">
        <v>2138</v>
      </c>
      <c r="H2880" s="245">
        <v>55</v>
      </c>
      <c r="I2880" s="173">
        <v>8</v>
      </c>
      <c r="J2880">
        <v>246</v>
      </c>
      <c r="K2880" s="173">
        <v>232</v>
      </c>
      <c r="L2880" s="173">
        <f t="shared" ref="L2880:L2908" si="333">+I2880/J2880*K2880</f>
        <v>7.5447154471544726</v>
      </c>
      <c r="M2880" s="173">
        <f t="shared" ref="M2880:M2908" si="334">+I2880+L2880</f>
        <v>15.544715447154474</v>
      </c>
      <c r="O2880" s="173">
        <f t="shared" ref="O2880:O2908" si="335">16*1.5</f>
        <v>24</v>
      </c>
      <c r="P2880" s="173">
        <v>30</v>
      </c>
    </row>
    <row r="2881" spans="3:16" x14ac:dyDescent="0.35">
      <c r="C2881" s="233" t="s">
        <v>2137</v>
      </c>
      <c r="F2881" s="366">
        <v>9</v>
      </c>
      <c r="G2881" s="245" t="s">
        <v>2138</v>
      </c>
      <c r="H2881" s="245">
        <v>55</v>
      </c>
      <c r="I2881" s="173">
        <v>8</v>
      </c>
      <c r="J2881">
        <v>246</v>
      </c>
      <c r="K2881" s="173">
        <v>232</v>
      </c>
      <c r="L2881" s="173">
        <f t="shared" si="333"/>
        <v>7.5447154471544726</v>
      </c>
      <c r="M2881" s="173">
        <f t="shared" si="334"/>
        <v>15.544715447154474</v>
      </c>
      <c r="O2881" s="173">
        <f t="shared" si="335"/>
        <v>24</v>
      </c>
      <c r="P2881" s="173">
        <v>30</v>
      </c>
    </row>
    <row r="2882" spans="3:16" x14ac:dyDescent="0.35">
      <c r="C2882" s="233" t="s">
        <v>2137</v>
      </c>
      <c r="F2882" s="366">
        <v>10</v>
      </c>
      <c r="G2882" s="245" t="s">
        <v>2138</v>
      </c>
      <c r="H2882" s="245">
        <v>55</v>
      </c>
      <c r="I2882" s="173">
        <v>8</v>
      </c>
      <c r="J2882">
        <v>246</v>
      </c>
      <c r="K2882" s="173">
        <v>232</v>
      </c>
      <c r="L2882" s="173">
        <f t="shared" si="333"/>
        <v>7.5447154471544726</v>
      </c>
      <c r="M2882" s="173">
        <f t="shared" si="334"/>
        <v>15.544715447154474</v>
      </c>
      <c r="O2882" s="173">
        <f t="shared" si="335"/>
        <v>24</v>
      </c>
      <c r="P2882" s="173">
        <v>30</v>
      </c>
    </row>
    <row r="2883" spans="3:16" x14ac:dyDescent="0.35">
      <c r="C2883" s="233" t="s">
        <v>2137</v>
      </c>
      <c r="F2883" s="366">
        <v>10</v>
      </c>
      <c r="G2883" s="245" t="s">
        <v>2138</v>
      </c>
      <c r="H2883" s="245">
        <v>55</v>
      </c>
      <c r="I2883" s="173">
        <v>8</v>
      </c>
      <c r="J2883">
        <v>246</v>
      </c>
      <c r="K2883" s="173">
        <v>232</v>
      </c>
      <c r="L2883" s="173">
        <f t="shared" si="333"/>
        <v>7.5447154471544726</v>
      </c>
      <c r="M2883" s="173">
        <f t="shared" si="334"/>
        <v>15.544715447154474</v>
      </c>
      <c r="O2883" s="173">
        <f t="shared" si="335"/>
        <v>24</v>
      </c>
      <c r="P2883" s="173">
        <v>30</v>
      </c>
    </row>
    <row r="2884" spans="3:16" x14ac:dyDescent="0.35">
      <c r="C2884" s="233" t="s">
        <v>2137</v>
      </c>
      <c r="F2884" s="366">
        <v>10</v>
      </c>
      <c r="G2884" s="245" t="s">
        <v>2138</v>
      </c>
      <c r="H2884" s="245">
        <v>55</v>
      </c>
      <c r="I2884" s="173">
        <v>8</v>
      </c>
      <c r="J2884">
        <v>246</v>
      </c>
      <c r="K2884" s="173">
        <v>232</v>
      </c>
      <c r="L2884" s="173">
        <f t="shared" si="333"/>
        <v>7.5447154471544726</v>
      </c>
      <c r="M2884" s="173">
        <f t="shared" si="334"/>
        <v>15.544715447154474</v>
      </c>
      <c r="O2884" s="173">
        <f t="shared" si="335"/>
        <v>24</v>
      </c>
      <c r="P2884" s="173">
        <v>30</v>
      </c>
    </row>
    <row r="2885" spans="3:16" x14ac:dyDescent="0.35">
      <c r="C2885" s="233" t="s">
        <v>2137</v>
      </c>
      <c r="F2885" s="366">
        <v>11</v>
      </c>
      <c r="G2885" s="245" t="s">
        <v>2138</v>
      </c>
      <c r="H2885" s="245">
        <v>55</v>
      </c>
      <c r="I2885" s="173">
        <v>8</v>
      </c>
      <c r="J2885">
        <v>246</v>
      </c>
      <c r="K2885" s="173">
        <v>232</v>
      </c>
      <c r="L2885" s="173">
        <f t="shared" si="333"/>
        <v>7.5447154471544726</v>
      </c>
      <c r="M2885" s="173">
        <f t="shared" si="334"/>
        <v>15.544715447154474</v>
      </c>
      <c r="O2885" s="173">
        <f t="shared" si="335"/>
        <v>24</v>
      </c>
      <c r="P2885" s="173">
        <v>30</v>
      </c>
    </row>
    <row r="2886" spans="3:16" x14ac:dyDescent="0.35">
      <c r="C2886" s="233" t="s">
        <v>2137</v>
      </c>
      <c r="F2886" s="366">
        <v>12</v>
      </c>
      <c r="G2886" s="245" t="s">
        <v>2138</v>
      </c>
      <c r="H2886" s="245">
        <v>55</v>
      </c>
      <c r="I2886" s="173">
        <v>8</v>
      </c>
      <c r="J2886">
        <v>246</v>
      </c>
      <c r="K2886" s="173">
        <v>232</v>
      </c>
      <c r="L2886" s="173">
        <f t="shared" si="333"/>
        <v>7.5447154471544726</v>
      </c>
      <c r="M2886" s="173">
        <f t="shared" si="334"/>
        <v>15.544715447154474</v>
      </c>
      <c r="O2886" s="173">
        <f t="shared" si="335"/>
        <v>24</v>
      </c>
      <c r="P2886" s="173">
        <v>30</v>
      </c>
    </row>
    <row r="2887" spans="3:16" x14ac:dyDescent="0.35">
      <c r="C2887" s="233" t="s">
        <v>2137</v>
      </c>
      <c r="F2887" s="366">
        <v>12</v>
      </c>
      <c r="G2887" s="245" t="s">
        <v>2138</v>
      </c>
      <c r="H2887" s="245">
        <v>55</v>
      </c>
      <c r="I2887" s="173">
        <v>8</v>
      </c>
      <c r="J2887">
        <v>246</v>
      </c>
      <c r="K2887" s="173">
        <v>232</v>
      </c>
      <c r="L2887" s="173">
        <f t="shared" si="333"/>
        <v>7.5447154471544726</v>
      </c>
      <c r="M2887" s="173">
        <f t="shared" si="334"/>
        <v>15.544715447154474</v>
      </c>
      <c r="O2887" s="173">
        <f t="shared" si="335"/>
        <v>24</v>
      </c>
      <c r="P2887" s="173">
        <v>30</v>
      </c>
    </row>
    <row r="2888" spans="3:16" x14ac:dyDescent="0.35">
      <c r="C2888" s="233" t="s">
        <v>2137</v>
      </c>
      <c r="F2888" s="366">
        <v>12</v>
      </c>
      <c r="G2888" s="245" t="s">
        <v>2138</v>
      </c>
      <c r="H2888" s="245">
        <v>55</v>
      </c>
      <c r="I2888" s="173">
        <v>8</v>
      </c>
      <c r="J2888">
        <v>246</v>
      </c>
      <c r="K2888" s="173">
        <v>232</v>
      </c>
      <c r="L2888" s="173">
        <f t="shared" si="333"/>
        <v>7.5447154471544726</v>
      </c>
      <c r="M2888" s="173">
        <f t="shared" si="334"/>
        <v>15.544715447154474</v>
      </c>
      <c r="O2888" s="173">
        <f t="shared" si="335"/>
        <v>24</v>
      </c>
      <c r="P2888" s="173">
        <v>30</v>
      </c>
    </row>
    <row r="2889" spans="3:16" x14ac:dyDescent="0.35">
      <c r="C2889" s="233" t="s">
        <v>2137</v>
      </c>
      <c r="F2889" s="366">
        <v>8</v>
      </c>
      <c r="G2889" s="245" t="s">
        <v>2139</v>
      </c>
      <c r="H2889" s="245">
        <v>55</v>
      </c>
      <c r="I2889" s="173">
        <v>8</v>
      </c>
      <c r="J2889">
        <v>246</v>
      </c>
      <c r="K2889" s="173">
        <v>232</v>
      </c>
      <c r="L2889" s="173">
        <f t="shared" si="333"/>
        <v>7.5447154471544726</v>
      </c>
      <c r="M2889" s="173">
        <f t="shared" si="334"/>
        <v>15.544715447154474</v>
      </c>
      <c r="O2889" s="173">
        <f t="shared" si="335"/>
        <v>24</v>
      </c>
      <c r="P2889" s="173">
        <v>30</v>
      </c>
    </row>
    <row r="2890" spans="3:16" x14ac:dyDescent="0.35">
      <c r="C2890" s="233" t="s">
        <v>2137</v>
      </c>
      <c r="F2890" s="366">
        <v>8</v>
      </c>
      <c r="G2890" s="245" t="s">
        <v>2139</v>
      </c>
      <c r="H2890" s="245">
        <v>55</v>
      </c>
      <c r="I2890" s="173">
        <v>8</v>
      </c>
      <c r="J2890">
        <v>246</v>
      </c>
      <c r="K2890" s="173">
        <v>232</v>
      </c>
      <c r="L2890" s="173">
        <f t="shared" si="333"/>
        <v>7.5447154471544726</v>
      </c>
      <c r="M2890" s="173">
        <f t="shared" si="334"/>
        <v>15.544715447154474</v>
      </c>
      <c r="O2890" s="173">
        <f t="shared" si="335"/>
        <v>24</v>
      </c>
      <c r="P2890" s="173">
        <v>30</v>
      </c>
    </row>
    <row r="2891" spans="3:16" x14ac:dyDescent="0.35">
      <c r="C2891" s="233" t="s">
        <v>2137</v>
      </c>
      <c r="F2891" s="366">
        <v>9</v>
      </c>
      <c r="G2891" s="245" t="s">
        <v>2139</v>
      </c>
      <c r="H2891" s="245">
        <v>55</v>
      </c>
      <c r="I2891" s="173">
        <v>8</v>
      </c>
      <c r="J2891">
        <v>246</v>
      </c>
      <c r="K2891" s="173">
        <v>232</v>
      </c>
      <c r="L2891" s="173">
        <f t="shared" si="333"/>
        <v>7.5447154471544726</v>
      </c>
      <c r="M2891" s="173">
        <f t="shared" si="334"/>
        <v>15.544715447154474</v>
      </c>
      <c r="O2891" s="173">
        <f t="shared" si="335"/>
        <v>24</v>
      </c>
      <c r="P2891" s="173">
        <v>30</v>
      </c>
    </row>
    <row r="2892" spans="3:16" x14ac:dyDescent="0.35">
      <c r="C2892" s="233" t="s">
        <v>2137</v>
      </c>
      <c r="F2892" s="366">
        <v>9</v>
      </c>
      <c r="G2892" s="245" t="s">
        <v>2139</v>
      </c>
      <c r="H2892" s="245">
        <v>55</v>
      </c>
      <c r="I2892" s="173">
        <v>8</v>
      </c>
      <c r="J2892">
        <v>246</v>
      </c>
      <c r="K2892" s="173">
        <v>232</v>
      </c>
      <c r="L2892" s="173">
        <f t="shared" si="333"/>
        <v>7.5447154471544726</v>
      </c>
      <c r="M2892" s="173">
        <f t="shared" si="334"/>
        <v>15.544715447154474</v>
      </c>
      <c r="O2892" s="173">
        <f t="shared" si="335"/>
        <v>24</v>
      </c>
      <c r="P2892" s="173">
        <v>30</v>
      </c>
    </row>
    <row r="2893" spans="3:16" x14ac:dyDescent="0.35">
      <c r="C2893" s="233" t="s">
        <v>2137</v>
      </c>
      <c r="F2893" s="366">
        <v>10</v>
      </c>
      <c r="G2893" s="245" t="s">
        <v>2139</v>
      </c>
      <c r="H2893" s="245">
        <v>55</v>
      </c>
      <c r="I2893" s="173">
        <v>8</v>
      </c>
      <c r="J2893">
        <v>246</v>
      </c>
      <c r="K2893" s="173">
        <v>232</v>
      </c>
      <c r="L2893" s="173">
        <f t="shared" si="333"/>
        <v>7.5447154471544726</v>
      </c>
      <c r="M2893" s="173">
        <f t="shared" si="334"/>
        <v>15.544715447154474</v>
      </c>
      <c r="O2893" s="173">
        <f t="shared" si="335"/>
        <v>24</v>
      </c>
      <c r="P2893" s="173">
        <v>30</v>
      </c>
    </row>
    <row r="2894" spans="3:16" x14ac:dyDescent="0.35">
      <c r="C2894" s="233" t="s">
        <v>2137</v>
      </c>
      <c r="F2894" s="366">
        <v>10</v>
      </c>
      <c r="G2894" s="245" t="s">
        <v>2139</v>
      </c>
      <c r="H2894" s="245">
        <v>55</v>
      </c>
      <c r="I2894" s="173">
        <v>8</v>
      </c>
      <c r="J2894">
        <v>246</v>
      </c>
      <c r="K2894" s="173">
        <v>232</v>
      </c>
      <c r="L2894" s="173">
        <f t="shared" si="333"/>
        <v>7.5447154471544726</v>
      </c>
      <c r="M2894" s="173">
        <f t="shared" si="334"/>
        <v>15.544715447154474</v>
      </c>
      <c r="O2894" s="173">
        <f t="shared" si="335"/>
        <v>24</v>
      </c>
      <c r="P2894" s="173">
        <v>30</v>
      </c>
    </row>
    <row r="2895" spans="3:16" x14ac:dyDescent="0.35">
      <c r="C2895" s="233" t="s">
        <v>2137</v>
      </c>
      <c r="F2895" s="366">
        <v>11</v>
      </c>
      <c r="G2895" s="245" t="s">
        <v>2139</v>
      </c>
      <c r="H2895" s="245">
        <v>55</v>
      </c>
      <c r="I2895" s="173">
        <v>8</v>
      </c>
      <c r="J2895">
        <v>246</v>
      </c>
      <c r="K2895" s="173">
        <v>232</v>
      </c>
      <c r="L2895" s="173">
        <f t="shared" si="333"/>
        <v>7.5447154471544726</v>
      </c>
      <c r="M2895" s="173">
        <f t="shared" si="334"/>
        <v>15.544715447154474</v>
      </c>
      <c r="O2895" s="173">
        <f t="shared" si="335"/>
        <v>24</v>
      </c>
      <c r="P2895" s="173">
        <v>30</v>
      </c>
    </row>
    <row r="2896" spans="3:16" x14ac:dyDescent="0.35">
      <c r="C2896" s="233" t="s">
        <v>2137</v>
      </c>
      <c r="F2896" s="366">
        <v>12</v>
      </c>
      <c r="G2896" s="245" t="s">
        <v>2139</v>
      </c>
      <c r="H2896" s="245">
        <v>55</v>
      </c>
      <c r="I2896" s="173">
        <v>8</v>
      </c>
      <c r="J2896">
        <v>246</v>
      </c>
      <c r="K2896" s="173">
        <v>232</v>
      </c>
      <c r="L2896" s="173">
        <f t="shared" si="333"/>
        <v>7.5447154471544726</v>
      </c>
      <c r="M2896" s="173">
        <f t="shared" si="334"/>
        <v>15.544715447154474</v>
      </c>
      <c r="O2896" s="173">
        <f t="shared" si="335"/>
        <v>24</v>
      </c>
      <c r="P2896" s="173">
        <v>30</v>
      </c>
    </row>
    <row r="2897" spans="3:16" x14ac:dyDescent="0.35">
      <c r="C2897" s="233" t="s">
        <v>2137</v>
      </c>
      <c r="F2897" s="366">
        <v>12</v>
      </c>
      <c r="G2897" s="245" t="s">
        <v>2139</v>
      </c>
      <c r="H2897" s="245">
        <v>55</v>
      </c>
      <c r="I2897" s="173">
        <v>8</v>
      </c>
      <c r="J2897">
        <v>246</v>
      </c>
      <c r="K2897" s="173">
        <v>232</v>
      </c>
      <c r="L2897" s="173">
        <f t="shared" si="333"/>
        <v>7.5447154471544726</v>
      </c>
      <c r="M2897" s="173">
        <f t="shared" si="334"/>
        <v>15.544715447154474</v>
      </c>
      <c r="O2897" s="173">
        <f t="shared" si="335"/>
        <v>24</v>
      </c>
      <c r="P2897" s="173">
        <v>30</v>
      </c>
    </row>
    <row r="2898" spans="3:16" x14ac:dyDescent="0.35">
      <c r="C2898" s="233" t="s">
        <v>2137</v>
      </c>
      <c r="F2898" s="366">
        <v>12</v>
      </c>
      <c r="G2898" s="245" t="s">
        <v>2139</v>
      </c>
      <c r="H2898" s="245">
        <v>55</v>
      </c>
      <c r="I2898" s="173">
        <v>8</v>
      </c>
      <c r="J2898">
        <v>246</v>
      </c>
      <c r="K2898" s="173">
        <v>232</v>
      </c>
      <c r="L2898" s="173">
        <f t="shared" si="333"/>
        <v>7.5447154471544726</v>
      </c>
      <c r="M2898" s="173">
        <f t="shared" si="334"/>
        <v>15.544715447154474</v>
      </c>
      <c r="O2898" s="173">
        <f t="shared" si="335"/>
        <v>24</v>
      </c>
      <c r="P2898" s="173">
        <v>30</v>
      </c>
    </row>
    <row r="2899" spans="3:16" x14ac:dyDescent="0.35">
      <c r="C2899" s="233" t="s">
        <v>2137</v>
      </c>
      <c r="F2899" s="366">
        <v>8</v>
      </c>
      <c r="G2899" s="245" t="s">
        <v>2140</v>
      </c>
      <c r="H2899" s="245">
        <v>55</v>
      </c>
      <c r="I2899" s="173">
        <v>8</v>
      </c>
      <c r="J2899">
        <v>246</v>
      </c>
      <c r="K2899" s="173">
        <v>232</v>
      </c>
      <c r="L2899" s="173">
        <f t="shared" si="333"/>
        <v>7.5447154471544726</v>
      </c>
      <c r="M2899" s="173">
        <f t="shared" si="334"/>
        <v>15.544715447154474</v>
      </c>
      <c r="O2899" s="173">
        <f t="shared" si="335"/>
        <v>24</v>
      </c>
      <c r="P2899" s="173">
        <v>30</v>
      </c>
    </row>
    <row r="2900" spans="3:16" x14ac:dyDescent="0.35">
      <c r="C2900" s="233" t="s">
        <v>2137</v>
      </c>
      <c r="F2900" s="366">
        <v>9</v>
      </c>
      <c r="G2900" s="245" t="s">
        <v>2140</v>
      </c>
      <c r="H2900" s="245">
        <v>55</v>
      </c>
      <c r="I2900" s="173">
        <v>8</v>
      </c>
      <c r="J2900">
        <v>246</v>
      </c>
      <c r="K2900" s="173">
        <v>232</v>
      </c>
      <c r="L2900" s="173">
        <f t="shared" si="333"/>
        <v>7.5447154471544726</v>
      </c>
      <c r="M2900" s="173">
        <f t="shared" si="334"/>
        <v>15.544715447154474</v>
      </c>
      <c r="O2900" s="173">
        <f t="shared" si="335"/>
        <v>24</v>
      </c>
      <c r="P2900" s="173">
        <v>30</v>
      </c>
    </row>
    <row r="2901" spans="3:16" x14ac:dyDescent="0.35">
      <c r="C2901" s="233" t="s">
        <v>2137</v>
      </c>
      <c r="F2901" s="366">
        <v>9</v>
      </c>
      <c r="G2901" s="245" t="s">
        <v>2140</v>
      </c>
      <c r="H2901" s="245">
        <v>55</v>
      </c>
      <c r="I2901" s="173">
        <v>8</v>
      </c>
      <c r="J2901">
        <v>246</v>
      </c>
      <c r="K2901" s="173">
        <v>232</v>
      </c>
      <c r="L2901" s="173">
        <f t="shared" si="333"/>
        <v>7.5447154471544726</v>
      </c>
      <c r="M2901" s="173">
        <f t="shared" si="334"/>
        <v>15.544715447154474</v>
      </c>
      <c r="O2901" s="173">
        <f t="shared" si="335"/>
        <v>24</v>
      </c>
      <c r="P2901" s="173">
        <v>30</v>
      </c>
    </row>
    <row r="2902" spans="3:16" x14ac:dyDescent="0.35">
      <c r="C2902" s="233" t="s">
        <v>2137</v>
      </c>
      <c r="F2902" s="366">
        <v>10</v>
      </c>
      <c r="G2902" s="245" t="s">
        <v>2140</v>
      </c>
      <c r="H2902" s="245">
        <v>55</v>
      </c>
      <c r="I2902" s="173">
        <v>8</v>
      </c>
      <c r="J2902">
        <v>246</v>
      </c>
      <c r="K2902" s="173">
        <v>232</v>
      </c>
      <c r="L2902" s="173">
        <f t="shared" si="333"/>
        <v>7.5447154471544726</v>
      </c>
      <c r="M2902" s="173">
        <f t="shared" si="334"/>
        <v>15.544715447154474</v>
      </c>
      <c r="O2902" s="173">
        <f t="shared" si="335"/>
        <v>24</v>
      </c>
      <c r="P2902" s="173">
        <v>30</v>
      </c>
    </row>
    <row r="2903" spans="3:16" x14ac:dyDescent="0.35">
      <c r="C2903" s="233" t="s">
        <v>2137</v>
      </c>
      <c r="F2903" s="366">
        <v>11</v>
      </c>
      <c r="G2903" s="245" t="s">
        <v>2140</v>
      </c>
      <c r="H2903" s="245">
        <v>55</v>
      </c>
      <c r="I2903" s="173">
        <v>8</v>
      </c>
      <c r="J2903">
        <v>246</v>
      </c>
      <c r="K2903" s="173">
        <v>232</v>
      </c>
      <c r="L2903" s="173">
        <f t="shared" si="333"/>
        <v>7.5447154471544726</v>
      </c>
      <c r="M2903" s="173">
        <f t="shared" si="334"/>
        <v>15.544715447154474</v>
      </c>
      <c r="O2903" s="173">
        <f t="shared" si="335"/>
        <v>24</v>
      </c>
      <c r="P2903" s="173">
        <v>30</v>
      </c>
    </row>
    <row r="2904" spans="3:16" x14ac:dyDescent="0.35">
      <c r="C2904" s="233" t="s">
        <v>2137</v>
      </c>
      <c r="F2904" s="366">
        <v>8</v>
      </c>
      <c r="G2904" s="245" t="s">
        <v>2141</v>
      </c>
      <c r="H2904" s="245">
        <v>55</v>
      </c>
      <c r="I2904" s="173">
        <v>8</v>
      </c>
      <c r="J2904">
        <v>246</v>
      </c>
      <c r="K2904" s="173">
        <v>232</v>
      </c>
      <c r="L2904" s="173">
        <f t="shared" si="333"/>
        <v>7.5447154471544726</v>
      </c>
      <c r="M2904" s="173">
        <f t="shared" si="334"/>
        <v>15.544715447154474</v>
      </c>
      <c r="O2904" s="173">
        <f t="shared" si="335"/>
        <v>24</v>
      </c>
      <c r="P2904" s="173">
        <v>30</v>
      </c>
    </row>
    <row r="2905" spans="3:16" x14ac:dyDescent="0.35">
      <c r="C2905" s="233" t="s">
        <v>2137</v>
      </c>
      <c r="F2905" s="366">
        <v>9</v>
      </c>
      <c r="G2905" s="245" t="s">
        <v>2141</v>
      </c>
      <c r="H2905" s="245">
        <v>55</v>
      </c>
      <c r="I2905" s="173">
        <v>8</v>
      </c>
      <c r="J2905">
        <v>246</v>
      </c>
      <c r="K2905" s="173">
        <v>232</v>
      </c>
      <c r="L2905" s="173">
        <f t="shared" si="333"/>
        <v>7.5447154471544726</v>
      </c>
      <c r="M2905" s="173">
        <f t="shared" si="334"/>
        <v>15.544715447154474</v>
      </c>
      <c r="O2905" s="173">
        <f t="shared" si="335"/>
        <v>24</v>
      </c>
      <c r="P2905" s="173">
        <v>30</v>
      </c>
    </row>
    <row r="2906" spans="3:16" x14ac:dyDescent="0.35">
      <c r="C2906" s="233" t="s">
        <v>2137</v>
      </c>
      <c r="F2906" s="366">
        <v>10</v>
      </c>
      <c r="G2906" s="245" t="s">
        <v>2141</v>
      </c>
      <c r="H2906" s="245">
        <v>55</v>
      </c>
      <c r="I2906" s="173">
        <v>8</v>
      </c>
      <c r="J2906">
        <v>246</v>
      </c>
      <c r="K2906" s="173">
        <v>232</v>
      </c>
      <c r="L2906" s="173">
        <f t="shared" si="333"/>
        <v>7.5447154471544726</v>
      </c>
      <c r="M2906" s="173">
        <f t="shared" si="334"/>
        <v>15.544715447154474</v>
      </c>
      <c r="O2906" s="173">
        <f t="shared" si="335"/>
        <v>24</v>
      </c>
      <c r="P2906" s="173">
        <v>30</v>
      </c>
    </row>
    <row r="2907" spans="3:16" x14ac:dyDescent="0.35">
      <c r="C2907" s="233" t="s">
        <v>2137</v>
      </c>
      <c r="F2907" s="366">
        <v>10</v>
      </c>
      <c r="G2907" s="245" t="s">
        <v>2141</v>
      </c>
      <c r="H2907" s="245">
        <v>55</v>
      </c>
      <c r="I2907" s="173">
        <v>8</v>
      </c>
      <c r="J2907">
        <v>246</v>
      </c>
      <c r="K2907" s="173">
        <v>232</v>
      </c>
      <c r="L2907" s="173">
        <f t="shared" si="333"/>
        <v>7.5447154471544726</v>
      </c>
      <c r="M2907" s="173">
        <f t="shared" si="334"/>
        <v>15.544715447154474</v>
      </c>
      <c r="O2907" s="173">
        <f t="shared" si="335"/>
        <v>24</v>
      </c>
      <c r="P2907" s="173">
        <v>30</v>
      </c>
    </row>
    <row r="2908" spans="3:16" x14ac:dyDescent="0.35">
      <c r="C2908" s="233" t="s">
        <v>2137</v>
      </c>
      <c r="F2908" s="366">
        <v>12</v>
      </c>
      <c r="G2908" s="245" t="s">
        <v>2141</v>
      </c>
      <c r="H2908" s="245">
        <v>55</v>
      </c>
      <c r="I2908" s="173">
        <v>8</v>
      </c>
      <c r="J2908">
        <v>246</v>
      </c>
      <c r="K2908" s="173">
        <v>232</v>
      </c>
      <c r="L2908" s="173">
        <f t="shared" si="333"/>
        <v>7.5447154471544726</v>
      </c>
      <c r="M2908" s="173">
        <f t="shared" si="334"/>
        <v>15.544715447154474</v>
      </c>
      <c r="O2908" s="173">
        <f t="shared" si="335"/>
        <v>24</v>
      </c>
      <c r="P2908" s="173">
        <v>30</v>
      </c>
    </row>
    <row r="2910" spans="3:16" x14ac:dyDescent="0.35">
      <c r="D2910" s="233" t="s">
        <v>2200</v>
      </c>
    </row>
    <row r="2911" spans="3:16" x14ac:dyDescent="0.35">
      <c r="D2911" s="233" t="s">
        <v>1584</v>
      </c>
    </row>
    <row r="2912" spans="3:16" x14ac:dyDescent="0.35">
      <c r="C2912" s="597" t="s">
        <v>2201</v>
      </c>
      <c r="F2912" s="366">
        <v>44</v>
      </c>
      <c r="G2912" s="670" t="s">
        <v>2202</v>
      </c>
      <c r="I2912" s="173">
        <v>50</v>
      </c>
      <c r="J2912">
        <v>4609</v>
      </c>
      <c r="K2912" s="173">
        <v>3601</v>
      </c>
      <c r="L2912" s="173">
        <f>+I2912/J2912*K2912</f>
        <v>39.064873074419609</v>
      </c>
      <c r="M2912" s="173">
        <f>+I2912+L2912</f>
        <v>89.064873074419609</v>
      </c>
      <c r="O2912" s="173">
        <f>+M2912*1.5</f>
        <v>133.59730961162941</v>
      </c>
      <c r="P2912" s="173">
        <v>150</v>
      </c>
    </row>
    <row r="2913" spans="3:19" x14ac:dyDescent="0.35">
      <c r="C2913" s="597" t="s">
        <v>2201</v>
      </c>
      <c r="F2913" s="366">
        <v>46</v>
      </c>
      <c r="G2913" s="670" t="s">
        <v>2202</v>
      </c>
      <c r="I2913" s="173">
        <v>50</v>
      </c>
      <c r="J2913">
        <v>4609</v>
      </c>
      <c r="K2913" s="173">
        <v>3601</v>
      </c>
      <c r="L2913" s="173">
        <f t="shared" ref="L2913:L2949" si="336">+I2913/J2913*K2913</f>
        <v>39.064873074419609</v>
      </c>
      <c r="M2913" s="173">
        <f t="shared" ref="M2913:M2949" si="337">+I2913+L2913</f>
        <v>89.064873074419609</v>
      </c>
      <c r="O2913" s="173">
        <f t="shared" ref="O2913:O2949" si="338">+M2913*1.5</f>
        <v>133.59730961162941</v>
      </c>
      <c r="P2913" s="173">
        <v>150</v>
      </c>
    </row>
    <row r="2914" spans="3:19" x14ac:dyDescent="0.35">
      <c r="C2914" s="597" t="s">
        <v>2201</v>
      </c>
      <c r="F2914" s="366">
        <v>48</v>
      </c>
      <c r="G2914" s="670" t="s">
        <v>2202</v>
      </c>
      <c r="I2914" s="173">
        <v>50</v>
      </c>
      <c r="J2914">
        <v>4609</v>
      </c>
      <c r="K2914" s="173">
        <v>3601</v>
      </c>
      <c r="L2914" s="173">
        <f t="shared" si="336"/>
        <v>39.064873074419609</v>
      </c>
      <c r="M2914" s="173">
        <f t="shared" si="337"/>
        <v>89.064873074419609</v>
      </c>
      <c r="O2914" s="173">
        <f t="shared" si="338"/>
        <v>133.59730961162941</v>
      </c>
      <c r="P2914" s="173">
        <v>150</v>
      </c>
    </row>
    <row r="2915" spans="3:19" x14ac:dyDescent="0.35">
      <c r="C2915" s="597" t="s">
        <v>2201</v>
      </c>
      <c r="F2915" s="366">
        <v>50</v>
      </c>
      <c r="G2915" s="670" t="s">
        <v>2202</v>
      </c>
      <c r="I2915" s="173">
        <v>50</v>
      </c>
      <c r="J2915">
        <v>4609</v>
      </c>
      <c r="K2915" s="173">
        <v>3601</v>
      </c>
      <c r="L2915" s="173">
        <f t="shared" si="336"/>
        <v>39.064873074419609</v>
      </c>
      <c r="M2915" s="173">
        <f t="shared" si="337"/>
        <v>89.064873074419609</v>
      </c>
      <c r="O2915" s="173">
        <f t="shared" si="338"/>
        <v>133.59730961162941</v>
      </c>
      <c r="P2915" s="173">
        <v>150</v>
      </c>
    </row>
    <row r="2916" spans="3:19" x14ac:dyDescent="0.35">
      <c r="C2916" s="597" t="s">
        <v>2201</v>
      </c>
      <c r="F2916" s="366">
        <v>52</v>
      </c>
      <c r="G2916" s="670" t="s">
        <v>2202</v>
      </c>
      <c r="I2916" s="173">
        <v>50</v>
      </c>
      <c r="J2916">
        <v>4609</v>
      </c>
      <c r="K2916" s="173">
        <v>3601</v>
      </c>
      <c r="L2916" s="173">
        <f t="shared" si="336"/>
        <v>39.064873074419609</v>
      </c>
      <c r="M2916" s="173">
        <f t="shared" si="337"/>
        <v>89.064873074419609</v>
      </c>
      <c r="O2916" s="173">
        <f t="shared" si="338"/>
        <v>133.59730961162941</v>
      </c>
      <c r="P2916" s="173">
        <v>150</v>
      </c>
    </row>
    <row r="2917" spans="3:19" x14ac:dyDescent="0.35">
      <c r="C2917" s="597" t="s">
        <v>2201</v>
      </c>
      <c r="F2917" s="366">
        <v>42</v>
      </c>
      <c r="G2917" s="371" t="s">
        <v>2203</v>
      </c>
      <c r="H2917" s="371"/>
      <c r="I2917" s="176">
        <v>68</v>
      </c>
      <c r="J2917" s="12">
        <v>4609</v>
      </c>
      <c r="K2917" s="176">
        <v>3601</v>
      </c>
      <c r="L2917" s="176">
        <f t="shared" si="336"/>
        <v>53.128227381210678</v>
      </c>
      <c r="M2917" s="176">
        <f t="shared" si="337"/>
        <v>121.12822738121068</v>
      </c>
      <c r="N2917" s="12"/>
      <c r="O2917" s="176">
        <f t="shared" si="338"/>
        <v>181.69234107181603</v>
      </c>
      <c r="P2917" s="176">
        <v>180</v>
      </c>
      <c r="S2917" t="s">
        <v>1514</v>
      </c>
    </row>
    <row r="2918" spans="3:19" x14ac:dyDescent="0.35">
      <c r="C2918" s="597" t="s">
        <v>2201</v>
      </c>
      <c r="F2918" s="366">
        <v>44</v>
      </c>
      <c r="G2918" s="670" t="s">
        <v>2203</v>
      </c>
      <c r="I2918" s="173">
        <v>68</v>
      </c>
      <c r="J2918">
        <v>4609</v>
      </c>
      <c r="K2918" s="173">
        <v>3601</v>
      </c>
      <c r="L2918" s="173">
        <f t="shared" si="336"/>
        <v>53.128227381210678</v>
      </c>
      <c r="M2918" s="173">
        <f t="shared" si="337"/>
        <v>121.12822738121068</v>
      </c>
      <c r="O2918" s="173">
        <f t="shared" si="338"/>
        <v>181.69234107181603</v>
      </c>
      <c r="P2918" s="173">
        <v>180</v>
      </c>
    </row>
    <row r="2919" spans="3:19" x14ac:dyDescent="0.35">
      <c r="C2919" s="597" t="s">
        <v>2201</v>
      </c>
      <c r="F2919" s="366">
        <v>46</v>
      </c>
      <c r="G2919" s="670" t="s">
        <v>2203</v>
      </c>
      <c r="I2919" s="173">
        <v>68</v>
      </c>
      <c r="J2919">
        <v>4609</v>
      </c>
      <c r="K2919" s="173">
        <v>3601</v>
      </c>
      <c r="L2919" s="173">
        <f t="shared" si="336"/>
        <v>53.128227381210678</v>
      </c>
      <c r="M2919" s="173">
        <f t="shared" si="337"/>
        <v>121.12822738121068</v>
      </c>
      <c r="O2919" s="173">
        <f t="shared" si="338"/>
        <v>181.69234107181603</v>
      </c>
      <c r="P2919" s="173">
        <v>180</v>
      </c>
    </row>
    <row r="2920" spans="3:19" x14ac:dyDescent="0.35">
      <c r="C2920" s="597" t="s">
        <v>2201</v>
      </c>
      <c r="F2920" s="366">
        <v>48</v>
      </c>
      <c r="G2920" s="670" t="s">
        <v>2203</v>
      </c>
      <c r="I2920" s="173">
        <v>68</v>
      </c>
      <c r="J2920">
        <v>4609</v>
      </c>
      <c r="K2920" s="173">
        <v>3601</v>
      </c>
      <c r="L2920" s="173">
        <f t="shared" si="336"/>
        <v>53.128227381210678</v>
      </c>
      <c r="M2920" s="173">
        <f t="shared" si="337"/>
        <v>121.12822738121068</v>
      </c>
      <c r="O2920" s="173">
        <f t="shared" si="338"/>
        <v>181.69234107181603</v>
      </c>
      <c r="P2920" s="173">
        <v>180</v>
      </c>
    </row>
    <row r="2921" spans="3:19" x14ac:dyDescent="0.35">
      <c r="C2921" s="597" t="s">
        <v>2201</v>
      </c>
      <c r="F2921" s="366">
        <v>50</v>
      </c>
      <c r="G2921" s="670" t="s">
        <v>2203</v>
      </c>
      <c r="I2921" s="173">
        <v>68</v>
      </c>
      <c r="J2921">
        <v>4609</v>
      </c>
      <c r="K2921" s="173">
        <v>3601</v>
      </c>
      <c r="L2921" s="173">
        <f t="shared" si="336"/>
        <v>53.128227381210678</v>
      </c>
      <c r="M2921" s="173">
        <f t="shared" si="337"/>
        <v>121.12822738121068</v>
      </c>
      <c r="O2921" s="173">
        <f t="shared" si="338"/>
        <v>181.69234107181603</v>
      </c>
      <c r="P2921" s="173">
        <v>180</v>
      </c>
    </row>
    <row r="2922" spans="3:19" x14ac:dyDescent="0.35">
      <c r="C2922" s="597" t="s">
        <v>808</v>
      </c>
      <c r="F2922" s="399">
        <v>44</v>
      </c>
      <c r="G2922" s="670" t="s">
        <v>2204</v>
      </c>
      <c r="I2922" s="173">
        <v>62</v>
      </c>
      <c r="J2922">
        <v>4609</v>
      </c>
      <c r="K2922" s="173">
        <v>3601</v>
      </c>
      <c r="L2922" s="173">
        <f t="shared" si="336"/>
        <v>48.440442612280322</v>
      </c>
      <c r="M2922" s="173">
        <f t="shared" si="337"/>
        <v>110.44044261228032</v>
      </c>
      <c r="O2922" s="173">
        <f t="shared" si="338"/>
        <v>165.66066391842048</v>
      </c>
      <c r="P2922" s="173">
        <v>180</v>
      </c>
    </row>
    <row r="2923" spans="3:19" x14ac:dyDescent="0.35">
      <c r="C2923" s="597" t="s">
        <v>808</v>
      </c>
      <c r="F2923" s="399">
        <v>46</v>
      </c>
      <c r="G2923" s="670" t="s">
        <v>2204</v>
      </c>
      <c r="I2923" s="173">
        <v>62</v>
      </c>
      <c r="J2923">
        <v>4609</v>
      </c>
      <c r="K2923" s="173">
        <v>3601</v>
      </c>
      <c r="L2923" s="173">
        <f t="shared" si="336"/>
        <v>48.440442612280322</v>
      </c>
      <c r="M2923" s="173">
        <f t="shared" si="337"/>
        <v>110.44044261228032</v>
      </c>
      <c r="O2923" s="173">
        <f t="shared" si="338"/>
        <v>165.66066391842048</v>
      </c>
      <c r="P2923" s="173">
        <v>180</v>
      </c>
    </row>
    <row r="2924" spans="3:19" x14ac:dyDescent="0.35">
      <c r="C2924" s="597" t="s">
        <v>808</v>
      </c>
      <c r="F2924" s="399">
        <v>48</v>
      </c>
      <c r="G2924" s="670" t="s">
        <v>2204</v>
      </c>
      <c r="I2924" s="173">
        <v>62</v>
      </c>
      <c r="J2924">
        <v>4609</v>
      </c>
      <c r="K2924" s="173">
        <v>3601</v>
      </c>
      <c r="L2924" s="173">
        <f t="shared" si="336"/>
        <v>48.440442612280322</v>
      </c>
      <c r="M2924" s="173">
        <f t="shared" si="337"/>
        <v>110.44044261228032</v>
      </c>
      <c r="O2924" s="173">
        <f t="shared" si="338"/>
        <v>165.66066391842048</v>
      </c>
      <c r="P2924" s="173">
        <v>180</v>
      </c>
    </row>
    <row r="2925" spans="3:19" x14ac:dyDescent="0.35">
      <c r="C2925" s="597" t="s">
        <v>808</v>
      </c>
      <c r="F2925" s="399">
        <v>50</v>
      </c>
      <c r="G2925" s="670" t="s">
        <v>2204</v>
      </c>
      <c r="I2925" s="173">
        <v>62</v>
      </c>
      <c r="J2925">
        <v>4609</v>
      </c>
      <c r="K2925" s="173">
        <v>3601</v>
      </c>
      <c r="L2925" s="173">
        <f t="shared" si="336"/>
        <v>48.440442612280322</v>
      </c>
      <c r="M2925" s="173">
        <f t="shared" si="337"/>
        <v>110.44044261228032</v>
      </c>
      <c r="O2925" s="173">
        <f t="shared" si="338"/>
        <v>165.66066391842048</v>
      </c>
      <c r="P2925" s="173">
        <v>180</v>
      </c>
    </row>
    <row r="2926" spans="3:19" x14ac:dyDescent="0.35">
      <c r="C2926" s="597" t="s">
        <v>808</v>
      </c>
      <c r="F2926" s="399">
        <v>52</v>
      </c>
      <c r="G2926" s="670" t="s">
        <v>2204</v>
      </c>
      <c r="I2926" s="173">
        <v>62</v>
      </c>
      <c r="J2926">
        <v>4609</v>
      </c>
      <c r="K2926" s="173">
        <v>3601</v>
      </c>
      <c r="L2926" s="173">
        <f t="shared" si="336"/>
        <v>48.440442612280322</v>
      </c>
      <c r="M2926" s="173">
        <f t="shared" si="337"/>
        <v>110.44044261228032</v>
      </c>
      <c r="O2926" s="173">
        <f t="shared" si="338"/>
        <v>165.66066391842048</v>
      </c>
      <c r="P2926" s="173">
        <v>180</v>
      </c>
    </row>
    <row r="2927" spans="3:19" x14ac:dyDescent="0.35">
      <c r="C2927" s="597" t="s">
        <v>305</v>
      </c>
      <c r="F2927" s="366">
        <v>48</v>
      </c>
      <c r="G2927" s="670" t="s">
        <v>2205</v>
      </c>
      <c r="I2927" s="173">
        <v>60</v>
      </c>
      <c r="J2927">
        <v>4609</v>
      </c>
      <c r="K2927" s="173">
        <v>3601</v>
      </c>
      <c r="L2927" s="173">
        <f t="shared" si="336"/>
        <v>46.877847689303536</v>
      </c>
      <c r="M2927" s="173">
        <f t="shared" si="337"/>
        <v>106.87784768930354</v>
      </c>
      <c r="O2927" s="173">
        <f t="shared" si="338"/>
        <v>160.31677153395532</v>
      </c>
      <c r="P2927" s="173">
        <v>180</v>
      </c>
    </row>
    <row r="2928" spans="3:19" x14ac:dyDescent="0.35">
      <c r="C2928" s="597" t="s">
        <v>305</v>
      </c>
      <c r="F2928" s="366">
        <v>50</v>
      </c>
      <c r="G2928" s="670" t="s">
        <v>2205</v>
      </c>
      <c r="I2928" s="173">
        <v>60</v>
      </c>
      <c r="J2928">
        <v>4609</v>
      </c>
      <c r="K2928" s="173">
        <v>3601</v>
      </c>
      <c r="L2928" s="173">
        <f t="shared" si="336"/>
        <v>46.877847689303536</v>
      </c>
      <c r="M2928" s="173">
        <f t="shared" si="337"/>
        <v>106.87784768930354</v>
      </c>
      <c r="O2928" s="173">
        <f t="shared" si="338"/>
        <v>160.31677153395532</v>
      </c>
      <c r="P2928" s="173">
        <v>180</v>
      </c>
    </row>
    <row r="2929" spans="3:16" x14ac:dyDescent="0.35">
      <c r="C2929" s="597" t="s">
        <v>305</v>
      </c>
      <c r="F2929" s="366">
        <v>52</v>
      </c>
      <c r="G2929" s="670" t="s">
        <v>2205</v>
      </c>
      <c r="I2929" s="173">
        <v>60</v>
      </c>
      <c r="J2929">
        <v>4609</v>
      </c>
      <c r="K2929" s="173">
        <v>3601</v>
      </c>
      <c r="L2929" s="173">
        <f t="shared" si="336"/>
        <v>46.877847689303536</v>
      </c>
      <c r="M2929" s="173">
        <f t="shared" si="337"/>
        <v>106.87784768930354</v>
      </c>
      <c r="O2929" s="173">
        <f t="shared" si="338"/>
        <v>160.31677153395532</v>
      </c>
      <c r="P2929" s="173">
        <v>180</v>
      </c>
    </row>
    <row r="2930" spans="3:16" x14ac:dyDescent="0.35">
      <c r="C2930" s="597" t="s">
        <v>305</v>
      </c>
      <c r="F2930" s="366">
        <v>54</v>
      </c>
      <c r="G2930" s="670" t="s">
        <v>2205</v>
      </c>
      <c r="I2930" s="173">
        <v>60</v>
      </c>
      <c r="J2930">
        <v>4609</v>
      </c>
      <c r="K2930" s="173">
        <v>3601</v>
      </c>
      <c r="L2930" s="173">
        <f t="shared" si="336"/>
        <v>46.877847689303536</v>
      </c>
      <c r="M2930" s="173">
        <f t="shared" si="337"/>
        <v>106.87784768930354</v>
      </c>
      <c r="O2930" s="173">
        <f t="shared" si="338"/>
        <v>160.31677153395532</v>
      </c>
      <c r="P2930" s="173">
        <v>180</v>
      </c>
    </row>
    <row r="2931" spans="3:16" x14ac:dyDescent="0.35">
      <c r="C2931" s="597" t="s">
        <v>305</v>
      </c>
      <c r="F2931" s="366">
        <v>56</v>
      </c>
      <c r="G2931" s="670" t="s">
        <v>2205</v>
      </c>
      <c r="I2931" s="173">
        <v>60</v>
      </c>
      <c r="J2931">
        <v>4609</v>
      </c>
      <c r="K2931" s="173">
        <v>3601</v>
      </c>
      <c r="L2931" s="173">
        <f t="shared" si="336"/>
        <v>46.877847689303536</v>
      </c>
      <c r="M2931" s="173">
        <f t="shared" si="337"/>
        <v>106.87784768930354</v>
      </c>
      <c r="O2931" s="173">
        <f t="shared" si="338"/>
        <v>160.31677153395532</v>
      </c>
      <c r="P2931" s="173">
        <v>180</v>
      </c>
    </row>
    <row r="2932" spans="3:16" x14ac:dyDescent="0.35">
      <c r="C2932" s="597" t="s">
        <v>305</v>
      </c>
      <c r="F2932" s="366">
        <v>48</v>
      </c>
      <c r="G2932" s="670" t="s">
        <v>2206</v>
      </c>
      <c r="I2932" s="173">
        <v>60</v>
      </c>
      <c r="J2932">
        <v>4609</v>
      </c>
      <c r="K2932" s="173">
        <v>3601</v>
      </c>
      <c r="L2932" s="173">
        <f t="shared" si="336"/>
        <v>46.877847689303536</v>
      </c>
      <c r="M2932" s="173">
        <f t="shared" si="337"/>
        <v>106.87784768930354</v>
      </c>
      <c r="O2932" s="173">
        <f t="shared" si="338"/>
        <v>160.31677153395532</v>
      </c>
      <c r="P2932" s="173">
        <v>180</v>
      </c>
    </row>
    <row r="2933" spans="3:16" x14ac:dyDescent="0.35">
      <c r="C2933" s="597" t="s">
        <v>305</v>
      </c>
      <c r="F2933" s="366">
        <v>50</v>
      </c>
      <c r="G2933" s="670" t="s">
        <v>2206</v>
      </c>
      <c r="I2933" s="173">
        <v>60</v>
      </c>
      <c r="J2933">
        <v>4609</v>
      </c>
      <c r="K2933" s="173">
        <v>3601</v>
      </c>
      <c r="L2933" s="173">
        <f t="shared" si="336"/>
        <v>46.877847689303536</v>
      </c>
      <c r="M2933" s="173">
        <f t="shared" si="337"/>
        <v>106.87784768930354</v>
      </c>
      <c r="O2933" s="173">
        <f t="shared" si="338"/>
        <v>160.31677153395532</v>
      </c>
      <c r="P2933" s="173">
        <v>180</v>
      </c>
    </row>
    <row r="2934" spans="3:16" x14ac:dyDescent="0.35">
      <c r="C2934" s="597" t="s">
        <v>305</v>
      </c>
      <c r="F2934" s="366">
        <v>52</v>
      </c>
      <c r="G2934" s="670" t="s">
        <v>2206</v>
      </c>
      <c r="I2934" s="173">
        <v>60</v>
      </c>
      <c r="J2934">
        <v>4609</v>
      </c>
      <c r="K2934" s="173">
        <v>3601</v>
      </c>
      <c r="L2934" s="173">
        <f t="shared" si="336"/>
        <v>46.877847689303536</v>
      </c>
      <c r="M2934" s="173">
        <f t="shared" si="337"/>
        <v>106.87784768930354</v>
      </c>
      <c r="O2934" s="173">
        <f t="shared" si="338"/>
        <v>160.31677153395532</v>
      </c>
      <c r="P2934" s="173">
        <v>180</v>
      </c>
    </row>
    <row r="2935" spans="3:16" x14ac:dyDescent="0.35">
      <c r="C2935" s="597" t="s">
        <v>305</v>
      </c>
      <c r="F2935" s="366">
        <v>54</v>
      </c>
      <c r="G2935" s="670" t="s">
        <v>2206</v>
      </c>
      <c r="I2935" s="173">
        <v>60</v>
      </c>
      <c r="J2935">
        <v>4609</v>
      </c>
      <c r="K2935" s="173">
        <v>3601</v>
      </c>
      <c r="L2935" s="173">
        <f t="shared" si="336"/>
        <v>46.877847689303536</v>
      </c>
      <c r="M2935" s="173">
        <f t="shared" si="337"/>
        <v>106.87784768930354</v>
      </c>
      <c r="O2935" s="173">
        <f t="shared" si="338"/>
        <v>160.31677153395532</v>
      </c>
      <c r="P2935" s="173">
        <v>180</v>
      </c>
    </row>
    <row r="2936" spans="3:16" x14ac:dyDescent="0.35">
      <c r="C2936" s="597" t="s">
        <v>305</v>
      </c>
      <c r="F2936" s="366">
        <v>56</v>
      </c>
      <c r="G2936" s="670" t="s">
        <v>2206</v>
      </c>
      <c r="I2936" s="173">
        <v>60</v>
      </c>
      <c r="J2936">
        <v>4609</v>
      </c>
      <c r="K2936" s="173">
        <v>3601</v>
      </c>
      <c r="L2936" s="173">
        <f t="shared" si="336"/>
        <v>46.877847689303536</v>
      </c>
      <c r="M2936" s="173">
        <f t="shared" si="337"/>
        <v>106.87784768930354</v>
      </c>
      <c r="O2936" s="173">
        <f t="shared" si="338"/>
        <v>160.31677153395532</v>
      </c>
      <c r="P2936" s="173">
        <v>180</v>
      </c>
    </row>
    <row r="2937" spans="3:16" x14ac:dyDescent="0.35">
      <c r="C2937" s="597" t="s">
        <v>305</v>
      </c>
      <c r="F2937" s="366">
        <v>42</v>
      </c>
      <c r="G2937" s="245" t="s">
        <v>2207</v>
      </c>
      <c r="I2937" s="173">
        <v>55</v>
      </c>
      <c r="J2937">
        <v>4609</v>
      </c>
      <c r="K2937" s="173">
        <v>3601</v>
      </c>
      <c r="L2937" s="173">
        <f t="shared" si="336"/>
        <v>42.971360381861572</v>
      </c>
      <c r="M2937" s="173">
        <f t="shared" si="337"/>
        <v>97.971360381861572</v>
      </c>
      <c r="O2937" s="173">
        <f t="shared" si="338"/>
        <v>146.95704057279235</v>
      </c>
      <c r="P2937" s="173">
        <v>180</v>
      </c>
    </row>
    <row r="2938" spans="3:16" x14ac:dyDescent="0.35">
      <c r="C2938" s="597" t="s">
        <v>305</v>
      </c>
      <c r="F2938" s="366">
        <v>44</v>
      </c>
      <c r="G2938" s="245" t="s">
        <v>2207</v>
      </c>
      <c r="I2938" s="173">
        <v>55</v>
      </c>
      <c r="J2938">
        <v>4609</v>
      </c>
      <c r="K2938" s="173">
        <v>3601</v>
      </c>
      <c r="L2938" s="173">
        <f t="shared" si="336"/>
        <v>42.971360381861572</v>
      </c>
      <c r="M2938" s="173">
        <f t="shared" si="337"/>
        <v>97.971360381861572</v>
      </c>
      <c r="O2938" s="173">
        <f t="shared" si="338"/>
        <v>146.95704057279235</v>
      </c>
      <c r="P2938" s="173">
        <v>180</v>
      </c>
    </row>
    <row r="2939" spans="3:16" x14ac:dyDescent="0.35">
      <c r="C2939" s="597" t="s">
        <v>305</v>
      </c>
      <c r="F2939" s="366">
        <v>46</v>
      </c>
      <c r="G2939" s="245" t="s">
        <v>2207</v>
      </c>
      <c r="I2939" s="173">
        <v>55</v>
      </c>
      <c r="J2939">
        <v>4609</v>
      </c>
      <c r="K2939" s="173">
        <v>3601</v>
      </c>
      <c r="L2939" s="173">
        <f t="shared" si="336"/>
        <v>42.971360381861572</v>
      </c>
      <c r="M2939" s="173">
        <f t="shared" si="337"/>
        <v>97.971360381861572</v>
      </c>
      <c r="O2939" s="173">
        <f t="shared" si="338"/>
        <v>146.95704057279235</v>
      </c>
      <c r="P2939" s="173">
        <v>180</v>
      </c>
    </row>
    <row r="2940" spans="3:16" x14ac:dyDescent="0.35">
      <c r="C2940" s="597" t="s">
        <v>305</v>
      </c>
      <c r="F2940" s="366">
        <v>48</v>
      </c>
      <c r="G2940" s="245" t="s">
        <v>2207</v>
      </c>
      <c r="I2940" s="173">
        <v>55</v>
      </c>
      <c r="J2940">
        <v>4609</v>
      </c>
      <c r="K2940" s="173">
        <v>3601</v>
      </c>
      <c r="L2940" s="173">
        <f t="shared" si="336"/>
        <v>42.971360381861572</v>
      </c>
      <c r="M2940" s="173">
        <f t="shared" si="337"/>
        <v>97.971360381861572</v>
      </c>
      <c r="O2940" s="173">
        <f t="shared" si="338"/>
        <v>146.95704057279235</v>
      </c>
      <c r="P2940" s="173">
        <v>180</v>
      </c>
    </row>
    <row r="2941" spans="3:16" x14ac:dyDescent="0.35">
      <c r="C2941" s="597" t="s">
        <v>305</v>
      </c>
      <c r="F2941" s="366">
        <v>50</v>
      </c>
      <c r="G2941" s="245" t="s">
        <v>2207</v>
      </c>
      <c r="I2941" s="173">
        <v>55</v>
      </c>
      <c r="J2941">
        <v>4609</v>
      </c>
      <c r="K2941" s="173">
        <v>3601</v>
      </c>
      <c r="L2941" s="173">
        <f t="shared" si="336"/>
        <v>42.971360381861572</v>
      </c>
      <c r="M2941" s="173">
        <f t="shared" si="337"/>
        <v>97.971360381861572</v>
      </c>
      <c r="O2941" s="173">
        <f t="shared" si="338"/>
        <v>146.95704057279235</v>
      </c>
      <c r="P2941" s="173">
        <v>180</v>
      </c>
    </row>
    <row r="2942" spans="3:16" x14ac:dyDescent="0.35">
      <c r="C2942" s="597" t="s">
        <v>586</v>
      </c>
      <c r="F2942" s="366">
        <v>48</v>
      </c>
      <c r="G2942" s="245" t="s">
        <v>2208</v>
      </c>
      <c r="I2942" s="173">
        <v>50</v>
      </c>
      <c r="J2942">
        <v>4609</v>
      </c>
      <c r="K2942" s="173">
        <v>3601</v>
      </c>
      <c r="L2942" s="173">
        <f t="shared" si="336"/>
        <v>39.064873074419609</v>
      </c>
      <c r="M2942" s="173">
        <f t="shared" si="337"/>
        <v>89.064873074419609</v>
      </c>
      <c r="O2942" s="173">
        <f t="shared" si="338"/>
        <v>133.59730961162941</v>
      </c>
      <c r="P2942" s="173">
        <v>180</v>
      </c>
    </row>
    <row r="2943" spans="3:16" x14ac:dyDescent="0.35">
      <c r="C2943" s="597" t="s">
        <v>586</v>
      </c>
      <c r="F2943" s="366">
        <v>50</v>
      </c>
      <c r="G2943" s="245" t="s">
        <v>2208</v>
      </c>
      <c r="I2943" s="173">
        <v>50</v>
      </c>
      <c r="J2943">
        <v>4609</v>
      </c>
      <c r="K2943" s="173">
        <v>3601</v>
      </c>
      <c r="L2943" s="173">
        <f t="shared" si="336"/>
        <v>39.064873074419609</v>
      </c>
      <c r="M2943" s="173">
        <f t="shared" si="337"/>
        <v>89.064873074419609</v>
      </c>
      <c r="O2943" s="173">
        <f t="shared" si="338"/>
        <v>133.59730961162941</v>
      </c>
      <c r="P2943" s="173">
        <v>180</v>
      </c>
    </row>
    <row r="2944" spans="3:16" x14ac:dyDescent="0.35">
      <c r="C2944" s="597" t="s">
        <v>586</v>
      </c>
      <c r="F2944" s="366">
        <v>52</v>
      </c>
      <c r="G2944" s="245" t="s">
        <v>2208</v>
      </c>
      <c r="I2944" s="173">
        <v>50</v>
      </c>
      <c r="J2944">
        <v>4609</v>
      </c>
      <c r="K2944" s="173">
        <v>3601</v>
      </c>
      <c r="L2944" s="173">
        <f t="shared" si="336"/>
        <v>39.064873074419609</v>
      </c>
      <c r="M2944" s="173">
        <f t="shared" si="337"/>
        <v>89.064873074419609</v>
      </c>
      <c r="O2944" s="173">
        <f t="shared" si="338"/>
        <v>133.59730961162941</v>
      </c>
      <c r="P2944" s="173">
        <v>180</v>
      </c>
    </row>
    <row r="2945" spans="3:16" x14ac:dyDescent="0.35">
      <c r="C2945" s="597" t="s">
        <v>586</v>
      </c>
      <c r="F2945" s="366">
        <v>54</v>
      </c>
      <c r="G2945" s="245" t="s">
        <v>2208</v>
      </c>
      <c r="I2945" s="173">
        <v>50</v>
      </c>
      <c r="J2945">
        <v>4609</v>
      </c>
      <c r="K2945" s="173">
        <v>3601</v>
      </c>
      <c r="L2945" s="173">
        <f t="shared" si="336"/>
        <v>39.064873074419609</v>
      </c>
      <c r="M2945" s="173">
        <f t="shared" si="337"/>
        <v>89.064873074419609</v>
      </c>
      <c r="O2945" s="173">
        <f t="shared" si="338"/>
        <v>133.59730961162941</v>
      </c>
      <c r="P2945" s="173">
        <v>180</v>
      </c>
    </row>
    <row r="2946" spans="3:16" x14ac:dyDescent="0.35">
      <c r="C2946" s="597" t="s">
        <v>586</v>
      </c>
      <c r="F2946" s="366">
        <v>42</v>
      </c>
      <c r="G2946" s="245" t="s">
        <v>2209</v>
      </c>
      <c r="I2946" s="173">
        <v>45</v>
      </c>
      <c r="J2946">
        <v>4609</v>
      </c>
      <c r="K2946" s="173">
        <v>3601</v>
      </c>
      <c r="L2946" s="173">
        <f t="shared" si="336"/>
        <v>35.158385766977652</v>
      </c>
      <c r="M2946" s="173">
        <f t="shared" si="337"/>
        <v>80.158385766977659</v>
      </c>
      <c r="O2946" s="173">
        <f t="shared" si="338"/>
        <v>120.23757865046649</v>
      </c>
      <c r="P2946" s="173">
        <v>180</v>
      </c>
    </row>
    <row r="2947" spans="3:16" x14ac:dyDescent="0.35">
      <c r="C2947" s="597" t="s">
        <v>586</v>
      </c>
      <c r="F2947" s="366">
        <v>44</v>
      </c>
      <c r="G2947" s="245" t="s">
        <v>2209</v>
      </c>
      <c r="I2947" s="173">
        <v>45</v>
      </c>
      <c r="J2947">
        <v>4609</v>
      </c>
      <c r="K2947" s="173">
        <v>3601</v>
      </c>
      <c r="L2947" s="173">
        <f t="shared" si="336"/>
        <v>35.158385766977652</v>
      </c>
      <c r="M2947" s="173">
        <f t="shared" si="337"/>
        <v>80.158385766977659</v>
      </c>
      <c r="O2947" s="173">
        <f t="shared" si="338"/>
        <v>120.23757865046649</v>
      </c>
      <c r="P2947" s="173">
        <v>180</v>
      </c>
    </row>
    <row r="2948" spans="3:16" x14ac:dyDescent="0.35">
      <c r="C2948" s="597" t="s">
        <v>586</v>
      </c>
      <c r="F2948" s="366">
        <v>46</v>
      </c>
      <c r="G2948" s="245" t="s">
        <v>2209</v>
      </c>
      <c r="I2948" s="173">
        <v>45</v>
      </c>
      <c r="J2948">
        <v>4609</v>
      </c>
      <c r="K2948" s="173">
        <v>3601</v>
      </c>
      <c r="L2948" s="173">
        <f t="shared" si="336"/>
        <v>35.158385766977652</v>
      </c>
      <c r="M2948" s="173">
        <f t="shared" si="337"/>
        <v>80.158385766977659</v>
      </c>
      <c r="O2948" s="173">
        <f t="shared" si="338"/>
        <v>120.23757865046649</v>
      </c>
      <c r="P2948" s="173">
        <v>180</v>
      </c>
    </row>
    <row r="2949" spans="3:16" ht="15" thickBot="1" x14ac:dyDescent="0.4">
      <c r="C2949" s="597" t="s">
        <v>586</v>
      </c>
      <c r="F2949" s="366">
        <v>48</v>
      </c>
      <c r="G2949" s="245" t="s">
        <v>2209</v>
      </c>
      <c r="I2949" s="173">
        <v>45</v>
      </c>
      <c r="J2949">
        <v>4609</v>
      </c>
      <c r="K2949" s="173">
        <v>3601</v>
      </c>
      <c r="L2949" s="173">
        <f t="shared" si="336"/>
        <v>35.158385766977652</v>
      </c>
      <c r="M2949" s="173">
        <f t="shared" si="337"/>
        <v>80.158385766977659</v>
      </c>
      <c r="O2949" s="173">
        <f t="shared" si="338"/>
        <v>120.23757865046649</v>
      </c>
      <c r="P2949" s="173">
        <v>180</v>
      </c>
    </row>
    <row r="2950" spans="3:16" ht="15" thickBot="1" x14ac:dyDescent="0.4">
      <c r="I2950" s="730">
        <f>SUM(I2912:I2949)</f>
        <v>2155</v>
      </c>
      <c r="J2950" s="730"/>
      <c r="K2950" s="730"/>
      <c r="L2950" s="730"/>
      <c r="M2950" s="730"/>
      <c r="N2950" s="730"/>
      <c r="O2950" s="730">
        <f>SUM(O2912:O2949)</f>
        <v>5758.0440442612316</v>
      </c>
      <c r="P2950" s="730">
        <f>SUM(P2912:P2949)</f>
        <v>6690</v>
      </c>
    </row>
    <row r="2951" spans="3:16" x14ac:dyDescent="0.35">
      <c r="D2951" s="233" t="s">
        <v>13</v>
      </c>
    </row>
    <row r="2952" spans="3:16" x14ac:dyDescent="0.35">
      <c r="C2952" s="233" t="s">
        <v>2061</v>
      </c>
      <c r="D2952" s="233" t="s">
        <v>2061</v>
      </c>
      <c r="F2952" s="366">
        <v>1</v>
      </c>
      <c r="G2952" s="245" t="s">
        <v>2235</v>
      </c>
      <c r="I2952" s="173">
        <v>30</v>
      </c>
      <c r="J2952">
        <v>4609</v>
      </c>
      <c r="K2952" s="173">
        <v>3601</v>
      </c>
      <c r="L2952" s="173">
        <f t="shared" ref="L2952:L2991" si="339">+I2952/J2952*K2952</f>
        <v>23.438923844651768</v>
      </c>
      <c r="M2952" s="173">
        <f t="shared" ref="M2952:M2991" si="340">+I2952+L2952</f>
        <v>53.438923844651768</v>
      </c>
      <c r="O2952" s="173">
        <f t="shared" ref="O2952:O2991" si="341">+M2952*1.5</f>
        <v>80.158385766977659</v>
      </c>
      <c r="P2952" s="173">
        <v>125</v>
      </c>
    </row>
    <row r="2953" spans="3:16" x14ac:dyDescent="0.35">
      <c r="C2953" s="233" t="s">
        <v>2061</v>
      </c>
      <c r="D2953" s="233" t="s">
        <v>2061</v>
      </c>
      <c r="F2953" s="366">
        <v>2</v>
      </c>
      <c r="G2953" s="245" t="s">
        <v>2235</v>
      </c>
      <c r="I2953" s="173">
        <v>30</v>
      </c>
      <c r="J2953">
        <v>4609</v>
      </c>
      <c r="K2953" s="173">
        <v>3601</v>
      </c>
      <c r="L2953" s="173">
        <f t="shared" si="339"/>
        <v>23.438923844651768</v>
      </c>
      <c r="M2953" s="173">
        <f t="shared" si="340"/>
        <v>53.438923844651768</v>
      </c>
      <c r="O2953" s="173">
        <f t="shared" si="341"/>
        <v>80.158385766977659</v>
      </c>
      <c r="P2953" s="173">
        <v>125</v>
      </c>
    </row>
    <row r="2954" spans="3:16" x14ac:dyDescent="0.35">
      <c r="C2954" s="233" t="s">
        <v>2061</v>
      </c>
      <c r="D2954" s="233" t="s">
        <v>2061</v>
      </c>
      <c r="F2954" s="366">
        <v>3</v>
      </c>
      <c r="G2954" s="245" t="s">
        <v>2235</v>
      </c>
      <c r="I2954" s="173">
        <v>30</v>
      </c>
      <c r="J2954">
        <v>4609</v>
      </c>
      <c r="K2954" s="173">
        <v>3601</v>
      </c>
      <c r="L2954" s="173">
        <f t="shared" si="339"/>
        <v>23.438923844651768</v>
      </c>
      <c r="M2954" s="173">
        <f t="shared" si="340"/>
        <v>53.438923844651768</v>
      </c>
      <c r="O2954" s="173">
        <f t="shared" si="341"/>
        <v>80.158385766977659</v>
      </c>
      <c r="P2954" s="173">
        <v>125</v>
      </c>
    </row>
    <row r="2955" spans="3:16" x14ac:dyDescent="0.35">
      <c r="C2955" s="233" t="s">
        <v>2061</v>
      </c>
      <c r="D2955" s="233" t="s">
        <v>2061</v>
      </c>
      <c r="F2955" s="366">
        <v>4</v>
      </c>
      <c r="G2955" s="245" t="s">
        <v>2235</v>
      </c>
      <c r="I2955" s="173">
        <v>30</v>
      </c>
      <c r="J2955">
        <v>4609</v>
      </c>
      <c r="K2955" s="173">
        <v>3601</v>
      </c>
      <c r="L2955" s="173">
        <f t="shared" si="339"/>
        <v>23.438923844651768</v>
      </c>
      <c r="M2955" s="173">
        <f t="shared" si="340"/>
        <v>53.438923844651768</v>
      </c>
      <c r="O2955" s="173">
        <f t="shared" si="341"/>
        <v>80.158385766977659</v>
      </c>
      <c r="P2955" s="173">
        <v>125</v>
      </c>
    </row>
    <row r="2956" spans="3:16" x14ac:dyDescent="0.35">
      <c r="C2956" s="233" t="s">
        <v>2210</v>
      </c>
      <c r="D2956" s="233" t="s">
        <v>2210</v>
      </c>
      <c r="F2956" s="366">
        <v>44</v>
      </c>
      <c r="G2956" s="245" t="s">
        <v>2211</v>
      </c>
      <c r="I2956" s="173">
        <v>35</v>
      </c>
      <c r="J2956">
        <v>4609</v>
      </c>
      <c r="K2956" s="173">
        <v>3601</v>
      </c>
      <c r="L2956" s="173">
        <f t="shared" si="339"/>
        <v>27.345411152093728</v>
      </c>
      <c r="M2956" s="173">
        <f t="shared" si="340"/>
        <v>62.345411152093732</v>
      </c>
      <c r="O2956" s="173">
        <f t="shared" si="341"/>
        <v>93.518116728140598</v>
      </c>
      <c r="P2956" s="173">
        <v>150</v>
      </c>
    </row>
    <row r="2957" spans="3:16" x14ac:dyDescent="0.35">
      <c r="C2957" s="233" t="s">
        <v>2210</v>
      </c>
      <c r="D2957" s="233" t="s">
        <v>2210</v>
      </c>
      <c r="F2957" s="366">
        <v>46</v>
      </c>
      <c r="G2957" s="245" t="s">
        <v>2211</v>
      </c>
      <c r="I2957" s="173">
        <v>35</v>
      </c>
      <c r="J2957">
        <v>4609</v>
      </c>
      <c r="K2957" s="173">
        <v>3601</v>
      </c>
      <c r="L2957" s="173">
        <f t="shared" si="339"/>
        <v>27.345411152093728</v>
      </c>
      <c r="M2957" s="173">
        <f t="shared" si="340"/>
        <v>62.345411152093732</v>
      </c>
      <c r="O2957" s="173">
        <f t="shared" si="341"/>
        <v>93.518116728140598</v>
      </c>
      <c r="P2957" s="173">
        <v>150</v>
      </c>
    </row>
    <row r="2958" spans="3:16" x14ac:dyDescent="0.35">
      <c r="C2958" s="233" t="s">
        <v>2210</v>
      </c>
      <c r="D2958" s="233" t="s">
        <v>2210</v>
      </c>
      <c r="F2958" s="366">
        <v>48</v>
      </c>
      <c r="G2958" s="245" t="s">
        <v>2211</v>
      </c>
      <c r="I2958" s="173">
        <v>35</v>
      </c>
      <c r="J2958">
        <v>4609</v>
      </c>
      <c r="K2958" s="173">
        <v>3601</v>
      </c>
      <c r="L2958" s="173">
        <f t="shared" si="339"/>
        <v>27.345411152093728</v>
      </c>
      <c r="M2958" s="173">
        <f t="shared" si="340"/>
        <v>62.345411152093732</v>
      </c>
      <c r="O2958" s="173">
        <f t="shared" si="341"/>
        <v>93.518116728140598</v>
      </c>
      <c r="P2958" s="173">
        <v>150</v>
      </c>
    </row>
    <row r="2959" spans="3:16" x14ac:dyDescent="0.35">
      <c r="C2959" s="233" t="s">
        <v>2210</v>
      </c>
      <c r="D2959" s="233" t="s">
        <v>2210</v>
      </c>
      <c r="F2959" s="366">
        <v>50</v>
      </c>
      <c r="G2959" s="245" t="s">
        <v>2211</v>
      </c>
      <c r="I2959" s="173">
        <v>35</v>
      </c>
      <c r="J2959">
        <v>4609</v>
      </c>
      <c r="K2959" s="173">
        <v>3601</v>
      </c>
      <c r="L2959" s="173">
        <f t="shared" si="339"/>
        <v>27.345411152093728</v>
      </c>
      <c r="M2959" s="173">
        <f t="shared" si="340"/>
        <v>62.345411152093732</v>
      </c>
      <c r="O2959" s="173">
        <f t="shared" si="341"/>
        <v>93.518116728140598</v>
      </c>
      <c r="P2959" s="173">
        <v>150</v>
      </c>
    </row>
    <row r="2960" spans="3:16" x14ac:dyDescent="0.35">
      <c r="C2960" s="597" t="s">
        <v>2317</v>
      </c>
      <c r="F2960" s="366">
        <v>44</v>
      </c>
      <c r="G2960" s="371" t="s">
        <v>2212</v>
      </c>
      <c r="I2960" s="173">
        <v>35</v>
      </c>
      <c r="J2960">
        <v>4609</v>
      </c>
      <c r="K2960" s="173">
        <v>3601</v>
      </c>
      <c r="L2960" s="173">
        <f t="shared" si="339"/>
        <v>27.345411152093728</v>
      </c>
      <c r="M2960" s="173">
        <f t="shared" si="340"/>
        <v>62.345411152093732</v>
      </c>
      <c r="O2960" s="173">
        <f t="shared" si="341"/>
        <v>93.518116728140598</v>
      </c>
      <c r="P2960" s="173">
        <v>125</v>
      </c>
    </row>
    <row r="2961" spans="3:16" x14ac:dyDescent="0.35">
      <c r="C2961" s="597" t="s">
        <v>2317</v>
      </c>
      <c r="F2961" s="366">
        <v>46</v>
      </c>
      <c r="G2961" s="371" t="s">
        <v>2212</v>
      </c>
      <c r="I2961" s="173">
        <v>35</v>
      </c>
      <c r="J2961">
        <v>4609</v>
      </c>
      <c r="K2961" s="173">
        <v>3601</v>
      </c>
      <c r="L2961" s="173">
        <f t="shared" si="339"/>
        <v>27.345411152093728</v>
      </c>
      <c r="M2961" s="173">
        <f t="shared" si="340"/>
        <v>62.345411152093732</v>
      </c>
      <c r="O2961" s="173">
        <f t="shared" si="341"/>
        <v>93.518116728140598</v>
      </c>
      <c r="P2961" s="173">
        <v>125</v>
      </c>
    </row>
    <row r="2962" spans="3:16" x14ac:dyDescent="0.35">
      <c r="C2962" s="597" t="s">
        <v>2317</v>
      </c>
      <c r="F2962" s="366">
        <v>48</v>
      </c>
      <c r="G2962" s="371" t="s">
        <v>2212</v>
      </c>
      <c r="I2962" s="173">
        <v>35</v>
      </c>
      <c r="J2962">
        <v>4609</v>
      </c>
      <c r="K2962" s="173">
        <v>3601</v>
      </c>
      <c r="L2962" s="173">
        <f t="shared" si="339"/>
        <v>27.345411152093728</v>
      </c>
      <c r="M2962" s="173">
        <f t="shared" si="340"/>
        <v>62.345411152093732</v>
      </c>
      <c r="O2962" s="173">
        <f t="shared" si="341"/>
        <v>93.518116728140598</v>
      </c>
      <c r="P2962" s="173">
        <v>125</v>
      </c>
    </row>
    <row r="2963" spans="3:16" x14ac:dyDescent="0.35">
      <c r="C2963" s="597" t="s">
        <v>2317</v>
      </c>
      <c r="F2963" s="366">
        <v>50</v>
      </c>
      <c r="G2963" s="371" t="s">
        <v>2212</v>
      </c>
      <c r="I2963" s="173">
        <v>35</v>
      </c>
      <c r="J2963">
        <v>4609</v>
      </c>
      <c r="K2963" s="173">
        <v>3601</v>
      </c>
      <c r="L2963" s="173">
        <f t="shared" si="339"/>
        <v>27.345411152093728</v>
      </c>
      <c r="M2963" s="173">
        <f t="shared" si="340"/>
        <v>62.345411152093732</v>
      </c>
      <c r="O2963" s="173">
        <f t="shared" si="341"/>
        <v>93.518116728140598</v>
      </c>
      <c r="P2963" s="173">
        <v>125</v>
      </c>
    </row>
    <row r="2964" spans="3:16" x14ac:dyDescent="0.35">
      <c r="C2964" s="233" t="s">
        <v>1236</v>
      </c>
      <c r="F2964" s="366">
        <v>52</v>
      </c>
      <c r="G2964" s="371" t="s">
        <v>2315</v>
      </c>
      <c r="I2964" s="173">
        <v>55</v>
      </c>
      <c r="J2964">
        <v>4609</v>
      </c>
      <c r="K2964" s="173">
        <v>3601</v>
      </c>
      <c r="L2964" s="173">
        <f t="shared" si="339"/>
        <v>42.971360381861572</v>
      </c>
      <c r="M2964" s="173">
        <f t="shared" si="340"/>
        <v>97.971360381861572</v>
      </c>
      <c r="O2964" s="173">
        <f t="shared" si="341"/>
        <v>146.95704057279235</v>
      </c>
      <c r="P2964" s="173">
        <v>150</v>
      </c>
    </row>
    <row r="2965" spans="3:16" x14ac:dyDescent="0.35">
      <c r="C2965" s="233" t="s">
        <v>1236</v>
      </c>
      <c r="F2965" s="366">
        <v>54</v>
      </c>
      <c r="G2965" s="371" t="s">
        <v>2315</v>
      </c>
      <c r="I2965" s="173">
        <v>55</v>
      </c>
      <c r="J2965">
        <v>4609</v>
      </c>
      <c r="K2965" s="173">
        <v>3601</v>
      </c>
      <c r="L2965" s="173">
        <f t="shared" si="339"/>
        <v>42.971360381861572</v>
      </c>
      <c r="M2965" s="173">
        <f t="shared" si="340"/>
        <v>97.971360381861572</v>
      </c>
      <c r="O2965" s="173">
        <f t="shared" si="341"/>
        <v>146.95704057279235</v>
      </c>
      <c r="P2965" s="173">
        <v>150</v>
      </c>
    </row>
    <row r="2966" spans="3:16" x14ac:dyDescent="0.35">
      <c r="C2966" s="233" t="s">
        <v>1236</v>
      </c>
      <c r="F2966" s="366">
        <v>56</v>
      </c>
      <c r="G2966" s="371" t="s">
        <v>2315</v>
      </c>
      <c r="I2966" s="173">
        <v>55</v>
      </c>
      <c r="J2966">
        <v>4609</v>
      </c>
      <c r="K2966" s="173">
        <v>3601</v>
      </c>
      <c r="L2966" s="173">
        <f t="shared" si="339"/>
        <v>42.971360381861572</v>
      </c>
      <c r="M2966" s="173">
        <f t="shared" si="340"/>
        <v>97.971360381861572</v>
      </c>
      <c r="O2966" s="173">
        <f t="shared" si="341"/>
        <v>146.95704057279235</v>
      </c>
      <c r="P2966" s="173">
        <v>150</v>
      </c>
    </row>
    <row r="2967" spans="3:16" x14ac:dyDescent="0.35">
      <c r="C2967" s="233" t="s">
        <v>1236</v>
      </c>
      <c r="F2967" s="366">
        <v>58</v>
      </c>
      <c r="G2967" s="371" t="s">
        <v>2315</v>
      </c>
      <c r="I2967" s="173">
        <v>55</v>
      </c>
      <c r="J2967">
        <v>4609</v>
      </c>
      <c r="K2967" s="173">
        <v>3601</v>
      </c>
      <c r="L2967" s="173">
        <f t="shared" si="339"/>
        <v>42.971360381861572</v>
      </c>
      <c r="M2967" s="173">
        <f t="shared" si="340"/>
        <v>97.971360381861572</v>
      </c>
      <c r="O2967" s="173">
        <f t="shared" si="341"/>
        <v>146.95704057279235</v>
      </c>
      <c r="P2967" s="173">
        <v>150</v>
      </c>
    </row>
    <row r="2968" spans="3:16" x14ac:dyDescent="0.35">
      <c r="C2968" s="233" t="s">
        <v>1236</v>
      </c>
      <c r="F2968" s="366">
        <v>52</v>
      </c>
      <c r="G2968" s="371" t="s">
        <v>2213</v>
      </c>
      <c r="I2968" s="173">
        <v>55</v>
      </c>
      <c r="J2968">
        <v>4609</v>
      </c>
      <c r="K2968" s="173">
        <v>3601</v>
      </c>
      <c r="L2968" s="173">
        <f t="shared" si="339"/>
        <v>42.971360381861572</v>
      </c>
      <c r="M2968" s="173">
        <f t="shared" si="340"/>
        <v>97.971360381861572</v>
      </c>
      <c r="O2968" s="173">
        <f t="shared" si="341"/>
        <v>146.95704057279235</v>
      </c>
      <c r="P2968" s="173">
        <v>150</v>
      </c>
    </row>
    <row r="2969" spans="3:16" x14ac:dyDescent="0.35">
      <c r="C2969" s="233" t="s">
        <v>1236</v>
      </c>
      <c r="F2969" s="366">
        <v>54</v>
      </c>
      <c r="G2969" s="371" t="s">
        <v>2213</v>
      </c>
      <c r="I2969" s="173">
        <v>55</v>
      </c>
      <c r="J2969">
        <v>4609</v>
      </c>
      <c r="K2969" s="173">
        <v>3601</v>
      </c>
      <c r="L2969" s="173">
        <f t="shared" si="339"/>
        <v>42.971360381861572</v>
      </c>
      <c r="M2969" s="173">
        <f t="shared" si="340"/>
        <v>97.971360381861572</v>
      </c>
      <c r="O2969" s="173">
        <f t="shared" si="341"/>
        <v>146.95704057279235</v>
      </c>
      <c r="P2969" s="173">
        <v>150</v>
      </c>
    </row>
    <row r="2970" spans="3:16" x14ac:dyDescent="0.35">
      <c r="C2970" s="233" t="s">
        <v>1236</v>
      </c>
      <c r="F2970" s="366">
        <v>56</v>
      </c>
      <c r="G2970" s="371" t="s">
        <v>2213</v>
      </c>
      <c r="I2970" s="173">
        <v>55</v>
      </c>
      <c r="J2970">
        <v>4609</v>
      </c>
      <c r="K2970" s="173">
        <v>3601</v>
      </c>
      <c r="L2970" s="173">
        <f t="shared" si="339"/>
        <v>42.971360381861572</v>
      </c>
      <c r="M2970" s="173">
        <f t="shared" si="340"/>
        <v>97.971360381861572</v>
      </c>
      <c r="O2970" s="173">
        <f t="shared" si="341"/>
        <v>146.95704057279235</v>
      </c>
      <c r="P2970" s="173">
        <v>150</v>
      </c>
    </row>
    <row r="2971" spans="3:16" x14ac:dyDescent="0.35">
      <c r="C2971" s="233" t="s">
        <v>1236</v>
      </c>
      <c r="F2971" s="366">
        <v>58</v>
      </c>
      <c r="G2971" s="371" t="s">
        <v>2213</v>
      </c>
      <c r="I2971" s="173">
        <v>55</v>
      </c>
      <c r="J2971">
        <v>4609</v>
      </c>
      <c r="K2971" s="173">
        <v>3601</v>
      </c>
      <c r="L2971" s="173">
        <f t="shared" si="339"/>
        <v>42.971360381861572</v>
      </c>
      <c r="M2971" s="173">
        <f t="shared" si="340"/>
        <v>97.971360381861572</v>
      </c>
      <c r="O2971" s="173">
        <f t="shared" si="341"/>
        <v>146.95704057279235</v>
      </c>
      <c r="P2971" s="173">
        <v>150</v>
      </c>
    </row>
    <row r="2972" spans="3:16" x14ac:dyDescent="0.35">
      <c r="C2972" s="233" t="s">
        <v>1232</v>
      </c>
      <c r="F2972" s="366">
        <v>44</v>
      </c>
      <c r="G2972" s="371" t="s">
        <v>2214</v>
      </c>
      <c r="I2972" s="173">
        <v>40</v>
      </c>
      <c r="J2972">
        <v>4609</v>
      </c>
      <c r="K2972" s="173">
        <v>3601</v>
      </c>
      <c r="L2972" s="173">
        <f t="shared" si="339"/>
        <v>31.251898459535692</v>
      </c>
      <c r="M2972" s="173">
        <f t="shared" si="340"/>
        <v>71.251898459535695</v>
      </c>
      <c r="O2972" s="173">
        <f t="shared" si="341"/>
        <v>106.87784768930354</v>
      </c>
      <c r="P2972" s="173">
        <v>125</v>
      </c>
    </row>
    <row r="2973" spans="3:16" x14ac:dyDescent="0.35">
      <c r="C2973" s="233" t="s">
        <v>1232</v>
      </c>
      <c r="F2973" s="366">
        <v>46</v>
      </c>
      <c r="G2973" s="371" t="s">
        <v>2214</v>
      </c>
      <c r="I2973" s="173">
        <v>40</v>
      </c>
      <c r="J2973">
        <v>4609</v>
      </c>
      <c r="K2973" s="173">
        <v>3601</v>
      </c>
      <c r="L2973" s="173">
        <f t="shared" si="339"/>
        <v>31.251898459535692</v>
      </c>
      <c r="M2973" s="173">
        <f t="shared" si="340"/>
        <v>71.251898459535695</v>
      </c>
      <c r="O2973" s="173">
        <f t="shared" si="341"/>
        <v>106.87784768930354</v>
      </c>
      <c r="P2973" s="173">
        <v>125</v>
      </c>
    </row>
    <row r="2974" spans="3:16" x14ac:dyDescent="0.35">
      <c r="C2974" s="233" t="s">
        <v>1232</v>
      </c>
      <c r="F2974" s="366">
        <v>48</v>
      </c>
      <c r="G2974" s="371" t="s">
        <v>2214</v>
      </c>
      <c r="I2974" s="173">
        <v>40</v>
      </c>
      <c r="J2974">
        <v>4609</v>
      </c>
      <c r="K2974" s="173">
        <v>3601</v>
      </c>
      <c r="L2974" s="173">
        <f t="shared" si="339"/>
        <v>31.251898459535692</v>
      </c>
      <c r="M2974" s="173">
        <f t="shared" si="340"/>
        <v>71.251898459535695</v>
      </c>
      <c r="O2974" s="173">
        <f t="shared" si="341"/>
        <v>106.87784768930354</v>
      </c>
      <c r="P2974" s="173">
        <v>125</v>
      </c>
    </row>
    <row r="2975" spans="3:16" x14ac:dyDescent="0.35">
      <c r="C2975" s="233" t="s">
        <v>1232</v>
      </c>
      <c r="F2975" s="366">
        <v>50</v>
      </c>
      <c r="G2975" s="371" t="s">
        <v>2214</v>
      </c>
      <c r="I2975" s="173">
        <v>40</v>
      </c>
      <c r="J2975">
        <v>4609</v>
      </c>
      <c r="K2975" s="173">
        <v>3601</v>
      </c>
      <c r="L2975" s="173">
        <f t="shared" si="339"/>
        <v>31.251898459535692</v>
      </c>
      <c r="M2975" s="173">
        <f t="shared" si="340"/>
        <v>71.251898459535695</v>
      </c>
      <c r="O2975" s="173">
        <f t="shared" si="341"/>
        <v>106.87784768930354</v>
      </c>
      <c r="P2975" s="173">
        <v>125</v>
      </c>
    </row>
    <row r="2976" spans="3:16" x14ac:dyDescent="0.35">
      <c r="C2976" s="233" t="s">
        <v>1104</v>
      </c>
      <c r="F2976" s="366">
        <v>42</v>
      </c>
      <c r="G2976" s="371" t="s">
        <v>2215</v>
      </c>
      <c r="I2976" s="173">
        <v>26</v>
      </c>
      <c r="J2976">
        <v>4609</v>
      </c>
      <c r="K2976" s="173">
        <v>3601</v>
      </c>
      <c r="L2976" s="173">
        <f t="shared" si="339"/>
        <v>20.313733998698197</v>
      </c>
      <c r="M2976" s="173">
        <f t="shared" si="340"/>
        <v>46.313733998698197</v>
      </c>
      <c r="O2976" s="173">
        <f t="shared" si="341"/>
        <v>69.470600998047303</v>
      </c>
      <c r="P2976" s="173">
        <v>90</v>
      </c>
    </row>
    <row r="2977" spans="3:16" x14ac:dyDescent="0.35">
      <c r="C2977" s="233" t="s">
        <v>1104</v>
      </c>
      <c r="F2977" s="366">
        <v>44</v>
      </c>
      <c r="G2977" s="371" t="s">
        <v>2215</v>
      </c>
      <c r="I2977" s="173">
        <v>26</v>
      </c>
      <c r="J2977">
        <v>4609</v>
      </c>
      <c r="K2977" s="173">
        <v>3601</v>
      </c>
      <c r="L2977" s="173">
        <f t="shared" si="339"/>
        <v>20.313733998698197</v>
      </c>
      <c r="M2977" s="173">
        <f t="shared" si="340"/>
        <v>46.313733998698197</v>
      </c>
      <c r="O2977" s="173">
        <f t="shared" si="341"/>
        <v>69.470600998047303</v>
      </c>
      <c r="P2977" s="173">
        <v>90</v>
      </c>
    </row>
    <row r="2978" spans="3:16" x14ac:dyDescent="0.35">
      <c r="C2978" s="233" t="s">
        <v>1104</v>
      </c>
      <c r="F2978" s="366">
        <v>46</v>
      </c>
      <c r="G2978" s="371" t="s">
        <v>2215</v>
      </c>
      <c r="I2978" s="173">
        <v>26</v>
      </c>
      <c r="J2978">
        <v>4609</v>
      </c>
      <c r="K2978" s="173">
        <v>3601</v>
      </c>
      <c r="L2978" s="173">
        <f t="shared" si="339"/>
        <v>20.313733998698197</v>
      </c>
      <c r="M2978" s="173">
        <f t="shared" si="340"/>
        <v>46.313733998698197</v>
      </c>
      <c r="O2978" s="173">
        <f t="shared" si="341"/>
        <v>69.470600998047303</v>
      </c>
      <c r="P2978" s="173">
        <v>90</v>
      </c>
    </row>
    <row r="2979" spans="3:16" x14ac:dyDescent="0.35">
      <c r="C2979" s="233" t="s">
        <v>1104</v>
      </c>
      <c r="F2979" s="366">
        <v>48</v>
      </c>
      <c r="G2979" s="371" t="s">
        <v>2215</v>
      </c>
      <c r="I2979" s="173">
        <v>26</v>
      </c>
      <c r="J2979">
        <v>4609</v>
      </c>
      <c r="K2979" s="173">
        <v>3601</v>
      </c>
      <c r="L2979" s="173">
        <f t="shared" si="339"/>
        <v>20.313733998698197</v>
      </c>
      <c r="M2979" s="173">
        <f t="shared" si="340"/>
        <v>46.313733998698197</v>
      </c>
      <c r="O2979" s="173">
        <f t="shared" si="341"/>
        <v>69.470600998047303</v>
      </c>
      <c r="P2979" s="173">
        <v>90</v>
      </c>
    </row>
    <row r="2980" spans="3:16" x14ac:dyDescent="0.35">
      <c r="C2980" s="233" t="s">
        <v>2318</v>
      </c>
      <c r="F2980" s="366">
        <v>44</v>
      </c>
      <c r="G2980" s="371" t="s">
        <v>2216</v>
      </c>
      <c r="I2980" s="173">
        <v>42</v>
      </c>
      <c r="J2980">
        <v>4609</v>
      </c>
      <c r="K2980" s="173">
        <v>3601</v>
      </c>
      <c r="L2980" s="173">
        <f t="shared" si="339"/>
        <v>32.814493382512474</v>
      </c>
      <c r="M2980" s="173">
        <f t="shared" si="340"/>
        <v>74.814493382512467</v>
      </c>
      <c r="O2980" s="173">
        <f t="shared" si="341"/>
        <v>112.2217400737687</v>
      </c>
      <c r="P2980" s="173">
        <v>125</v>
      </c>
    </row>
    <row r="2981" spans="3:16" x14ac:dyDescent="0.35">
      <c r="C2981" s="233" t="s">
        <v>2318</v>
      </c>
      <c r="F2981" s="366">
        <v>46</v>
      </c>
      <c r="G2981" s="371" t="s">
        <v>2216</v>
      </c>
      <c r="I2981" s="173">
        <v>42</v>
      </c>
      <c r="J2981">
        <v>4609</v>
      </c>
      <c r="K2981" s="173">
        <v>3601</v>
      </c>
      <c r="L2981" s="173">
        <f t="shared" si="339"/>
        <v>32.814493382512474</v>
      </c>
      <c r="M2981" s="173">
        <f t="shared" si="340"/>
        <v>74.814493382512467</v>
      </c>
      <c r="O2981" s="173">
        <f t="shared" si="341"/>
        <v>112.2217400737687</v>
      </c>
      <c r="P2981" s="173">
        <v>125</v>
      </c>
    </row>
    <row r="2982" spans="3:16" x14ac:dyDescent="0.35">
      <c r="C2982" s="233" t="s">
        <v>2318</v>
      </c>
      <c r="F2982" s="366">
        <v>48</v>
      </c>
      <c r="G2982" s="371" t="s">
        <v>2216</v>
      </c>
      <c r="I2982" s="173">
        <v>42</v>
      </c>
      <c r="J2982">
        <v>4609</v>
      </c>
      <c r="K2982" s="173">
        <v>3601</v>
      </c>
      <c r="L2982" s="173">
        <f t="shared" si="339"/>
        <v>32.814493382512474</v>
      </c>
      <c r="M2982" s="173">
        <f t="shared" si="340"/>
        <v>74.814493382512467</v>
      </c>
      <c r="O2982" s="173">
        <f t="shared" si="341"/>
        <v>112.2217400737687</v>
      </c>
      <c r="P2982" s="173">
        <v>125</v>
      </c>
    </row>
    <row r="2983" spans="3:16" x14ac:dyDescent="0.35">
      <c r="C2983" s="233" t="s">
        <v>2318</v>
      </c>
      <c r="F2983" s="366">
        <v>50</v>
      </c>
      <c r="G2983" s="371" t="s">
        <v>2216</v>
      </c>
      <c r="I2983" s="173">
        <v>42</v>
      </c>
      <c r="J2983">
        <v>4609</v>
      </c>
      <c r="K2983" s="173">
        <v>3601</v>
      </c>
      <c r="L2983" s="173">
        <f t="shared" si="339"/>
        <v>32.814493382512474</v>
      </c>
      <c r="M2983" s="173">
        <f t="shared" si="340"/>
        <v>74.814493382512467</v>
      </c>
      <c r="O2983" s="173">
        <f t="shared" si="341"/>
        <v>112.2217400737687</v>
      </c>
      <c r="P2983" s="173">
        <v>125</v>
      </c>
    </row>
    <row r="2984" spans="3:16" x14ac:dyDescent="0.35">
      <c r="C2984" s="233" t="s">
        <v>616</v>
      </c>
      <c r="F2984" s="366">
        <v>46</v>
      </c>
      <c r="G2984" s="371" t="s">
        <v>2217</v>
      </c>
      <c r="I2984" s="173">
        <v>20</v>
      </c>
      <c r="J2984">
        <v>4609</v>
      </c>
      <c r="K2984" s="173">
        <v>3601</v>
      </c>
      <c r="L2984" s="173">
        <f t="shared" si="339"/>
        <v>15.625949229767846</v>
      </c>
      <c r="M2984" s="173">
        <f t="shared" si="340"/>
        <v>35.625949229767848</v>
      </c>
      <c r="O2984" s="173">
        <f t="shared" si="341"/>
        <v>53.438923844651768</v>
      </c>
      <c r="P2984" s="173">
        <v>80</v>
      </c>
    </row>
    <row r="2985" spans="3:16" x14ac:dyDescent="0.35">
      <c r="C2985" s="233" t="s">
        <v>616</v>
      </c>
      <c r="F2985" s="366">
        <v>48</v>
      </c>
      <c r="G2985" s="371" t="s">
        <v>2217</v>
      </c>
      <c r="I2985" s="173">
        <v>20</v>
      </c>
      <c r="J2985">
        <v>4609</v>
      </c>
      <c r="K2985" s="173">
        <v>3601</v>
      </c>
      <c r="L2985" s="173">
        <f t="shared" si="339"/>
        <v>15.625949229767846</v>
      </c>
      <c r="M2985" s="173">
        <f t="shared" si="340"/>
        <v>35.625949229767848</v>
      </c>
      <c r="O2985" s="173">
        <f t="shared" si="341"/>
        <v>53.438923844651768</v>
      </c>
      <c r="P2985" s="173">
        <v>80</v>
      </c>
    </row>
    <row r="2986" spans="3:16" x14ac:dyDescent="0.35">
      <c r="C2986" s="233" t="s">
        <v>616</v>
      </c>
      <c r="F2986" s="366">
        <v>50</v>
      </c>
      <c r="G2986" s="371" t="s">
        <v>2217</v>
      </c>
      <c r="I2986" s="173">
        <v>20</v>
      </c>
      <c r="J2986">
        <v>4609</v>
      </c>
      <c r="K2986" s="173">
        <v>3601</v>
      </c>
      <c r="L2986" s="173">
        <f t="shared" si="339"/>
        <v>15.625949229767846</v>
      </c>
      <c r="M2986" s="173">
        <f t="shared" si="340"/>
        <v>35.625949229767848</v>
      </c>
      <c r="O2986" s="173">
        <f t="shared" si="341"/>
        <v>53.438923844651768</v>
      </c>
      <c r="P2986" s="173">
        <v>80</v>
      </c>
    </row>
    <row r="2987" spans="3:16" x14ac:dyDescent="0.35">
      <c r="C2987" s="233" t="s">
        <v>616</v>
      </c>
      <c r="F2987" s="366">
        <v>52</v>
      </c>
      <c r="G2987" s="371" t="s">
        <v>2217</v>
      </c>
      <c r="I2987" s="173">
        <v>20</v>
      </c>
      <c r="J2987">
        <v>4609</v>
      </c>
      <c r="K2987" s="173">
        <v>3601</v>
      </c>
      <c r="L2987" s="173">
        <f t="shared" si="339"/>
        <v>15.625949229767846</v>
      </c>
      <c r="M2987" s="173">
        <f t="shared" si="340"/>
        <v>35.625949229767848</v>
      </c>
      <c r="O2987" s="173">
        <f t="shared" si="341"/>
        <v>53.438923844651768</v>
      </c>
      <c r="P2987" s="173">
        <v>80</v>
      </c>
    </row>
    <row r="2988" spans="3:16" x14ac:dyDescent="0.35">
      <c r="C2988" s="233" t="s">
        <v>616</v>
      </c>
      <c r="F2988" s="366">
        <v>54</v>
      </c>
      <c r="G2988" s="371" t="s">
        <v>2217</v>
      </c>
      <c r="I2988" s="173">
        <v>20</v>
      </c>
      <c r="J2988">
        <v>4609</v>
      </c>
      <c r="K2988" s="173">
        <v>3601</v>
      </c>
      <c r="L2988" s="173">
        <f t="shared" si="339"/>
        <v>15.625949229767846</v>
      </c>
      <c r="M2988" s="173">
        <f t="shared" si="340"/>
        <v>35.625949229767848</v>
      </c>
      <c r="O2988" s="173">
        <f t="shared" si="341"/>
        <v>53.438923844651768</v>
      </c>
      <c r="P2988" s="173">
        <v>80</v>
      </c>
    </row>
    <row r="2989" spans="3:16" x14ac:dyDescent="0.35">
      <c r="C2989" s="233" t="s">
        <v>1028</v>
      </c>
      <c r="F2989" s="366">
        <v>42</v>
      </c>
      <c r="G2989" s="371" t="s">
        <v>2218</v>
      </c>
      <c r="I2989" s="173">
        <v>18</v>
      </c>
      <c r="J2989">
        <v>4609</v>
      </c>
      <c r="K2989" s="173">
        <v>3601</v>
      </c>
      <c r="L2989" s="173">
        <f t="shared" si="339"/>
        <v>14.06335430679106</v>
      </c>
      <c r="M2989" s="173">
        <f t="shared" si="340"/>
        <v>32.063354306791062</v>
      </c>
      <c r="O2989" s="173">
        <f t="shared" si="341"/>
        <v>48.09503146018659</v>
      </c>
      <c r="P2989" s="173">
        <v>75</v>
      </c>
    </row>
    <row r="2990" spans="3:16" x14ac:dyDescent="0.35">
      <c r="C2990" s="233" t="s">
        <v>1028</v>
      </c>
      <c r="F2990" s="366">
        <v>44</v>
      </c>
      <c r="G2990" s="371" t="s">
        <v>2218</v>
      </c>
      <c r="I2990" s="173">
        <v>18</v>
      </c>
      <c r="J2990">
        <v>4609</v>
      </c>
      <c r="K2990" s="173">
        <v>3601</v>
      </c>
      <c r="L2990" s="173">
        <f t="shared" si="339"/>
        <v>14.06335430679106</v>
      </c>
      <c r="M2990" s="173">
        <f t="shared" si="340"/>
        <v>32.063354306791062</v>
      </c>
      <c r="O2990" s="173">
        <f t="shared" si="341"/>
        <v>48.09503146018659</v>
      </c>
      <c r="P2990" s="173">
        <v>75</v>
      </c>
    </row>
    <row r="2991" spans="3:16" ht="15" thickBot="1" x14ac:dyDescent="0.4">
      <c r="C2991" s="233" t="s">
        <v>1028</v>
      </c>
      <c r="F2991" s="366">
        <v>46</v>
      </c>
      <c r="G2991" s="371" t="s">
        <v>2218</v>
      </c>
      <c r="I2991" s="173">
        <v>18</v>
      </c>
      <c r="J2991">
        <v>4609</v>
      </c>
      <c r="K2991" s="173">
        <v>3601</v>
      </c>
      <c r="L2991" s="173">
        <f t="shared" si="339"/>
        <v>14.06335430679106</v>
      </c>
      <c r="M2991" s="173">
        <f t="shared" si="340"/>
        <v>32.063354306791062</v>
      </c>
      <c r="O2991" s="173">
        <f t="shared" si="341"/>
        <v>48.09503146018659</v>
      </c>
      <c r="P2991" s="173">
        <v>75</v>
      </c>
    </row>
    <row r="2992" spans="3:16" ht="15" thickBot="1" x14ac:dyDescent="0.4">
      <c r="I2992" s="730">
        <f>SUM(I2952:I2991)</f>
        <v>1426</v>
      </c>
      <c r="J2992" s="730"/>
      <c r="K2992" s="730"/>
      <c r="L2992" s="730"/>
      <c r="M2992" s="730"/>
      <c r="N2992" s="730"/>
      <c r="O2992" s="730">
        <f>SUM(O2952:O2991)</f>
        <v>3810.1952701236705</v>
      </c>
      <c r="P2992" s="730">
        <f>SUM(P2952:P2991)</f>
        <v>4785</v>
      </c>
    </row>
    <row r="2993" spans="3:16" x14ac:dyDescent="0.35">
      <c r="D2993" s="233" t="s">
        <v>11</v>
      </c>
    </row>
    <row r="2994" spans="3:16" x14ac:dyDescent="0.35">
      <c r="C2994" s="233" t="s">
        <v>1154</v>
      </c>
      <c r="F2994" s="366">
        <v>44</v>
      </c>
      <c r="G2994" s="371" t="s">
        <v>2219</v>
      </c>
      <c r="I2994" s="173">
        <v>15</v>
      </c>
      <c r="J2994">
        <v>4609</v>
      </c>
      <c r="K2994" s="173">
        <v>3601</v>
      </c>
      <c r="L2994" s="173">
        <f>+I2994/J2994*K2994</f>
        <v>11.719461922325884</v>
      </c>
      <c r="M2994" s="173">
        <f>+I2994+L2994</f>
        <v>26.719461922325884</v>
      </c>
      <c r="O2994" s="173">
        <f>+M2994*1.5</f>
        <v>40.07919288348883</v>
      </c>
      <c r="P2994" s="173">
        <v>65</v>
      </c>
    </row>
    <row r="2995" spans="3:16" x14ac:dyDescent="0.35">
      <c r="C2995" s="233" t="s">
        <v>1154</v>
      </c>
      <c r="F2995" s="366">
        <v>46</v>
      </c>
      <c r="G2995" s="371" t="s">
        <v>2219</v>
      </c>
      <c r="I2995" s="173">
        <v>15</v>
      </c>
      <c r="J2995">
        <v>4609</v>
      </c>
      <c r="K2995" s="173">
        <v>3601</v>
      </c>
      <c r="L2995" s="173">
        <f t="shared" ref="L2995:L3010" si="342">+I2995/J2995*K2995</f>
        <v>11.719461922325884</v>
      </c>
      <c r="M2995" s="173">
        <f t="shared" ref="M2995:M3010" si="343">+I2995+L2995</f>
        <v>26.719461922325884</v>
      </c>
      <c r="O2995" s="173">
        <f t="shared" ref="O2995:O3010" si="344">+M2995*1.5</f>
        <v>40.07919288348883</v>
      </c>
      <c r="P2995" s="173">
        <v>65</v>
      </c>
    </row>
    <row r="2996" spans="3:16" x14ac:dyDescent="0.35">
      <c r="C2996" s="233" t="s">
        <v>1154</v>
      </c>
      <c r="F2996" s="366">
        <v>48</v>
      </c>
      <c r="G2996" s="371" t="s">
        <v>2219</v>
      </c>
      <c r="I2996" s="173">
        <v>15</v>
      </c>
      <c r="J2996">
        <v>4609</v>
      </c>
      <c r="K2996" s="173">
        <v>3601</v>
      </c>
      <c r="L2996" s="173">
        <f t="shared" si="342"/>
        <v>11.719461922325884</v>
      </c>
      <c r="M2996" s="173">
        <f t="shared" si="343"/>
        <v>26.719461922325884</v>
      </c>
      <c r="O2996" s="173">
        <f t="shared" si="344"/>
        <v>40.07919288348883</v>
      </c>
      <c r="P2996" s="173">
        <v>65</v>
      </c>
    </row>
    <row r="2997" spans="3:16" x14ac:dyDescent="0.35">
      <c r="C2997" s="233" t="s">
        <v>1154</v>
      </c>
      <c r="F2997" s="366">
        <v>50</v>
      </c>
      <c r="G2997" s="371" t="s">
        <v>2219</v>
      </c>
      <c r="I2997" s="173">
        <v>15</v>
      </c>
      <c r="J2997">
        <v>4609</v>
      </c>
      <c r="K2997" s="173">
        <v>3601</v>
      </c>
      <c r="L2997" s="173">
        <f t="shared" si="342"/>
        <v>11.719461922325884</v>
      </c>
      <c r="M2997" s="173">
        <f t="shared" si="343"/>
        <v>26.719461922325884</v>
      </c>
      <c r="O2997" s="173">
        <f t="shared" si="344"/>
        <v>40.07919288348883</v>
      </c>
      <c r="P2997" s="173">
        <v>65</v>
      </c>
    </row>
    <row r="2998" spans="3:16" x14ac:dyDescent="0.35">
      <c r="C2998" s="233" t="s">
        <v>1154</v>
      </c>
      <c r="F2998" s="366">
        <v>52</v>
      </c>
      <c r="G2998" s="371" t="s">
        <v>2219</v>
      </c>
      <c r="I2998" s="173">
        <v>15</v>
      </c>
      <c r="J2998">
        <v>4609</v>
      </c>
      <c r="K2998" s="173">
        <v>3601</v>
      </c>
      <c r="L2998" s="173">
        <f t="shared" si="342"/>
        <v>11.719461922325884</v>
      </c>
      <c r="M2998" s="173">
        <f t="shared" si="343"/>
        <v>26.719461922325884</v>
      </c>
      <c r="O2998" s="173">
        <f t="shared" si="344"/>
        <v>40.07919288348883</v>
      </c>
      <c r="P2998" s="173">
        <v>65</v>
      </c>
    </row>
    <row r="2999" spans="3:16" x14ac:dyDescent="0.35">
      <c r="C2999" s="233" t="s">
        <v>1154</v>
      </c>
      <c r="F2999" s="366">
        <v>54</v>
      </c>
      <c r="G2999" s="371" t="s">
        <v>2220</v>
      </c>
      <c r="I2999" s="173">
        <v>14</v>
      </c>
      <c r="J2999">
        <v>4609</v>
      </c>
      <c r="K2999" s="173">
        <v>3601</v>
      </c>
      <c r="L2999" s="173">
        <f t="shared" si="342"/>
        <v>10.938164460837491</v>
      </c>
      <c r="M2999" s="173">
        <f t="shared" si="343"/>
        <v>24.938164460837491</v>
      </c>
      <c r="O2999" s="173">
        <f t="shared" si="344"/>
        <v>37.407246691256233</v>
      </c>
      <c r="P2999" s="173">
        <v>65</v>
      </c>
    </row>
    <row r="3000" spans="3:16" x14ac:dyDescent="0.35">
      <c r="C3000" s="233" t="s">
        <v>1154</v>
      </c>
      <c r="F3000" s="366">
        <v>58</v>
      </c>
      <c r="G3000" s="371" t="s">
        <v>2220</v>
      </c>
      <c r="I3000" s="173">
        <v>14</v>
      </c>
      <c r="J3000">
        <v>4609</v>
      </c>
      <c r="K3000" s="173">
        <v>3601</v>
      </c>
      <c r="L3000" s="173">
        <f t="shared" si="342"/>
        <v>10.938164460837491</v>
      </c>
      <c r="M3000" s="173">
        <f t="shared" si="343"/>
        <v>24.938164460837491</v>
      </c>
      <c r="O3000" s="173">
        <f t="shared" si="344"/>
        <v>37.407246691256233</v>
      </c>
      <c r="P3000" s="173">
        <v>65</v>
      </c>
    </row>
    <row r="3001" spans="3:16" x14ac:dyDescent="0.35">
      <c r="C3001" s="233" t="s">
        <v>1154</v>
      </c>
      <c r="F3001" s="366">
        <v>58</v>
      </c>
      <c r="G3001" s="371" t="s">
        <v>2220</v>
      </c>
      <c r="I3001" s="173">
        <v>14</v>
      </c>
      <c r="J3001">
        <v>4609</v>
      </c>
      <c r="K3001" s="173">
        <v>3601</v>
      </c>
      <c r="L3001" s="173">
        <f t="shared" si="342"/>
        <v>10.938164460837491</v>
      </c>
      <c r="M3001" s="173">
        <f t="shared" si="343"/>
        <v>24.938164460837491</v>
      </c>
      <c r="O3001" s="173">
        <f t="shared" si="344"/>
        <v>37.407246691256233</v>
      </c>
      <c r="P3001" s="173">
        <v>65</v>
      </c>
    </row>
    <row r="3002" spans="3:16" x14ac:dyDescent="0.35">
      <c r="C3002" s="233" t="s">
        <v>1154</v>
      </c>
      <c r="F3002" s="366">
        <v>60</v>
      </c>
      <c r="G3002" s="371" t="s">
        <v>2220</v>
      </c>
      <c r="I3002" s="173">
        <v>14</v>
      </c>
      <c r="J3002">
        <v>4609</v>
      </c>
      <c r="K3002" s="173">
        <v>3601</v>
      </c>
      <c r="L3002" s="173">
        <f t="shared" si="342"/>
        <v>10.938164460837491</v>
      </c>
      <c r="M3002" s="173">
        <f t="shared" si="343"/>
        <v>24.938164460837491</v>
      </c>
      <c r="O3002" s="173">
        <f t="shared" si="344"/>
        <v>37.407246691256233</v>
      </c>
      <c r="P3002" s="173">
        <v>65</v>
      </c>
    </row>
    <row r="3003" spans="3:16" x14ac:dyDescent="0.35">
      <c r="C3003" s="233" t="s">
        <v>1154</v>
      </c>
      <c r="F3003" s="366">
        <v>44</v>
      </c>
      <c r="G3003" s="371" t="s">
        <v>2316</v>
      </c>
      <c r="I3003" s="173">
        <v>14</v>
      </c>
      <c r="J3003">
        <v>4609</v>
      </c>
      <c r="K3003" s="173">
        <v>3601</v>
      </c>
      <c r="L3003" s="173">
        <f t="shared" si="342"/>
        <v>10.938164460837491</v>
      </c>
      <c r="M3003" s="173">
        <f t="shared" si="343"/>
        <v>24.938164460837491</v>
      </c>
      <c r="O3003" s="173">
        <f t="shared" si="344"/>
        <v>37.407246691256233</v>
      </c>
      <c r="P3003" s="173">
        <v>65</v>
      </c>
    </row>
    <row r="3004" spans="3:16" x14ac:dyDescent="0.35">
      <c r="C3004" s="233" t="s">
        <v>1154</v>
      </c>
      <c r="F3004" s="366">
        <v>44</v>
      </c>
      <c r="G3004" s="371" t="s">
        <v>2316</v>
      </c>
      <c r="I3004" s="173">
        <v>14</v>
      </c>
      <c r="J3004">
        <v>4609</v>
      </c>
      <c r="K3004" s="173">
        <v>3601</v>
      </c>
      <c r="L3004" s="173">
        <f t="shared" si="342"/>
        <v>10.938164460837491</v>
      </c>
      <c r="M3004" s="173">
        <f t="shared" si="343"/>
        <v>24.938164460837491</v>
      </c>
      <c r="O3004" s="173">
        <f t="shared" si="344"/>
        <v>37.407246691256233</v>
      </c>
      <c r="P3004" s="173">
        <v>65</v>
      </c>
    </row>
    <row r="3005" spans="3:16" x14ac:dyDescent="0.35">
      <c r="C3005" s="233" t="s">
        <v>1154</v>
      </c>
      <c r="F3005" s="366">
        <v>46</v>
      </c>
      <c r="G3005" s="371" t="s">
        <v>2316</v>
      </c>
      <c r="I3005" s="173">
        <v>14</v>
      </c>
      <c r="J3005">
        <v>4609</v>
      </c>
      <c r="K3005" s="173">
        <v>3601</v>
      </c>
      <c r="L3005" s="173">
        <f t="shared" si="342"/>
        <v>10.938164460837491</v>
      </c>
      <c r="M3005" s="173">
        <f t="shared" si="343"/>
        <v>24.938164460837491</v>
      </c>
      <c r="O3005" s="173">
        <f t="shared" si="344"/>
        <v>37.407246691256233</v>
      </c>
      <c r="P3005" s="173">
        <v>65</v>
      </c>
    </row>
    <row r="3006" spans="3:16" x14ac:dyDescent="0.35">
      <c r="C3006" s="233" t="s">
        <v>1154</v>
      </c>
      <c r="F3006" s="366">
        <v>52</v>
      </c>
      <c r="G3006" s="371" t="s">
        <v>2316</v>
      </c>
      <c r="I3006" s="173">
        <v>14</v>
      </c>
      <c r="J3006">
        <v>4609</v>
      </c>
      <c r="K3006" s="173">
        <v>3601</v>
      </c>
      <c r="L3006" s="173">
        <f t="shared" si="342"/>
        <v>10.938164460837491</v>
      </c>
      <c r="M3006" s="173">
        <f t="shared" si="343"/>
        <v>24.938164460837491</v>
      </c>
      <c r="O3006" s="173">
        <f t="shared" si="344"/>
        <v>37.407246691256233</v>
      </c>
      <c r="P3006" s="173">
        <v>65</v>
      </c>
    </row>
    <row r="3007" spans="3:16" x14ac:dyDescent="0.35">
      <c r="C3007" s="233" t="s">
        <v>1154</v>
      </c>
      <c r="F3007" s="366">
        <v>46</v>
      </c>
      <c r="G3007" s="371" t="s">
        <v>2221</v>
      </c>
      <c r="I3007" s="173">
        <v>14</v>
      </c>
      <c r="J3007">
        <v>4609</v>
      </c>
      <c r="K3007" s="173">
        <v>3601</v>
      </c>
      <c r="L3007" s="173">
        <f t="shared" si="342"/>
        <v>10.938164460837491</v>
      </c>
      <c r="M3007" s="173">
        <f t="shared" si="343"/>
        <v>24.938164460837491</v>
      </c>
      <c r="O3007" s="173">
        <f t="shared" si="344"/>
        <v>37.407246691256233</v>
      </c>
      <c r="P3007" s="173">
        <v>65</v>
      </c>
    </row>
    <row r="3008" spans="3:16" x14ac:dyDescent="0.35">
      <c r="C3008" s="233" t="s">
        <v>1154</v>
      </c>
      <c r="F3008" s="366">
        <v>48</v>
      </c>
      <c r="G3008" s="371" t="s">
        <v>2221</v>
      </c>
      <c r="I3008" s="173">
        <v>14</v>
      </c>
      <c r="J3008">
        <v>4609</v>
      </c>
      <c r="K3008" s="173">
        <v>3601</v>
      </c>
      <c r="L3008" s="173">
        <f t="shared" si="342"/>
        <v>10.938164460837491</v>
      </c>
      <c r="M3008" s="173">
        <f t="shared" si="343"/>
        <v>24.938164460837491</v>
      </c>
      <c r="O3008" s="173">
        <f t="shared" si="344"/>
        <v>37.407246691256233</v>
      </c>
      <c r="P3008" s="173">
        <v>65</v>
      </c>
    </row>
    <row r="3009" spans="3:16" x14ac:dyDescent="0.35">
      <c r="C3009" s="233" t="s">
        <v>1154</v>
      </c>
      <c r="F3009" s="366">
        <v>48</v>
      </c>
      <c r="G3009" s="371" t="s">
        <v>2339</v>
      </c>
      <c r="I3009" s="173">
        <v>14</v>
      </c>
      <c r="J3009">
        <v>4609</v>
      </c>
      <c r="K3009" s="173">
        <v>3601</v>
      </c>
      <c r="L3009" s="173">
        <f>+I3009/J3009*K3009</f>
        <v>10.938164460837491</v>
      </c>
      <c r="M3009" s="173">
        <f>+I3009+L3009</f>
        <v>24.938164460837491</v>
      </c>
      <c r="O3009" s="173">
        <f>+M3009*1.5</f>
        <v>37.407246691256233</v>
      </c>
      <c r="P3009" s="173">
        <v>65</v>
      </c>
    </row>
    <row r="3010" spans="3:16" x14ac:dyDescent="0.35">
      <c r="C3010" s="233" t="s">
        <v>1154</v>
      </c>
      <c r="F3010" s="366">
        <v>50</v>
      </c>
      <c r="G3010" s="371" t="s">
        <v>2221</v>
      </c>
      <c r="I3010" s="173">
        <v>14</v>
      </c>
      <c r="J3010">
        <v>4609</v>
      </c>
      <c r="K3010" s="173">
        <v>3601</v>
      </c>
      <c r="L3010" s="173">
        <f t="shared" si="342"/>
        <v>10.938164460837491</v>
      </c>
      <c r="M3010" s="173">
        <f t="shared" si="343"/>
        <v>24.938164460837491</v>
      </c>
      <c r="O3010" s="173">
        <f t="shared" si="344"/>
        <v>37.407246691256233</v>
      </c>
      <c r="P3010" s="173">
        <v>65</v>
      </c>
    </row>
    <row r="3011" spans="3:16" ht="15" thickBot="1" x14ac:dyDescent="0.4">
      <c r="C3011" s="233" t="s">
        <v>1154</v>
      </c>
      <c r="F3011" s="366">
        <v>52</v>
      </c>
      <c r="G3011" s="371" t="s">
        <v>2221</v>
      </c>
    </row>
    <row r="3012" spans="3:16" ht="15" thickBot="1" x14ac:dyDescent="0.4">
      <c r="I3012" s="730">
        <f>SUM(I2994:I3010)</f>
        <v>243</v>
      </c>
      <c r="J3012" s="730"/>
      <c r="K3012" s="730"/>
      <c r="L3012" s="730"/>
      <c r="M3012" s="730"/>
      <c r="N3012" s="730"/>
      <c r="O3012" s="730">
        <f>SUM(O2994:O3010)</f>
        <v>649.28292471251871</v>
      </c>
      <c r="P3012" s="730">
        <f>SUM(P2994:P3010)</f>
        <v>1105</v>
      </c>
    </row>
    <row r="3013" spans="3:16" x14ac:dyDescent="0.35">
      <c r="D3013" s="233" t="s">
        <v>172</v>
      </c>
    </row>
    <row r="3014" spans="3:16" x14ac:dyDescent="0.35">
      <c r="C3014" s="233" t="s">
        <v>2227</v>
      </c>
      <c r="F3014" s="366">
        <v>44</v>
      </c>
      <c r="G3014" s="371" t="s">
        <v>2228</v>
      </c>
      <c r="I3014" s="173">
        <v>12</v>
      </c>
      <c r="J3014">
        <v>4609</v>
      </c>
      <c r="K3014" s="173">
        <v>3601</v>
      </c>
      <c r="L3014" s="173">
        <f>+I3014/J3014*K3014</f>
        <v>9.3755695378607076</v>
      </c>
      <c r="M3014" s="173">
        <f>+I3014+L3014</f>
        <v>21.375569537860706</v>
      </c>
      <c r="O3014" s="173">
        <f>+M3014*1.5</f>
        <v>32.063354306791055</v>
      </c>
      <c r="P3014" s="173">
        <v>55</v>
      </c>
    </row>
    <row r="3015" spans="3:16" x14ac:dyDescent="0.35">
      <c r="C3015" s="233" t="s">
        <v>2227</v>
      </c>
      <c r="F3015" s="366">
        <v>46</v>
      </c>
      <c r="G3015" s="371" t="s">
        <v>2228</v>
      </c>
      <c r="I3015" s="173">
        <v>12</v>
      </c>
      <c r="J3015">
        <v>4609</v>
      </c>
      <c r="K3015" s="173">
        <v>3601</v>
      </c>
      <c r="L3015" s="173">
        <f>+I3015/J3015*K3015</f>
        <v>9.3755695378607076</v>
      </c>
      <c r="M3015" s="173">
        <f>+I3015+L3015</f>
        <v>21.375569537860706</v>
      </c>
      <c r="O3015" s="173">
        <f>+M3015*1.5</f>
        <v>32.063354306791055</v>
      </c>
      <c r="P3015" s="173">
        <v>55</v>
      </c>
    </row>
    <row r="3016" spans="3:16" x14ac:dyDescent="0.35">
      <c r="C3016" s="233" t="s">
        <v>2227</v>
      </c>
      <c r="F3016" s="366">
        <v>48</v>
      </c>
      <c r="G3016" s="371" t="s">
        <v>2228</v>
      </c>
      <c r="I3016" s="173">
        <v>12</v>
      </c>
      <c r="J3016">
        <v>4609</v>
      </c>
      <c r="K3016" s="173">
        <v>3601</v>
      </c>
      <c r="L3016" s="173">
        <f>+I3016/J3016*K3016</f>
        <v>9.3755695378607076</v>
      </c>
      <c r="M3016" s="173">
        <f>+I3016+L3016</f>
        <v>21.375569537860706</v>
      </c>
      <c r="O3016" s="173">
        <f>+M3016*1.5</f>
        <v>32.063354306791055</v>
      </c>
      <c r="P3016" s="173">
        <v>55</v>
      </c>
    </row>
    <row r="3017" spans="3:16" ht="15" thickBot="1" x14ac:dyDescent="0.4">
      <c r="C3017" s="233" t="s">
        <v>2227</v>
      </c>
      <c r="F3017" s="366">
        <v>50</v>
      </c>
      <c r="G3017" s="371" t="s">
        <v>2228</v>
      </c>
      <c r="I3017" s="173">
        <v>12</v>
      </c>
      <c r="J3017">
        <v>4609</v>
      </c>
      <c r="K3017" s="173">
        <v>3601</v>
      </c>
      <c r="L3017" s="173">
        <f>+I3017/J3017*K3017</f>
        <v>9.3755695378607076</v>
      </c>
      <c r="M3017" s="173">
        <f>+I3017+L3017</f>
        <v>21.375569537860706</v>
      </c>
      <c r="O3017" s="173">
        <f>+M3017*1.5</f>
        <v>32.063354306791055</v>
      </c>
      <c r="P3017" s="173">
        <v>55</v>
      </c>
    </row>
    <row r="3018" spans="3:16" ht="15" thickBot="1" x14ac:dyDescent="0.4">
      <c r="I3018" s="730">
        <f>SUM(I3014:I3017)</f>
        <v>48</v>
      </c>
      <c r="J3018" s="730"/>
      <c r="K3018" s="730"/>
      <c r="L3018" s="730"/>
      <c r="M3018" s="730"/>
      <c r="N3018" s="730"/>
      <c r="O3018" s="730">
        <f>SUM(O3014:O3017)</f>
        <v>128.25341722716422</v>
      </c>
      <c r="P3018" s="730">
        <f>SUM(P3014:P3017)</f>
        <v>220</v>
      </c>
    </row>
    <row r="3019" spans="3:16" x14ac:dyDescent="0.35">
      <c r="D3019" s="233" t="s">
        <v>1377</v>
      </c>
    </row>
    <row r="3020" spans="3:16" x14ac:dyDescent="0.35">
      <c r="C3020" s="233" t="s">
        <v>616</v>
      </c>
      <c r="F3020" s="366">
        <v>44</v>
      </c>
      <c r="G3020" s="371" t="s">
        <v>2222</v>
      </c>
      <c r="I3020" s="173">
        <v>10</v>
      </c>
      <c r="J3020">
        <v>4609</v>
      </c>
      <c r="K3020" s="173">
        <v>3601</v>
      </c>
      <c r="L3020" s="173">
        <f t="shared" ref="L3020:L3083" si="345">+I3020/J3020*K3020</f>
        <v>7.812974614883923</v>
      </c>
      <c r="M3020" s="173">
        <f t="shared" ref="M3020:M3083" si="346">+I3020+L3020</f>
        <v>17.812974614883924</v>
      </c>
      <c r="O3020" s="173">
        <f t="shared" ref="O3020:O3083" si="347">+M3020*1.5</f>
        <v>26.719461922325884</v>
      </c>
      <c r="P3020" s="173">
        <v>45</v>
      </c>
    </row>
    <row r="3021" spans="3:16" x14ac:dyDescent="0.35">
      <c r="C3021" s="233" t="s">
        <v>616</v>
      </c>
      <c r="F3021" s="366">
        <v>46</v>
      </c>
      <c r="G3021" s="371" t="s">
        <v>2222</v>
      </c>
      <c r="I3021" s="173">
        <v>10</v>
      </c>
      <c r="J3021">
        <v>4609</v>
      </c>
      <c r="K3021" s="173">
        <v>3601</v>
      </c>
      <c r="L3021" s="173">
        <f t="shared" si="345"/>
        <v>7.812974614883923</v>
      </c>
      <c r="M3021" s="173">
        <f t="shared" si="346"/>
        <v>17.812974614883924</v>
      </c>
      <c r="O3021" s="173">
        <f t="shared" si="347"/>
        <v>26.719461922325884</v>
      </c>
      <c r="P3021" s="173">
        <v>45</v>
      </c>
    </row>
    <row r="3022" spans="3:16" x14ac:dyDescent="0.35">
      <c r="C3022" s="233" t="s">
        <v>616</v>
      </c>
      <c r="F3022" s="366">
        <v>48</v>
      </c>
      <c r="G3022" s="371" t="s">
        <v>2222</v>
      </c>
      <c r="I3022" s="173">
        <v>10</v>
      </c>
      <c r="J3022">
        <v>4609</v>
      </c>
      <c r="K3022" s="173">
        <v>3601</v>
      </c>
      <c r="L3022" s="173">
        <f t="shared" si="345"/>
        <v>7.812974614883923</v>
      </c>
      <c r="M3022" s="173">
        <f t="shared" si="346"/>
        <v>17.812974614883924</v>
      </c>
      <c r="O3022" s="173">
        <f t="shared" si="347"/>
        <v>26.719461922325884</v>
      </c>
      <c r="P3022" s="173">
        <v>45</v>
      </c>
    </row>
    <row r="3023" spans="3:16" x14ac:dyDescent="0.35">
      <c r="C3023" s="233" t="s">
        <v>616</v>
      </c>
      <c r="F3023" s="366">
        <v>50</v>
      </c>
      <c r="G3023" s="371" t="s">
        <v>2222</v>
      </c>
      <c r="I3023" s="173">
        <v>10</v>
      </c>
      <c r="J3023">
        <v>4609</v>
      </c>
      <c r="K3023" s="173">
        <v>3601</v>
      </c>
      <c r="L3023" s="173">
        <f t="shared" si="345"/>
        <v>7.812974614883923</v>
      </c>
      <c r="M3023" s="173">
        <f t="shared" si="346"/>
        <v>17.812974614883924</v>
      </c>
      <c r="O3023" s="173">
        <f t="shared" si="347"/>
        <v>26.719461922325884</v>
      </c>
      <c r="P3023" s="173">
        <v>45</v>
      </c>
    </row>
    <row r="3024" spans="3:16" x14ac:dyDescent="0.35">
      <c r="C3024" s="233" t="s">
        <v>616</v>
      </c>
      <c r="F3024" s="366">
        <v>52</v>
      </c>
      <c r="G3024" s="371" t="s">
        <v>2222</v>
      </c>
      <c r="I3024" s="173">
        <v>10</v>
      </c>
      <c r="J3024">
        <v>4609</v>
      </c>
      <c r="K3024" s="173">
        <v>3601</v>
      </c>
      <c r="L3024" s="173">
        <f t="shared" si="345"/>
        <v>7.812974614883923</v>
      </c>
      <c r="M3024" s="173">
        <f t="shared" si="346"/>
        <v>17.812974614883924</v>
      </c>
      <c r="O3024" s="173">
        <f t="shared" si="347"/>
        <v>26.719461922325884</v>
      </c>
      <c r="P3024" s="173">
        <v>45</v>
      </c>
    </row>
    <row r="3025" spans="3:16" x14ac:dyDescent="0.35">
      <c r="C3025" s="233" t="s">
        <v>275</v>
      </c>
      <c r="F3025" s="366">
        <v>42</v>
      </c>
      <c r="G3025" s="371" t="s">
        <v>2223</v>
      </c>
      <c r="I3025" s="173">
        <v>20</v>
      </c>
      <c r="J3025">
        <v>4609</v>
      </c>
      <c r="K3025" s="173">
        <v>3601</v>
      </c>
      <c r="L3025" s="173">
        <f t="shared" si="345"/>
        <v>15.625949229767846</v>
      </c>
      <c r="M3025" s="173">
        <f t="shared" si="346"/>
        <v>35.625949229767848</v>
      </c>
      <c r="O3025" s="173">
        <f t="shared" si="347"/>
        <v>53.438923844651768</v>
      </c>
      <c r="P3025" s="173">
        <v>70</v>
      </c>
    </row>
    <row r="3026" spans="3:16" x14ac:dyDescent="0.35">
      <c r="C3026" s="233" t="s">
        <v>275</v>
      </c>
      <c r="F3026" s="366">
        <v>44</v>
      </c>
      <c r="G3026" s="371" t="s">
        <v>2223</v>
      </c>
      <c r="I3026" s="173">
        <v>20</v>
      </c>
      <c r="J3026">
        <v>4609</v>
      </c>
      <c r="K3026" s="173">
        <v>3601</v>
      </c>
      <c r="L3026" s="173">
        <f t="shared" si="345"/>
        <v>15.625949229767846</v>
      </c>
      <c r="M3026" s="173">
        <f t="shared" si="346"/>
        <v>35.625949229767848</v>
      </c>
      <c r="O3026" s="173">
        <f t="shared" si="347"/>
        <v>53.438923844651768</v>
      </c>
      <c r="P3026" s="173">
        <v>70</v>
      </c>
    </row>
    <row r="3027" spans="3:16" x14ac:dyDescent="0.35">
      <c r="C3027" s="233" t="s">
        <v>275</v>
      </c>
      <c r="F3027" s="366">
        <v>46</v>
      </c>
      <c r="G3027" s="371" t="s">
        <v>2223</v>
      </c>
      <c r="I3027" s="173">
        <v>20</v>
      </c>
      <c r="J3027">
        <v>4609</v>
      </c>
      <c r="K3027" s="173">
        <v>3601</v>
      </c>
      <c r="L3027" s="173">
        <f t="shared" si="345"/>
        <v>15.625949229767846</v>
      </c>
      <c r="M3027" s="173">
        <f t="shared" si="346"/>
        <v>35.625949229767848</v>
      </c>
      <c r="O3027" s="173">
        <f t="shared" si="347"/>
        <v>53.438923844651768</v>
      </c>
      <c r="P3027" s="173">
        <v>70</v>
      </c>
    </row>
    <row r="3028" spans="3:16" x14ac:dyDescent="0.35">
      <c r="C3028" s="233" t="s">
        <v>275</v>
      </c>
      <c r="F3028" s="366">
        <v>48</v>
      </c>
      <c r="G3028" s="371" t="s">
        <v>2223</v>
      </c>
      <c r="I3028" s="173">
        <v>20</v>
      </c>
      <c r="J3028">
        <v>4609</v>
      </c>
      <c r="K3028" s="173">
        <v>3601</v>
      </c>
      <c r="L3028" s="173">
        <f t="shared" si="345"/>
        <v>15.625949229767846</v>
      </c>
      <c r="M3028" s="173">
        <f t="shared" si="346"/>
        <v>35.625949229767848</v>
      </c>
      <c r="O3028" s="173">
        <f t="shared" si="347"/>
        <v>53.438923844651768</v>
      </c>
      <c r="P3028" s="173">
        <v>70</v>
      </c>
    </row>
    <row r="3029" spans="3:16" x14ac:dyDescent="0.35">
      <c r="C3029" s="233" t="s">
        <v>275</v>
      </c>
      <c r="F3029" s="366">
        <v>50</v>
      </c>
      <c r="G3029" s="371" t="s">
        <v>2224</v>
      </c>
      <c r="I3029" s="173">
        <v>20</v>
      </c>
      <c r="J3029">
        <v>4609</v>
      </c>
      <c r="K3029" s="173">
        <v>3601</v>
      </c>
      <c r="L3029" s="173">
        <f t="shared" si="345"/>
        <v>15.625949229767846</v>
      </c>
      <c r="M3029" s="173">
        <f t="shared" si="346"/>
        <v>35.625949229767848</v>
      </c>
      <c r="O3029" s="173">
        <f t="shared" si="347"/>
        <v>53.438923844651768</v>
      </c>
      <c r="P3029" s="173">
        <v>70</v>
      </c>
    </row>
    <row r="3030" spans="3:16" x14ac:dyDescent="0.35">
      <c r="C3030" s="233" t="s">
        <v>275</v>
      </c>
      <c r="F3030" s="366">
        <v>52</v>
      </c>
      <c r="G3030" s="371" t="s">
        <v>2224</v>
      </c>
      <c r="I3030" s="173">
        <v>20</v>
      </c>
      <c r="J3030">
        <v>4609</v>
      </c>
      <c r="K3030" s="173">
        <v>3601</v>
      </c>
      <c r="L3030" s="173">
        <f t="shared" si="345"/>
        <v>15.625949229767846</v>
      </c>
      <c r="M3030" s="173">
        <f t="shared" si="346"/>
        <v>35.625949229767848</v>
      </c>
      <c r="O3030" s="173">
        <f t="shared" si="347"/>
        <v>53.438923844651768</v>
      </c>
      <c r="P3030" s="173">
        <v>70</v>
      </c>
    </row>
    <row r="3031" spans="3:16" x14ac:dyDescent="0.35">
      <c r="C3031" s="233" t="s">
        <v>275</v>
      </c>
      <c r="F3031" s="366">
        <v>54</v>
      </c>
      <c r="G3031" s="371" t="s">
        <v>2224</v>
      </c>
      <c r="I3031" s="173">
        <v>20</v>
      </c>
      <c r="J3031">
        <v>4609</v>
      </c>
      <c r="K3031" s="173">
        <v>3601</v>
      </c>
      <c r="L3031" s="173">
        <f t="shared" si="345"/>
        <v>15.625949229767846</v>
      </c>
      <c r="M3031" s="173">
        <f t="shared" si="346"/>
        <v>35.625949229767848</v>
      </c>
      <c r="O3031" s="173">
        <f t="shared" si="347"/>
        <v>53.438923844651768</v>
      </c>
      <c r="P3031" s="173">
        <v>70</v>
      </c>
    </row>
    <row r="3032" spans="3:16" x14ac:dyDescent="0.35">
      <c r="C3032" s="233" t="s">
        <v>275</v>
      </c>
      <c r="F3032" s="366">
        <v>56</v>
      </c>
      <c r="G3032" s="371" t="s">
        <v>2224</v>
      </c>
      <c r="I3032" s="173">
        <v>20</v>
      </c>
      <c r="J3032">
        <v>4609</v>
      </c>
      <c r="K3032" s="173">
        <v>3601</v>
      </c>
      <c r="L3032" s="173">
        <f t="shared" si="345"/>
        <v>15.625949229767846</v>
      </c>
      <c r="M3032" s="173">
        <f t="shared" si="346"/>
        <v>35.625949229767848</v>
      </c>
      <c r="O3032" s="173">
        <f t="shared" si="347"/>
        <v>53.438923844651768</v>
      </c>
      <c r="P3032" s="173">
        <v>70</v>
      </c>
    </row>
    <row r="3033" spans="3:16" x14ac:dyDescent="0.35">
      <c r="C3033" s="233" t="s">
        <v>2319</v>
      </c>
      <c r="F3033" s="366">
        <v>44</v>
      </c>
      <c r="G3033" s="371" t="s">
        <v>2225</v>
      </c>
      <c r="I3033" s="173">
        <v>10</v>
      </c>
      <c r="J3033">
        <v>4609</v>
      </c>
      <c r="K3033" s="173">
        <v>3601</v>
      </c>
      <c r="L3033" s="173">
        <f t="shared" si="345"/>
        <v>7.812974614883923</v>
      </c>
      <c r="M3033" s="173">
        <f t="shared" si="346"/>
        <v>17.812974614883924</v>
      </c>
      <c r="O3033" s="173">
        <f t="shared" si="347"/>
        <v>26.719461922325884</v>
      </c>
      <c r="P3033" s="173">
        <v>45</v>
      </c>
    </row>
    <row r="3034" spans="3:16" x14ac:dyDescent="0.35">
      <c r="C3034" s="233" t="s">
        <v>2319</v>
      </c>
      <c r="F3034" s="366">
        <v>46</v>
      </c>
      <c r="G3034" s="371" t="s">
        <v>2225</v>
      </c>
      <c r="I3034" s="173">
        <v>10</v>
      </c>
      <c r="J3034">
        <v>4609</v>
      </c>
      <c r="K3034" s="173">
        <v>3601</v>
      </c>
      <c r="L3034" s="173">
        <f t="shared" si="345"/>
        <v>7.812974614883923</v>
      </c>
      <c r="M3034" s="173">
        <f t="shared" si="346"/>
        <v>17.812974614883924</v>
      </c>
      <c r="O3034" s="173">
        <f t="shared" si="347"/>
        <v>26.719461922325884</v>
      </c>
      <c r="P3034" s="173">
        <v>45</v>
      </c>
    </row>
    <row r="3035" spans="3:16" x14ac:dyDescent="0.35">
      <c r="C3035" s="233" t="s">
        <v>2319</v>
      </c>
      <c r="F3035" s="366">
        <v>48</v>
      </c>
      <c r="G3035" s="371" t="s">
        <v>2225</v>
      </c>
      <c r="I3035" s="173">
        <v>10</v>
      </c>
      <c r="J3035">
        <v>4609</v>
      </c>
      <c r="K3035" s="173">
        <v>3601</v>
      </c>
      <c r="L3035" s="173">
        <f t="shared" si="345"/>
        <v>7.812974614883923</v>
      </c>
      <c r="M3035" s="173">
        <f t="shared" si="346"/>
        <v>17.812974614883924</v>
      </c>
      <c r="O3035" s="173">
        <f t="shared" si="347"/>
        <v>26.719461922325884</v>
      </c>
      <c r="P3035" s="173">
        <v>45</v>
      </c>
    </row>
    <row r="3036" spans="3:16" x14ac:dyDescent="0.35">
      <c r="C3036" s="233" t="s">
        <v>2319</v>
      </c>
      <c r="F3036" s="366">
        <v>50</v>
      </c>
      <c r="G3036" s="371" t="s">
        <v>2225</v>
      </c>
      <c r="I3036" s="173">
        <v>10</v>
      </c>
      <c r="J3036">
        <v>4609</v>
      </c>
      <c r="K3036" s="173">
        <v>3601</v>
      </c>
      <c r="L3036" s="173">
        <f t="shared" si="345"/>
        <v>7.812974614883923</v>
      </c>
      <c r="M3036" s="173">
        <f t="shared" si="346"/>
        <v>17.812974614883924</v>
      </c>
      <c r="O3036" s="173">
        <f t="shared" si="347"/>
        <v>26.719461922325884</v>
      </c>
      <c r="P3036" s="173">
        <v>45</v>
      </c>
    </row>
    <row r="3037" spans="3:16" x14ac:dyDescent="0.35">
      <c r="C3037" s="233" t="s">
        <v>2319</v>
      </c>
      <c r="F3037" s="366">
        <v>52</v>
      </c>
      <c r="G3037" s="371" t="s">
        <v>2225</v>
      </c>
      <c r="I3037" s="173">
        <v>10</v>
      </c>
      <c r="J3037">
        <v>4609</v>
      </c>
      <c r="K3037" s="173">
        <v>3601</v>
      </c>
      <c r="L3037" s="173">
        <f t="shared" si="345"/>
        <v>7.812974614883923</v>
      </c>
      <c r="M3037" s="173">
        <f t="shared" si="346"/>
        <v>17.812974614883924</v>
      </c>
      <c r="O3037" s="173">
        <f t="shared" si="347"/>
        <v>26.719461922325884</v>
      </c>
      <c r="P3037" s="173">
        <v>45</v>
      </c>
    </row>
    <row r="3038" spans="3:16" x14ac:dyDescent="0.35">
      <c r="C3038" s="233" t="s">
        <v>2319</v>
      </c>
      <c r="F3038" s="366">
        <v>52</v>
      </c>
      <c r="G3038" s="371" t="s">
        <v>2226</v>
      </c>
      <c r="I3038" s="173">
        <v>10</v>
      </c>
      <c r="J3038">
        <v>4609</v>
      </c>
      <c r="K3038" s="173">
        <v>3601</v>
      </c>
      <c r="L3038" s="173">
        <f t="shared" si="345"/>
        <v>7.812974614883923</v>
      </c>
      <c r="M3038" s="173">
        <f t="shared" si="346"/>
        <v>17.812974614883924</v>
      </c>
      <c r="O3038" s="173">
        <f t="shared" si="347"/>
        <v>26.719461922325884</v>
      </c>
      <c r="P3038" s="173">
        <v>45</v>
      </c>
    </row>
    <row r="3039" spans="3:16" x14ac:dyDescent="0.35">
      <c r="C3039" s="233" t="s">
        <v>2319</v>
      </c>
      <c r="F3039" s="366">
        <v>54</v>
      </c>
      <c r="G3039" s="371" t="s">
        <v>2226</v>
      </c>
      <c r="I3039" s="173">
        <v>10</v>
      </c>
      <c r="J3039">
        <v>4609</v>
      </c>
      <c r="K3039" s="173">
        <v>3601</v>
      </c>
      <c r="L3039" s="173">
        <f t="shared" si="345"/>
        <v>7.812974614883923</v>
      </c>
      <c r="M3039" s="173">
        <f t="shared" si="346"/>
        <v>17.812974614883924</v>
      </c>
      <c r="O3039" s="173">
        <f t="shared" si="347"/>
        <v>26.719461922325884</v>
      </c>
      <c r="P3039" s="173">
        <v>45</v>
      </c>
    </row>
    <row r="3040" spans="3:16" x14ac:dyDescent="0.35">
      <c r="C3040" s="233" t="s">
        <v>2319</v>
      </c>
      <c r="F3040" s="366">
        <v>56</v>
      </c>
      <c r="G3040" s="371" t="s">
        <v>2226</v>
      </c>
      <c r="I3040" s="173">
        <v>10</v>
      </c>
      <c r="J3040">
        <v>4609</v>
      </c>
      <c r="K3040" s="173">
        <v>3601</v>
      </c>
      <c r="L3040" s="173">
        <f t="shared" si="345"/>
        <v>7.812974614883923</v>
      </c>
      <c r="M3040" s="173">
        <f t="shared" si="346"/>
        <v>17.812974614883924</v>
      </c>
      <c r="O3040" s="173">
        <f t="shared" si="347"/>
        <v>26.719461922325884</v>
      </c>
      <c r="P3040" s="173">
        <v>45</v>
      </c>
    </row>
    <row r="3041" spans="3:16" x14ac:dyDescent="0.35">
      <c r="C3041" s="233" t="s">
        <v>2319</v>
      </c>
      <c r="F3041" s="366">
        <v>58</v>
      </c>
      <c r="G3041" s="371" t="s">
        <v>2226</v>
      </c>
      <c r="I3041" s="173">
        <v>10</v>
      </c>
      <c r="J3041">
        <v>4609</v>
      </c>
      <c r="K3041" s="173">
        <v>3601</v>
      </c>
      <c r="L3041" s="173">
        <f t="shared" si="345"/>
        <v>7.812974614883923</v>
      </c>
      <c r="M3041" s="173">
        <f t="shared" si="346"/>
        <v>17.812974614883924</v>
      </c>
      <c r="O3041" s="173">
        <f t="shared" si="347"/>
        <v>26.719461922325884</v>
      </c>
      <c r="P3041" s="173">
        <v>45</v>
      </c>
    </row>
    <row r="3042" spans="3:16" x14ac:dyDescent="0.35">
      <c r="C3042" s="233" t="s">
        <v>179</v>
      </c>
      <c r="F3042" s="366" t="s">
        <v>407</v>
      </c>
      <c r="G3042" s="371" t="s">
        <v>2229</v>
      </c>
      <c r="I3042" s="173">
        <v>20</v>
      </c>
      <c r="J3042">
        <v>4609</v>
      </c>
      <c r="K3042" s="173">
        <v>3601</v>
      </c>
      <c r="L3042" s="173">
        <f t="shared" si="345"/>
        <v>15.625949229767846</v>
      </c>
      <c r="M3042" s="173">
        <f t="shared" si="346"/>
        <v>35.625949229767848</v>
      </c>
      <c r="O3042" s="173">
        <f t="shared" si="347"/>
        <v>53.438923844651768</v>
      </c>
      <c r="P3042" s="173">
        <v>65</v>
      </c>
    </row>
    <row r="3043" spans="3:16" x14ac:dyDescent="0.35">
      <c r="C3043" s="233" t="s">
        <v>179</v>
      </c>
      <c r="F3043" s="366" t="s">
        <v>409</v>
      </c>
      <c r="G3043" s="371" t="s">
        <v>2229</v>
      </c>
      <c r="I3043" s="173">
        <v>20</v>
      </c>
      <c r="J3043">
        <v>4609</v>
      </c>
      <c r="K3043" s="173">
        <v>3601</v>
      </c>
      <c r="L3043" s="173">
        <f t="shared" si="345"/>
        <v>15.625949229767846</v>
      </c>
      <c r="M3043" s="173">
        <f t="shared" si="346"/>
        <v>35.625949229767848</v>
      </c>
      <c r="O3043" s="173">
        <f t="shared" si="347"/>
        <v>53.438923844651768</v>
      </c>
      <c r="P3043" s="173">
        <v>65</v>
      </c>
    </row>
    <row r="3044" spans="3:16" x14ac:dyDescent="0.35">
      <c r="C3044" s="233" t="s">
        <v>179</v>
      </c>
      <c r="F3044" s="366" t="s">
        <v>410</v>
      </c>
      <c r="G3044" s="371" t="s">
        <v>2229</v>
      </c>
      <c r="I3044" s="173">
        <v>20</v>
      </c>
      <c r="J3044">
        <v>4609</v>
      </c>
      <c r="K3044" s="173">
        <v>3601</v>
      </c>
      <c r="L3044" s="173">
        <f t="shared" si="345"/>
        <v>15.625949229767846</v>
      </c>
      <c r="M3044" s="173">
        <f t="shared" si="346"/>
        <v>35.625949229767848</v>
      </c>
      <c r="O3044" s="173">
        <f t="shared" si="347"/>
        <v>53.438923844651768</v>
      </c>
      <c r="P3044" s="173">
        <v>65</v>
      </c>
    </row>
    <row r="3045" spans="3:16" x14ac:dyDescent="0.35">
      <c r="C3045" s="233" t="s">
        <v>179</v>
      </c>
      <c r="F3045" s="366" t="s">
        <v>407</v>
      </c>
      <c r="G3045" s="371" t="s">
        <v>2326</v>
      </c>
      <c r="I3045" s="173">
        <v>20</v>
      </c>
      <c r="J3045">
        <v>4609</v>
      </c>
      <c r="K3045" s="173">
        <v>3601</v>
      </c>
      <c r="L3045" s="173">
        <f t="shared" si="345"/>
        <v>15.625949229767846</v>
      </c>
      <c r="M3045" s="173">
        <f t="shared" si="346"/>
        <v>35.625949229767848</v>
      </c>
      <c r="O3045" s="173">
        <f t="shared" si="347"/>
        <v>53.438923844651768</v>
      </c>
      <c r="P3045" s="173">
        <v>65</v>
      </c>
    </row>
    <row r="3046" spans="3:16" x14ac:dyDescent="0.35">
      <c r="C3046" s="233" t="s">
        <v>179</v>
      </c>
      <c r="F3046" s="366" t="s">
        <v>409</v>
      </c>
      <c r="G3046" s="371" t="s">
        <v>2326</v>
      </c>
      <c r="I3046" s="173">
        <v>20</v>
      </c>
      <c r="J3046">
        <v>4609</v>
      </c>
      <c r="K3046" s="173">
        <v>3601</v>
      </c>
      <c r="L3046" s="173">
        <f t="shared" si="345"/>
        <v>15.625949229767846</v>
      </c>
      <c r="M3046" s="173">
        <f t="shared" si="346"/>
        <v>35.625949229767848</v>
      </c>
      <c r="O3046" s="173">
        <f t="shared" si="347"/>
        <v>53.438923844651768</v>
      </c>
      <c r="P3046" s="173">
        <v>65</v>
      </c>
    </row>
    <row r="3047" spans="3:16" x14ac:dyDescent="0.35">
      <c r="C3047" s="233" t="s">
        <v>179</v>
      </c>
      <c r="F3047" s="366" t="s">
        <v>410</v>
      </c>
      <c r="G3047" s="371" t="s">
        <v>2326</v>
      </c>
      <c r="I3047" s="173">
        <v>20</v>
      </c>
      <c r="J3047">
        <v>4609</v>
      </c>
      <c r="K3047" s="173">
        <v>3601</v>
      </c>
      <c r="L3047" s="173">
        <f t="shared" si="345"/>
        <v>15.625949229767846</v>
      </c>
      <c r="M3047" s="173">
        <f t="shared" si="346"/>
        <v>35.625949229767848</v>
      </c>
      <c r="O3047" s="173">
        <f t="shared" si="347"/>
        <v>53.438923844651768</v>
      </c>
      <c r="P3047" s="173">
        <v>65</v>
      </c>
    </row>
    <row r="3048" spans="3:16" x14ac:dyDescent="0.35">
      <c r="C3048" s="233" t="s">
        <v>179</v>
      </c>
      <c r="F3048" s="366" t="s">
        <v>407</v>
      </c>
      <c r="G3048" s="371" t="s">
        <v>2230</v>
      </c>
      <c r="I3048" s="173">
        <v>11</v>
      </c>
      <c r="J3048">
        <v>4609</v>
      </c>
      <c r="K3048" s="173">
        <v>3601</v>
      </c>
      <c r="L3048" s="173">
        <f t="shared" si="345"/>
        <v>8.5942720763723148</v>
      </c>
      <c r="M3048" s="173">
        <f t="shared" si="346"/>
        <v>19.594272076372313</v>
      </c>
      <c r="O3048" s="173">
        <f t="shared" si="347"/>
        <v>29.39140811455847</v>
      </c>
      <c r="P3048" s="173">
        <v>35</v>
      </c>
    </row>
    <row r="3049" spans="3:16" x14ac:dyDescent="0.35">
      <c r="C3049" s="233" t="s">
        <v>179</v>
      </c>
      <c r="F3049" s="366" t="s">
        <v>409</v>
      </c>
      <c r="G3049" s="371" t="s">
        <v>2230</v>
      </c>
      <c r="I3049" s="173">
        <v>11</v>
      </c>
      <c r="J3049">
        <v>4609</v>
      </c>
      <c r="K3049" s="173">
        <v>3601</v>
      </c>
      <c r="L3049" s="173">
        <f t="shared" si="345"/>
        <v>8.5942720763723148</v>
      </c>
      <c r="M3049" s="173">
        <f t="shared" si="346"/>
        <v>19.594272076372313</v>
      </c>
      <c r="O3049" s="173">
        <f t="shared" si="347"/>
        <v>29.39140811455847</v>
      </c>
      <c r="P3049" s="173">
        <v>35</v>
      </c>
    </row>
    <row r="3050" spans="3:16" x14ac:dyDescent="0.35">
      <c r="C3050" s="233" t="s">
        <v>179</v>
      </c>
      <c r="F3050" s="366" t="s">
        <v>410</v>
      </c>
      <c r="G3050" s="371" t="s">
        <v>2230</v>
      </c>
      <c r="I3050" s="173">
        <v>11</v>
      </c>
      <c r="J3050">
        <v>4609</v>
      </c>
      <c r="K3050" s="173">
        <v>3601</v>
      </c>
      <c r="L3050" s="173">
        <f t="shared" si="345"/>
        <v>8.5942720763723148</v>
      </c>
      <c r="M3050" s="173">
        <f t="shared" si="346"/>
        <v>19.594272076372313</v>
      </c>
      <c r="O3050" s="173">
        <f t="shared" si="347"/>
        <v>29.39140811455847</v>
      </c>
      <c r="P3050" s="173">
        <v>35</v>
      </c>
    </row>
    <row r="3051" spans="3:16" x14ac:dyDescent="0.35">
      <c r="C3051" s="233" t="s">
        <v>179</v>
      </c>
      <c r="F3051" s="366" t="s">
        <v>407</v>
      </c>
      <c r="G3051" s="371" t="s">
        <v>2231</v>
      </c>
      <c r="I3051" s="173">
        <v>11</v>
      </c>
      <c r="J3051">
        <v>4609</v>
      </c>
      <c r="K3051" s="173">
        <v>3601</v>
      </c>
      <c r="L3051" s="173">
        <f t="shared" si="345"/>
        <v>8.5942720763723148</v>
      </c>
      <c r="M3051" s="173">
        <f t="shared" si="346"/>
        <v>19.594272076372313</v>
      </c>
      <c r="O3051" s="173">
        <f t="shared" si="347"/>
        <v>29.39140811455847</v>
      </c>
      <c r="P3051" s="173">
        <v>35</v>
      </c>
    </row>
    <row r="3052" spans="3:16" x14ac:dyDescent="0.35">
      <c r="C3052" s="233" t="s">
        <v>179</v>
      </c>
      <c r="F3052" s="366" t="s">
        <v>409</v>
      </c>
      <c r="G3052" s="371" t="s">
        <v>2231</v>
      </c>
      <c r="I3052" s="173">
        <v>11</v>
      </c>
      <c r="J3052">
        <v>4609</v>
      </c>
      <c r="K3052" s="173">
        <v>3601</v>
      </c>
      <c r="L3052" s="173">
        <f t="shared" si="345"/>
        <v>8.5942720763723148</v>
      </c>
      <c r="M3052" s="173">
        <f t="shared" si="346"/>
        <v>19.594272076372313</v>
      </c>
      <c r="O3052" s="173">
        <f t="shared" si="347"/>
        <v>29.39140811455847</v>
      </c>
      <c r="P3052" s="173">
        <v>35</v>
      </c>
    </row>
    <row r="3053" spans="3:16" x14ac:dyDescent="0.35">
      <c r="C3053" s="233" t="s">
        <v>179</v>
      </c>
      <c r="F3053" s="366" t="s">
        <v>410</v>
      </c>
      <c r="G3053" s="371" t="s">
        <v>2231</v>
      </c>
      <c r="I3053" s="173">
        <v>11</v>
      </c>
      <c r="J3053">
        <v>4609</v>
      </c>
      <c r="K3053" s="173">
        <v>3601</v>
      </c>
      <c r="L3053" s="173">
        <f t="shared" si="345"/>
        <v>8.5942720763723148</v>
      </c>
      <c r="M3053" s="173">
        <f t="shared" si="346"/>
        <v>19.594272076372313</v>
      </c>
      <c r="O3053" s="173">
        <f t="shared" si="347"/>
        <v>29.39140811455847</v>
      </c>
      <c r="P3053" s="173">
        <v>35</v>
      </c>
    </row>
    <row r="3054" spans="3:16" x14ac:dyDescent="0.35">
      <c r="C3054" s="233" t="s">
        <v>179</v>
      </c>
      <c r="F3054" s="366" t="s">
        <v>407</v>
      </c>
      <c r="G3054" s="371" t="s">
        <v>2320</v>
      </c>
      <c r="I3054" s="173">
        <v>7.5</v>
      </c>
      <c r="J3054">
        <v>4609</v>
      </c>
      <c r="K3054" s="173">
        <v>3601</v>
      </c>
      <c r="L3054" s="173">
        <f t="shared" si="345"/>
        <v>5.859730961162942</v>
      </c>
      <c r="M3054" s="173">
        <f t="shared" si="346"/>
        <v>13.359730961162942</v>
      </c>
      <c r="O3054" s="173">
        <f t="shared" si="347"/>
        <v>20.039596441744415</v>
      </c>
      <c r="P3054" s="173">
        <v>35</v>
      </c>
    </row>
    <row r="3055" spans="3:16" x14ac:dyDescent="0.35">
      <c r="C3055" s="233" t="s">
        <v>179</v>
      </c>
      <c r="F3055" s="366" t="s">
        <v>409</v>
      </c>
      <c r="G3055" s="371" t="s">
        <v>2320</v>
      </c>
      <c r="I3055" s="173">
        <v>7.5</v>
      </c>
      <c r="J3055">
        <v>4609</v>
      </c>
      <c r="K3055" s="173">
        <v>3601</v>
      </c>
      <c r="L3055" s="173">
        <f t="shared" si="345"/>
        <v>5.859730961162942</v>
      </c>
      <c r="M3055" s="173">
        <f t="shared" si="346"/>
        <v>13.359730961162942</v>
      </c>
      <c r="O3055" s="173">
        <f t="shared" si="347"/>
        <v>20.039596441744415</v>
      </c>
      <c r="P3055" s="173">
        <v>35</v>
      </c>
    </row>
    <row r="3056" spans="3:16" x14ac:dyDescent="0.35">
      <c r="C3056" s="233" t="s">
        <v>179</v>
      </c>
      <c r="F3056" s="366" t="s">
        <v>410</v>
      </c>
      <c r="G3056" s="371" t="s">
        <v>2320</v>
      </c>
      <c r="I3056" s="173">
        <v>7.5</v>
      </c>
      <c r="J3056">
        <v>4609</v>
      </c>
      <c r="K3056" s="173">
        <v>3601</v>
      </c>
      <c r="L3056" s="173">
        <f t="shared" si="345"/>
        <v>5.859730961162942</v>
      </c>
      <c r="M3056" s="173">
        <f t="shared" si="346"/>
        <v>13.359730961162942</v>
      </c>
      <c r="O3056" s="173">
        <f t="shared" si="347"/>
        <v>20.039596441744415</v>
      </c>
      <c r="P3056" s="173">
        <v>35</v>
      </c>
    </row>
    <row r="3057" spans="3:16" x14ac:dyDescent="0.35">
      <c r="C3057" s="233" t="s">
        <v>179</v>
      </c>
      <c r="F3057" s="366" t="s">
        <v>407</v>
      </c>
      <c r="G3057" s="371" t="s">
        <v>2321</v>
      </c>
      <c r="I3057" s="173">
        <v>7.5</v>
      </c>
      <c r="J3057">
        <v>4609</v>
      </c>
      <c r="K3057" s="173">
        <v>3601</v>
      </c>
      <c r="L3057" s="173">
        <f t="shared" si="345"/>
        <v>5.859730961162942</v>
      </c>
      <c r="M3057" s="173">
        <f t="shared" si="346"/>
        <v>13.359730961162942</v>
      </c>
      <c r="O3057" s="173">
        <f t="shared" si="347"/>
        <v>20.039596441744415</v>
      </c>
      <c r="P3057" s="173">
        <v>35</v>
      </c>
    </row>
    <row r="3058" spans="3:16" x14ac:dyDescent="0.35">
      <c r="C3058" s="233" t="s">
        <v>179</v>
      </c>
      <c r="F3058" s="366" t="s">
        <v>409</v>
      </c>
      <c r="G3058" s="371" t="s">
        <v>2321</v>
      </c>
      <c r="I3058" s="173">
        <v>7.5</v>
      </c>
      <c r="J3058">
        <v>4609</v>
      </c>
      <c r="K3058" s="173">
        <v>3601</v>
      </c>
      <c r="L3058" s="173">
        <f t="shared" si="345"/>
        <v>5.859730961162942</v>
      </c>
      <c r="M3058" s="173">
        <f t="shared" si="346"/>
        <v>13.359730961162942</v>
      </c>
      <c r="O3058" s="173">
        <f t="shared" si="347"/>
        <v>20.039596441744415</v>
      </c>
      <c r="P3058" s="173">
        <v>35</v>
      </c>
    </row>
    <row r="3059" spans="3:16" x14ac:dyDescent="0.35">
      <c r="C3059" s="233" t="s">
        <v>179</v>
      </c>
      <c r="F3059" s="366" t="s">
        <v>410</v>
      </c>
      <c r="G3059" s="371" t="s">
        <v>2321</v>
      </c>
      <c r="I3059" s="173">
        <v>7.5</v>
      </c>
      <c r="J3059">
        <v>4609</v>
      </c>
      <c r="K3059" s="173">
        <v>3601</v>
      </c>
      <c r="L3059" s="173">
        <f t="shared" si="345"/>
        <v>5.859730961162942</v>
      </c>
      <c r="M3059" s="173">
        <f t="shared" si="346"/>
        <v>13.359730961162942</v>
      </c>
      <c r="O3059" s="173">
        <f t="shared" si="347"/>
        <v>20.039596441744415</v>
      </c>
      <c r="P3059" s="173">
        <v>35</v>
      </c>
    </row>
    <row r="3060" spans="3:16" x14ac:dyDescent="0.35">
      <c r="C3060" s="233" t="s">
        <v>179</v>
      </c>
      <c r="F3060" s="366" t="s">
        <v>407</v>
      </c>
      <c r="G3060" s="371" t="s">
        <v>2322</v>
      </c>
      <c r="I3060" s="173">
        <v>7.5</v>
      </c>
      <c r="J3060">
        <v>4609</v>
      </c>
      <c r="K3060" s="173">
        <v>3601</v>
      </c>
      <c r="L3060" s="173">
        <f t="shared" si="345"/>
        <v>5.859730961162942</v>
      </c>
      <c r="M3060" s="173">
        <f t="shared" si="346"/>
        <v>13.359730961162942</v>
      </c>
      <c r="O3060" s="173">
        <f t="shared" si="347"/>
        <v>20.039596441744415</v>
      </c>
      <c r="P3060" s="173">
        <v>25</v>
      </c>
    </row>
    <row r="3061" spans="3:16" x14ac:dyDescent="0.35">
      <c r="C3061" s="233" t="s">
        <v>179</v>
      </c>
      <c r="F3061" s="366" t="s">
        <v>410</v>
      </c>
      <c r="G3061" s="371" t="s">
        <v>2322</v>
      </c>
      <c r="I3061" s="173">
        <v>7.5</v>
      </c>
      <c r="J3061">
        <v>4609</v>
      </c>
      <c r="K3061" s="173">
        <v>3601</v>
      </c>
      <c r="L3061" s="173">
        <f t="shared" si="345"/>
        <v>5.859730961162942</v>
      </c>
      <c r="M3061" s="173">
        <f t="shared" si="346"/>
        <v>13.359730961162942</v>
      </c>
      <c r="O3061" s="173">
        <f t="shared" si="347"/>
        <v>20.039596441744415</v>
      </c>
      <c r="P3061" s="173">
        <v>25</v>
      </c>
    </row>
    <row r="3062" spans="3:16" x14ac:dyDescent="0.35">
      <c r="C3062" s="233" t="s">
        <v>179</v>
      </c>
      <c r="F3062" s="366" t="s">
        <v>2324</v>
      </c>
      <c r="G3062" s="371" t="s">
        <v>2323</v>
      </c>
      <c r="I3062" s="173">
        <v>7.5</v>
      </c>
      <c r="J3062">
        <v>4609</v>
      </c>
      <c r="K3062" s="173">
        <v>3601</v>
      </c>
      <c r="L3062" s="173">
        <f t="shared" si="345"/>
        <v>5.859730961162942</v>
      </c>
      <c r="M3062" s="173">
        <f t="shared" si="346"/>
        <v>13.359730961162942</v>
      </c>
      <c r="O3062" s="173">
        <f t="shared" si="347"/>
        <v>20.039596441744415</v>
      </c>
      <c r="P3062" s="173">
        <v>25</v>
      </c>
    </row>
    <row r="3063" spans="3:16" x14ac:dyDescent="0.35">
      <c r="C3063" s="233" t="s">
        <v>179</v>
      </c>
      <c r="F3063" s="366" t="s">
        <v>407</v>
      </c>
      <c r="G3063" s="371" t="s">
        <v>2323</v>
      </c>
      <c r="I3063" s="173">
        <v>7.5</v>
      </c>
      <c r="J3063">
        <v>4609</v>
      </c>
      <c r="K3063" s="173">
        <v>3601</v>
      </c>
      <c r="L3063" s="173">
        <f t="shared" si="345"/>
        <v>5.859730961162942</v>
      </c>
      <c r="M3063" s="173">
        <f t="shared" si="346"/>
        <v>13.359730961162942</v>
      </c>
      <c r="O3063" s="173">
        <f t="shared" si="347"/>
        <v>20.039596441744415</v>
      </c>
      <c r="P3063" s="173">
        <v>25</v>
      </c>
    </row>
    <row r="3064" spans="3:16" x14ac:dyDescent="0.35">
      <c r="C3064" s="233" t="s">
        <v>179</v>
      </c>
      <c r="F3064" s="366" t="s">
        <v>407</v>
      </c>
      <c r="G3064" s="371" t="s">
        <v>2323</v>
      </c>
      <c r="I3064" s="173">
        <v>7.5</v>
      </c>
      <c r="J3064">
        <v>4609</v>
      </c>
      <c r="K3064" s="173">
        <v>3601</v>
      </c>
      <c r="L3064" s="173">
        <f t="shared" si="345"/>
        <v>5.859730961162942</v>
      </c>
      <c r="M3064" s="173">
        <f t="shared" si="346"/>
        <v>13.359730961162942</v>
      </c>
      <c r="O3064" s="173">
        <f t="shared" si="347"/>
        <v>20.039596441744415</v>
      </c>
      <c r="P3064" s="173">
        <v>25</v>
      </c>
    </row>
    <row r="3065" spans="3:16" x14ac:dyDescent="0.35">
      <c r="C3065" s="233" t="s">
        <v>179</v>
      </c>
      <c r="F3065" s="366" t="s">
        <v>409</v>
      </c>
      <c r="G3065" s="371" t="s">
        <v>2323</v>
      </c>
      <c r="I3065" s="173">
        <v>7.5</v>
      </c>
      <c r="J3065">
        <v>4609</v>
      </c>
      <c r="K3065" s="173">
        <v>3601</v>
      </c>
      <c r="L3065" s="173">
        <f t="shared" si="345"/>
        <v>5.859730961162942</v>
      </c>
      <c r="M3065" s="173">
        <f t="shared" si="346"/>
        <v>13.359730961162942</v>
      </c>
      <c r="O3065" s="173">
        <f t="shared" si="347"/>
        <v>20.039596441744415</v>
      </c>
      <c r="P3065" s="173">
        <v>25</v>
      </c>
    </row>
    <row r="3066" spans="3:16" x14ac:dyDescent="0.35">
      <c r="C3066" s="233" t="s">
        <v>179</v>
      </c>
      <c r="F3066" s="366" t="s">
        <v>410</v>
      </c>
      <c r="G3066" s="371" t="s">
        <v>2323</v>
      </c>
      <c r="I3066" s="173">
        <v>7.5</v>
      </c>
      <c r="J3066">
        <v>4609</v>
      </c>
      <c r="K3066" s="173">
        <v>3601</v>
      </c>
      <c r="L3066" s="173">
        <f t="shared" si="345"/>
        <v>5.859730961162942</v>
      </c>
      <c r="M3066" s="173">
        <f t="shared" si="346"/>
        <v>13.359730961162942</v>
      </c>
      <c r="O3066" s="173">
        <f t="shared" si="347"/>
        <v>20.039596441744415</v>
      </c>
      <c r="P3066" s="173">
        <v>25</v>
      </c>
    </row>
    <row r="3067" spans="3:16" x14ac:dyDescent="0.35">
      <c r="C3067" s="233" t="s">
        <v>179</v>
      </c>
      <c r="F3067" s="366" t="s">
        <v>2324</v>
      </c>
      <c r="G3067" s="371" t="s">
        <v>2325</v>
      </c>
      <c r="I3067" s="173">
        <v>7.5</v>
      </c>
      <c r="J3067">
        <v>4609</v>
      </c>
      <c r="K3067" s="173">
        <v>3601</v>
      </c>
      <c r="L3067" s="173">
        <f t="shared" si="345"/>
        <v>5.859730961162942</v>
      </c>
      <c r="M3067" s="173">
        <f t="shared" si="346"/>
        <v>13.359730961162942</v>
      </c>
      <c r="O3067" s="173">
        <f t="shared" si="347"/>
        <v>20.039596441744415</v>
      </c>
      <c r="P3067" s="173">
        <v>25</v>
      </c>
    </row>
    <row r="3068" spans="3:16" x14ac:dyDescent="0.35">
      <c r="C3068" s="233" t="s">
        <v>179</v>
      </c>
      <c r="F3068" s="366" t="s">
        <v>407</v>
      </c>
      <c r="G3068" s="371" t="s">
        <v>2325</v>
      </c>
      <c r="I3068" s="173">
        <v>7.5</v>
      </c>
      <c r="J3068">
        <v>4609</v>
      </c>
      <c r="K3068" s="173">
        <v>3601</v>
      </c>
      <c r="L3068" s="173">
        <f t="shared" si="345"/>
        <v>5.859730961162942</v>
      </c>
      <c r="M3068" s="173">
        <f t="shared" si="346"/>
        <v>13.359730961162942</v>
      </c>
      <c r="O3068" s="173">
        <f t="shared" si="347"/>
        <v>20.039596441744415</v>
      </c>
      <c r="P3068" s="173">
        <v>25</v>
      </c>
    </row>
    <row r="3069" spans="3:16" x14ac:dyDescent="0.35">
      <c r="C3069" s="233" t="s">
        <v>179</v>
      </c>
      <c r="F3069" s="366" t="s">
        <v>407</v>
      </c>
      <c r="G3069" s="371" t="s">
        <v>2325</v>
      </c>
      <c r="I3069" s="173">
        <v>7.5</v>
      </c>
      <c r="J3069">
        <v>4609</v>
      </c>
      <c r="K3069" s="173">
        <v>3601</v>
      </c>
      <c r="L3069" s="173">
        <f t="shared" si="345"/>
        <v>5.859730961162942</v>
      </c>
      <c r="M3069" s="173">
        <f t="shared" si="346"/>
        <v>13.359730961162942</v>
      </c>
      <c r="O3069" s="173">
        <f t="shared" si="347"/>
        <v>20.039596441744415</v>
      </c>
      <c r="P3069" s="173">
        <v>25</v>
      </c>
    </row>
    <row r="3070" spans="3:16" x14ac:dyDescent="0.35">
      <c r="C3070" s="233" t="s">
        <v>179</v>
      </c>
      <c r="F3070" s="366" t="s">
        <v>409</v>
      </c>
      <c r="G3070" s="371" t="s">
        <v>2325</v>
      </c>
      <c r="I3070" s="173">
        <v>7.5</v>
      </c>
      <c r="J3070">
        <v>4609</v>
      </c>
      <c r="K3070" s="173">
        <v>3601</v>
      </c>
      <c r="L3070" s="173">
        <f t="shared" si="345"/>
        <v>5.859730961162942</v>
      </c>
      <c r="M3070" s="173">
        <f t="shared" si="346"/>
        <v>13.359730961162942</v>
      </c>
      <c r="O3070" s="173">
        <f t="shared" si="347"/>
        <v>20.039596441744415</v>
      </c>
      <c r="P3070" s="173">
        <v>25</v>
      </c>
    </row>
    <row r="3071" spans="3:16" x14ac:dyDescent="0.35">
      <c r="C3071" s="233" t="s">
        <v>179</v>
      </c>
      <c r="F3071" s="366" t="s">
        <v>410</v>
      </c>
      <c r="G3071" s="371" t="s">
        <v>2325</v>
      </c>
      <c r="I3071" s="173">
        <v>7.5</v>
      </c>
      <c r="J3071">
        <v>4609</v>
      </c>
      <c r="K3071" s="173">
        <v>3601</v>
      </c>
      <c r="L3071" s="173">
        <f t="shared" si="345"/>
        <v>5.859730961162942</v>
      </c>
      <c r="M3071" s="173">
        <f t="shared" si="346"/>
        <v>13.359730961162942</v>
      </c>
      <c r="O3071" s="173">
        <f t="shared" si="347"/>
        <v>20.039596441744415</v>
      </c>
      <c r="P3071" s="173">
        <v>25</v>
      </c>
    </row>
    <row r="3072" spans="3:16" x14ac:dyDescent="0.35">
      <c r="C3072" s="233" t="s">
        <v>179</v>
      </c>
      <c r="F3072" s="366" t="s">
        <v>407</v>
      </c>
      <c r="G3072" s="371" t="s">
        <v>2327</v>
      </c>
      <c r="I3072" s="173">
        <v>6.5</v>
      </c>
      <c r="J3072">
        <v>4609</v>
      </c>
      <c r="K3072" s="173">
        <v>3601</v>
      </c>
      <c r="L3072" s="173">
        <f t="shared" si="345"/>
        <v>5.0784334996745493</v>
      </c>
      <c r="M3072" s="173">
        <f t="shared" si="346"/>
        <v>11.578433499674549</v>
      </c>
      <c r="O3072" s="173">
        <f t="shared" si="347"/>
        <v>17.367650249511826</v>
      </c>
      <c r="P3072" s="173">
        <v>25</v>
      </c>
    </row>
    <row r="3073" spans="3:16" x14ac:dyDescent="0.35">
      <c r="C3073" s="233" t="s">
        <v>179</v>
      </c>
      <c r="F3073" s="366" t="s">
        <v>409</v>
      </c>
      <c r="G3073" s="371" t="s">
        <v>2327</v>
      </c>
      <c r="I3073" s="173">
        <v>6.5</v>
      </c>
      <c r="J3073">
        <v>4609</v>
      </c>
      <c r="K3073" s="173">
        <v>3601</v>
      </c>
      <c r="L3073" s="173">
        <f t="shared" si="345"/>
        <v>5.0784334996745493</v>
      </c>
      <c r="M3073" s="173">
        <f t="shared" si="346"/>
        <v>11.578433499674549</v>
      </c>
      <c r="O3073" s="173">
        <f t="shared" si="347"/>
        <v>17.367650249511826</v>
      </c>
      <c r="P3073" s="173">
        <v>25</v>
      </c>
    </row>
    <row r="3074" spans="3:16" x14ac:dyDescent="0.35">
      <c r="C3074" s="233" t="s">
        <v>179</v>
      </c>
      <c r="F3074" s="366" t="s">
        <v>410</v>
      </c>
      <c r="G3074" s="371" t="s">
        <v>2327</v>
      </c>
      <c r="I3074" s="173">
        <v>6.5</v>
      </c>
      <c r="J3074">
        <v>4609</v>
      </c>
      <c r="K3074" s="173">
        <v>3601</v>
      </c>
      <c r="L3074" s="173">
        <f t="shared" si="345"/>
        <v>5.0784334996745493</v>
      </c>
      <c r="M3074" s="173">
        <f t="shared" si="346"/>
        <v>11.578433499674549</v>
      </c>
      <c r="O3074" s="173">
        <f t="shared" si="347"/>
        <v>17.367650249511826</v>
      </c>
      <c r="P3074" s="173">
        <v>25</v>
      </c>
    </row>
    <row r="3075" spans="3:16" x14ac:dyDescent="0.35">
      <c r="C3075" s="233" t="s">
        <v>179</v>
      </c>
      <c r="F3075" s="366" t="s">
        <v>407</v>
      </c>
      <c r="G3075" s="371" t="s">
        <v>2329</v>
      </c>
      <c r="I3075" s="173">
        <v>6.5</v>
      </c>
      <c r="J3075">
        <v>4609</v>
      </c>
      <c r="K3075" s="173">
        <v>3601</v>
      </c>
      <c r="L3075" s="173">
        <f t="shared" si="345"/>
        <v>5.0784334996745493</v>
      </c>
      <c r="M3075" s="173">
        <f t="shared" si="346"/>
        <v>11.578433499674549</v>
      </c>
      <c r="O3075" s="173">
        <f t="shared" si="347"/>
        <v>17.367650249511826</v>
      </c>
      <c r="P3075" s="173">
        <v>25</v>
      </c>
    </row>
    <row r="3076" spans="3:16" x14ac:dyDescent="0.35">
      <c r="C3076" s="233" t="s">
        <v>179</v>
      </c>
      <c r="F3076" s="366" t="s">
        <v>409</v>
      </c>
      <c r="G3076" s="371" t="s">
        <v>2329</v>
      </c>
      <c r="I3076" s="173">
        <v>10</v>
      </c>
      <c r="J3076">
        <v>4609</v>
      </c>
      <c r="K3076" s="173">
        <v>3601</v>
      </c>
      <c r="L3076" s="173">
        <f t="shared" si="345"/>
        <v>7.812974614883923</v>
      </c>
      <c r="M3076" s="173">
        <f t="shared" si="346"/>
        <v>17.812974614883924</v>
      </c>
      <c r="O3076" s="173">
        <f t="shared" si="347"/>
        <v>26.719461922325884</v>
      </c>
      <c r="P3076" s="173">
        <v>25</v>
      </c>
    </row>
    <row r="3077" spans="3:16" x14ac:dyDescent="0.35">
      <c r="C3077" s="233" t="s">
        <v>179</v>
      </c>
      <c r="F3077" s="366" t="s">
        <v>410</v>
      </c>
      <c r="G3077" s="371" t="s">
        <v>2329</v>
      </c>
      <c r="I3077" s="173">
        <v>10</v>
      </c>
      <c r="J3077">
        <v>4609</v>
      </c>
      <c r="K3077" s="173">
        <v>3601</v>
      </c>
      <c r="L3077" s="173">
        <f t="shared" si="345"/>
        <v>7.812974614883923</v>
      </c>
      <c r="M3077" s="173">
        <f t="shared" si="346"/>
        <v>17.812974614883924</v>
      </c>
      <c r="O3077" s="173">
        <f t="shared" si="347"/>
        <v>26.719461922325884</v>
      </c>
      <c r="P3077" s="173">
        <v>25</v>
      </c>
    </row>
    <row r="3078" spans="3:16" x14ac:dyDescent="0.35">
      <c r="C3078" s="233" t="s">
        <v>179</v>
      </c>
      <c r="F3078" s="366" t="s">
        <v>407</v>
      </c>
      <c r="G3078" s="371" t="s">
        <v>2328</v>
      </c>
      <c r="I3078" s="173">
        <v>10</v>
      </c>
      <c r="J3078">
        <v>4609</v>
      </c>
      <c r="K3078" s="173">
        <v>3601</v>
      </c>
      <c r="L3078" s="173">
        <f t="shared" si="345"/>
        <v>7.812974614883923</v>
      </c>
      <c r="M3078" s="173">
        <f t="shared" si="346"/>
        <v>17.812974614883924</v>
      </c>
      <c r="O3078" s="173">
        <f t="shared" si="347"/>
        <v>26.719461922325884</v>
      </c>
      <c r="P3078" s="173">
        <v>25</v>
      </c>
    </row>
    <row r="3079" spans="3:16" x14ac:dyDescent="0.35">
      <c r="C3079" s="233" t="s">
        <v>179</v>
      </c>
      <c r="F3079" s="366" t="s">
        <v>409</v>
      </c>
      <c r="G3079" s="371" t="s">
        <v>2328</v>
      </c>
      <c r="I3079" s="173">
        <v>10</v>
      </c>
      <c r="J3079">
        <v>4609</v>
      </c>
      <c r="K3079" s="173">
        <v>3601</v>
      </c>
      <c r="L3079" s="173">
        <f t="shared" si="345"/>
        <v>7.812974614883923</v>
      </c>
      <c r="M3079" s="173">
        <f t="shared" si="346"/>
        <v>17.812974614883924</v>
      </c>
      <c r="O3079" s="173">
        <f t="shared" si="347"/>
        <v>26.719461922325884</v>
      </c>
      <c r="P3079" s="173">
        <v>25</v>
      </c>
    </row>
    <row r="3080" spans="3:16" x14ac:dyDescent="0.35">
      <c r="C3080" s="233" t="s">
        <v>179</v>
      </c>
      <c r="F3080" s="366" t="s">
        <v>410</v>
      </c>
      <c r="G3080" s="371" t="s">
        <v>2328</v>
      </c>
      <c r="I3080" s="173">
        <v>10</v>
      </c>
      <c r="J3080">
        <v>4609</v>
      </c>
      <c r="K3080" s="173">
        <v>3601</v>
      </c>
      <c r="L3080" s="173">
        <f t="shared" si="345"/>
        <v>7.812974614883923</v>
      </c>
      <c r="M3080" s="173">
        <f t="shared" si="346"/>
        <v>17.812974614883924</v>
      </c>
      <c r="O3080" s="173">
        <f t="shared" si="347"/>
        <v>26.719461922325884</v>
      </c>
      <c r="P3080" s="173">
        <v>25</v>
      </c>
    </row>
    <row r="3081" spans="3:16" x14ac:dyDescent="0.35">
      <c r="C3081" s="233" t="s">
        <v>179</v>
      </c>
      <c r="F3081" s="366" t="s">
        <v>407</v>
      </c>
      <c r="G3081" s="371" t="s">
        <v>2330</v>
      </c>
      <c r="I3081" s="173">
        <v>10</v>
      </c>
      <c r="J3081">
        <v>4609</v>
      </c>
      <c r="K3081" s="173">
        <v>3601</v>
      </c>
      <c r="L3081" s="173">
        <f t="shared" si="345"/>
        <v>7.812974614883923</v>
      </c>
      <c r="M3081" s="173">
        <f t="shared" si="346"/>
        <v>17.812974614883924</v>
      </c>
      <c r="O3081" s="173">
        <f t="shared" si="347"/>
        <v>26.719461922325884</v>
      </c>
      <c r="P3081" s="173">
        <v>35</v>
      </c>
    </row>
    <row r="3082" spans="3:16" x14ac:dyDescent="0.35">
      <c r="C3082" s="233" t="s">
        <v>179</v>
      </c>
      <c r="F3082" s="366" t="s">
        <v>409</v>
      </c>
      <c r="G3082" s="371" t="s">
        <v>2330</v>
      </c>
      <c r="I3082" s="173">
        <v>10</v>
      </c>
      <c r="J3082">
        <v>4609</v>
      </c>
      <c r="K3082" s="173">
        <v>3601</v>
      </c>
      <c r="L3082" s="173">
        <f t="shared" si="345"/>
        <v>7.812974614883923</v>
      </c>
      <c r="M3082" s="173">
        <f t="shared" si="346"/>
        <v>17.812974614883924</v>
      </c>
      <c r="O3082" s="173">
        <f t="shared" si="347"/>
        <v>26.719461922325884</v>
      </c>
      <c r="P3082" s="173">
        <v>35</v>
      </c>
    </row>
    <row r="3083" spans="3:16" x14ac:dyDescent="0.35">
      <c r="C3083" s="233" t="s">
        <v>179</v>
      </c>
      <c r="F3083" s="366" t="s">
        <v>410</v>
      </c>
      <c r="G3083" s="371" t="s">
        <v>2330</v>
      </c>
      <c r="I3083" s="173">
        <v>10</v>
      </c>
      <c r="J3083">
        <v>4609</v>
      </c>
      <c r="K3083" s="173">
        <v>3601</v>
      </c>
      <c r="L3083" s="173">
        <f t="shared" si="345"/>
        <v>7.812974614883923</v>
      </c>
      <c r="M3083" s="173">
        <f t="shared" si="346"/>
        <v>17.812974614883924</v>
      </c>
      <c r="O3083" s="173">
        <f t="shared" si="347"/>
        <v>26.719461922325884</v>
      </c>
      <c r="P3083" s="173">
        <v>35</v>
      </c>
    </row>
    <row r="3085" spans="3:16" x14ac:dyDescent="0.35">
      <c r="I3085" s="146">
        <f>SUM(I3020:I3084)</f>
        <v>727</v>
      </c>
      <c r="J3085" s="146"/>
      <c r="K3085" s="146"/>
      <c r="L3085" s="146"/>
      <c r="M3085" s="146"/>
      <c r="N3085" s="146"/>
      <c r="O3085" s="146">
        <f>SUM(O3020:O3084)</f>
        <v>1942.5048817530924</v>
      </c>
      <c r="P3085" s="146">
        <f>SUM(P3020:P3084)</f>
        <v>2630</v>
      </c>
    </row>
    <row r="3086" spans="3:16" x14ac:dyDescent="0.35">
      <c r="I3086" s="146"/>
    </row>
    <row r="3087" spans="3:16" x14ac:dyDescent="0.35">
      <c r="G3087" s="256" t="s">
        <v>2232</v>
      </c>
      <c r="I3087" s="173">
        <f t="shared" ref="I3087:P3087" si="348">+I3085+I3018+I3012+I2992+I2950</f>
        <v>4599</v>
      </c>
      <c r="J3087" s="173">
        <f t="shared" si="348"/>
        <v>0</v>
      </c>
      <c r="K3087" s="173">
        <f t="shared" si="348"/>
        <v>0</v>
      </c>
      <c r="L3087" s="173">
        <f t="shared" si="348"/>
        <v>0</v>
      </c>
      <c r="M3087" s="173">
        <f t="shared" si="348"/>
        <v>0</v>
      </c>
      <c r="N3087" s="173">
        <f t="shared" si="348"/>
        <v>0</v>
      </c>
      <c r="O3087" s="173">
        <f t="shared" si="348"/>
        <v>12288.280538077677</v>
      </c>
      <c r="P3087" s="173">
        <f t="shared" si="348"/>
        <v>15430</v>
      </c>
    </row>
    <row r="3088" spans="3:16" x14ac:dyDescent="0.35">
      <c r="O3088" s="402">
        <f>+O3087/I3087</f>
        <v>2.6719461922325891</v>
      </c>
      <c r="P3088" s="402">
        <f>+P3087/I3087</f>
        <v>3.355077190693629</v>
      </c>
    </row>
    <row r="3089" spans="3:16" x14ac:dyDescent="0.35">
      <c r="D3089" s="365" t="s">
        <v>2641</v>
      </c>
    </row>
    <row r="3090" spans="3:16" x14ac:dyDescent="0.35">
      <c r="C3090" s="233" t="s">
        <v>2588</v>
      </c>
      <c r="D3090" s="233" t="s">
        <v>1432</v>
      </c>
      <c r="F3090" s="366">
        <v>1</v>
      </c>
      <c r="G3090" s="245" t="s">
        <v>2589</v>
      </c>
      <c r="I3090" s="173">
        <v>40</v>
      </c>
      <c r="P3090" s="173">
        <v>150</v>
      </c>
    </row>
    <row r="3091" spans="3:16" x14ac:dyDescent="0.35">
      <c r="C3091" s="233" t="s">
        <v>2588</v>
      </c>
      <c r="D3091" s="233" t="s">
        <v>1432</v>
      </c>
      <c r="F3091" s="366">
        <v>2</v>
      </c>
      <c r="G3091" s="245" t="s">
        <v>2589</v>
      </c>
      <c r="I3091" s="173">
        <v>40</v>
      </c>
      <c r="P3091" s="173">
        <v>150</v>
      </c>
    </row>
    <row r="3092" spans="3:16" x14ac:dyDescent="0.35">
      <c r="C3092" s="233" t="s">
        <v>2588</v>
      </c>
      <c r="D3092" s="233" t="s">
        <v>1432</v>
      </c>
      <c r="F3092" s="366">
        <v>3</v>
      </c>
      <c r="G3092" s="245" t="s">
        <v>2589</v>
      </c>
      <c r="I3092" s="173">
        <v>40</v>
      </c>
      <c r="P3092" s="173">
        <v>150</v>
      </c>
    </row>
    <row r="3093" spans="3:16" x14ac:dyDescent="0.35">
      <c r="C3093" s="233" t="s">
        <v>2588</v>
      </c>
      <c r="D3093" s="233" t="s">
        <v>1432</v>
      </c>
      <c r="F3093" s="366">
        <v>4</v>
      </c>
      <c r="G3093" s="245" t="s">
        <v>2589</v>
      </c>
      <c r="I3093" s="173">
        <v>40</v>
      </c>
      <c r="P3093" s="173">
        <v>150</v>
      </c>
    </row>
    <row r="3095" spans="3:16" x14ac:dyDescent="0.35">
      <c r="C3095" s="233" t="s">
        <v>2624</v>
      </c>
      <c r="D3095" s="233" t="s">
        <v>586</v>
      </c>
      <c r="F3095" s="366">
        <v>48</v>
      </c>
      <c r="G3095" s="245" t="s">
        <v>2642</v>
      </c>
      <c r="I3095" s="173">
        <v>18</v>
      </c>
      <c r="J3095">
        <v>166</v>
      </c>
      <c r="K3095" s="173">
        <v>120</v>
      </c>
      <c r="L3095" s="173">
        <f>+I3095/J3095*K3095</f>
        <v>13.012048192771084</v>
      </c>
      <c r="M3095" s="173">
        <f>+I3095+L3095</f>
        <v>31.012048192771083</v>
      </c>
      <c r="O3095" s="173">
        <f>+M3095*1.5</f>
        <v>46.518072289156621</v>
      </c>
      <c r="P3095" s="173">
        <v>65</v>
      </c>
    </row>
    <row r="3096" spans="3:16" x14ac:dyDescent="0.35">
      <c r="C3096" s="233" t="s">
        <v>2624</v>
      </c>
      <c r="D3096" s="233" t="s">
        <v>586</v>
      </c>
      <c r="F3096" s="366">
        <v>50</v>
      </c>
      <c r="G3096" s="245" t="s">
        <v>2642</v>
      </c>
      <c r="I3096" s="173">
        <v>18</v>
      </c>
      <c r="J3096">
        <v>166</v>
      </c>
      <c r="K3096" s="173">
        <v>120</v>
      </c>
      <c r="L3096" s="173">
        <f t="shared" ref="L3096:L3106" si="349">+I3096/J3096*K3096</f>
        <v>13.012048192771084</v>
      </c>
      <c r="M3096" s="173">
        <f t="shared" ref="M3096:M3106" si="350">+I3096+L3096</f>
        <v>31.012048192771083</v>
      </c>
      <c r="O3096" s="173">
        <f t="shared" ref="O3096:O3106" si="351">+M3096*1.5</f>
        <v>46.518072289156621</v>
      </c>
      <c r="P3096" s="173">
        <v>65</v>
      </c>
    </row>
    <row r="3097" spans="3:16" x14ac:dyDescent="0.35">
      <c r="C3097" s="233" t="s">
        <v>2624</v>
      </c>
      <c r="D3097" s="233" t="s">
        <v>586</v>
      </c>
      <c r="F3097" s="366">
        <v>52</v>
      </c>
      <c r="G3097" s="245" t="s">
        <v>2642</v>
      </c>
      <c r="I3097" s="173">
        <v>18</v>
      </c>
      <c r="J3097">
        <v>166</v>
      </c>
      <c r="K3097" s="173">
        <v>120</v>
      </c>
      <c r="L3097" s="173">
        <f t="shared" si="349"/>
        <v>13.012048192771084</v>
      </c>
      <c r="M3097" s="173">
        <f t="shared" si="350"/>
        <v>31.012048192771083</v>
      </c>
      <c r="O3097" s="173">
        <f t="shared" si="351"/>
        <v>46.518072289156621</v>
      </c>
      <c r="P3097" s="173">
        <v>65</v>
      </c>
    </row>
    <row r="3098" spans="3:16" x14ac:dyDescent="0.35">
      <c r="C3098" s="233" t="s">
        <v>2624</v>
      </c>
      <c r="D3098" s="233" t="s">
        <v>586</v>
      </c>
      <c r="F3098" s="366">
        <v>54</v>
      </c>
      <c r="G3098" s="245" t="s">
        <v>2642</v>
      </c>
      <c r="I3098" s="173">
        <v>18</v>
      </c>
      <c r="J3098">
        <v>166</v>
      </c>
      <c r="K3098" s="173">
        <v>120</v>
      </c>
      <c r="L3098" s="173">
        <f t="shared" si="349"/>
        <v>13.012048192771084</v>
      </c>
      <c r="M3098" s="173">
        <f t="shared" si="350"/>
        <v>31.012048192771083</v>
      </c>
      <c r="O3098" s="173">
        <f t="shared" si="351"/>
        <v>46.518072289156621</v>
      </c>
      <c r="P3098" s="173">
        <v>65</v>
      </c>
    </row>
    <row r="3099" spans="3:16" x14ac:dyDescent="0.35">
      <c r="C3099" s="233" t="s">
        <v>2624</v>
      </c>
      <c r="D3099" s="233" t="s">
        <v>586</v>
      </c>
      <c r="F3099" s="366">
        <v>48</v>
      </c>
      <c r="G3099" s="245" t="s">
        <v>2625</v>
      </c>
      <c r="I3099" s="173">
        <v>18</v>
      </c>
      <c r="J3099">
        <v>166</v>
      </c>
      <c r="K3099" s="173">
        <v>120</v>
      </c>
      <c r="L3099" s="173">
        <f t="shared" si="349"/>
        <v>13.012048192771084</v>
      </c>
      <c r="M3099" s="173">
        <f t="shared" si="350"/>
        <v>31.012048192771083</v>
      </c>
      <c r="O3099" s="173">
        <f t="shared" si="351"/>
        <v>46.518072289156621</v>
      </c>
      <c r="P3099" s="173">
        <v>65</v>
      </c>
    </row>
    <row r="3100" spans="3:16" x14ac:dyDescent="0.35">
      <c r="C3100" s="233" t="s">
        <v>2624</v>
      </c>
      <c r="D3100" s="233" t="s">
        <v>586</v>
      </c>
      <c r="F3100" s="366">
        <v>50</v>
      </c>
      <c r="G3100" s="245" t="s">
        <v>2625</v>
      </c>
      <c r="I3100" s="173">
        <v>18</v>
      </c>
      <c r="J3100">
        <v>166</v>
      </c>
      <c r="K3100" s="173">
        <v>120</v>
      </c>
      <c r="L3100" s="173">
        <f t="shared" si="349"/>
        <v>13.012048192771084</v>
      </c>
      <c r="M3100" s="173">
        <f t="shared" si="350"/>
        <v>31.012048192771083</v>
      </c>
      <c r="O3100" s="173">
        <f t="shared" si="351"/>
        <v>46.518072289156621</v>
      </c>
      <c r="P3100" s="173">
        <v>65</v>
      </c>
    </row>
    <row r="3101" spans="3:16" x14ac:dyDescent="0.35">
      <c r="C3101" s="233" t="s">
        <v>2624</v>
      </c>
      <c r="D3101" s="233" t="s">
        <v>586</v>
      </c>
      <c r="F3101" s="366">
        <v>52</v>
      </c>
      <c r="G3101" s="245" t="s">
        <v>2625</v>
      </c>
      <c r="I3101" s="173">
        <v>18</v>
      </c>
      <c r="J3101">
        <v>166</v>
      </c>
      <c r="K3101" s="173">
        <v>120</v>
      </c>
      <c r="L3101" s="173">
        <f t="shared" si="349"/>
        <v>13.012048192771084</v>
      </c>
      <c r="M3101" s="173">
        <f t="shared" si="350"/>
        <v>31.012048192771083</v>
      </c>
      <c r="O3101" s="173">
        <f t="shared" si="351"/>
        <v>46.518072289156621</v>
      </c>
      <c r="P3101" s="173">
        <v>65</v>
      </c>
    </row>
    <row r="3102" spans="3:16" x14ac:dyDescent="0.35">
      <c r="C3102" s="233" t="s">
        <v>2624</v>
      </c>
      <c r="D3102" s="233" t="s">
        <v>586</v>
      </c>
      <c r="F3102" s="366">
        <v>54</v>
      </c>
      <c r="G3102" s="245" t="s">
        <v>2625</v>
      </c>
      <c r="I3102" s="173">
        <v>18</v>
      </c>
      <c r="J3102">
        <v>166</v>
      </c>
      <c r="K3102" s="173">
        <v>120</v>
      </c>
      <c r="L3102" s="173">
        <f t="shared" si="349"/>
        <v>13.012048192771084</v>
      </c>
      <c r="M3102" s="173">
        <f t="shared" si="350"/>
        <v>31.012048192771083</v>
      </c>
      <c r="O3102" s="173">
        <f t="shared" si="351"/>
        <v>46.518072289156621</v>
      </c>
      <c r="P3102" s="173">
        <v>65</v>
      </c>
    </row>
    <row r="3103" spans="3:16" x14ac:dyDescent="0.35">
      <c r="C3103" s="233" t="s">
        <v>2624</v>
      </c>
      <c r="D3103" s="233" t="s">
        <v>586</v>
      </c>
      <c r="F3103" s="366">
        <v>42</v>
      </c>
      <c r="G3103" s="245" t="s">
        <v>2626</v>
      </c>
      <c r="I3103" s="173">
        <v>18</v>
      </c>
      <c r="J3103">
        <v>166</v>
      </c>
      <c r="K3103" s="173">
        <v>120</v>
      </c>
      <c r="L3103" s="173">
        <f t="shared" si="349"/>
        <v>13.012048192771084</v>
      </c>
      <c r="M3103" s="173">
        <f t="shared" si="350"/>
        <v>31.012048192771083</v>
      </c>
      <c r="O3103" s="173">
        <f t="shared" si="351"/>
        <v>46.518072289156621</v>
      </c>
      <c r="P3103" s="173">
        <v>65</v>
      </c>
    </row>
    <row r="3104" spans="3:16" x14ac:dyDescent="0.35">
      <c r="C3104" s="233" t="s">
        <v>2624</v>
      </c>
      <c r="D3104" s="233" t="s">
        <v>586</v>
      </c>
      <c r="F3104" s="366">
        <v>44</v>
      </c>
      <c r="G3104" s="245" t="s">
        <v>2626</v>
      </c>
      <c r="I3104" s="173">
        <v>18</v>
      </c>
      <c r="J3104">
        <v>166</v>
      </c>
      <c r="K3104" s="173">
        <v>120</v>
      </c>
      <c r="L3104" s="173">
        <f t="shared" si="349"/>
        <v>13.012048192771084</v>
      </c>
      <c r="M3104" s="173">
        <f t="shared" si="350"/>
        <v>31.012048192771083</v>
      </c>
      <c r="O3104" s="173">
        <f t="shared" si="351"/>
        <v>46.518072289156621</v>
      </c>
      <c r="P3104" s="173">
        <v>65</v>
      </c>
    </row>
    <row r="3105" spans="3:16" x14ac:dyDescent="0.35">
      <c r="C3105" s="233" t="s">
        <v>2624</v>
      </c>
      <c r="D3105" s="233" t="s">
        <v>586</v>
      </c>
      <c r="F3105" s="366">
        <v>46</v>
      </c>
      <c r="G3105" s="245" t="s">
        <v>2626</v>
      </c>
      <c r="I3105" s="173">
        <v>18</v>
      </c>
      <c r="J3105">
        <v>166</v>
      </c>
      <c r="K3105" s="173">
        <v>120</v>
      </c>
      <c r="L3105" s="173">
        <f t="shared" si="349"/>
        <v>13.012048192771084</v>
      </c>
      <c r="M3105" s="173">
        <f t="shared" si="350"/>
        <v>31.012048192771083</v>
      </c>
      <c r="O3105" s="173">
        <f t="shared" si="351"/>
        <v>46.518072289156621</v>
      </c>
      <c r="P3105" s="173">
        <v>65</v>
      </c>
    </row>
    <row r="3106" spans="3:16" x14ac:dyDescent="0.35">
      <c r="C3106" s="233" t="s">
        <v>2624</v>
      </c>
      <c r="D3106" s="233" t="s">
        <v>586</v>
      </c>
      <c r="F3106" s="366">
        <v>48</v>
      </c>
      <c r="G3106" s="245" t="s">
        <v>2626</v>
      </c>
      <c r="I3106" s="173">
        <v>18</v>
      </c>
      <c r="J3106">
        <v>166</v>
      </c>
      <c r="K3106" s="173">
        <v>120</v>
      </c>
      <c r="L3106" s="173">
        <f t="shared" si="349"/>
        <v>13.012048192771084</v>
      </c>
      <c r="M3106" s="173">
        <f t="shared" si="350"/>
        <v>31.012048192771083</v>
      </c>
      <c r="O3106" s="173">
        <f t="shared" si="351"/>
        <v>46.518072289156621</v>
      </c>
      <c r="P3106" s="173">
        <v>65</v>
      </c>
    </row>
    <row r="3108" spans="3:16" x14ac:dyDescent="0.35">
      <c r="C3108" s="233" t="s">
        <v>231</v>
      </c>
      <c r="D3108" s="233" t="s">
        <v>260</v>
      </c>
      <c r="F3108" s="366">
        <v>50</v>
      </c>
      <c r="G3108" s="245" t="s">
        <v>2698</v>
      </c>
      <c r="I3108" s="173">
        <v>47</v>
      </c>
      <c r="J3108">
        <v>1167</v>
      </c>
      <c r="K3108" s="173">
        <f>+(112+237+12)*1.045</f>
        <v>377.24499999999995</v>
      </c>
      <c r="L3108" s="173">
        <f>+I3108/J3108*K3108</f>
        <v>15.193243359040272</v>
      </c>
      <c r="M3108" s="173">
        <f>+I3108+L3108</f>
        <v>62.193243359040274</v>
      </c>
      <c r="O3108" s="173">
        <v>100</v>
      </c>
      <c r="P3108" s="173">
        <v>125</v>
      </c>
    </row>
    <row r="3109" spans="3:16" x14ac:dyDescent="0.35">
      <c r="C3109" s="233" t="s">
        <v>231</v>
      </c>
      <c r="D3109" s="233" t="s">
        <v>260</v>
      </c>
      <c r="F3109" s="366">
        <v>52</v>
      </c>
      <c r="G3109" s="245" t="s">
        <v>2698</v>
      </c>
      <c r="I3109" s="173">
        <v>47</v>
      </c>
      <c r="J3109">
        <v>1167</v>
      </c>
      <c r="K3109" s="173">
        <f t="shared" ref="K3109:K3130" si="352">+(112+237+12)*1.045</f>
        <v>377.24499999999995</v>
      </c>
      <c r="L3109" s="173">
        <f t="shared" ref="L3109:L3130" si="353">+I3109/J3109*K3109</f>
        <v>15.193243359040272</v>
      </c>
      <c r="M3109" s="173">
        <f t="shared" ref="M3109:M3130" si="354">+I3109+L3109</f>
        <v>62.193243359040274</v>
      </c>
      <c r="O3109" s="173">
        <v>100</v>
      </c>
      <c r="P3109" s="173">
        <v>125</v>
      </c>
    </row>
    <row r="3110" spans="3:16" x14ac:dyDescent="0.35">
      <c r="C3110" s="233" t="s">
        <v>231</v>
      </c>
      <c r="D3110" s="233" t="s">
        <v>260</v>
      </c>
      <c r="F3110" s="366">
        <v>54</v>
      </c>
      <c r="G3110" s="245" t="s">
        <v>2698</v>
      </c>
      <c r="I3110" s="173">
        <v>47</v>
      </c>
      <c r="J3110">
        <v>1167</v>
      </c>
      <c r="K3110" s="173">
        <f t="shared" si="352"/>
        <v>377.24499999999995</v>
      </c>
      <c r="L3110" s="173">
        <f t="shared" si="353"/>
        <v>15.193243359040272</v>
      </c>
      <c r="M3110" s="173">
        <f t="shared" si="354"/>
        <v>62.193243359040274</v>
      </c>
      <c r="O3110" s="173">
        <v>100</v>
      </c>
      <c r="P3110" s="173">
        <v>125</v>
      </c>
    </row>
    <row r="3111" spans="3:16" x14ac:dyDescent="0.35">
      <c r="C3111" s="233" t="s">
        <v>231</v>
      </c>
      <c r="D3111" s="233" t="s">
        <v>260</v>
      </c>
      <c r="F3111" s="366">
        <v>56</v>
      </c>
      <c r="G3111" s="245" t="s">
        <v>2698</v>
      </c>
      <c r="I3111" s="173">
        <v>47</v>
      </c>
      <c r="J3111">
        <v>1167</v>
      </c>
      <c r="K3111" s="173">
        <f t="shared" si="352"/>
        <v>377.24499999999995</v>
      </c>
      <c r="L3111" s="173">
        <f t="shared" si="353"/>
        <v>15.193243359040272</v>
      </c>
      <c r="M3111" s="173">
        <f t="shared" si="354"/>
        <v>62.193243359040274</v>
      </c>
      <c r="O3111" s="173">
        <v>100</v>
      </c>
      <c r="P3111" s="173">
        <v>125</v>
      </c>
    </row>
    <row r="3112" spans="3:16" x14ac:dyDescent="0.35">
      <c r="C3112" s="233" t="s">
        <v>231</v>
      </c>
      <c r="D3112" s="233" t="s">
        <v>194</v>
      </c>
      <c r="F3112" s="366">
        <v>42</v>
      </c>
      <c r="G3112" s="245" t="s">
        <v>2699</v>
      </c>
      <c r="I3112" s="173">
        <v>56</v>
      </c>
      <c r="J3112">
        <v>1167</v>
      </c>
      <c r="K3112" s="173">
        <f t="shared" si="352"/>
        <v>377.24499999999995</v>
      </c>
      <c r="L3112" s="173">
        <f t="shared" si="353"/>
        <v>18.102587832047984</v>
      </c>
      <c r="M3112" s="173">
        <f t="shared" si="354"/>
        <v>74.102587832047988</v>
      </c>
      <c r="O3112" s="173">
        <v>110</v>
      </c>
      <c r="P3112" s="173">
        <v>125</v>
      </c>
    </row>
    <row r="3113" spans="3:16" x14ac:dyDescent="0.35">
      <c r="C3113" s="233" t="s">
        <v>231</v>
      </c>
      <c r="D3113" s="233" t="s">
        <v>194</v>
      </c>
      <c r="F3113" s="366">
        <v>44</v>
      </c>
      <c r="G3113" s="245" t="s">
        <v>2699</v>
      </c>
      <c r="I3113" s="173">
        <v>56</v>
      </c>
      <c r="J3113">
        <v>1167</v>
      </c>
      <c r="K3113" s="173">
        <f t="shared" si="352"/>
        <v>377.24499999999995</v>
      </c>
      <c r="L3113" s="173">
        <f t="shared" si="353"/>
        <v>18.102587832047984</v>
      </c>
      <c r="M3113" s="173">
        <f t="shared" si="354"/>
        <v>74.102587832047988</v>
      </c>
      <c r="O3113" s="173">
        <v>110</v>
      </c>
      <c r="P3113" s="173">
        <v>125</v>
      </c>
    </row>
    <row r="3114" spans="3:16" x14ac:dyDescent="0.35">
      <c r="C3114" s="233" t="s">
        <v>231</v>
      </c>
      <c r="D3114" s="233" t="s">
        <v>194</v>
      </c>
      <c r="F3114" s="366">
        <v>46</v>
      </c>
      <c r="G3114" s="245" t="s">
        <v>2699</v>
      </c>
      <c r="I3114" s="173">
        <v>56</v>
      </c>
      <c r="J3114">
        <v>1167</v>
      </c>
      <c r="K3114" s="173">
        <f t="shared" si="352"/>
        <v>377.24499999999995</v>
      </c>
      <c r="L3114" s="173">
        <f t="shared" si="353"/>
        <v>18.102587832047984</v>
      </c>
      <c r="M3114" s="173">
        <f t="shared" si="354"/>
        <v>74.102587832047988</v>
      </c>
      <c r="O3114" s="173">
        <v>110</v>
      </c>
      <c r="P3114" s="173">
        <v>125</v>
      </c>
    </row>
    <row r="3115" spans="3:16" x14ac:dyDescent="0.35">
      <c r="C3115" s="233" t="s">
        <v>231</v>
      </c>
      <c r="D3115" s="233" t="s">
        <v>194</v>
      </c>
      <c r="F3115" s="366">
        <v>48</v>
      </c>
      <c r="G3115" s="245" t="s">
        <v>2699</v>
      </c>
      <c r="I3115" s="173">
        <v>56</v>
      </c>
      <c r="J3115">
        <v>1167</v>
      </c>
      <c r="K3115" s="173">
        <f t="shared" si="352"/>
        <v>377.24499999999995</v>
      </c>
      <c r="L3115" s="173">
        <f t="shared" si="353"/>
        <v>18.102587832047984</v>
      </c>
      <c r="M3115" s="173">
        <f t="shared" si="354"/>
        <v>74.102587832047988</v>
      </c>
      <c r="O3115" s="173">
        <v>110</v>
      </c>
      <c r="P3115" s="173">
        <v>125</v>
      </c>
    </row>
    <row r="3116" spans="3:16" x14ac:dyDescent="0.35">
      <c r="C3116" s="233" t="s">
        <v>2700</v>
      </c>
      <c r="D3116" s="233" t="s">
        <v>2701</v>
      </c>
      <c r="F3116" s="366">
        <v>42</v>
      </c>
      <c r="G3116" s="245" t="s">
        <v>2704</v>
      </c>
      <c r="I3116" s="173">
        <v>35</v>
      </c>
      <c r="J3116">
        <v>1167</v>
      </c>
      <c r="K3116" s="173">
        <f t="shared" si="352"/>
        <v>377.24499999999995</v>
      </c>
      <c r="L3116" s="173">
        <f t="shared" si="353"/>
        <v>11.314117395029989</v>
      </c>
      <c r="M3116" s="173">
        <f t="shared" si="354"/>
        <v>46.314117395029989</v>
      </c>
      <c r="O3116" s="173">
        <v>80</v>
      </c>
      <c r="P3116" s="173">
        <v>110</v>
      </c>
    </row>
    <row r="3117" spans="3:16" x14ac:dyDescent="0.35">
      <c r="C3117" s="233" t="s">
        <v>2700</v>
      </c>
      <c r="D3117" s="233" t="s">
        <v>2701</v>
      </c>
      <c r="F3117" s="366">
        <v>44</v>
      </c>
      <c r="G3117" s="245" t="s">
        <v>2704</v>
      </c>
      <c r="I3117" s="173">
        <v>35</v>
      </c>
      <c r="J3117">
        <v>1167</v>
      </c>
      <c r="K3117" s="173">
        <f t="shared" si="352"/>
        <v>377.24499999999995</v>
      </c>
      <c r="L3117" s="173">
        <f t="shared" si="353"/>
        <v>11.314117395029989</v>
      </c>
      <c r="M3117" s="173">
        <f t="shared" si="354"/>
        <v>46.314117395029989</v>
      </c>
      <c r="O3117" s="173">
        <v>80</v>
      </c>
      <c r="P3117" s="173">
        <v>110</v>
      </c>
    </row>
    <row r="3118" spans="3:16" x14ac:dyDescent="0.35">
      <c r="C3118" s="233" t="s">
        <v>2700</v>
      </c>
      <c r="D3118" s="233" t="s">
        <v>2701</v>
      </c>
      <c r="F3118" s="366">
        <v>46</v>
      </c>
      <c r="G3118" s="245" t="s">
        <v>2704</v>
      </c>
      <c r="I3118" s="173">
        <v>35</v>
      </c>
      <c r="J3118">
        <v>1167</v>
      </c>
      <c r="K3118" s="173">
        <f t="shared" si="352"/>
        <v>377.24499999999995</v>
      </c>
      <c r="L3118" s="173">
        <f t="shared" si="353"/>
        <v>11.314117395029989</v>
      </c>
      <c r="M3118" s="173">
        <f t="shared" si="354"/>
        <v>46.314117395029989</v>
      </c>
      <c r="O3118" s="173">
        <v>80</v>
      </c>
      <c r="P3118" s="173">
        <v>110</v>
      </c>
    </row>
    <row r="3119" spans="3:16" x14ac:dyDescent="0.35">
      <c r="C3119" s="233" t="s">
        <v>2700</v>
      </c>
      <c r="D3119" s="233" t="s">
        <v>2701</v>
      </c>
      <c r="F3119" s="366">
        <v>48</v>
      </c>
      <c r="G3119" s="245" t="s">
        <v>2704</v>
      </c>
      <c r="I3119" s="173">
        <v>35</v>
      </c>
      <c r="J3119">
        <v>1167</v>
      </c>
      <c r="K3119" s="173">
        <f t="shared" si="352"/>
        <v>377.24499999999995</v>
      </c>
      <c r="L3119" s="173">
        <f t="shared" si="353"/>
        <v>11.314117395029989</v>
      </c>
      <c r="M3119" s="173">
        <f t="shared" si="354"/>
        <v>46.314117395029989</v>
      </c>
      <c r="O3119" s="173">
        <v>80</v>
      </c>
      <c r="P3119" s="173">
        <v>110</v>
      </c>
    </row>
    <row r="3121" spans="3:16" x14ac:dyDescent="0.35">
      <c r="C3121" s="233" t="s">
        <v>99</v>
      </c>
      <c r="D3121" s="233" t="s">
        <v>99</v>
      </c>
      <c r="F3121" s="366">
        <v>42</v>
      </c>
      <c r="G3121" s="245" t="s">
        <v>2702</v>
      </c>
      <c r="I3121" s="173">
        <v>68</v>
      </c>
      <c r="J3121">
        <v>1167</v>
      </c>
      <c r="K3121" s="173">
        <f t="shared" si="352"/>
        <v>377.24499999999995</v>
      </c>
      <c r="L3121" s="173">
        <f t="shared" si="353"/>
        <v>21.981713796058266</v>
      </c>
      <c r="M3121" s="173">
        <f t="shared" si="354"/>
        <v>89.981713796058273</v>
      </c>
      <c r="P3121" s="173">
        <v>180</v>
      </c>
    </row>
    <row r="3122" spans="3:16" x14ac:dyDescent="0.35">
      <c r="C3122" s="233" t="s">
        <v>99</v>
      </c>
      <c r="D3122" s="233" t="s">
        <v>99</v>
      </c>
      <c r="F3122" s="366">
        <v>44</v>
      </c>
      <c r="G3122" s="245" t="s">
        <v>2702</v>
      </c>
      <c r="I3122" s="173">
        <v>68</v>
      </c>
      <c r="J3122">
        <v>1167</v>
      </c>
      <c r="K3122" s="173">
        <f t="shared" si="352"/>
        <v>377.24499999999995</v>
      </c>
      <c r="L3122" s="173">
        <f t="shared" si="353"/>
        <v>21.981713796058266</v>
      </c>
      <c r="M3122" s="173">
        <f t="shared" si="354"/>
        <v>89.981713796058273</v>
      </c>
      <c r="P3122" s="173">
        <v>180</v>
      </c>
    </row>
    <row r="3123" spans="3:16" x14ac:dyDescent="0.35">
      <c r="C3123" s="233" t="s">
        <v>99</v>
      </c>
      <c r="D3123" s="233" t="s">
        <v>99</v>
      </c>
      <c r="F3123" s="366">
        <v>46</v>
      </c>
      <c r="G3123" s="245" t="s">
        <v>2702</v>
      </c>
      <c r="I3123" s="173">
        <v>68</v>
      </c>
      <c r="J3123">
        <v>1167</v>
      </c>
      <c r="K3123" s="173">
        <f t="shared" si="352"/>
        <v>377.24499999999995</v>
      </c>
      <c r="L3123" s="173">
        <f t="shared" si="353"/>
        <v>21.981713796058266</v>
      </c>
      <c r="M3123" s="173">
        <f t="shared" si="354"/>
        <v>89.981713796058273</v>
      </c>
      <c r="P3123" s="173">
        <v>180</v>
      </c>
    </row>
    <row r="3124" spans="3:16" x14ac:dyDescent="0.35">
      <c r="C3124" s="233" t="s">
        <v>99</v>
      </c>
      <c r="D3124" s="233" t="s">
        <v>99</v>
      </c>
      <c r="F3124" s="366">
        <v>48</v>
      </c>
      <c r="G3124" s="245" t="s">
        <v>2702</v>
      </c>
      <c r="I3124" s="173">
        <v>68</v>
      </c>
      <c r="J3124">
        <v>1167</v>
      </c>
      <c r="K3124" s="173">
        <f t="shared" si="352"/>
        <v>377.24499999999995</v>
      </c>
      <c r="L3124" s="173">
        <f t="shared" si="353"/>
        <v>21.981713796058266</v>
      </c>
      <c r="M3124" s="173">
        <f t="shared" si="354"/>
        <v>89.981713796058273</v>
      </c>
      <c r="P3124" s="173">
        <v>180</v>
      </c>
    </row>
    <row r="3125" spans="3:16" x14ac:dyDescent="0.35">
      <c r="C3125" s="233" t="s">
        <v>99</v>
      </c>
      <c r="D3125" s="233" t="s">
        <v>99</v>
      </c>
      <c r="F3125" s="366">
        <v>50</v>
      </c>
      <c r="G3125" s="245" t="s">
        <v>2702</v>
      </c>
      <c r="I3125" s="173">
        <v>68</v>
      </c>
      <c r="J3125">
        <v>1167</v>
      </c>
      <c r="K3125" s="173">
        <f t="shared" si="352"/>
        <v>377.24499999999995</v>
      </c>
      <c r="L3125" s="173">
        <f t="shared" si="353"/>
        <v>21.981713796058266</v>
      </c>
      <c r="M3125" s="173">
        <f t="shared" si="354"/>
        <v>89.981713796058273</v>
      </c>
      <c r="P3125" s="173">
        <v>180</v>
      </c>
    </row>
    <row r="3126" spans="3:16" x14ac:dyDescent="0.35">
      <c r="C3126" s="233" t="s">
        <v>305</v>
      </c>
      <c r="D3126" s="233" t="s">
        <v>305</v>
      </c>
      <c r="F3126" s="366">
        <v>42</v>
      </c>
      <c r="G3126" s="233" t="s">
        <v>2703</v>
      </c>
      <c r="I3126" s="173">
        <v>55</v>
      </c>
      <c r="J3126">
        <v>1167</v>
      </c>
      <c r="K3126" s="173">
        <f t="shared" si="352"/>
        <v>377.24499999999995</v>
      </c>
      <c r="L3126" s="173">
        <f t="shared" si="353"/>
        <v>17.779327335047128</v>
      </c>
      <c r="M3126" s="173">
        <f t="shared" si="354"/>
        <v>72.779327335047128</v>
      </c>
      <c r="P3126" s="173">
        <v>180</v>
      </c>
    </row>
    <row r="3127" spans="3:16" x14ac:dyDescent="0.35">
      <c r="C3127" s="233" t="s">
        <v>305</v>
      </c>
      <c r="D3127" s="233" t="s">
        <v>305</v>
      </c>
      <c r="F3127" s="366">
        <v>44</v>
      </c>
      <c r="G3127" s="233" t="s">
        <v>2703</v>
      </c>
      <c r="I3127" s="173">
        <v>55</v>
      </c>
      <c r="J3127">
        <v>1167</v>
      </c>
      <c r="K3127" s="173">
        <f t="shared" si="352"/>
        <v>377.24499999999995</v>
      </c>
      <c r="L3127" s="173">
        <f t="shared" si="353"/>
        <v>17.779327335047128</v>
      </c>
      <c r="M3127" s="173">
        <f t="shared" si="354"/>
        <v>72.779327335047128</v>
      </c>
      <c r="P3127" s="173">
        <v>180</v>
      </c>
    </row>
    <row r="3128" spans="3:16" x14ac:dyDescent="0.35">
      <c r="C3128" s="233" t="s">
        <v>305</v>
      </c>
      <c r="D3128" s="233" t="s">
        <v>305</v>
      </c>
      <c r="F3128" s="366">
        <v>46</v>
      </c>
      <c r="G3128" s="233" t="s">
        <v>2703</v>
      </c>
      <c r="I3128" s="173">
        <v>55</v>
      </c>
      <c r="J3128">
        <v>1167</v>
      </c>
      <c r="K3128" s="173">
        <f t="shared" si="352"/>
        <v>377.24499999999995</v>
      </c>
      <c r="L3128" s="173">
        <f t="shared" si="353"/>
        <v>17.779327335047128</v>
      </c>
      <c r="M3128" s="173">
        <f t="shared" si="354"/>
        <v>72.779327335047128</v>
      </c>
      <c r="P3128" s="173">
        <v>180</v>
      </c>
    </row>
    <row r="3129" spans="3:16" x14ac:dyDescent="0.35">
      <c r="C3129" s="233" t="s">
        <v>305</v>
      </c>
      <c r="D3129" s="233" t="s">
        <v>305</v>
      </c>
      <c r="F3129" s="366">
        <v>48</v>
      </c>
      <c r="G3129" s="233" t="s">
        <v>2703</v>
      </c>
      <c r="I3129" s="173">
        <v>55</v>
      </c>
      <c r="J3129">
        <v>1167</v>
      </c>
      <c r="K3129" s="173">
        <f t="shared" si="352"/>
        <v>377.24499999999995</v>
      </c>
      <c r="L3129" s="173">
        <f t="shared" si="353"/>
        <v>17.779327335047128</v>
      </c>
      <c r="M3129" s="173">
        <f t="shared" si="354"/>
        <v>72.779327335047128</v>
      </c>
      <c r="P3129" s="173">
        <v>180</v>
      </c>
    </row>
    <row r="3130" spans="3:16" x14ac:dyDescent="0.35">
      <c r="C3130" s="233" t="s">
        <v>305</v>
      </c>
      <c r="D3130" s="233" t="s">
        <v>305</v>
      </c>
      <c r="F3130" s="366">
        <v>50</v>
      </c>
      <c r="G3130" s="233" t="s">
        <v>2703</v>
      </c>
      <c r="I3130" s="173">
        <v>55</v>
      </c>
      <c r="J3130">
        <v>1167</v>
      </c>
      <c r="K3130" s="173">
        <f t="shared" si="352"/>
        <v>377.24499999999995</v>
      </c>
      <c r="L3130" s="173">
        <f t="shared" si="353"/>
        <v>17.779327335047128</v>
      </c>
      <c r="M3130" s="173">
        <f t="shared" si="354"/>
        <v>72.779327335047128</v>
      </c>
      <c r="P3130" s="173">
        <v>180</v>
      </c>
    </row>
    <row r="3132" spans="3:16" x14ac:dyDescent="0.35">
      <c r="D3132" s="232" t="s">
        <v>2769</v>
      </c>
    </row>
    <row r="3133" spans="3:16" x14ac:dyDescent="0.35">
      <c r="C3133" s="233" t="s">
        <v>2770</v>
      </c>
      <c r="D3133" s="233" t="s">
        <v>2771</v>
      </c>
      <c r="F3133" s="366">
        <v>42</v>
      </c>
      <c r="G3133" s="245" t="s">
        <v>2772</v>
      </c>
      <c r="I3133" s="173">
        <v>18</v>
      </c>
      <c r="J3133">
        <v>110</v>
      </c>
      <c r="K3133" s="173">
        <v>50</v>
      </c>
      <c r="L3133" s="173">
        <f t="shared" ref="L3133:L3142" si="355">+I3133/J3133*K3133</f>
        <v>8.1818181818181817</v>
      </c>
      <c r="M3133" s="173">
        <f t="shared" ref="M3133:M3142" si="356">+I3133+L3133</f>
        <v>26.18181818181818</v>
      </c>
      <c r="O3133" s="173">
        <f t="shared" ref="O3133:O3138" si="357">+M3133*1.5</f>
        <v>39.272727272727266</v>
      </c>
      <c r="P3133" s="173">
        <v>75</v>
      </c>
    </row>
    <row r="3134" spans="3:16" x14ac:dyDescent="0.35">
      <c r="C3134" s="233" t="s">
        <v>2770</v>
      </c>
      <c r="D3134" s="233" t="s">
        <v>2771</v>
      </c>
      <c r="F3134" s="366">
        <v>44</v>
      </c>
      <c r="G3134" s="245" t="s">
        <v>2772</v>
      </c>
      <c r="I3134" s="173">
        <v>18</v>
      </c>
      <c r="J3134">
        <v>110</v>
      </c>
      <c r="K3134" s="173">
        <v>50</v>
      </c>
      <c r="L3134" s="173">
        <f t="shared" si="355"/>
        <v>8.1818181818181817</v>
      </c>
      <c r="M3134" s="173">
        <f t="shared" si="356"/>
        <v>26.18181818181818</v>
      </c>
      <c r="O3134" s="173">
        <f t="shared" si="357"/>
        <v>39.272727272727266</v>
      </c>
      <c r="P3134" s="173">
        <v>75</v>
      </c>
    </row>
    <row r="3135" spans="3:16" x14ac:dyDescent="0.35">
      <c r="C3135" s="233" t="s">
        <v>2770</v>
      </c>
      <c r="D3135" s="233" t="s">
        <v>2771</v>
      </c>
      <c r="F3135" s="366">
        <v>46</v>
      </c>
      <c r="G3135" s="245" t="s">
        <v>2772</v>
      </c>
      <c r="I3135" s="173">
        <v>18</v>
      </c>
      <c r="J3135">
        <v>110</v>
      </c>
      <c r="K3135" s="173">
        <v>50</v>
      </c>
      <c r="L3135" s="173">
        <f t="shared" si="355"/>
        <v>8.1818181818181817</v>
      </c>
      <c r="M3135" s="173">
        <f t="shared" si="356"/>
        <v>26.18181818181818</v>
      </c>
      <c r="O3135" s="173">
        <f t="shared" si="357"/>
        <v>39.272727272727266</v>
      </c>
      <c r="P3135" s="173">
        <v>75</v>
      </c>
    </row>
    <row r="3136" spans="3:16" x14ac:dyDescent="0.35">
      <c r="C3136" s="233" t="s">
        <v>2770</v>
      </c>
      <c r="D3136" s="233" t="s">
        <v>2771</v>
      </c>
      <c r="F3136" s="366">
        <v>42</v>
      </c>
      <c r="G3136" s="245" t="s">
        <v>2773</v>
      </c>
      <c r="I3136" s="173">
        <v>18</v>
      </c>
      <c r="J3136">
        <v>110</v>
      </c>
      <c r="K3136" s="173">
        <v>50</v>
      </c>
      <c r="L3136" s="173">
        <f t="shared" si="355"/>
        <v>8.1818181818181817</v>
      </c>
      <c r="M3136" s="173">
        <f t="shared" si="356"/>
        <v>26.18181818181818</v>
      </c>
      <c r="O3136" s="173">
        <f t="shared" si="357"/>
        <v>39.272727272727266</v>
      </c>
      <c r="P3136" s="173">
        <v>75</v>
      </c>
    </row>
    <row r="3137" spans="3:19" x14ac:dyDescent="0.35">
      <c r="C3137" s="233" t="s">
        <v>2770</v>
      </c>
      <c r="D3137" s="233" t="s">
        <v>2771</v>
      </c>
      <c r="F3137" s="366">
        <v>44</v>
      </c>
      <c r="G3137" s="245" t="s">
        <v>2773</v>
      </c>
      <c r="I3137" s="173">
        <v>18</v>
      </c>
      <c r="J3137">
        <v>110</v>
      </c>
      <c r="K3137" s="173">
        <v>50</v>
      </c>
      <c r="L3137" s="173">
        <f t="shared" si="355"/>
        <v>8.1818181818181817</v>
      </c>
      <c r="M3137" s="173">
        <f t="shared" si="356"/>
        <v>26.18181818181818</v>
      </c>
      <c r="O3137" s="173">
        <f t="shared" si="357"/>
        <v>39.272727272727266</v>
      </c>
      <c r="P3137" s="173">
        <v>75</v>
      </c>
    </row>
    <row r="3138" spans="3:19" x14ac:dyDescent="0.35">
      <c r="C3138" s="233" t="s">
        <v>2770</v>
      </c>
      <c r="D3138" s="233" t="s">
        <v>2771</v>
      </c>
      <c r="F3138" s="366">
        <v>46</v>
      </c>
      <c r="G3138" s="245" t="s">
        <v>2773</v>
      </c>
      <c r="I3138" s="173">
        <v>18</v>
      </c>
      <c r="J3138">
        <v>110</v>
      </c>
      <c r="K3138" s="173">
        <v>50</v>
      </c>
      <c r="L3138" s="173">
        <f t="shared" si="355"/>
        <v>8.1818181818181817</v>
      </c>
      <c r="M3138" s="173">
        <f t="shared" si="356"/>
        <v>26.18181818181818</v>
      </c>
      <c r="O3138" s="173">
        <f t="shared" si="357"/>
        <v>39.272727272727266</v>
      </c>
      <c r="P3138" s="173">
        <v>75</v>
      </c>
    </row>
    <row r="3139" spans="3:19" x14ac:dyDescent="0.35">
      <c r="C3139" s="233" t="s">
        <v>2700</v>
      </c>
      <c r="D3139" s="233" t="s">
        <v>2701</v>
      </c>
      <c r="F3139" s="366">
        <v>42</v>
      </c>
      <c r="G3139" s="245" t="s">
        <v>2704</v>
      </c>
      <c r="I3139" s="173">
        <v>35</v>
      </c>
      <c r="J3139">
        <v>252</v>
      </c>
      <c r="K3139" s="173">
        <v>126</v>
      </c>
      <c r="L3139" s="173">
        <f t="shared" si="355"/>
        <v>17.5</v>
      </c>
      <c r="M3139" s="173">
        <f t="shared" si="356"/>
        <v>52.5</v>
      </c>
      <c r="O3139" s="173">
        <f>+M3139*1.5</f>
        <v>78.75</v>
      </c>
      <c r="P3139" s="173">
        <v>110</v>
      </c>
    </row>
    <row r="3140" spans="3:19" x14ac:dyDescent="0.35">
      <c r="C3140" s="233" t="s">
        <v>2700</v>
      </c>
      <c r="D3140" s="233" t="s">
        <v>2701</v>
      </c>
      <c r="F3140" s="366">
        <v>44</v>
      </c>
      <c r="G3140" s="245" t="s">
        <v>2704</v>
      </c>
      <c r="I3140" s="173">
        <v>35</v>
      </c>
      <c r="J3140">
        <v>252</v>
      </c>
      <c r="K3140" s="173">
        <v>126</v>
      </c>
      <c r="L3140" s="173">
        <f t="shared" si="355"/>
        <v>17.5</v>
      </c>
      <c r="M3140" s="173">
        <f t="shared" si="356"/>
        <v>52.5</v>
      </c>
      <c r="O3140" s="173">
        <f t="shared" ref="O3140:O3146" si="358">+M3140*1.5</f>
        <v>78.75</v>
      </c>
      <c r="P3140" s="173">
        <v>110</v>
      </c>
    </row>
    <row r="3141" spans="3:19" x14ac:dyDescent="0.35">
      <c r="C3141" s="233" t="s">
        <v>2700</v>
      </c>
      <c r="D3141" s="233" t="s">
        <v>2701</v>
      </c>
      <c r="F3141" s="366">
        <v>46</v>
      </c>
      <c r="G3141" s="245" t="s">
        <v>2704</v>
      </c>
      <c r="I3141" s="173">
        <v>35</v>
      </c>
      <c r="J3141">
        <v>252</v>
      </c>
      <c r="K3141" s="173">
        <v>126</v>
      </c>
      <c r="L3141" s="173">
        <f t="shared" si="355"/>
        <v>17.5</v>
      </c>
      <c r="M3141" s="173">
        <f t="shared" si="356"/>
        <v>52.5</v>
      </c>
      <c r="O3141" s="173">
        <f t="shared" si="358"/>
        <v>78.75</v>
      </c>
      <c r="P3141" s="173">
        <v>110</v>
      </c>
    </row>
    <row r="3142" spans="3:19" x14ac:dyDescent="0.35">
      <c r="C3142" s="233" t="s">
        <v>2700</v>
      </c>
      <c r="D3142" s="233" t="s">
        <v>2701</v>
      </c>
      <c r="F3142" s="366">
        <v>48</v>
      </c>
      <c r="G3142" s="245" t="s">
        <v>2704</v>
      </c>
      <c r="I3142" s="173">
        <v>35</v>
      </c>
      <c r="J3142">
        <v>252</v>
      </c>
      <c r="K3142" s="173">
        <v>126</v>
      </c>
      <c r="L3142" s="173">
        <f t="shared" si="355"/>
        <v>17.5</v>
      </c>
      <c r="M3142" s="173">
        <f t="shared" si="356"/>
        <v>52.5</v>
      </c>
      <c r="O3142" s="173">
        <f t="shared" si="358"/>
        <v>78.75</v>
      </c>
      <c r="P3142" s="173">
        <v>110</v>
      </c>
    </row>
    <row r="3143" spans="3:19" x14ac:dyDescent="0.35">
      <c r="C3143" s="233" t="s">
        <v>1842</v>
      </c>
      <c r="F3143" s="366">
        <v>44</v>
      </c>
      <c r="G3143" s="245" t="s">
        <v>2894</v>
      </c>
      <c r="I3143" s="173">
        <v>25</v>
      </c>
      <c r="J3143">
        <v>252</v>
      </c>
      <c r="K3143" s="173">
        <v>126</v>
      </c>
      <c r="L3143" s="173">
        <f t="shared" ref="L3143" si="359">+I3143/J3143*K3143</f>
        <v>12.5</v>
      </c>
      <c r="M3143" s="173">
        <f t="shared" ref="M3143" si="360">+I3143+L3143</f>
        <v>37.5</v>
      </c>
      <c r="O3143" s="173">
        <f t="shared" si="358"/>
        <v>56.25</v>
      </c>
      <c r="P3143" s="173">
        <v>125</v>
      </c>
    </row>
    <row r="3144" spans="3:19" x14ac:dyDescent="0.35">
      <c r="C3144" s="233" t="s">
        <v>1842</v>
      </c>
      <c r="F3144" s="366">
        <v>46</v>
      </c>
      <c r="G3144" s="245" t="s">
        <v>2894</v>
      </c>
      <c r="I3144" s="173">
        <v>25</v>
      </c>
      <c r="J3144">
        <v>252</v>
      </c>
      <c r="K3144" s="173">
        <v>126</v>
      </c>
      <c r="L3144" s="173">
        <f t="shared" ref="L3144:L3146" si="361">+I3144/J3144*K3144</f>
        <v>12.5</v>
      </c>
      <c r="M3144" s="173">
        <f t="shared" ref="M3144:M3146" si="362">+I3144+L3144</f>
        <v>37.5</v>
      </c>
      <c r="O3144" s="173">
        <f t="shared" si="358"/>
        <v>56.25</v>
      </c>
      <c r="P3144" s="173">
        <v>125</v>
      </c>
    </row>
    <row r="3145" spans="3:19" x14ac:dyDescent="0.35">
      <c r="C3145" s="233" t="s">
        <v>1842</v>
      </c>
      <c r="F3145" s="366">
        <v>48</v>
      </c>
      <c r="G3145" s="245" t="s">
        <v>2894</v>
      </c>
      <c r="I3145" s="173">
        <v>25</v>
      </c>
      <c r="J3145">
        <v>252</v>
      </c>
      <c r="K3145" s="173">
        <v>126</v>
      </c>
      <c r="L3145" s="173">
        <f t="shared" si="361"/>
        <v>12.5</v>
      </c>
      <c r="M3145" s="173">
        <f t="shared" si="362"/>
        <v>37.5</v>
      </c>
      <c r="O3145" s="173">
        <f t="shared" si="358"/>
        <v>56.25</v>
      </c>
      <c r="P3145" s="173">
        <v>125</v>
      </c>
    </row>
    <row r="3146" spans="3:19" x14ac:dyDescent="0.35">
      <c r="C3146" s="233" t="s">
        <v>1842</v>
      </c>
      <c r="F3146" s="366">
        <v>50</v>
      </c>
      <c r="G3146" s="245" t="s">
        <v>2894</v>
      </c>
      <c r="I3146" s="173">
        <v>25</v>
      </c>
      <c r="J3146">
        <v>252</v>
      </c>
      <c r="K3146" s="173">
        <v>126</v>
      </c>
      <c r="L3146" s="173">
        <f t="shared" si="361"/>
        <v>12.5</v>
      </c>
      <c r="M3146" s="173">
        <f t="shared" si="362"/>
        <v>37.5</v>
      </c>
      <c r="O3146" s="173">
        <f t="shared" si="358"/>
        <v>56.25</v>
      </c>
      <c r="P3146" s="173">
        <v>125</v>
      </c>
    </row>
    <row r="3147" spans="3:19" s="3" customFormat="1" x14ac:dyDescent="0.35">
      <c r="C3147" s="232" t="s">
        <v>2787</v>
      </c>
      <c r="D3147" s="232"/>
      <c r="E3147" s="340"/>
      <c r="F3147" s="256"/>
      <c r="G3147" s="256"/>
      <c r="H3147" s="146"/>
      <c r="J3147" s="146"/>
      <c r="K3147" s="146"/>
      <c r="L3147" s="146"/>
      <c r="M3147" s="58"/>
      <c r="N3147" s="146"/>
      <c r="O3147" s="146"/>
      <c r="R3147" s="181"/>
    </row>
    <row r="3148" spans="3:19" x14ac:dyDescent="0.35">
      <c r="C3148" s="233" t="s">
        <v>2788</v>
      </c>
      <c r="E3148" s="366"/>
      <c r="G3148" s="245" t="s">
        <v>2789</v>
      </c>
      <c r="H3148" s="245">
        <v>11</v>
      </c>
      <c r="I3148" s="173">
        <v>198</v>
      </c>
      <c r="J3148">
        <f>69+55+20+5</f>
        <v>149</v>
      </c>
      <c r="K3148" s="402">
        <f>+H3148/I3148*J3148</f>
        <v>8.2777777777777768</v>
      </c>
      <c r="L3148" s="173">
        <f>+H3148+K3148</f>
        <v>19.277777777777779</v>
      </c>
      <c r="N3148" s="2">
        <f>+L3148*1.5</f>
        <v>28.916666666666668</v>
      </c>
      <c r="O3148" s="173">
        <v>55</v>
      </c>
      <c r="P3148"/>
      <c r="R3148" s="6"/>
    </row>
    <row r="3149" spans="3:19" x14ac:dyDescent="0.35">
      <c r="C3149" s="233" t="s">
        <v>2788</v>
      </c>
      <c r="E3149" s="366"/>
      <c r="G3149" s="245" t="s">
        <v>2789</v>
      </c>
      <c r="H3149" s="245">
        <v>11</v>
      </c>
      <c r="I3149" s="173">
        <v>198</v>
      </c>
      <c r="J3149">
        <f t="shared" ref="J3149:J3192" si="363">69+55+20+5</f>
        <v>149</v>
      </c>
      <c r="K3149" s="402">
        <f t="shared" ref="K3149:K3192" si="364">+H3149/I3149*J3149</f>
        <v>8.2777777777777768</v>
      </c>
      <c r="L3149" s="173">
        <f t="shared" ref="L3149:L3192" si="365">+H3149+K3149</f>
        <v>19.277777777777779</v>
      </c>
      <c r="N3149" s="2">
        <f t="shared" ref="N3149:N3192" si="366">+L3149*1.5</f>
        <v>28.916666666666668</v>
      </c>
      <c r="O3149" s="173">
        <v>55</v>
      </c>
      <c r="P3149"/>
      <c r="R3149" s="6"/>
    </row>
    <row r="3150" spans="3:19" x14ac:dyDescent="0.35">
      <c r="C3150" s="233" t="s">
        <v>2788</v>
      </c>
      <c r="E3150" s="366"/>
      <c r="G3150" s="371" t="s">
        <v>2790</v>
      </c>
      <c r="H3150" s="371">
        <v>11</v>
      </c>
      <c r="I3150" s="176">
        <v>198</v>
      </c>
      <c r="J3150" s="12">
        <f t="shared" si="363"/>
        <v>149</v>
      </c>
      <c r="K3150" s="410">
        <f t="shared" si="364"/>
        <v>8.2777777777777768</v>
      </c>
      <c r="L3150" s="176">
        <f t="shared" si="365"/>
        <v>19.277777777777779</v>
      </c>
      <c r="M3150" s="176"/>
      <c r="N3150" s="59">
        <f t="shared" si="366"/>
        <v>28.916666666666668</v>
      </c>
      <c r="O3150" s="176">
        <v>55</v>
      </c>
      <c r="P3150"/>
      <c r="R3150" s="6" t="s">
        <v>12</v>
      </c>
      <c r="S3150" s="6">
        <v>46102</v>
      </c>
    </row>
    <row r="3151" spans="3:19" x14ac:dyDescent="0.35">
      <c r="C3151" s="233" t="s">
        <v>2788</v>
      </c>
      <c r="E3151" s="366"/>
      <c r="G3151" s="245" t="s">
        <v>2790</v>
      </c>
      <c r="H3151" s="245">
        <v>11</v>
      </c>
      <c r="I3151" s="173">
        <v>198</v>
      </c>
      <c r="J3151">
        <f t="shared" si="363"/>
        <v>149</v>
      </c>
      <c r="K3151" s="402">
        <f t="shared" si="364"/>
        <v>8.2777777777777768</v>
      </c>
      <c r="L3151" s="173">
        <f t="shared" si="365"/>
        <v>19.277777777777779</v>
      </c>
      <c r="N3151" s="2">
        <f t="shared" si="366"/>
        <v>28.916666666666668</v>
      </c>
      <c r="O3151" s="173">
        <v>55</v>
      </c>
      <c r="P3151"/>
      <c r="R3151" s="6"/>
    </row>
    <row r="3152" spans="3:19" x14ac:dyDescent="0.35">
      <c r="C3152" s="233" t="s">
        <v>2788</v>
      </c>
      <c r="E3152" s="366"/>
      <c r="G3152" s="245" t="s">
        <v>2791</v>
      </c>
      <c r="H3152" s="245">
        <v>11</v>
      </c>
      <c r="I3152" s="173">
        <v>198</v>
      </c>
      <c r="J3152">
        <f t="shared" si="363"/>
        <v>149</v>
      </c>
      <c r="K3152" s="402">
        <f t="shared" si="364"/>
        <v>8.2777777777777768</v>
      </c>
      <c r="L3152" s="173">
        <f t="shared" si="365"/>
        <v>19.277777777777779</v>
      </c>
      <c r="N3152" s="2">
        <f t="shared" si="366"/>
        <v>28.916666666666668</v>
      </c>
      <c r="O3152" s="173">
        <v>55</v>
      </c>
      <c r="P3152"/>
      <c r="R3152" s="6"/>
    </row>
    <row r="3153" spans="3:19" x14ac:dyDescent="0.35">
      <c r="C3153" s="233" t="s">
        <v>2788</v>
      </c>
      <c r="E3153" s="366"/>
      <c r="G3153" s="245" t="s">
        <v>2791</v>
      </c>
      <c r="H3153" s="245">
        <v>11</v>
      </c>
      <c r="I3153" s="173">
        <v>198</v>
      </c>
      <c r="J3153">
        <f t="shared" si="363"/>
        <v>149</v>
      </c>
      <c r="K3153" s="402">
        <f t="shared" si="364"/>
        <v>8.2777777777777768</v>
      </c>
      <c r="L3153" s="173">
        <f t="shared" si="365"/>
        <v>19.277777777777779</v>
      </c>
      <c r="N3153" s="2">
        <f t="shared" si="366"/>
        <v>28.916666666666668</v>
      </c>
      <c r="O3153" s="173">
        <v>55</v>
      </c>
      <c r="P3153"/>
      <c r="R3153" s="6"/>
    </row>
    <row r="3154" spans="3:19" x14ac:dyDescent="0.35">
      <c r="C3154" s="233" t="s">
        <v>2788</v>
      </c>
      <c r="E3154" s="366"/>
      <c r="G3154" s="245" t="s">
        <v>2792</v>
      </c>
      <c r="H3154" s="245">
        <v>11</v>
      </c>
      <c r="I3154" s="173">
        <v>198</v>
      </c>
      <c r="J3154">
        <f t="shared" si="363"/>
        <v>149</v>
      </c>
      <c r="K3154" s="402">
        <f t="shared" si="364"/>
        <v>8.2777777777777768</v>
      </c>
      <c r="L3154" s="173">
        <f t="shared" si="365"/>
        <v>19.277777777777779</v>
      </c>
      <c r="N3154" s="2">
        <f t="shared" si="366"/>
        <v>28.916666666666668</v>
      </c>
      <c r="O3154" s="173">
        <v>50</v>
      </c>
      <c r="P3154"/>
      <c r="R3154" s="6"/>
    </row>
    <row r="3155" spans="3:19" x14ac:dyDescent="0.35">
      <c r="C3155" s="233" t="s">
        <v>2788</v>
      </c>
      <c r="E3155" s="366"/>
      <c r="G3155" s="245" t="s">
        <v>2792</v>
      </c>
      <c r="H3155" s="245">
        <v>11</v>
      </c>
      <c r="I3155" s="173">
        <v>198</v>
      </c>
      <c r="J3155">
        <f t="shared" si="363"/>
        <v>149</v>
      </c>
      <c r="K3155" s="402">
        <f t="shared" si="364"/>
        <v>8.2777777777777768</v>
      </c>
      <c r="L3155" s="173">
        <f t="shared" si="365"/>
        <v>19.277777777777779</v>
      </c>
      <c r="N3155" s="2">
        <f t="shared" si="366"/>
        <v>28.916666666666668</v>
      </c>
      <c r="O3155" s="173">
        <v>50</v>
      </c>
      <c r="P3155"/>
      <c r="R3155" s="6"/>
    </row>
    <row r="3156" spans="3:19" x14ac:dyDescent="0.35">
      <c r="C3156" s="233" t="s">
        <v>2788</v>
      </c>
      <c r="E3156" s="366"/>
      <c r="G3156" s="245" t="s">
        <v>2793</v>
      </c>
      <c r="H3156" s="245">
        <v>11</v>
      </c>
      <c r="I3156" s="173">
        <v>198</v>
      </c>
      <c r="J3156">
        <f t="shared" si="363"/>
        <v>149</v>
      </c>
      <c r="K3156" s="402">
        <f t="shared" si="364"/>
        <v>8.2777777777777768</v>
      </c>
      <c r="L3156" s="173">
        <f t="shared" si="365"/>
        <v>19.277777777777779</v>
      </c>
      <c r="N3156" s="2">
        <f t="shared" si="366"/>
        <v>28.916666666666668</v>
      </c>
      <c r="O3156" s="173">
        <v>50</v>
      </c>
      <c r="P3156"/>
      <c r="R3156" s="6"/>
    </row>
    <row r="3157" spans="3:19" x14ac:dyDescent="0.35">
      <c r="C3157" s="233" t="s">
        <v>2788</v>
      </c>
      <c r="E3157" s="366"/>
      <c r="G3157" s="245" t="s">
        <v>2793</v>
      </c>
      <c r="H3157" s="245">
        <v>11</v>
      </c>
      <c r="I3157" s="173">
        <v>198</v>
      </c>
      <c r="J3157">
        <f t="shared" si="363"/>
        <v>149</v>
      </c>
      <c r="K3157" s="402">
        <f t="shared" si="364"/>
        <v>8.2777777777777768</v>
      </c>
      <c r="L3157" s="173">
        <f t="shared" si="365"/>
        <v>19.277777777777779</v>
      </c>
      <c r="N3157" s="2">
        <f t="shared" si="366"/>
        <v>28.916666666666668</v>
      </c>
      <c r="O3157" s="173">
        <v>50</v>
      </c>
      <c r="P3157"/>
      <c r="R3157" s="6"/>
    </row>
    <row r="3158" spans="3:19" x14ac:dyDescent="0.35">
      <c r="C3158" s="233" t="s">
        <v>2788</v>
      </c>
      <c r="E3158" s="366"/>
      <c r="G3158" s="245" t="s">
        <v>2794</v>
      </c>
      <c r="H3158" s="245">
        <v>11</v>
      </c>
      <c r="I3158" s="173">
        <v>198</v>
      </c>
      <c r="J3158">
        <f t="shared" si="363"/>
        <v>149</v>
      </c>
      <c r="K3158" s="402">
        <f t="shared" si="364"/>
        <v>8.2777777777777768</v>
      </c>
      <c r="L3158" s="173">
        <f t="shared" si="365"/>
        <v>19.277777777777779</v>
      </c>
      <c r="N3158" s="2">
        <f t="shared" si="366"/>
        <v>28.916666666666668</v>
      </c>
      <c r="O3158" s="173">
        <v>50</v>
      </c>
      <c r="P3158"/>
      <c r="R3158" s="6"/>
    </row>
    <row r="3159" spans="3:19" x14ac:dyDescent="0.35">
      <c r="C3159" s="233" t="s">
        <v>2788</v>
      </c>
      <c r="E3159" s="366"/>
      <c r="G3159" s="245" t="s">
        <v>2794</v>
      </c>
      <c r="H3159" s="245">
        <v>11</v>
      </c>
      <c r="I3159" s="173">
        <v>198</v>
      </c>
      <c r="J3159">
        <f t="shared" si="363"/>
        <v>149</v>
      </c>
      <c r="K3159" s="402">
        <f t="shared" si="364"/>
        <v>8.2777777777777768</v>
      </c>
      <c r="L3159" s="173">
        <f t="shared" si="365"/>
        <v>19.277777777777779</v>
      </c>
      <c r="N3159" s="2">
        <f t="shared" si="366"/>
        <v>28.916666666666668</v>
      </c>
      <c r="O3159" s="173">
        <v>50</v>
      </c>
      <c r="P3159"/>
      <c r="R3159" s="6"/>
    </row>
    <row r="3160" spans="3:19" x14ac:dyDescent="0.35">
      <c r="C3160" s="233" t="s">
        <v>2788</v>
      </c>
      <c r="E3160" s="366"/>
      <c r="G3160" s="371" t="s">
        <v>2813</v>
      </c>
      <c r="H3160" s="371">
        <v>2</v>
      </c>
      <c r="I3160" s="176">
        <v>198</v>
      </c>
      <c r="J3160" s="12">
        <f t="shared" si="363"/>
        <v>149</v>
      </c>
      <c r="K3160" s="410">
        <f t="shared" si="364"/>
        <v>1.5050505050505052</v>
      </c>
      <c r="L3160" s="176">
        <f t="shared" si="365"/>
        <v>3.5050505050505052</v>
      </c>
      <c r="M3160" s="176"/>
      <c r="N3160" s="59">
        <f t="shared" si="366"/>
        <v>5.2575757575757578</v>
      </c>
      <c r="O3160" s="176">
        <v>10</v>
      </c>
      <c r="P3160"/>
      <c r="R3160" s="6" t="s">
        <v>2811</v>
      </c>
      <c r="S3160" s="6">
        <v>46099</v>
      </c>
    </row>
    <row r="3161" spans="3:19" x14ac:dyDescent="0.35">
      <c r="C3161" s="233" t="s">
        <v>2788</v>
      </c>
      <c r="E3161" s="366"/>
      <c r="G3161" s="245" t="s">
        <v>2813</v>
      </c>
      <c r="H3161" s="245">
        <v>2</v>
      </c>
      <c r="I3161" s="173">
        <v>198</v>
      </c>
      <c r="J3161">
        <f t="shared" si="363"/>
        <v>149</v>
      </c>
      <c r="K3161" s="402">
        <f t="shared" si="364"/>
        <v>1.5050505050505052</v>
      </c>
      <c r="L3161" s="173">
        <f t="shared" si="365"/>
        <v>3.5050505050505052</v>
      </c>
      <c r="N3161" s="2">
        <f t="shared" si="366"/>
        <v>5.2575757575757578</v>
      </c>
      <c r="O3161" s="173">
        <v>10</v>
      </c>
      <c r="P3161"/>
      <c r="R3161" s="6"/>
    </row>
    <row r="3162" spans="3:19" x14ac:dyDescent="0.35">
      <c r="C3162" s="233" t="s">
        <v>2788</v>
      </c>
      <c r="E3162" s="366"/>
      <c r="G3162" s="245" t="s">
        <v>2813</v>
      </c>
      <c r="H3162" s="245">
        <v>2</v>
      </c>
      <c r="I3162" s="173">
        <v>198</v>
      </c>
      <c r="J3162">
        <f t="shared" si="363"/>
        <v>149</v>
      </c>
      <c r="K3162" s="402">
        <f t="shared" si="364"/>
        <v>1.5050505050505052</v>
      </c>
      <c r="L3162" s="173">
        <f t="shared" si="365"/>
        <v>3.5050505050505052</v>
      </c>
      <c r="N3162" s="2">
        <f t="shared" si="366"/>
        <v>5.2575757575757578</v>
      </c>
      <c r="O3162" s="173">
        <v>10</v>
      </c>
      <c r="P3162"/>
      <c r="R3162" s="6"/>
    </row>
    <row r="3163" spans="3:19" x14ac:dyDescent="0.35">
      <c r="C3163" s="233" t="s">
        <v>2788</v>
      </c>
      <c r="E3163" s="366"/>
      <c r="G3163" s="245" t="s">
        <v>2813</v>
      </c>
      <c r="H3163" s="245">
        <v>2</v>
      </c>
      <c r="I3163" s="173">
        <v>198</v>
      </c>
      <c r="J3163">
        <f t="shared" si="363"/>
        <v>149</v>
      </c>
      <c r="K3163" s="402">
        <f t="shared" si="364"/>
        <v>1.5050505050505052</v>
      </c>
      <c r="L3163" s="173">
        <f t="shared" si="365"/>
        <v>3.5050505050505052</v>
      </c>
      <c r="N3163" s="2">
        <f t="shared" si="366"/>
        <v>5.2575757575757578</v>
      </c>
      <c r="O3163" s="173">
        <v>10</v>
      </c>
      <c r="P3163"/>
      <c r="R3163" s="6"/>
    </row>
    <row r="3164" spans="3:19" x14ac:dyDescent="0.35">
      <c r="C3164" s="233" t="s">
        <v>2788</v>
      </c>
      <c r="E3164" s="366"/>
      <c r="G3164" s="245" t="s">
        <v>2813</v>
      </c>
      <c r="H3164" s="245">
        <v>2</v>
      </c>
      <c r="I3164" s="173">
        <v>198</v>
      </c>
      <c r="J3164">
        <f t="shared" si="363"/>
        <v>149</v>
      </c>
      <c r="K3164" s="402">
        <f t="shared" si="364"/>
        <v>1.5050505050505052</v>
      </c>
      <c r="L3164" s="173">
        <f t="shared" si="365"/>
        <v>3.5050505050505052</v>
      </c>
      <c r="N3164" s="2">
        <f t="shared" si="366"/>
        <v>5.2575757575757578</v>
      </c>
      <c r="O3164" s="173">
        <v>10</v>
      </c>
      <c r="P3164"/>
      <c r="R3164" s="6"/>
    </row>
    <row r="3165" spans="3:19" x14ac:dyDescent="0.35">
      <c r="C3165" s="233" t="s">
        <v>2788</v>
      </c>
      <c r="E3165" s="366"/>
      <c r="G3165" s="245" t="s">
        <v>2813</v>
      </c>
      <c r="H3165" s="245">
        <v>2</v>
      </c>
      <c r="I3165" s="173">
        <v>198</v>
      </c>
      <c r="J3165">
        <f t="shared" si="363"/>
        <v>149</v>
      </c>
      <c r="K3165" s="402">
        <f t="shared" si="364"/>
        <v>1.5050505050505052</v>
      </c>
      <c r="L3165" s="173">
        <f t="shared" si="365"/>
        <v>3.5050505050505052</v>
      </c>
      <c r="N3165" s="2">
        <f t="shared" si="366"/>
        <v>5.2575757575757578</v>
      </c>
      <c r="O3165" s="173">
        <v>10</v>
      </c>
      <c r="P3165"/>
      <c r="R3165" s="6"/>
    </row>
    <row r="3166" spans="3:19" x14ac:dyDescent="0.35">
      <c r="C3166" s="233" t="s">
        <v>2788</v>
      </c>
      <c r="E3166" s="366"/>
      <c r="G3166" s="245" t="s">
        <v>2813</v>
      </c>
      <c r="H3166" s="245">
        <v>2</v>
      </c>
      <c r="I3166" s="173">
        <v>198</v>
      </c>
      <c r="J3166">
        <f t="shared" si="363"/>
        <v>149</v>
      </c>
      <c r="K3166" s="402">
        <f t="shared" si="364"/>
        <v>1.5050505050505052</v>
      </c>
      <c r="L3166" s="173">
        <f t="shared" si="365"/>
        <v>3.5050505050505052</v>
      </c>
      <c r="N3166" s="2">
        <f t="shared" si="366"/>
        <v>5.2575757575757578</v>
      </c>
      <c r="O3166" s="173">
        <v>10</v>
      </c>
      <c r="P3166"/>
      <c r="R3166" s="6"/>
    </row>
    <row r="3167" spans="3:19" x14ac:dyDescent="0.35">
      <c r="C3167" s="233" t="s">
        <v>2788</v>
      </c>
      <c r="E3167" s="366"/>
      <c r="G3167" s="245" t="s">
        <v>2813</v>
      </c>
      <c r="H3167" s="245">
        <v>2</v>
      </c>
      <c r="I3167" s="173">
        <v>198</v>
      </c>
      <c r="J3167">
        <f t="shared" si="363"/>
        <v>149</v>
      </c>
      <c r="K3167" s="402">
        <f t="shared" si="364"/>
        <v>1.5050505050505052</v>
      </c>
      <c r="L3167" s="173">
        <f t="shared" si="365"/>
        <v>3.5050505050505052</v>
      </c>
      <c r="N3167" s="2">
        <f t="shared" si="366"/>
        <v>5.2575757575757578</v>
      </c>
      <c r="O3167" s="173">
        <v>10</v>
      </c>
      <c r="P3167"/>
      <c r="R3167" s="6"/>
    </row>
    <row r="3168" spans="3:19" x14ac:dyDescent="0.35">
      <c r="C3168" s="233" t="s">
        <v>2788</v>
      </c>
      <c r="E3168" s="366"/>
      <c r="G3168" s="245" t="s">
        <v>2813</v>
      </c>
      <c r="H3168" s="245">
        <v>2</v>
      </c>
      <c r="I3168" s="173">
        <v>198</v>
      </c>
      <c r="J3168">
        <f t="shared" si="363"/>
        <v>149</v>
      </c>
      <c r="K3168" s="402">
        <f t="shared" si="364"/>
        <v>1.5050505050505052</v>
      </c>
      <c r="L3168" s="173">
        <f t="shared" si="365"/>
        <v>3.5050505050505052</v>
      </c>
      <c r="N3168" s="2">
        <f t="shared" si="366"/>
        <v>5.2575757575757578</v>
      </c>
      <c r="O3168" s="173">
        <v>10</v>
      </c>
      <c r="P3168"/>
      <c r="R3168" s="6"/>
    </row>
    <row r="3169" spans="3:18" x14ac:dyDescent="0.35">
      <c r="C3169" s="233" t="s">
        <v>2788</v>
      </c>
      <c r="E3169" s="366"/>
      <c r="G3169" s="245" t="s">
        <v>2813</v>
      </c>
      <c r="H3169" s="245">
        <v>2</v>
      </c>
      <c r="I3169" s="173">
        <v>198</v>
      </c>
      <c r="J3169">
        <f t="shared" si="363"/>
        <v>149</v>
      </c>
      <c r="K3169" s="402">
        <f t="shared" si="364"/>
        <v>1.5050505050505052</v>
      </c>
      <c r="L3169" s="173">
        <f t="shared" si="365"/>
        <v>3.5050505050505052</v>
      </c>
      <c r="N3169" s="2">
        <f t="shared" si="366"/>
        <v>5.2575757575757578</v>
      </c>
      <c r="O3169" s="173">
        <v>10</v>
      </c>
      <c r="P3169"/>
      <c r="R3169" s="6"/>
    </row>
    <row r="3170" spans="3:18" x14ac:dyDescent="0.35">
      <c r="C3170" s="233" t="s">
        <v>2788</v>
      </c>
      <c r="E3170" s="366"/>
      <c r="G3170" s="245" t="s">
        <v>2813</v>
      </c>
      <c r="H3170" s="245">
        <v>2</v>
      </c>
      <c r="I3170" s="173">
        <v>198</v>
      </c>
      <c r="J3170">
        <f t="shared" si="363"/>
        <v>149</v>
      </c>
      <c r="K3170" s="402">
        <f t="shared" si="364"/>
        <v>1.5050505050505052</v>
      </c>
      <c r="L3170" s="173">
        <f t="shared" si="365"/>
        <v>3.5050505050505052</v>
      </c>
      <c r="N3170" s="2">
        <f t="shared" si="366"/>
        <v>5.2575757575757578</v>
      </c>
      <c r="O3170" s="173">
        <v>10</v>
      </c>
      <c r="P3170"/>
      <c r="R3170" s="6"/>
    </row>
    <row r="3171" spans="3:18" x14ac:dyDescent="0.35">
      <c r="C3171" s="233" t="s">
        <v>2788</v>
      </c>
      <c r="E3171" s="366"/>
      <c r="G3171" s="245" t="s">
        <v>2813</v>
      </c>
      <c r="H3171" s="245">
        <v>2</v>
      </c>
      <c r="I3171" s="173">
        <v>198</v>
      </c>
      <c r="J3171">
        <f t="shared" si="363"/>
        <v>149</v>
      </c>
      <c r="K3171" s="402">
        <f t="shared" si="364"/>
        <v>1.5050505050505052</v>
      </c>
      <c r="L3171" s="173">
        <f t="shared" si="365"/>
        <v>3.5050505050505052</v>
      </c>
      <c r="N3171" s="2">
        <f t="shared" si="366"/>
        <v>5.2575757575757578</v>
      </c>
      <c r="O3171" s="173">
        <v>10</v>
      </c>
      <c r="P3171"/>
      <c r="R3171" s="6"/>
    </row>
    <row r="3172" spans="3:18" x14ac:dyDescent="0.35">
      <c r="C3172" s="233" t="s">
        <v>2788</v>
      </c>
      <c r="E3172" s="366"/>
      <c r="G3172" s="245" t="s">
        <v>2813</v>
      </c>
      <c r="H3172" s="245">
        <v>2</v>
      </c>
      <c r="I3172" s="173">
        <v>198</v>
      </c>
      <c r="J3172">
        <f t="shared" si="363"/>
        <v>149</v>
      </c>
      <c r="K3172" s="402">
        <f t="shared" si="364"/>
        <v>1.5050505050505052</v>
      </c>
      <c r="L3172" s="173">
        <f t="shared" si="365"/>
        <v>3.5050505050505052</v>
      </c>
      <c r="N3172" s="2">
        <f t="shared" si="366"/>
        <v>5.2575757575757578</v>
      </c>
      <c r="O3172" s="173">
        <v>10</v>
      </c>
      <c r="P3172"/>
      <c r="R3172" s="6"/>
    </row>
    <row r="3173" spans="3:18" x14ac:dyDescent="0.35">
      <c r="C3173" s="233" t="s">
        <v>2788</v>
      </c>
      <c r="E3173" s="366"/>
      <c r="G3173" s="245" t="s">
        <v>2813</v>
      </c>
      <c r="H3173" s="245">
        <v>2</v>
      </c>
      <c r="I3173" s="173">
        <v>198</v>
      </c>
      <c r="J3173">
        <f t="shared" si="363"/>
        <v>149</v>
      </c>
      <c r="K3173" s="402">
        <f t="shared" si="364"/>
        <v>1.5050505050505052</v>
      </c>
      <c r="L3173" s="173">
        <f t="shared" si="365"/>
        <v>3.5050505050505052</v>
      </c>
      <c r="N3173" s="2">
        <f t="shared" si="366"/>
        <v>5.2575757575757578</v>
      </c>
      <c r="O3173" s="173">
        <v>10</v>
      </c>
      <c r="P3173"/>
      <c r="R3173" s="6"/>
    </row>
    <row r="3174" spans="3:18" x14ac:dyDescent="0.35">
      <c r="C3174" s="233" t="s">
        <v>2788</v>
      </c>
      <c r="E3174" s="366"/>
      <c r="G3174" s="245" t="s">
        <v>2813</v>
      </c>
      <c r="H3174" s="245">
        <v>2</v>
      </c>
      <c r="I3174" s="173">
        <v>198</v>
      </c>
      <c r="J3174">
        <f t="shared" si="363"/>
        <v>149</v>
      </c>
      <c r="K3174" s="402">
        <f t="shared" si="364"/>
        <v>1.5050505050505052</v>
      </c>
      <c r="L3174" s="173">
        <f t="shared" si="365"/>
        <v>3.5050505050505052</v>
      </c>
      <c r="N3174" s="2">
        <f t="shared" si="366"/>
        <v>5.2575757575757578</v>
      </c>
      <c r="O3174" s="173">
        <v>10</v>
      </c>
      <c r="P3174"/>
      <c r="R3174" s="6"/>
    </row>
    <row r="3175" spans="3:18" x14ac:dyDescent="0.35">
      <c r="C3175" s="233" t="s">
        <v>2788</v>
      </c>
      <c r="E3175" s="366"/>
      <c r="G3175" s="245" t="s">
        <v>2813</v>
      </c>
      <c r="H3175" s="245">
        <v>2</v>
      </c>
      <c r="I3175" s="173">
        <v>198</v>
      </c>
      <c r="J3175">
        <f t="shared" si="363"/>
        <v>149</v>
      </c>
      <c r="K3175" s="402">
        <f t="shared" si="364"/>
        <v>1.5050505050505052</v>
      </c>
      <c r="L3175" s="173">
        <f t="shared" si="365"/>
        <v>3.5050505050505052</v>
      </c>
      <c r="N3175" s="2">
        <f t="shared" si="366"/>
        <v>5.2575757575757578</v>
      </c>
      <c r="O3175" s="173">
        <v>10</v>
      </c>
      <c r="P3175"/>
      <c r="R3175" s="6"/>
    </row>
    <row r="3176" spans="3:18" x14ac:dyDescent="0.35">
      <c r="C3176" s="233" t="s">
        <v>2788</v>
      </c>
      <c r="E3176" s="366"/>
      <c r="G3176" s="245" t="s">
        <v>2813</v>
      </c>
      <c r="H3176" s="245">
        <v>2</v>
      </c>
      <c r="I3176" s="173">
        <v>198</v>
      </c>
      <c r="J3176">
        <f t="shared" si="363"/>
        <v>149</v>
      </c>
      <c r="K3176" s="402">
        <f t="shared" si="364"/>
        <v>1.5050505050505052</v>
      </c>
      <c r="L3176" s="173">
        <f t="shared" si="365"/>
        <v>3.5050505050505052</v>
      </c>
      <c r="N3176" s="2">
        <f t="shared" si="366"/>
        <v>5.2575757575757578</v>
      </c>
      <c r="O3176" s="173">
        <v>10</v>
      </c>
      <c r="P3176"/>
      <c r="R3176" s="6"/>
    </row>
    <row r="3177" spans="3:18" x14ac:dyDescent="0.35">
      <c r="C3177" s="233" t="s">
        <v>2788</v>
      </c>
      <c r="E3177" s="366"/>
      <c r="G3177" s="245" t="s">
        <v>2813</v>
      </c>
      <c r="H3177" s="245">
        <v>2</v>
      </c>
      <c r="I3177" s="173">
        <v>198</v>
      </c>
      <c r="J3177">
        <f t="shared" si="363"/>
        <v>149</v>
      </c>
      <c r="K3177" s="402">
        <f t="shared" si="364"/>
        <v>1.5050505050505052</v>
      </c>
      <c r="L3177" s="173">
        <f t="shared" si="365"/>
        <v>3.5050505050505052</v>
      </c>
      <c r="N3177" s="2">
        <f t="shared" si="366"/>
        <v>5.2575757575757578</v>
      </c>
      <c r="O3177" s="173">
        <v>10</v>
      </c>
      <c r="P3177"/>
      <c r="R3177" s="6"/>
    </row>
    <row r="3178" spans="3:18" x14ac:dyDescent="0.35">
      <c r="C3178" s="233" t="s">
        <v>2788</v>
      </c>
      <c r="E3178" s="366"/>
      <c r="G3178" s="245" t="s">
        <v>2813</v>
      </c>
      <c r="H3178" s="245">
        <v>2</v>
      </c>
      <c r="I3178" s="173">
        <v>198</v>
      </c>
      <c r="J3178">
        <f t="shared" si="363"/>
        <v>149</v>
      </c>
      <c r="K3178" s="402">
        <f t="shared" si="364"/>
        <v>1.5050505050505052</v>
      </c>
      <c r="L3178" s="173">
        <f t="shared" si="365"/>
        <v>3.5050505050505052</v>
      </c>
      <c r="N3178" s="2">
        <f t="shared" si="366"/>
        <v>5.2575757575757578</v>
      </c>
      <c r="O3178" s="173">
        <v>10</v>
      </c>
      <c r="P3178"/>
      <c r="R3178" s="6"/>
    </row>
    <row r="3179" spans="3:18" x14ac:dyDescent="0.35">
      <c r="C3179" s="233" t="s">
        <v>2788</v>
      </c>
      <c r="E3179" s="366"/>
      <c r="G3179" s="245" t="s">
        <v>2813</v>
      </c>
      <c r="H3179" s="245">
        <v>2</v>
      </c>
      <c r="I3179" s="173">
        <v>198</v>
      </c>
      <c r="J3179">
        <f t="shared" si="363"/>
        <v>149</v>
      </c>
      <c r="K3179" s="402">
        <f t="shared" si="364"/>
        <v>1.5050505050505052</v>
      </c>
      <c r="L3179" s="173">
        <f t="shared" si="365"/>
        <v>3.5050505050505052</v>
      </c>
      <c r="N3179" s="2">
        <f t="shared" si="366"/>
        <v>5.2575757575757578</v>
      </c>
      <c r="O3179" s="173">
        <v>10</v>
      </c>
      <c r="P3179"/>
      <c r="R3179" s="6"/>
    </row>
    <row r="3180" spans="3:18" x14ac:dyDescent="0.35">
      <c r="C3180" s="233" t="s">
        <v>2788</v>
      </c>
      <c r="E3180" s="366"/>
      <c r="G3180" s="245" t="s">
        <v>2813</v>
      </c>
      <c r="H3180" s="245">
        <v>2</v>
      </c>
      <c r="I3180" s="173">
        <v>198</v>
      </c>
      <c r="J3180">
        <f t="shared" si="363"/>
        <v>149</v>
      </c>
      <c r="K3180" s="402">
        <f t="shared" si="364"/>
        <v>1.5050505050505052</v>
      </c>
      <c r="L3180" s="173">
        <f t="shared" si="365"/>
        <v>3.5050505050505052</v>
      </c>
      <c r="N3180" s="2">
        <f t="shared" si="366"/>
        <v>5.2575757575757578</v>
      </c>
      <c r="O3180" s="173">
        <v>10</v>
      </c>
      <c r="P3180"/>
      <c r="R3180" s="6"/>
    </row>
    <row r="3181" spans="3:18" x14ac:dyDescent="0.35">
      <c r="C3181" s="233" t="s">
        <v>2788</v>
      </c>
      <c r="E3181" s="366"/>
      <c r="G3181" s="245" t="s">
        <v>2813</v>
      </c>
      <c r="H3181" s="245">
        <v>2</v>
      </c>
      <c r="I3181" s="173">
        <v>198</v>
      </c>
      <c r="J3181">
        <f t="shared" si="363"/>
        <v>149</v>
      </c>
      <c r="K3181" s="402">
        <f t="shared" si="364"/>
        <v>1.5050505050505052</v>
      </c>
      <c r="L3181" s="173">
        <f t="shared" si="365"/>
        <v>3.5050505050505052</v>
      </c>
      <c r="N3181" s="2">
        <f t="shared" si="366"/>
        <v>5.2575757575757578</v>
      </c>
      <c r="O3181" s="173">
        <v>10</v>
      </c>
      <c r="P3181"/>
      <c r="R3181" s="6"/>
    </row>
    <row r="3182" spans="3:18" x14ac:dyDescent="0.35">
      <c r="C3182" s="233" t="s">
        <v>2788</v>
      </c>
      <c r="E3182" s="366"/>
      <c r="G3182" s="245" t="s">
        <v>2813</v>
      </c>
      <c r="H3182" s="245">
        <v>2</v>
      </c>
      <c r="I3182" s="173">
        <v>198</v>
      </c>
      <c r="J3182">
        <f t="shared" si="363"/>
        <v>149</v>
      </c>
      <c r="K3182" s="402">
        <f t="shared" si="364"/>
        <v>1.5050505050505052</v>
      </c>
      <c r="L3182" s="173">
        <f t="shared" si="365"/>
        <v>3.5050505050505052</v>
      </c>
      <c r="N3182" s="2">
        <f t="shared" si="366"/>
        <v>5.2575757575757578</v>
      </c>
      <c r="O3182" s="173">
        <v>10</v>
      </c>
      <c r="P3182"/>
      <c r="R3182" s="6"/>
    </row>
    <row r="3183" spans="3:18" x14ac:dyDescent="0.35">
      <c r="C3183" s="233" t="s">
        <v>2788</v>
      </c>
      <c r="E3183" s="366"/>
      <c r="G3183" s="245" t="s">
        <v>2813</v>
      </c>
      <c r="H3183" s="245">
        <v>2</v>
      </c>
      <c r="I3183" s="173">
        <v>198</v>
      </c>
      <c r="J3183">
        <f t="shared" si="363"/>
        <v>149</v>
      </c>
      <c r="K3183" s="402">
        <f t="shared" si="364"/>
        <v>1.5050505050505052</v>
      </c>
      <c r="L3183" s="173">
        <f t="shared" si="365"/>
        <v>3.5050505050505052</v>
      </c>
      <c r="N3183" s="2">
        <f t="shared" si="366"/>
        <v>5.2575757575757578</v>
      </c>
      <c r="O3183" s="173">
        <v>10</v>
      </c>
      <c r="P3183"/>
      <c r="R3183" s="6"/>
    </row>
    <row r="3184" spans="3:18" x14ac:dyDescent="0.35">
      <c r="C3184" s="233" t="s">
        <v>2788</v>
      </c>
      <c r="E3184" s="366"/>
      <c r="G3184" s="245" t="s">
        <v>2813</v>
      </c>
      <c r="H3184" s="245">
        <v>2</v>
      </c>
      <c r="I3184" s="173">
        <v>198</v>
      </c>
      <c r="J3184">
        <f t="shared" si="363"/>
        <v>149</v>
      </c>
      <c r="K3184" s="402">
        <f t="shared" si="364"/>
        <v>1.5050505050505052</v>
      </c>
      <c r="L3184" s="173">
        <f t="shared" si="365"/>
        <v>3.5050505050505052</v>
      </c>
      <c r="N3184" s="2">
        <f t="shared" si="366"/>
        <v>5.2575757575757578</v>
      </c>
      <c r="O3184" s="173">
        <v>10</v>
      </c>
      <c r="P3184"/>
      <c r="R3184" s="6"/>
    </row>
    <row r="3185" spans="3:18" x14ac:dyDescent="0.35">
      <c r="C3185" s="233" t="s">
        <v>2788</v>
      </c>
      <c r="E3185" s="366"/>
      <c r="G3185" s="245" t="s">
        <v>2813</v>
      </c>
      <c r="H3185" s="245">
        <v>2</v>
      </c>
      <c r="I3185" s="173">
        <v>198</v>
      </c>
      <c r="J3185">
        <f t="shared" si="363"/>
        <v>149</v>
      </c>
      <c r="K3185" s="402">
        <f t="shared" si="364"/>
        <v>1.5050505050505052</v>
      </c>
      <c r="L3185" s="173">
        <f t="shared" si="365"/>
        <v>3.5050505050505052</v>
      </c>
      <c r="N3185" s="2">
        <f t="shared" si="366"/>
        <v>5.2575757575757578</v>
      </c>
      <c r="O3185" s="173">
        <v>10</v>
      </c>
      <c r="P3185"/>
      <c r="R3185" s="6"/>
    </row>
    <row r="3186" spans="3:18" x14ac:dyDescent="0.35">
      <c r="C3186" s="233" t="s">
        <v>2788</v>
      </c>
      <c r="E3186" s="366"/>
      <c r="G3186" s="245" t="s">
        <v>2813</v>
      </c>
      <c r="H3186" s="245">
        <v>2</v>
      </c>
      <c r="I3186" s="173">
        <v>198</v>
      </c>
      <c r="J3186">
        <f t="shared" si="363"/>
        <v>149</v>
      </c>
      <c r="K3186" s="402">
        <f t="shared" si="364"/>
        <v>1.5050505050505052</v>
      </c>
      <c r="L3186" s="173">
        <f t="shared" si="365"/>
        <v>3.5050505050505052</v>
      </c>
      <c r="N3186" s="2">
        <f t="shared" si="366"/>
        <v>5.2575757575757578</v>
      </c>
      <c r="O3186" s="173">
        <v>10</v>
      </c>
      <c r="P3186"/>
      <c r="R3186" s="6"/>
    </row>
    <row r="3187" spans="3:18" x14ac:dyDescent="0.35">
      <c r="C3187" s="233" t="s">
        <v>2788</v>
      </c>
      <c r="E3187" s="366"/>
      <c r="G3187" s="245" t="s">
        <v>2813</v>
      </c>
      <c r="H3187" s="245">
        <v>2</v>
      </c>
      <c r="I3187" s="173">
        <v>198</v>
      </c>
      <c r="J3187">
        <f t="shared" si="363"/>
        <v>149</v>
      </c>
      <c r="K3187" s="402">
        <f t="shared" si="364"/>
        <v>1.5050505050505052</v>
      </c>
      <c r="L3187" s="173">
        <f t="shared" si="365"/>
        <v>3.5050505050505052</v>
      </c>
      <c r="N3187" s="2">
        <f t="shared" si="366"/>
        <v>5.2575757575757578</v>
      </c>
      <c r="O3187" s="173">
        <v>10</v>
      </c>
      <c r="P3187"/>
      <c r="R3187" s="6"/>
    </row>
    <row r="3188" spans="3:18" x14ac:dyDescent="0.35">
      <c r="C3188" s="233" t="s">
        <v>2788</v>
      </c>
      <c r="E3188" s="366"/>
      <c r="G3188" s="245" t="s">
        <v>2813</v>
      </c>
      <c r="H3188" s="245">
        <v>2</v>
      </c>
      <c r="I3188" s="173">
        <v>198</v>
      </c>
      <c r="J3188">
        <f t="shared" si="363"/>
        <v>149</v>
      </c>
      <c r="K3188" s="402">
        <f t="shared" si="364"/>
        <v>1.5050505050505052</v>
      </c>
      <c r="L3188" s="173">
        <f t="shared" si="365"/>
        <v>3.5050505050505052</v>
      </c>
      <c r="N3188" s="2">
        <f t="shared" si="366"/>
        <v>5.2575757575757578</v>
      </c>
      <c r="O3188" s="173">
        <v>10</v>
      </c>
      <c r="P3188"/>
      <c r="R3188" s="6"/>
    </row>
    <row r="3189" spans="3:18" x14ac:dyDescent="0.35">
      <c r="C3189" s="233" t="s">
        <v>2788</v>
      </c>
      <c r="E3189" s="366"/>
      <c r="G3189" s="245" t="s">
        <v>2813</v>
      </c>
      <c r="H3189" s="245">
        <v>2</v>
      </c>
      <c r="I3189" s="173">
        <v>198</v>
      </c>
      <c r="J3189">
        <f t="shared" si="363"/>
        <v>149</v>
      </c>
      <c r="K3189" s="402">
        <f t="shared" si="364"/>
        <v>1.5050505050505052</v>
      </c>
      <c r="L3189" s="173">
        <f t="shared" si="365"/>
        <v>3.5050505050505052</v>
      </c>
      <c r="N3189" s="2">
        <f t="shared" si="366"/>
        <v>5.2575757575757578</v>
      </c>
      <c r="O3189" s="173">
        <v>10</v>
      </c>
      <c r="P3189"/>
      <c r="R3189" s="6"/>
    </row>
    <row r="3190" spans="3:18" x14ac:dyDescent="0.35">
      <c r="C3190" s="233" t="s">
        <v>2788</v>
      </c>
      <c r="E3190" s="366"/>
      <c r="G3190" s="245" t="s">
        <v>2813</v>
      </c>
      <c r="H3190" s="245">
        <v>2</v>
      </c>
      <c r="I3190" s="173">
        <v>198</v>
      </c>
      <c r="J3190">
        <f t="shared" si="363"/>
        <v>149</v>
      </c>
      <c r="K3190" s="402">
        <f t="shared" si="364"/>
        <v>1.5050505050505052</v>
      </c>
      <c r="L3190" s="173">
        <f t="shared" si="365"/>
        <v>3.5050505050505052</v>
      </c>
      <c r="N3190" s="2">
        <f t="shared" si="366"/>
        <v>5.2575757575757578</v>
      </c>
      <c r="O3190" s="173">
        <v>10</v>
      </c>
      <c r="P3190"/>
      <c r="R3190" s="6"/>
    </row>
    <row r="3191" spans="3:18" x14ac:dyDescent="0.35">
      <c r="C3191" s="233" t="s">
        <v>2788</v>
      </c>
      <c r="E3191" s="366"/>
      <c r="G3191" s="245" t="s">
        <v>2813</v>
      </c>
      <c r="H3191" s="245">
        <v>2</v>
      </c>
      <c r="I3191" s="173">
        <v>198</v>
      </c>
      <c r="J3191">
        <f t="shared" si="363"/>
        <v>149</v>
      </c>
      <c r="K3191" s="402">
        <f t="shared" si="364"/>
        <v>1.5050505050505052</v>
      </c>
      <c r="L3191" s="173">
        <f t="shared" si="365"/>
        <v>3.5050505050505052</v>
      </c>
      <c r="N3191" s="2">
        <f t="shared" si="366"/>
        <v>5.2575757575757578</v>
      </c>
      <c r="O3191" s="173">
        <v>10</v>
      </c>
      <c r="P3191"/>
      <c r="R3191" s="6"/>
    </row>
    <row r="3192" spans="3:18" x14ac:dyDescent="0.35">
      <c r="C3192" s="233" t="s">
        <v>2788</v>
      </c>
      <c r="E3192" s="366"/>
      <c r="G3192" s="245" t="s">
        <v>2813</v>
      </c>
      <c r="H3192" s="245">
        <v>2</v>
      </c>
      <c r="I3192" s="173">
        <v>198</v>
      </c>
      <c r="J3192">
        <f t="shared" si="363"/>
        <v>149</v>
      </c>
      <c r="K3192" s="402">
        <f t="shared" si="364"/>
        <v>1.5050505050505052</v>
      </c>
      <c r="L3192" s="173">
        <f t="shared" si="365"/>
        <v>3.5050505050505052</v>
      </c>
      <c r="N3192" s="2">
        <f t="shared" si="366"/>
        <v>5.2575757575757578</v>
      </c>
      <c r="O3192" s="173">
        <v>10</v>
      </c>
      <c r="P3192"/>
      <c r="R3192" s="6"/>
    </row>
    <row r="3194" spans="3:18" x14ac:dyDescent="0.35">
      <c r="C3194" s="233" t="s">
        <v>561</v>
      </c>
      <c r="D3194" s="233" t="s">
        <v>561</v>
      </c>
      <c r="F3194" s="366" t="s">
        <v>405</v>
      </c>
      <c r="G3194" s="245" t="s">
        <v>2898</v>
      </c>
      <c r="H3194" s="245">
        <v>15</v>
      </c>
      <c r="I3194" s="173">
        <v>15</v>
      </c>
      <c r="J3194">
        <v>680</v>
      </c>
      <c r="K3194" s="173">
        <v>160</v>
      </c>
      <c r="L3194" s="173">
        <f t="shared" ref="L3194" si="367">+I3194/J3194*K3194</f>
        <v>3.5294117647058827</v>
      </c>
      <c r="M3194" s="173">
        <f t="shared" ref="M3194" si="368">+I3194+L3194</f>
        <v>18.529411764705884</v>
      </c>
      <c r="O3194" s="173">
        <f t="shared" ref="O3194" si="369">+M3194*1.5</f>
        <v>27.794117647058826</v>
      </c>
      <c r="P3194" s="173">
        <v>60</v>
      </c>
    </row>
    <row r="3195" spans="3:18" x14ac:dyDescent="0.35">
      <c r="D3195" s="233" t="s">
        <v>561</v>
      </c>
      <c r="F3195" s="366" t="s">
        <v>405</v>
      </c>
      <c r="G3195" s="245" t="s">
        <v>2898</v>
      </c>
      <c r="I3195" s="173">
        <v>15</v>
      </c>
      <c r="J3195">
        <v>680</v>
      </c>
      <c r="K3195" s="173">
        <v>160</v>
      </c>
      <c r="L3195" s="173">
        <f t="shared" ref="L3195:L3258" si="370">+I3195/J3195*K3195</f>
        <v>3.5294117647058827</v>
      </c>
      <c r="M3195" s="173">
        <f t="shared" ref="M3195:M3258" si="371">+I3195+L3195</f>
        <v>18.529411764705884</v>
      </c>
      <c r="O3195" s="173">
        <f t="shared" ref="O3195:O3258" si="372">+M3195*1.5</f>
        <v>27.794117647058826</v>
      </c>
      <c r="P3195" s="173">
        <v>60</v>
      </c>
    </row>
    <row r="3196" spans="3:18" x14ac:dyDescent="0.35">
      <c r="D3196" s="233" t="s">
        <v>561</v>
      </c>
      <c r="F3196" s="366" t="s">
        <v>405</v>
      </c>
      <c r="G3196" s="245" t="s">
        <v>2898</v>
      </c>
      <c r="I3196" s="173">
        <v>15</v>
      </c>
      <c r="J3196">
        <v>680</v>
      </c>
      <c r="K3196" s="173">
        <v>160</v>
      </c>
      <c r="L3196" s="173">
        <f t="shared" si="370"/>
        <v>3.5294117647058827</v>
      </c>
      <c r="M3196" s="173">
        <f t="shared" si="371"/>
        <v>18.529411764705884</v>
      </c>
      <c r="O3196" s="173">
        <f t="shared" si="372"/>
        <v>27.794117647058826</v>
      </c>
      <c r="P3196" s="173">
        <v>60</v>
      </c>
    </row>
    <row r="3197" spans="3:18" x14ac:dyDescent="0.35">
      <c r="D3197" s="233" t="s">
        <v>561</v>
      </c>
      <c r="F3197" s="366" t="s">
        <v>589</v>
      </c>
      <c r="G3197" s="245" t="s">
        <v>2898</v>
      </c>
      <c r="I3197" s="173">
        <v>15</v>
      </c>
      <c r="J3197">
        <v>680</v>
      </c>
      <c r="K3197" s="173">
        <v>160</v>
      </c>
      <c r="L3197" s="173">
        <f t="shared" si="370"/>
        <v>3.5294117647058827</v>
      </c>
      <c r="M3197" s="173">
        <f t="shared" si="371"/>
        <v>18.529411764705884</v>
      </c>
      <c r="O3197" s="173">
        <f t="shared" si="372"/>
        <v>27.794117647058826</v>
      </c>
      <c r="P3197" s="173">
        <v>60</v>
      </c>
    </row>
    <row r="3198" spans="3:18" x14ac:dyDescent="0.35">
      <c r="D3198" s="233" t="s">
        <v>561</v>
      </c>
      <c r="F3198" s="366" t="s">
        <v>589</v>
      </c>
      <c r="G3198" s="245" t="s">
        <v>2898</v>
      </c>
      <c r="I3198" s="173">
        <v>15</v>
      </c>
      <c r="J3198">
        <v>680</v>
      </c>
      <c r="K3198" s="173">
        <v>160</v>
      </c>
      <c r="L3198" s="173">
        <f t="shared" si="370"/>
        <v>3.5294117647058827</v>
      </c>
      <c r="M3198" s="173">
        <f t="shared" si="371"/>
        <v>18.529411764705884</v>
      </c>
      <c r="O3198" s="173">
        <f t="shared" si="372"/>
        <v>27.794117647058826</v>
      </c>
      <c r="P3198" s="173">
        <v>60</v>
      </c>
    </row>
    <row r="3199" spans="3:18" x14ac:dyDescent="0.35">
      <c r="D3199" s="233" t="s">
        <v>561</v>
      </c>
      <c r="F3199" s="366" t="s">
        <v>589</v>
      </c>
      <c r="G3199" s="245" t="s">
        <v>2898</v>
      </c>
      <c r="I3199" s="173">
        <v>15</v>
      </c>
      <c r="J3199">
        <v>680</v>
      </c>
      <c r="K3199" s="173">
        <v>160</v>
      </c>
      <c r="L3199" s="173">
        <f t="shared" si="370"/>
        <v>3.5294117647058827</v>
      </c>
      <c r="M3199" s="173">
        <f t="shared" si="371"/>
        <v>18.529411764705884</v>
      </c>
      <c r="O3199" s="173">
        <f t="shared" si="372"/>
        <v>27.794117647058826</v>
      </c>
      <c r="P3199" s="173">
        <v>60</v>
      </c>
    </row>
    <row r="3200" spans="3:18" x14ac:dyDescent="0.35">
      <c r="D3200" s="233" t="s">
        <v>561</v>
      </c>
      <c r="F3200" s="366" t="s">
        <v>628</v>
      </c>
      <c r="G3200" s="245" t="s">
        <v>2898</v>
      </c>
      <c r="I3200" s="173">
        <v>15</v>
      </c>
      <c r="J3200">
        <v>680</v>
      </c>
      <c r="K3200" s="173">
        <v>160</v>
      </c>
      <c r="L3200" s="173">
        <f t="shared" si="370"/>
        <v>3.5294117647058827</v>
      </c>
      <c r="M3200" s="173">
        <f t="shared" si="371"/>
        <v>18.529411764705884</v>
      </c>
      <c r="O3200" s="173">
        <f t="shared" si="372"/>
        <v>27.794117647058826</v>
      </c>
      <c r="P3200" s="173">
        <v>60</v>
      </c>
    </row>
    <row r="3201" spans="4:16" x14ac:dyDescent="0.35">
      <c r="D3201" s="233" t="s">
        <v>561</v>
      </c>
      <c r="F3201" s="366" t="s">
        <v>628</v>
      </c>
      <c r="G3201" s="245" t="s">
        <v>2898</v>
      </c>
      <c r="I3201" s="173">
        <v>15</v>
      </c>
      <c r="J3201">
        <v>680</v>
      </c>
      <c r="K3201" s="173">
        <v>160</v>
      </c>
      <c r="L3201" s="173">
        <f t="shared" si="370"/>
        <v>3.5294117647058827</v>
      </c>
      <c r="M3201" s="173">
        <f t="shared" si="371"/>
        <v>18.529411764705884</v>
      </c>
      <c r="O3201" s="173">
        <f t="shared" si="372"/>
        <v>27.794117647058826</v>
      </c>
      <c r="P3201" s="173">
        <v>60</v>
      </c>
    </row>
    <row r="3202" spans="4:16" x14ac:dyDescent="0.35">
      <c r="D3202" s="233" t="s">
        <v>561</v>
      </c>
      <c r="F3202" s="366" t="s">
        <v>628</v>
      </c>
      <c r="G3202" s="245" t="s">
        <v>2898</v>
      </c>
      <c r="I3202" s="173">
        <v>15</v>
      </c>
      <c r="J3202">
        <v>680</v>
      </c>
      <c r="K3202" s="173">
        <v>160</v>
      </c>
      <c r="L3202" s="173">
        <f t="shared" si="370"/>
        <v>3.5294117647058827</v>
      </c>
      <c r="M3202" s="173">
        <f t="shared" si="371"/>
        <v>18.529411764705884</v>
      </c>
      <c r="O3202" s="173">
        <f t="shared" si="372"/>
        <v>27.794117647058826</v>
      </c>
      <c r="P3202" s="173">
        <v>60</v>
      </c>
    </row>
    <row r="3203" spans="4:16" x14ac:dyDescent="0.35">
      <c r="D3203" s="233" t="s">
        <v>561</v>
      </c>
      <c r="F3203" s="366" t="s">
        <v>590</v>
      </c>
      <c r="G3203" s="245" t="s">
        <v>2898</v>
      </c>
      <c r="I3203" s="173">
        <v>15</v>
      </c>
      <c r="J3203">
        <v>680</v>
      </c>
      <c r="K3203" s="173">
        <v>160</v>
      </c>
      <c r="L3203" s="173">
        <f t="shared" si="370"/>
        <v>3.5294117647058827</v>
      </c>
      <c r="M3203" s="173">
        <f t="shared" si="371"/>
        <v>18.529411764705884</v>
      </c>
      <c r="O3203" s="173">
        <f t="shared" si="372"/>
        <v>27.794117647058826</v>
      </c>
      <c r="P3203" s="173">
        <v>60</v>
      </c>
    </row>
    <row r="3204" spans="4:16" x14ac:dyDescent="0.35">
      <c r="D3204" s="233" t="s">
        <v>561</v>
      </c>
      <c r="F3204" s="366" t="s">
        <v>590</v>
      </c>
      <c r="G3204" s="245" t="s">
        <v>2898</v>
      </c>
      <c r="I3204" s="173">
        <v>15</v>
      </c>
      <c r="J3204">
        <v>680</v>
      </c>
      <c r="K3204" s="173">
        <v>160</v>
      </c>
      <c r="L3204" s="173">
        <f t="shared" si="370"/>
        <v>3.5294117647058827</v>
      </c>
      <c r="M3204" s="173">
        <f t="shared" si="371"/>
        <v>18.529411764705884</v>
      </c>
      <c r="O3204" s="173">
        <f t="shared" si="372"/>
        <v>27.794117647058826</v>
      </c>
      <c r="P3204" s="173">
        <v>60</v>
      </c>
    </row>
    <row r="3205" spans="4:16" x14ac:dyDescent="0.35">
      <c r="D3205" s="233" t="s">
        <v>561</v>
      </c>
      <c r="F3205" s="366" t="s">
        <v>590</v>
      </c>
      <c r="G3205" s="245" t="s">
        <v>2898</v>
      </c>
      <c r="I3205" s="173">
        <v>15</v>
      </c>
      <c r="J3205">
        <v>680</v>
      </c>
      <c r="K3205" s="173">
        <v>160</v>
      </c>
      <c r="L3205" s="173">
        <f t="shared" si="370"/>
        <v>3.5294117647058827</v>
      </c>
      <c r="M3205" s="173">
        <f t="shared" si="371"/>
        <v>18.529411764705884</v>
      </c>
      <c r="O3205" s="173">
        <f t="shared" si="372"/>
        <v>27.794117647058826</v>
      </c>
      <c r="P3205" s="173">
        <v>60</v>
      </c>
    </row>
    <row r="3206" spans="4:16" x14ac:dyDescent="0.35">
      <c r="D3206" s="233" t="s">
        <v>561</v>
      </c>
      <c r="F3206" s="366" t="s">
        <v>2897</v>
      </c>
      <c r="G3206" s="245" t="s">
        <v>2898</v>
      </c>
      <c r="I3206" s="173">
        <v>15</v>
      </c>
      <c r="J3206">
        <v>680</v>
      </c>
      <c r="K3206" s="173">
        <v>160</v>
      </c>
      <c r="L3206" s="173">
        <f t="shared" si="370"/>
        <v>3.5294117647058827</v>
      </c>
      <c r="M3206" s="173">
        <f t="shared" si="371"/>
        <v>18.529411764705884</v>
      </c>
      <c r="O3206" s="173">
        <f t="shared" si="372"/>
        <v>27.794117647058826</v>
      </c>
      <c r="P3206" s="173">
        <v>60</v>
      </c>
    </row>
    <row r="3207" spans="4:16" x14ac:dyDescent="0.35">
      <c r="D3207" s="233" t="s">
        <v>561</v>
      </c>
      <c r="F3207" s="366" t="s">
        <v>2897</v>
      </c>
      <c r="G3207" s="245" t="s">
        <v>2898</v>
      </c>
      <c r="I3207" s="173">
        <v>15</v>
      </c>
      <c r="J3207">
        <v>680</v>
      </c>
      <c r="K3207" s="173">
        <v>160</v>
      </c>
      <c r="L3207" s="173">
        <f t="shared" si="370"/>
        <v>3.5294117647058827</v>
      </c>
      <c r="M3207" s="173">
        <f t="shared" si="371"/>
        <v>18.529411764705884</v>
      </c>
      <c r="O3207" s="173">
        <f t="shared" si="372"/>
        <v>27.794117647058826</v>
      </c>
      <c r="P3207" s="173">
        <v>60</v>
      </c>
    </row>
    <row r="3208" spans="4:16" x14ac:dyDescent="0.35">
      <c r="D3208" s="233" t="s">
        <v>561</v>
      </c>
      <c r="F3208" s="366" t="s">
        <v>2897</v>
      </c>
      <c r="G3208" s="245" t="s">
        <v>2898</v>
      </c>
      <c r="I3208" s="173">
        <v>15</v>
      </c>
      <c r="J3208">
        <v>680</v>
      </c>
      <c r="K3208" s="173">
        <v>160</v>
      </c>
      <c r="L3208" s="173">
        <f t="shared" si="370"/>
        <v>3.5294117647058827</v>
      </c>
      <c r="M3208" s="173">
        <f t="shared" si="371"/>
        <v>18.529411764705884</v>
      </c>
      <c r="O3208" s="173">
        <f t="shared" si="372"/>
        <v>27.794117647058826</v>
      </c>
      <c r="P3208" s="173">
        <v>60</v>
      </c>
    </row>
    <row r="3209" spans="4:16" x14ac:dyDescent="0.35">
      <c r="D3209" s="233" t="s">
        <v>561</v>
      </c>
      <c r="F3209" s="366" t="s">
        <v>405</v>
      </c>
      <c r="G3209" s="245" t="s">
        <v>2899</v>
      </c>
      <c r="I3209" s="173">
        <v>11</v>
      </c>
      <c r="J3209">
        <v>680</v>
      </c>
      <c r="K3209" s="173">
        <v>160</v>
      </c>
      <c r="L3209" s="173">
        <f t="shared" si="370"/>
        <v>2.5882352941176472</v>
      </c>
      <c r="M3209" s="173">
        <f t="shared" si="371"/>
        <v>13.588235294117647</v>
      </c>
      <c r="O3209" s="173">
        <f t="shared" si="372"/>
        <v>20.382352941176471</v>
      </c>
      <c r="P3209" s="173">
        <v>45</v>
      </c>
    </row>
    <row r="3210" spans="4:16" x14ac:dyDescent="0.35">
      <c r="D3210" s="233" t="s">
        <v>561</v>
      </c>
      <c r="F3210" s="366" t="s">
        <v>405</v>
      </c>
      <c r="G3210" s="245" t="s">
        <v>2899</v>
      </c>
      <c r="I3210" s="173">
        <v>11</v>
      </c>
      <c r="J3210">
        <v>680</v>
      </c>
      <c r="K3210" s="173">
        <v>160</v>
      </c>
      <c r="L3210" s="173">
        <f t="shared" si="370"/>
        <v>2.5882352941176472</v>
      </c>
      <c r="M3210" s="173">
        <f t="shared" si="371"/>
        <v>13.588235294117647</v>
      </c>
      <c r="O3210" s="173">
        <f t="shared" si="372"/>
        <v>20.382352941176471</v>
      </c>
      <c r="P3210" s="173">
        <v>45</v>
      </c>
    </row>
    <row r="3211" spans="4:16" x14ac:dyDescent="0.35">
      <c r="D3211" s="233" t="s">
        <v>561</v>
      </c>
      <c r="F3211" s="366" t="s">
        <v>405</v>
      </c>
      <c r="G3211" s="245" t="s">
        <v>2899</v>
      </c>
      <c r="I3211" s="173">
        <v>11</v>
      </c>
      <c r="J3211">
        <v>680</v>
      </c>
      <c r="K3211" s="173">
        <v>160</v>
      </c>
      <c r="L3211" s="173">
        <f t="shared" si="370"/>
        <v>2.5882352941176472</v>
      </c>
      <c r="M3211" s="173">
        <f t="shared" si="371"/>
        <v>13.588235294117647</v>
      </c>
      <c r="O3211" s="173">
        <f t="shared" si="372"/>
        <v>20.382352941176471</v>
      </c>
      <c r="P3211" s="173">
        <v>45</v>
      </c>
    </row>
    <row r="3212" spans="4:16" x14ac:dyDescent="0.35">
      <c r="D3212" s="233" t="s">
        <v>561</v>
      </c>
      <c r="F3212" s="366" t="s">
        <v>589</v>
      </c>
      <c r="G3212" s="245" t="s">
        <v>2899</v>
      </c>
      <c r="I3212" s="173">
        <v>11</v>
      </c>
      <c r="J3212">
        <v>680</v>
      </c>
      <c r="K3212" s="173">
        <v>160</v>
      </c>
      <c r="L3212" s="173">
        <f t="shared" si="370"/>
        <v>2.5882352941176472</v>
      </c>
      <c r="M3212" s="173">
        <f t="shared" si="371"/>
        <v>13.588235294117647</v>
      </c>
      <c r="O3212" s="173">
        <f t="shared" si="372"/>
        <v>20.382352941176471</v>
      </c>
      <c r="P3212" s="173">
        <v>45</v>
      </c>
    </row>
    <row r="3213" spans="4:16" x14ac:dyDescent="0.35">
      <c r="D3213" s="233" t="s">
        <v>561</v>
      </c>
      <c r="F3213" s="366" t="s">
        <v>589</v>
      </c>
      <c r="G3213" s="245" t="s">
        <v>2899</v>
      </c>
      <c r="I3213" s="173">
        <v>11</v>
      </c>
      <c r="J3213">
        <v>680</v>
      </c>
      <c r="K3213" s="173">
        <v>160</v>
      </c>
      <c r="L3213" s="173">
        <f t="shared" si="370"/>
        <v>2.5882352941176472</v>
      </c>
      <c r="M3213" s="173">
        <f t="shared" si="371"/>
        <v>13.588235294117647</v>
      </c>
      <c r="O3213" s="173">
        <f t="shared" si="372"/>
        <v>20.382352941176471</v>
      </c>
      <c r="P3213" s="173">
        <v>45</v>
      </c>
    </row>
    <row r="3214" spans="4:16" x14ac:dyDescent="0.35">
      <c r="D3214" s="233" t="s">
        <v>561</v>
      </c>
      <c r="F3214" s="366" t="s">
        <v>589</v>
      </c>
      <c r="G3214" s="245" t="s">
        <v>2899</v>
      </c>
      <c r="I3214" s="173">
        <v>11</v>
      </c>
      <c r="J3214">
        <v>680</v>
      </c>
      <c r="K3214" s="173">
        <v>160</v>
      </c>
      <c r="L3214" s="173">
        <f t="shared" si="370"/>
        <v>2.5882352941176472</v>
      </c>
      <c r="M3214" s="173">
        <f t="shared" si="371"/>
        <v>13.588235294117647</v>
      </c>
      <c r="O3214" s="173">
        <f t="shared" si="372"/>
        <v>20.382352941176471</v>
      </c>
      <c r="P3214" s="173">
        <v>45</v>
      </c>
    </row>
    <row r="3215" spans="4:16" x14ac:dyDescent="0.35">
      <c r="D3215" s="233" t="s">
        <v>561</v>
      </c>
      <c r="F3215" s="366" t="s">
        <v>628</v>
      </c>
      <c r="G3215" s="245" t="s">
        <v>2899</v>
      </c>
      <c r="I3215" s="173">
        <v>11</v>
      </c>
      <c r="J3215">
        <v>680</v>
      </c>
      <c r="K3215" s="173">
        <v>160</v>
      </c>
      <c r="L3215" s="173">
        <f t="shared" si="370"/>
        <v>2.5882352941176472</v>
      </c>
      <c r="M3215" s="173">
        <f t="shared" si="371"/>
        <v>13.588235294117647</v>
      </c>
      <c r="O3215" s="173">
        <f t="shared" si="372"/>
        <v>20.382352941176471</v>
      </c>
      <c r="P3215" s="173">
        <v>45</v>
      </c>
    </row>
    <row r="3216" spans="4:16" x14ac:dyDescent="0.35">
      <c r="D3216" s="233" t="s">
        <v>561</v>
      </c>
      <c r="F3216" s="366" t="s">
        <v>628</v>
      </c>
      <c r="G3216" s="245" t="s">
        <v>2899</v>
      </c>
      <c r="I3216" s="173">
        <v>11</v>
      </c>
      <c r="J3216">
        <v>680</v>
      </c>
      <c r="K3216" s="173">
        <v>160</v>
      </c>
      <c r="L3216" s="173">
        <f t="shared" si="370"/>
        <v>2.5882352941176472</v>
      </c>
      <c r="M3216" s="173">
        <f t="shared" si="371"/>
        <v>13.588235294117647</v>
      </c>
      <c r="O3216" s="173">
        <f t="shared" si="372"/>
        <v>20.382352941176471</v>
      </c>
      <c r="P3216" s="173">
        <v>45</v>
      </c>
    </row>
    <row r="3217" spans="4:16" x14ac:dyDescent="0.35">
      <c r="D3217" s="233" t="s">
        <v>561</v>
      </c>
      <c r="F3217" s="366" t="s">
        <v>628</v>
      </c>
      <c r="G3217" s="245" t="s">
        <v>2899</v>
      </c>
      <c r="I3217" s="173">
        <v>11</v>
      </c>
      <c r="J3217">
        <v>680</v>
      </c>
      <c r="K3217" s="173">
        <v>160</v>
      </c>
      <c r="L3217" s="173">
        <f t="shared" si="370"/>
        <v>2.5882352941176472</v>
      </c>
      <c r="M3217" s="173">
        <f t="shared" si="371"/>
        <v>13.588235294117647</v>
      </c>
      <c r="O3217" s="173">
        <f t="shared" si="372"/>
        <v>20.382352941176471</v>
      </c>
      <c r="P3217" s="173">
        <v>45</v>
      </c>
    </row>
    <row r="3218" spans="4:16" x14ac:dyDescent="0.35">
      <c r="D3218" s="233" t="s">
        <v>561</v>
      </c>
      <c r="F3218" s="366" t="s">
        <v>590</v>
      </c>
      <c r="G3218" s="245" t="s">
        <v>2899</v>
      </c>
      <c r="I3218" s="173">
        <v>11</v>
      </c>
      <c r="J3218">
        <v>680</v>
      </c>
      <c r="K3218" s="173">
        <v>160</v>
      </c>
      <c r="L3218" s="173">
        <f t="shared" si="370"/>
        <v>2.5882352941176472</v>
      </c>
      <c r="M3218" s="173">
        <f t="shared" si="371"/>
        <v>13.588235294117647</v>
      </c>
      <c r="O3218" s="173">
        <f t="shared" si="372"/>
        <v>20.382352941176471</v>
      </c>
      <c r="P3218" s="173">
        <v>45</v>
      </c>
    </row>
    <row r="3219" spans="4:16" x14ac:dyDescent="0.35">
      <c r="D3219" s="233" t="s">
        <v>561</v>
      </c>
      <c r="F3219" s="366" t="s">
        <v>590</v>
      </c>
      <c r="G3219" s="245" t="s">
        <v>2899</v>
      </c>
      <c r="I3219" s="173">
        <v>11</v>
      </c>
      <c r="J3219">
        <v>680</v>
      </c>
      <c r="K3219" s="173">
        <v>160</v>
      </c>
      <c r="L3219" s="173">
        <f t="shared" si="370"/>
        <v>2.5882352941176472</v>
      </c>
      <c r="M3219" s="173">
        <f t="shared" si="371"/>
        <v>13.588235294117647</v>
      </c>
      <c r="O3219" s="173">
        <f t="shared" si="372"/>
        <v>20.382352941176471</v>
      </c>
      <c r="P3219" s="173">
        <v>45</v>
      </c>
    </row>
    <row r="3220" spans="4:16" x14ac:dyDescent="0.35">
      <c r="D3220" s="233" t="s">
        <v>561</v>
      </c>
      <c r="F3220" s="366" t="s">
        <v>590</v>
      </c>
      <c r="G3220" s="245" t="s">
        <v>2899</v>
      </c>
      <c r="I3220" s="173">
        <v>11</v>
      </c>
      <c r="J3220">
        <v>680</v>
      </c>
      <c r="K3220" s="173">
        <v>160</v>
      </c>
      <c r="L3220" s="173">
        <f t="shared" si="370"/>
        <v>2.5882352941176472</v>
      </c>
      <c r="M3220" s="173">
        <f t="shared" si="371"/>
        <v>13.588235294117647</v>
      </c>
      <c r="O3220" s="173">
        <f t="shared" si="372"/>
        <v>20.382352941176471</v>
      </c>
      <c r="P3220" s="173">
        <v>45</v>
      </c>
    </row>
    <row r="3221" spans="4:16" x14ac:dyDescent="0.35">
      <c r="D3221" s="233" t="s">
        <v>561</v>
      </c>
      <c r="F3221" s="366" t="s">
        <v>2897</v>
      </c>
      <c r="G3221" s="245" t="s">
        <v>2899</v>
      </c>
      <c r="I3221" s="173">
        <v>11</v>
      </c>
      <c r="J3221">
        <v>680</v>
      </c>
      <c r="K3221" s="173">
        <v>160</v>
      </c>
      <c r="L3221" s="173">
        <f t="shared" si="370"/>
        <v>2.5882352941176472</v>
      </c>
      <c r="M3221" s="173">
        <f t="shared" si="371"/>
        <v>13.588235294117647</v>
      </c>
      <c r="O3221" s="173">
        <f t="shared" si="372"/>
        <v>20.382352941176471</v>
      </c>
      <c r="P3221" s="173">
        <v>45</v>
      </c>
    </row>
    <row r="3222" spans="4:16" x14ac:dyDescent="0.35">
      <c r="D3222" s="233" t="s">
        <v>561</v>
      </c>
      <c r="F3222" s="366" t="s">
        <v>2897</v>
      </c>
      <c r="G3222" s="245" t="s">
        <v>2899</v>
      </c>
      <c r="I3222" s="173">
        <v>11</v>
      </c>
      <c r="J3222">
        <v>680</v>
      </c>
      <c r="K3222" s="173">
        <v>160</v>
      </c>
      <c r="L3222" s="173">
        <f t="shared" si="370"/>
        <v>2.5882352941176472</v>
      </c>
      <c r="M3222" s="173">
        <f t="shared" si="371"/>
        <v>13.588235294117647</v>
      </c>
      <c r="O3222" s="173">
        <f t="shared" si="372"/>
        <v>20.382352941176471</v>
      </c>
      <c r="P3222" s="173">
        <v>45</v>
      </c>
    </row>
    <row r="3223" spans="4:16" x14ac:dyDescent="0.35">
      <c r="D3223" s="233" t="s">
        <v>561</v>
      </c>
      <c r="F3223" s="366" t="s">
        <v>2897</v>
      </c>
      <c r="G3223" s="245" t="s">
        <v>2899</v>
      </c>
      <c r="I3223" s="173">
        <v>11</v>
      </c>
      <c r="J3223">
        <v>680</v>
      </c>
      <c r="K3223" s="173">
        <v>160</v>
      </c>
      <c r="L3223" s="173">
        <f t="shared" si="370"/>
        <v>2.5882352941176472</v>
      </c>
      <c r="M3223" s="173">
        <f t="shared" si="371"/>
        <v>13.588235294117647</v>
      </c>
      <c r="O3223" s="173">
        <f t="shared" si="372"/>
        <v>20.382352941176471</v>
      </c>
      <c r="P3223" s="173">
        <v>45</v>
      </c>
    </row>
    <row r="3224" spans="4:16" x14ac:dyDescent="0.35">
      <c r="D3224" s="233" t="s">
        <v>561</v>
      </c>
      <c r="F3224" s="366" t="s">
        <v>405</v>
      </c>
      <c r="G3224" s="245" t="s">
        <v>2900</v>
      </c>
      <c r="I3224" s="173">
        <v>15</v>
      </c>
      <c r="J3224">
        <v>680</v>
      </c>
      <c r="K3224" s="173">
        <v>160</v>
      </c>
      <c r="L3224" s="173">
        <f t="shared" si="370"/>
        <v>3.5294117647058827</v>
      </c>
      <c r="M3224" s="173">
        <f t="shared" si="371"/>
        <v>18.529411764705884</v>
      </c>
      <c r="O3224" s="173">
        <f t="shared" si="372"/>
        <v>27.794117647058826</v>
      </c>
      <c r="P3224" s="173">
        <v>60</v>
      </c>
    </row>
    <row r="3225" spans="4:16" x14ac:dyDescent="0.35">
      <c r="D3225" s="233" t="s">
        <v>561</v>
      </c>
      <c r="F3225" s="366" t="s">
        <v>405</v>
      </c>
      <c r="G3225" s="245" t="s">
        <v>2900</v>
      </c>
      <c r="I3225" s="173">
        <v>15</v>
      </c>
      <c r="J3225">
        <v>680</v>
      </c>
      <c r="K3225" s="173">
        <v>160</v>
      </c>
      <c r="L3225" s="173">
        <f t="shared" si="370"/>
        <v>3.5294117647058827</v>
      </c>
      <c r="M3225" s="173">
        <f t="shared" si="371"/>
        <v>18.529411764705884</v>
      </c>
      <c r="O3225" s="173">
        <f t="shared" si="372"/>
        <v>27.794117647058826</v>
      </c>
      <c r="P3225" s="173">
        <v>60</v>
      </c>
    </row>
    <row r="3226" spans="4:16" x14ac:dyDescent="0.35">
      <c r="D3226" s="233" t="s">
        <v>561</v>
      </c>
      <c r="F3226" s="366" t="s">
        <v>405</v>
      </c>
      <c r="G3226" s="245" t="s">
        <v>2900</v>
      </c>
      <c r="I3226" s="173">
        <v>15</v>
      </c>
      <c r="J3226">
        <v>680</v>
      </c>
      <c r="K3226" s="173">
        <v>160</v>
      </c>
      <c r="L3226" s="173">
        <f t="shared" si="370"/>
        <v>3.5294117647058827</v>
      </c>
      <c r="M3226" s="173">
        <f t="shared" si="371"/>
        <v>18.529411764705884</v>
      </c>
      <c r="O3226" s="173">
        <f t="shared" si="372"/>
        <v>27.794117647058826</v>
      </c>
      <c r="P3226" s="173">
        <v>60</v>
      </c>
    </row>
    <row r="3227" spans="4:16" x14ac:dyDescent="0.35">
      <c r="D3227" s="233" t="s">
        <v>561</v>
      </c>
      <c r="F3227" s="366" t="s">
        <v>589</v>
      </c>
      <c r="G3227" s="245" t="s">
        <v>2900</v>
      </c>
      <c r="I3227" s="173">
        <v>15</v>
      </c>
      <c r="J3227">
        <v>680</v>
      </c>
      <c r="K3227" s="173">
        <v>160</v>
      </c>
      <c r="L3227" s="173">
        <f t="shared" si="370"/>
        <v>3.5294117647058827</v>
      </c>
      <c r="M3227" s="173">
        <f t="shared" si="371"/>
        <v>18.529411764705884</v>
      </c>
      <c r="O3227" s="173">
        <f t="shared" si="372"/>
        <v>27.794117647058826</v>
      </c>
      <c r="P3227" s="173">
        <v>60</v>
      </c>
    </row>
    <row r="3228" spans="4:16" x14ac:dyDescent="0.35">
      <c r="D3228" s="233" t="s">
        <v>561</v>
      </c>
      <c r="F3228" s="366" t="s">
        <v>589</v>
      </c>
      <c r="G3228" s="245" t="s">
        <v>2900</v>
      </c>
      <c r="I3228" s="173">
        <v>15</v>
      </c>
      <c r="J3228">
        <v>680</v>
      </c>
      <c r="K3228" s="173">
        <v>160</v>
      </c>
      <c r="L3228" s="173">
        <f t="shared" si="370"/>
        <v>3.5294117647058827</v>
      </c>
      <c r="M3228" s="173">
        <f t="shared" si="371"/>
        <v>18.529411764705884</v>
      </c>
      <c r="O3228" s="173">
        <f t="shared" si="372"/>
        <v>27.794117647058826</v>
      </c>
      <c r="P3228" s="173">
        <v>60</v>
      </c>
    </row>
    <row r="3229" spans="4:16" x14ac:dyDescent="0.35">
      <c r="D3229" s="233" t="s">
        <v>561</v>
      </c>
      <c r="F3229" s="366" t="s">
        <v>589</v>
      </c>
      <c r="G3229" s="245" t="s">
        <v>2900</v>
      </c>
      <c r="I3229" s="173">
        <v>15</v>
      </c>
      <c r="J3229">
        <v>680</v>
      </c>
      <c r="K3229" s="173">
        <v>160</v>
      </c>
      <c r="L3229" s="173">
        <f t="shared" si="370"/>
        <v>3.5294117647058827</v>
      </c>
      <c r="M3229" s="173">
        <f t="shared" si="371"/>
        <v>18.529411764705884</v>
      </c>
      <c r="O3229" s="173">
        <f t="shared" si="372"/>
        <v>27.794117647058826</v>
      </c>
      <c r="P3229" s="173">
        <v>60</v>
      </c>
    </row>
    <row r="3230" spans="4:16" x14ac:dyDescent="0.35">
      <c r="D3230" s="233" t="s">
        <v>561</v>
      </c>
      <c r="F3230" s="366" t="s">
        <v>628</v>
      </c>
      <c r="G3230" s="245" t="s">
        <v>2900</v>
      </c>
      <c r="I3230" s="173">
        <v>15</v>
      </c>
      <c r="J3230">
        <v>680</v>
      </c>
      <c r="K3230" s="173">
        <v>160</v>
      </c>
      <c r="L3230" s="173">
        <f t="shared" si="370"/>
        <v>3.5294117647058827</v>
      </c>
      <c r="M3230" s="173">
        <f t="shared" si="371"/>
        <v>18.529411764705884</v>
      </c>
      <c r="O3230" s="173">
        <f t="shared" si="372"/>
        <v>27.794117647058826</v>
      </c>
      <c r="P3230" s="173">
        <v>60</v>
      </c>
    </row>
    <row r="3231" spans="4:16" x14ac:dyDescent="0.35">
      <c r="D3231" s="233" t="s">
        <v>561</v>
      </c>
      <c r="F3231" s="366" t="s">
        <v>628</v>
      </c>
      <c r="G3231" s="245" t="s">
        <v>2900</v>
      </c>
      <c r="I3231" s="173">
        <v>15</v>
      </c>
      <c r="J3231">
        <v>680</v>
      </c>
      <c r="K3231" s="173">
        <v>160</v>
      </c>
      <c r="L3231" s="173">
        <f t="shared" si="370"/>
        <v>3.5294117647058827</v>
      </c>
      <c r="M3231" s="173">
        <f t="shared" si="371"/>
        <v>18.529411764705884</v>
      </c>
      <c r="O3231" s="173">
        <f t="shared" si="372"/>
        <v>27.794117647058826</v>
      </c>
      <c r="P3231" s="173">
        <v>60</v>
      </c>
    </row>
    <row r="3232" spans="4:16" x14ac:dyDescent="0.35">
      <c r="D3232" s="233" t="s">
        <v>561</v>
      </c>
      <c r="F3232" s="366" t="s">
        <v>628</v>
      </c>
      <c r="G3232" s="245" t="s">
        <v>2900</v>
      </c>
      <c r="I3232" s="173">
        <v>15</v>
      </c>
      <c r="J3232">
        <v>680</v>
      </c>
      <c r="K3232" s="173">
        <v>160</v>
      </c>
      <c r="L3232" s="173">
        <f t="shared" si="370"/>
        <v>3.5294117647058827</v>
      </c>
      <c r="M3232" s="173">
        <f t="shared" si="371"/>
        <v>18.529411764705884</v>
      </c>
      <c r="O3232" s="173">
        <f t="shared" si="372"/>
        <v>27.794117647058826</v>
      </c>
      <c r="P3232" s="173">
        <v>60</v>
      </c>
    </row>
    <row r="3233" spans="4:16" x14ac:dyDescent="0.35">
      <c r="D3233" s="233" t="s">
        <v>561</v>
      </c>
      <c r="F3233" s="366" t="s">
        <v>590</v>
      </c>
      <c r="G3233" s="245" t="s">
        <v>2900</v>
      </c>
      <c r="I3233" s="173">
        <v>15</v>
      </c>
      <c r="J3233">
        <v>680</v>
      </c>
      <c r="K3233" s="173">
        <v>160</v>
      </c>
      <c r="L3233" s="173">
        <f t="shared" si="370"/>
        <v>3.5294117647058827</v>
      </c>
      <c r="M3233" s="173">
        <f t="shared" si="371"/>
        <v>18.529411764705884</v>
      </c>
      <c r="O3233" s="173">
        <f t="shared" si="372"/>
        <v>27.794117647058826</v>
      </c>
      <c r="P3233" s="173">
        <v>60</v>
      </c>
    </row>
    <row r="3234" spans="4:16" x14ac:dyDescent="0.35">
      <c r="D3234" s="233" t="s">
        <v>561</v>
      </c>
      <c r="F3234" s="366" t="s">
        <v>590</v>
      </c>
      <c r="G3234" s="245" t="s">
        <v>2900</v>
      </c>
      <c r="I3234" s="173">
        <v>15</v>
      </c>
      <c r="J3234">
        <v>680</v>
      </c>
      <c r="K3234" s="173">
        <v>160</v>
      </c>
      <c r="L3234" s="173">
        <f t="shared" si="370"/>
        <v>3.5294117647058827</v>
      </c>
      <c r="M3234" s="173">
        <f t="shared" si="371"/>
        <v>18.529411764705884</v>
      </c>
      <c r="O3234" s="173">
        <f t="shared" si="372"/>
        <v>27.794117647058826</v>
      </c>
      <c r="P3234" s="173">
        <v>60</v>
      </c>
    </row>
    <row r="3235" spans="4:16" x14ac:dyDescent="0.35">
      <c r="D3235" s="233" t="s">
        <v>561</v>
      </c>
      <c r="F3235" s="366" t="s">
        <v>590</v>
      </c>
      <c r="G3235" s="245" t="s">
        <v>2900</v>
      </c>
      <c r="I3235" s="173">
        <v>15</v>
      </c>
      <c r="J3235">
        <v>680</v>
      </c>
      <c r="K3235" s="173">
        <v>160</v>
      </c>
      <c r="L3235" s="173">
        <f t="shared" si="370"/>
        <v>3.5294117647058827</v>
      </c>
      <c r="M3235" s="173">
        <f t="shared" si="371"/>
        <v>18.529411764705884</v>
      </c>
      <c r="O3235" s="173">
        <f t="shared" si="372"/>
        <v>27.794117647058826</v>
      </c>
      <c r="P3235" s="173">
        <v>60</v>
      </c>
    </row>
    <row r="3236" spans="4:16" x14ac:dyDescent="0.35">
      <c r="D3236" s="233" t="s">
        <v>561</v>
      </c>
      <c r="F3236" s="366" t="s">
        <v>2897</v>
      </c>
      <c r="G3236" s="245" t="s">
        <v>2900</v>
      </c>
      <c r="I3236" s="173">
        <v>15</v>
      </c>
      <c r="J3236">
        <v>680</v>
      </c>
      <c r="K3236" s="173">
        <v>160</v>
      </c>
      <c r="L3236" s="173">
        <f t="shared" si="370"/>
        <v>3.5294117647058827</v>
      </c>
      <c r="M3236" s="173">
        <f t="shared" si="371"/>
        <v>18.529411764705884</v>
      </c>
      <c r="O3236" s="173">
        <f t="shared" si="372"/>
        <v>27.794117647058826</v>
      </c>
      <c r="P3236" s="173">
        <v>60</v>
      </c>
    </row>
    <row r="3237" spans="4:16" x14ac:dyDescent="0.35">
      <c r="D3237" s="233" t="s">
        <v>561</v>
      </c>
      <c r="F3237" s="366" t="s">
        <v>2897</v>
      </c>
      <c r="G3237" s="245" t="s">
        <v>2900</v>
      </c>
      <c r="I3237" s="173">
        <v>15</v>
      </c>
      <c r="J3237">
        <v>680</v>
      </c>
      <c r="K3237" s="173">
        <v>160</v>
      </c>
      <c r="L3237" s="173">
        <f t="shared" si="370"/>
        <v>3.5294117647058827</v>
      </c>
      <c r="M3237" s="173">
        <f t="shared" si="371"/>
        <v>18.529411764705884</v>
      </c>
      <c r="O3237" s="173">
        <f t="shared" si="372"/>
        <v>27.794117647058826</v>
      </c>
      <c r="P3237" s="173">
        <v>60</v>
      </c>
    </row>
    <row r="3238" spans="4:16" x14ac:dyDescent="0.35">
      <c r="D3238" s="233" t="s">
        <v>561</v>
      </c>
      <c r="F3238" s="366" t="s">
        <v>2897</v>
      </c>
      <c r="G3238" s="245" t="s">
        <v>2900</v>
      </c>
      <c r="I3238" s="173">
        <v>15</v>
      </c>
      <c r="J3238">
        <v>680</v>
      </c>
      <c r="K3238" s="173">
        <v>160</v>
      </c>
      <c r="L3238" s="173">
        <f t="shared" si="370"/>
        <v>3.5294117647058827</v>
      </c>
      <c r="M3238" s="173">
        <f t="shared" si="371"/>
        <v>18.529411764705884</v>
      </c>
      <c r="O3238" s="173">
        <f t="shared" si="372"/>
        <v>27.794117647058826</v>
      </c>
      <c r="P3238" s="173">
        <v>60</v>
      </c>
    </row>
    <row r="3239" spans="4:16" x14ac:dyDescent="0.35">
      <c r="D3239" s="233" t="s">
        <v>561</v>
      </c>
      <c r="F3239" s="886" t="s">
        <v>2904</v>
      </c>
      <c r="G3239" s="245" t="s">
        <v>2901</v>
      </c>
      <c r="I3239" s="173">
        <v>7</v>
      </c>
      <c r="J3239">
        <v>680</v>
      </c>
      <c r="K3239" s="173">
        <v>160</v>
      </c>
      <c r="L3239" s="173">
        <f t="shared" si="370"/>
        <v>1.6470588235294117</v>
      </c>
      <c r="M3239" s="173">
        <f t="shared" si="371"/>
        <v>8.6470588235294112</v>
      </c>
      <c r="O3239" s="173">
        <f t="shared" si="372"/>
        <v>12.970588235294116</v>
      </c>
      <c r="P3239" s="173">
        <v>25</v>
      </c>
    </row>
    <row r="3240" spans="4:16" x14ac:dyDescent="0.35">
      <c r="D3240" s="233" t="s">
        <v>561</v>
      </c>
      <c r="F3240" s="886" t="s">
        <v>2904</v>
      </c>
      <c r="G3240" s="245" t="s">
        <v>2901</v>
      </c>
      <c r="I3240" s="173">
        <v>7</v>
      </c>
      <c r="J3240">
        <v>680</v>
      </c>
      <c r="K3240" s="173">
        <v>160</v>
      </c>
      <c r="L3240" s="173">
        <f t="shared" si="370"/>
        <v>1.6470588235294117</v>
      </c>
      <c r="M3240" s="173">
        <f t="shared" si="371"/>
        <v>8.6470588235294112</v>
      </c>
      <c r="O3240" s="173">
        <f t="shared" si="372"/>
        <v>12.970588235294116</v>
      </c>
      <c r="P3240" s="173">
        <v>25</v>
      </c>
    </row>
    <row r="3241" spans="4:16" x14ac:dyDescent="0.35">
      <c r="D3241" s="233" t="s">
        <v>561</v>
      </c>
      <c r="F3241" s="886" t="s">
        <v>2904</v>
      </c>
      <c r="G3241" s="245" t="s">
        <v>2901</v>
      </c>
      <c r="I3241" s="173">
        <v>7</v>
      </c>
      <c r="J3241">
        <v>680</v>
      </c>
      <c r="K3241" s="173">
        <v>160</v>
      </c>
      <c r="L3241" s="173">
        <f t="shared" si="370"/>
        <v>1.6470588235294117</v>
      </c>
      <c r="M3241" s="173">
        <f t="shared" si="371"/>
        <v>8.6470588235294112</v>
      </c>
      <c r="O3241" s="173">
        <f t="shared" si="372"/>
        <v>12.970588235294116</v>
      </c>
      <c r="P3241" s="173">
        <v>25</v>
      </c>
    </row>
    <row r="3242" spans="4:16" x14ac:dyDescent="0.35">
      <c r="D3242" s="233" t="s">
        <v>561</v>
      </c>
      <c r="F3242" s="886" t="s">
        <v>2904</v>
      </c>
      <c r="G3242" s="245" t="s">
        <v>2901</v>
      </c>
      <c r="I3242" s="173">
        <v>7</v>
      </c>
      <c r="J3242">
        <v>680</v>
      </c>
      <c r="K3242" s="173">
        <v>160</v>
      </c>
      <c r="L3242" s="173">
        <f t="shared" si="370"/>
        <v>1.6470588235294117</v>
      </c>
      <c r="M3242" s="173">
        <f t="shared" si="371"/>
        <v>8.6470588235294112</v>
      </c>
      <c r="O3242" s="173">
        <f t="shared" si="372"/>
        <v>12.970588235294116</v>
      </c>
      <c r="P3242" s="173">
        <v>25</v>
      </c>
    </row>
    <row r="3243" spans="4:16" x14ac:dyDescent="0.35">
      <c r="D3243" s="233" t="s">
        <v>561</v>
      </c>
      <c r="F3243" s="886" t="s">
        <v>2904</v>
      </c>
      <c r="G3243" s="245" t="s">
        <v>2901</v>
      </c>
      <c r="I3243" s="173">
        <v>7</v>
      </c>
      <c r="J3243">
        <v>680</v>
      </c>
      <c r="K3243" s="173">
        <v>160</v>
      </c>
      <c r="L3243" s="173">
        <f t="shared" si="370"/>
        <v>1.6470588235294117</v>
      </c>
      <c r="M3243" s="173">
        <f t="shared" si="371"/>
        <v>8.6470588235294112</v>
      </c>
      <c r="O3243" s="173">
        <f t="shared" si="372"/>
        <v>12.970588235294116</v>
      </c>
      <c r="P3243" s="173">
        <v>25</v>
      </c>
    </row>
    <row r="3244" spans="4:16" x14ac:dyDescent="0.35">
      <c r="D3244" s="233" t="s">
        <v>561</v>
      </c>
      <c r="E3244" s="12" t="s">
        <v>2960</v>
      </c>
      <c r="F3244" s="886" t="s">
        <v>2904</v>
      </c>
      <c r="G3244" s="245" t="s">
        <v>2901</v>
      </c>
      <c r="I3244" s="173">
        <v>7</v>
      </c>
      <c r="J3244">
        <v>680</v>
      </c>
      <c r="K3244" s="173">
        <v>160</v>
      </c>
      <c r="L3244" s="173">
        <f t="shared" ref="L3244" si="373">+I3244/J3244*K3244</f>
        <v>1.6470588235294117</v>
      </c>
      <c r="M3244" s="173">
        <f t="shared" ref="M3244" si="374">+I3244+L3244</f>
        <v>8.6470588235294112</v>
      </c>
      <c r="O3244" s="173">
        <f t="shared" ref="O3244" si="375">+M3244*1.5</f>
        <v>12.970588235294116</v>
      </c>
      <c r="P3244" s="173">
        <v>25</v>
      </c>
    </row>
    <row r="3245" spans="4:16" x14ac:dyDescent="0.35">
      <c r="D3245" s="233" t="s">
        <v>561</v>
      </c>
      <c r="F3245" s="886" t="s">
        <v>2904</v>
      </c>
      <c r="G3245" s="245" t="s">
        <v>2902</v>
      </c>
      <c r="I3245" s="173">
        <v>7</v>
      </c>
      <c r="J3245">
        <v>680</v>
      </c>
      <c r="K3245" s="173">
        <v>160</v>
      </c>
      <c r="L3245" s="173">
        <f t="shared" si="370"/>
        <v>1.6470588235294117</v>
      </c>
      <c r="M3245" s="173">
        <f t="shared" si="371"/>
        <v>8.6470588235294112</v>
      </c>
      <c r="O3245" s="173">
        <f t="shared" si="372"/>
        <v>12.970588235294116</v>
      </c>
      <c r="P3245" s="173">
        <v>25</v>
      </c>
    </row>
    <row r="3246" spans="4:16" x14ac:dyDescent="0.35">
      <c r="D3246" s="233" t="s">
        <v>561</v>
      </c>
      <c r="F3246" s="886" t="s">
        <v>2904</v>
      </c>
      <c r="G3246" s="245" t="s">
        <v>2902</v>
      </c>
      <c r="I3246" s="173">
        <v>7</v>
      </c>
      <c r="J3246">
        <v>680</v>
      </c>
      <c r="K3246" s="173">
        <v>160</v>
      </c>
      <c r="L3246" s="173">
        <f t="shared" si="370"/>
        <v>1.6470588235294117</v>
      </c>
      <c r="M3246" s="173">
        <f t="shared" si="371"/>
        <v>8.6470588235294112</v>
      </c>
      <c r="O3246" s="173">
        <f t="shared" si="372"/>
        <v>12.970588235294116</v>
      </c>
      <c r="P3246" s="173">
        <v>25</v>
      </c>
    </row>
    <row r="3247" spans="4:16" x14ac:dyDescent="0.35">
      <c r="D3247" s="233" t="s">
        <v>561</v>
      </c>
      <c r="F3247" s="886" t="s">
        <v>2904</v>
      </c>
      <c r="G3247" s="245" t="s">
        <v>2902</v>
      </c>
      <c r="I3247" s="173">
        <v>7</v>
      </c>
      <c r="J3247">
        <v>680</v>
      </c>
      <c r="K3247" s="173">
        <v>160</v>
      </c>
      <c r="L3247" s="173">
        <f t="shared" si="370"/>
        <v>1.6470588235294117</v>
      </c>
      <c r="M3247" s="173">
        <f t="shared" si="371"/>
        <v>8.6470588235294112</v>
      </c>
      <c r="O3247" s="173">
        <f t="shared" si="372"/>
        <v>12.970588235294116</v>
      </c>
      <c r="P3247" s="173">
        <v>25</v>
      </c>
    </row>
    <row r="3248" spans="4:16" x14ac:dyDescent="0.35">
      <c r="D3248" s="233" t="s">
        <v>561</v>
      </c>
      <c r="F3248" s="886" t="s">
        <v>2904</v>
      </c>
      <c r="G3248" s="245" t="s">
        <v>2902</v>
      </c>
      <c r="I3248" s="173">
        <v>7</v>
      </c>
      <c r="J3248">
        <v>680</v>
      </c>
      <c r="K3248" s="173">
        <v>160</v>
      </c>
      <c r="L3248" s="173">
        <f t="shared" si="370"/>
        <v>1.6470588235294117</v>
      </c>
      <c r="M3248" s="173">
        <f t="shared" si="371"/>
        <v>8.6470588235294112</v>
      </c>
      <c r="O3248" s="173">
        <f t="shared" si="372"/>
        <v>12.970588235294116</v>
      </c>
      <c r="P3248" s="173">
        <v>25</v>
      </c>
    </row>
    <row r="3249" spans="4:16" x14ac:dyDescent="0.35">
      <c r="D3249" s="233" t="s">
        <v>561</v>
      </c>
      <c r="F3249" s="886" t="s">
        <v>2904</v>
      </c>
      <c r="G3249" s="245" t="s">
        <v>2902</v>
      </c>
      <c r="I3249" s="173">
        <v>7</v>
      </c>
      <c r="J3249">
        <v>680</v>
      </c>
      <c r="K3249" s="173">
        <v>160</v>
      </c>
      <c r="L3249" s="173">
        <f t="shared" si="370"/>
        <v>1.6470588235294117</v>
      </c>
      <c r="M3249" s="173">
        <f t="shared" si="371"/>
        <v>8.6470588235294112</v>
      </c>
      <c r="O3249" s="173">
        <f t="shared" si="372"/>
        <v>12.970588235294116</v>
      </c>
      <c r="P3249" s="173">
        <v>25</v>
      </c>
    </row>
    <row r="3250" spans="4:16" x14ac:dyDescent="0.35">
      <c r="D3250" s="233" t="s">
        <v>561</v>
      </c>
      <c r="E3250" s="12" t="s">
        <v>2960</v>
      </c>
      <c r="F3250" s="886" t="s">
        <v>2904</v>
      </c>
      <c r="G3250" s="245" t="s">
        <v>2902</v>
      </c>
      <c r="I3250" s="173">
        <v>7</v>
      </c>
      <c r="J3250">
        <v>680</v>
      </c>
      <c r="K3250" s="173">
        <v>160</v>
      </c>
      <c r="L3250" s="173">
        <f t="shared" ref="L3250" si="376">+I3250/J3250*K3250</f>
        <v>1.6470588235294117</v>
      </c>
      <c r="M3250" s="173">
        <f t="shared" ref="M3250" si="377">+I3250+L3250</f>
        <v>8.6470588235294112</v>
      </c>
      <c r="O3250" s="173">
        <f t="shared" ref="O3250" si="378">+M3250*1.5</f>
        <v>12.970588235294116</v>
      </c>
      <c r="P3250" s="173">
        <v>25</v>
      </c>
    </row>
    <row r="3251" spans="4:16" x14ac:dyDescent="0.35">
      <c r="D3251" s="233" t="s">
        <v>561</v>
      </c>
      <c r="F3251" s="886" t="s">
        <v>2904</v>
      </c>
      <c r="G3251" s="245" t="s">
        <v>2903</v>
      </c>
      <c r="I3251" s="173">
        <v>7</v>
      </c>
      <c r="J3251">
        <v>680</v>
      </c>
      <c r="K3251" s="173">
        <v>160</v>
      </c>
      <c r="L3251" s="173">
        <f t="shared" si="370"/>
        <v>1.6470588235294117</v>
      </c>
      <c r="M3251" s="173">
        <f t="shared" si="371"/>
        <v>8.6470588235294112</v>
      </c>
      <c r="O3251" s="173">
        <f t="shared" si="372"/>
        <v>12.970588235294116</v>
      </c>
      <c r="P3251" s="173">
        <v>25</v>
      </c>
    </row>
    <row r="3252" spans="4:16" x14ac:dyDescent="0.35">
      <c r="D3252" s="233" t="s">
        <v>561</v>
      </c>
      <c r="F3252" s="886" t="s">
        <v>2904</v>
      </c>
      <c r="G3252" s="245" t="s">
        <v>2903</v>
      </c>
      <c r="I3252" s="173">
        <v>7</v>
      </c>
      <c r="J3252">
        <v>680</v>
      </c>
      <c r="K3252" s="173">
        <v>160</v>
      </c>
      <c r="L3252" s="173">
        <f t="shared" si="370"/>
        <v>1.6470588235294117</v>
      </c>
      <c r="M3252" s="173">
        <f t="shared" si="371"/>
        <v>8.6470588235294112</v>
      </c>
      <c r="O3252" s="173">
        <f t="shared" si="372"/>
        <v>12.970588235294116</v>
      </c>
      <c r="P3252" s="173">
        <v>25</v>
      </c>
    </row>
    <row r="3253" spans="4:16" x14ac:dyDescent="0.35">
      <c r="D3253" s="233" t="s">
        <v>561</v>
      </c>
      <c r="F3253" s="886" t="s">
        <v>2904</v>
      </c>
      <c r="G3253" s="245" t="s">
        <v>2903</v>
      </c>
      <c r="I3253" s="173">
        <v>7</v>
      </c>
      <c r="J3253">
        <v>680</v>
      </c>
      <c r="K3253" s="173">
        <v>160</v>
      </c>
      <c r="L3253" s="173">
        <f t="shared" si="370"/>
        <v>1.6470588235294117</v>
      </c>
      <c r="M3253" s="173">
        <f t="shared" si="371"/>
        <v>8.6470588235294112</v>
      </c>
      <c r="O3253" s="173">
        <f t="shared" si="372"/>
        <v>12.970588235294116</v>
      </c>
      <c r="P3253" s="173">
        <v>25</v>
      </c>
    </row>
    <row r="3254" spans="4:16" x14ac:dyDescent="0.35">
      <c r="D3254" s="233" t="s">
        <v>561</v>
      </c>
      <c r="F3254" s="886" t="s">
        <v>2904</v>
      </c>
      <c r="G3254" s="245" t="s">
        <v>2903</v>
      </c>
      <c r="I3254" s="173">
        <v>7</v>
      </c>
      <c r="J3254">
        <v>680</v>
      </c>
      <c r="K3254" s="173">
        <v>160</v>
      </c>
      <c r="L3254" s="173">
        <f t="shared" si="370"/>
        <v>1.6470588235294117</v>
      </c>
      <c r="M3254" s="173">
        <f t="shared" si="371"/>
        <v>8.6470588235294112</v>
      </c>
      <c r="O3254" s="173">
        <f t="shared" si="372"/>
        <v>12.970588235294116</v>
      </c>
      <c r="P3254" s="173">
        <v>25</v>
      </c>
    </row>
    <row r="3255" spans="4:16" x14ac:dyDescent="0.35">
      <c r="D3255" s="233" t="s">
        <v>561</v>
      </c>
      <c r="F3255" s="886" t="s">
        <v>2904</v>
      </c>
      <c r="G3255" s="245" t="s">
        <v>2903</v>
      </c>
      <c r="I3255" s="173">
        <v>7</v>
      </c>
      <c r="J3255">
        <v>680</v>
      </c>
      <c r="K3255" s="173">
        <v>160</v>
      </c>
      <c r="L3255" s="173">
        <f t="shared" si="370"/>
        <v>1.6470588235294117</v>
      </c>
      <c r="M3255" s="173">
        <f t="shared" si="371"/>
        <v>8.6470588235294112</v>
      </c>
      <c r="O3255" s="173">
        <f t="shared" si="372"/>
        <v>12.970588235294116</v>
      </c>
      <c r="P3255" s="173">
        <v>25</v>
      </c>
    </row>
    <row r="3256" spans="4:16" x14ac:dyDescent="0.35">
      <c r="D3256" s="233" t="s">
        <v>561</v>
      </c>
      <c r="F3256" s="886" t="s">
        <v>2904</v>
      </c>
      <c r="G3256" s="245" t="s">
        <v>2903</v>
      </c>
      <c r="I3256" s="173">
        <v>7</v>
      </c>
      <c r="J3256">
        <v>680</v>
      </c>
      <c r="K3256" s="173">
        <v>160</v>
      </c>
      <c r="L3256" s="173">
        <f t="shared" si="370"/>
        <v>1.6470588235294117</v>
      </c>
      <c r="M3256" s="173">
        <f t="shared" si="371"/>
        <v>8.6470588235294112</v>
      </c>
      <c r="O3256" s="173">
        <f t="shared" si="372"/>
        <v>12.970588235294116</v>
      </c>
      <c r="P3256" s="173">
        <v>25</v>
      </c>
    </row>
    <row r="3257" spans="4:16" x14ac:dyDescent="0.35">
      <c r="D3257" s="233" t="s">
        <v>561</v>
      </c>
      <c r="F3257" s="886" t="s">
        <v>2904</v>
      </c>
      <c r="G3257" s="245" t="s">
        <v>2903</v>
      </c>
      <c r="I3257" s="173">
        <v>7</v>
      </c>
      <c r="J3257">
        <v>680</v>
      </c>
      <c r="K3257" s="173">
        <v>160</v>
      </c>
      <c r="L3257" s="173">
        <f t="shared" si="370"/>
        <v>1.6470588235294117</v>
      </c>
      <c r="M3257" s="173">
        <f t="shared" si="371"/>
        <v>8.6470588235294112</v>
      </c>
      <c r="O3257" s="173">
        <f t="shared" si="372"/>
        <v>12.970588235294116</v>
      </c>
      <c r="P3257" s="173">
        <v>25</v>
      </c>
    </row>
    <row r="3258" spans="4:16" x14ac:dyDescent="0.35">
      <c r="D3258" s="233" t="s">
        <v>561</v>
      </c>
      <c r="F3258" s="886" t="s">
        <v>2904</v>
      </c>
      <c r="G3258" s="245" t="s">
        <v>2903</v>
      </c>
      <c r="I3258" s="173">
        <v>7</v>
      </c>
      <c r="J3258">
        <v>680</v>
      </c>
      <c r="K3258" s="173">
        <v>160</v>
      </c>
      <c r="L3258" s="173">
        <f t="shared" si="370"/>
        <v>1.6470588235294117</v>
      </c>
      <c r="M3258" s="173">
        <f t="shared" si="371"/>
        <v>8.6470588235294112</v>
      </c>
      <c r="O3258" s="173">
        <f t="shared" si="372"/>
        <v>12.970588235294116</v>
      </c>
      <c r="P3258" s="173">
        <v>25</v>
      </c>
    </row>
    <row r="3259" spans="4:16" x14ac:dyDescent="0.35">
      <c r="D3259" s="233" t="s">
        <v>561</v>
      </c>
      <c r="E3259" s="12" t="s">
        <v>2960</v>
      </c>
      <c r="F3259" s="886" t="s">
        <v>2904</v>
      </c>
      <c r="G3259" s="245" t="s">
        <v>2903</v>
      </c>
      <c r="I3259" s="173">
        <v>7</v>
      </c>
      <c r="J3259">
        <v>680</v>
      </c>
      <c r="K3259" s="173">
        <v>160</v>
      </c>
      <c r="L3259" s="173">
        <f t="shared" ref="L3259" si="379">+I3259/J3259*K3259</f>
        <v>1.6470588235294117</v>
      </c>
      <c r="M3259" s="173">
        <f t="shared" ref="M3259" si="380">+I3259+L3259</f>
        <v>8.6470588235294112</v>
      </c>
      <c r="O3259" s="173">
        <f t="shared" ref="O3259" si="381">+M3259*1.5</f>
        <v>12.970588235294116</v>
      </c>
      <c r="P3259" s="173">
        <v>25</v>
      </c>
    </row>
    <row r="3260" spans="4:16" x14ac:dyDescent="0.35">
      <c r="F3260" s="886"/>
    </row>
    <row r="3261" spans="4:16" x14ac:dyDescent="0.35">
      <c r="F3261" s="886"/>
      <c r="G3261" s="256" t="s">
        <v>3054</v>
      </c>
    </row>
    <row r="3262" spans="4:16" x14ac:dyDescent="0.35">
      <c r="D3262" s="233" t="s">
        <v>561</v>
      </c>
      <c r="F3262" s="886"/>
      <c r="G3262" s="245" t="s">
        <v>3055</v>
      </c>
      <c r="I3262" s="173">
        <v>12</v>
      </c>
      <c r="J3262">
        <v>928</v>
      </c>
      <c r="K3262" s="173">
        <v>400</v>
      </c>
      <c r="L3262" s="173">
        <f t="shared" ref="L3262" si="382">+I3262/J3262*K3262</f>
        <v>5.1724137931034484</v>
      </c>
      <c r="M3262" s="173">
        <f t="shared" ref="M3262" si="383">+I3262+L3262</f>
        <v>17.172413793103448</v>
      </c>
      <c r="O3262" s="173">
        <f>+M3262*2</f>
        <v>34.344827586206897</v>
      </c>
      <c r="P3262" s="173">
        <v>65</v>
      </c>
    </row>
    <row r="3263" spans="4:16" x14ac:dyDescent="0.35">
      <c r="F3263" s="886"/>
      <c r="G3263" s="245" t="s">
        <v>3055</v>
      </c>
      <c r="I3263" s="173">
        <v>12</v>
      </c>
      <c r="J3263">
        <v>928</v>
      </c>
      <c r="K3263" s="173">
        <v>400</v>
      </c>
      <c r="L3263" s="173">
        <f t="shared" ref="L3263:L3326" si="384">+I3263/J3263*K3263</f>
        <v>5.1724137931034484</v>
      </c>
      <c r="M3263" s="173">
        <f t="shared" ref="M3263:M3326" si="385">+I3263+L3263</f>
        <v>17.172413793103448</v>
      </c>
      <c r="O3263" s="173">
        <f t="shared" ref="O3263:O3326" si="386">+M3263*2</f>
        <v>34.344827586206897</v>
      </c>
      <c r="P3263" s="173">
        <v>65</v>
      </c>
    </row>
    <row r="3264" spans="4:16" x14ac:dyDescent="0.35">
      <c r="F3264" s="886"/>
      <c r="G3264" s="245" t="s">
        <v>3055</v>
      </c>
      <c r="I3264" s="173">
        <v>12</v>
      </c>
      <c r="J3264">
        <v>928</v>
      </c>
      <c r="K3264" s="173">
        <v>400</v>
      </c>
      <c r="L3264" s="173">
        <f t="shared" si="384"/>
        <v>5.1724137931034484</v>
      </c>
      <c r="M3264" s="173">
        <f t="shared" si="385"/>
        <v>17.172413793103448</v>
      </c>
      <c r="O3264" s="173">
        <f t="shared" si="386"/>
        <v>34.344827586206897</v>
      </c>
      <c r="P3264" s="173">
        <v>65</v>
      </c>
    </row>
    <row r="3265" spans="6:16" x14ac:dyDescent="0.35">
      <c r="F3265" s="886"/>
      <c r="G3265" s="245" t="s">
        <v>3055</v>
      </c>
      <c r="I3265" s="173">
        <v>12</v>
      </c>
      <c r="J3265">
        <v>928</v>
      </c>
      <c r="K3265" s="173">
        <v>400</v>
      </c>
      <c r="L3265" s="173">
        <f t="shared" si="384"/>
        <v>5.1724137931034484</v>
      </c>
      <c r="M3265" s="173">
        <f t="shared" si="385"/>
        <v>17.172413793103448</v>
      </c>
      <c r="O3265" s="173">
        <f t="shared" si="386"/>
        <v>34.344827586206897</v>
      </c>
      <c r="P3265" s="173">
        <v>65</v>
      </c>
    </row>
    <row r="3266" spans="6:16" x14ac:dyDescent="0.35">
      <c r="F3266" s="886"/>
      <c r="G3266" s="245" t="s">
        <v>3055</v>
      </c>
      <c r="I3266" s="173">
        <v>12</v>
      </c>
      <c r="J3266">
        <v>928</v>
      </c>
      <c r="K3266" s="173">
        <v>400</v>
      </c>
      <c r="L3266" s="173">
        <f t="shared" si="384"/>
        <v>5.1724137931034484</v>
      </c>
      <c r="M3266" s="173">
        <f t="shared" si="385"/>
        <v>17.172413793103448</v>
      </c>
      <c r="O3266" s="173">
        <f t="shared" si="386"/>
        <v>34.344827586206897</v>
      </c>
      <c r="P3266" s="173">
        <v>65</v>
      </c>
    </row>
    <row r="3267" spans="6:16" x14ac:dyDescent="0.35">
      <c r="F3267" s="886"/>
      <c r="G3267" s="245" t="s">
        <v>3056</v>
      </c>
      <c r="I3267" s="173">
        <v>12</v>
      </c>
      <c r="J3267">
        <v>928</v>
      </c>
      <c r="K3267" s="173">
        <v>400</v>
      </c>
      <c r="L3267" s="173">
        <f t="shared" si="384"/>
        <v>5.1724137931034484</v>
      </c>
      <c r="M3267" s="173">
        <f t="shared" si="385"/>
        <v>17.172413793103448</v>
      </c>
      <c r="O3267" s="173">
        <f t="shared" si="386"/>
        <v>34.344827586206897</v>
      </c>
      <c r="P3267" s="173">
        <v>65</v>
      </c>
    </row>
    <row r="3268" spans="6:16" x14ac:dyDescent="0.35">
      <c r="F3268" s="886"/>
      <c r="G3268" s="245" t="s">
        <v>3056</v>
      </c>
      <c r="I3268" s="173">
        <v>12</v>
      </c>
      <c r="J3268">
        <v>928</v>
      </c>
      <c r="K3268" s="173">
        <v>400</v>
      </c>
      <c r="L3268" s="173">
        <f t="shared" si="384"/>
        <v>5.1724137931034484</v>
      </c>
      <c r="M3268" s="173">
        <f t="shared" si="385"/>
        <v>17.172413793103448</v>
      </c>
      <c r="O3268" s="173">
        <f t="shared" si="386"/>
        <v>34.344827586206897</v>
      </c>
      <c r="P3268" s="173">
        <v>65</v>
      </c>
    </row>
    <row r="3269" spans="6:16" x14ac:dyDescent="0.35">
      <c r="F3269" s="886"/>
      <c r="G3269" s="245" t="s">
        <v>3056</v>
      </c>
      <c r="I3269" s="173">
        <v>12</v>
      </c>
      <c r="J3269">
        <v>928</v>
      </c>
      <c r="K3269" s="173">
        <v>400</v>
      </c>
      <c r="L3269" s="173">
        <f t="shared" si="384"/>
        <v>5.1724137931034484</v>
      </c>
      <c r="M3269" s="173">
        <f t="shared" si="385"/>
        <v>17.172413793103448</v>
      </c>
      <c r="O3269" s="173">
        <f t="shared" si="386"/>
        <v>34.344827586206897</v>
      </c>
      <c r="P3269" s="173">
        <v>65</v>
      </c>
    </row>
    <row r="3270" spans="6:16" x14ac:dyDescent="0.35">
      <c r="F3270" s="886"/>
      <c r="G3270" s="245" t="s">
        <v>3056</v>
      </c>
      <c r="I3270" s="173">
        <v>12</v>
      </c>
      <c r="J3270">
        <v>928</v>
      </c>
      <c r="K3270" s="173">
        <v>400</v>
      </c>
      <c r="L3270" s="173">
        <f t="shared" si="384"/>
        <v>5.1724137931034484</v>
      </c>
      <c r="M3270" s="173">
        <f t="shared" si="385"/>
        <v>17.172413793103448</v>
      </c>
      <c r="O3270" s="173">
        <f t="shared" si="386"/>
        <v>34.344827586206897</v>
      </c>
      <c r="P3270" s="173">
        <v>65</v>
      </c>
    </row>
    <row r="3271" spans="6:16" x14ac:dyDescent="0.35">
      <c r="F3271" s="886"/>
      <c r="G3271" s="245" t="s">
        <v>3056</v>
      </c>
      <c r="I3271" s="173">
        <v>12</v>
      </c>
      <c r="J3271">
        <v>928</v>
      </c>
      <c r="K3271" s="173">
        <v>400</v>
      </c>
      <c r="L3271" s="173">
        <f t="shared" si="384"/>
        <v>5.1724137931034484</v>
      </c>
      <c r="M3271" s="173">
        <f t="shared" si="385"/>
        <v>17.172413793103448</v>
      </c>
      <c r="O3271" s="173">
        <f t="shared" si="386"/>
        <v>34.344827586206897</v>
      </c>
      <c r="P3271" s="173">
        <v>65</v>
      </c>
    </row>
    <row r="3272" spans="6:16" x14ac:dyDescent="0.35">
      <c r="F3272" s="886"/>
      <c r="G3272" s="245" t="s">
        <v>3060</v>
      </c>
      <c r="I3272" s="173">
        <v>12</v>
      </c>
      <c r="J3272">
        <v>928</v>
      </c>
      <c r="K3272" s="173">
        <v>400</v>
      </c>
      <c r="L3272" s="173">
        <f t="shared" si="384"/>
        <v>5.1724137931034484</v>
      </c>
      <c r="M3272" s="173">
        <f t="shared" si="385"/>
        <v>17.172413793103448</v>
      </c>
      <c r="O3272" s="173">
        <f t="shared" si="386"/>
        <v>34.344827586206897</v>
      </c>
      <c r="P3272" s="173">
        <v>65</v>
      </c>
    </row>
    <row r="3273" spans="6:16" x14ac:dyDescent="0.35">
      <c r="F3273" s="886"/>
      <c r="G3273" s="245" t="s">
        <v>3060</v>
      </c>
      <c r="I3273" s="173">
        <v>12</v>
      </c>
      <c r="J3273">
        <v>928</v>
      </c>
      <c r="K3273" s="173">
        <v>400</v>
      </c>
      <c r="L3273" s="173">
        <f t="shared" si="384"/>
        <v>5.1724137931034484</v>
      </c>
      <c r="M3273" s="173">
        <f t="shared" si="385"/>
        <v>17.172413793103448</v>
      </c>
      <c r="O3273" s="173">
        <f t="shared" si="386"/>
        <v>34.344827586206897</v>
      </c>
      <c r="P3273" s="173">
        <v>65</v>
      </c>
    </row>
    <row r="3274" spans="6:16" x14ac:dyDescent="0.35">
      <c r="F3274" s="886"/>
      <c r="G3274" s="245" t="s">
        <v>3060</v>
      </c>
      <c r="I3274" s="173">
        <v>12</v>
      </c>
      <c r="J3274">
        <v>928</v>
      </c>
      <c r="K3274" s="173">
        <v>400</v>
      </c>
      <c r="L3274" s="173">
        <f t="shared" si="384"/>
        <v>5.1724137931034484</v>
      </c>
      <c r="M3274" s="173">
        <f t="shared" si="385"/>
        <v>17.172413793103448</v>
      </c>
      <c r="O3274" s="173">
        <f t="shared" si="386"/>
        <v>34.344827586206897</v>
      </c>
      <c r="P3274" s="173">
        <v>65</v>
      </c>
    </row>
    <row r="3275" spans="6:16" x14ac:dyDescent="0.35">
      <c r="F3275" s="886"/>
      <c r="G3275" s="245" t="s">
        <v>3060</v>
      </c>
      <c r="I3275" s="173">
        <v>12</v>
      </c>
      <c r="J3275">
        <v>928</v>
      </c>
      <c r="K3275" s="173">
        <v>400</v>
      </c>
      <c r="L3275" s="173">
        <f t="shared" si="384"/>
        <v>5.1724137931034484</v>
      </c>
      <c r="M3275" s="173">
        <f t="shared" si="385"/>
        <v>17.172413793103448</v>
      </c>
      <c r="O3275" s="173">
        <f t="shared" si="386"/>
        <v>34.344827586206897</v>
      </c>
      <c r="P3275" s="173">
        <v>65</v>
      </c>
    </row>
    <row r="3276" spans="6:16" x14ac:dyDescent="0.35">
      <c r="F3276" s="886"/>
      <c r="G3276" s="245" t="s">
        <v>3060</v>
      </c>
      <c r="I3276" s="173">
        <v>12</v>
      </c>
      <c r="J3276">
        <v>928</v>
      </c>
      <c r="K3276" s="173">
        <v>400</v>
      </c>
      <c r="L3276" s="173">
        <f t="shared" si="384"/>
        <v>5.1724137931034484</v>
      </c>
      <c r="M3276" s="173">
        <f t="shared" si="385"/>
        <v>17.172413793103448</v>
      </c>
      <c r="O3276" s="173">
        <f t="shared" si="386"/>
        <v>34.344827586206897</v>
      </c>
      <c r="P3276" s="173">
        <v>65</v>
      </c>
    </row>
    <row r="3277" spans="6:16" x14ac:dyDescent="0.35">
      <c r="F3277" s="886"/>
      <c r="G3277" s="245" t="s">
        <v>3057</v>
      </c>
      <c r="I3277" s="173">
        <v>12</v>
      </c>
      <c r="J3277">
        <v>928</v>
      </c>
      <c r="K3277" s="173">
        <v>400</v>
      </c>
      <c r="L3277" s="173">
        <f t="shared" si="384"/>
        <v>5.1724137931034484</v>
      </c>
      <c r="M3277" s="173">
        <f t="shared" si="385"/>
        <v>17.172413793103448</v>
      </c>
      <c r="O3277" s="173">
        <f t="shared" si="386"/>
        <v>34.344827586206897</v>
      </c>
      <c r="P3277" s="173">
        <v>70</v>
      </c>
    </row>
    <row r="3278" spans="6:16" x14ac:dyDescent="0.35">
      <c r="F3278" s="886"/>
      <c r="G3278" s="245" t="s">
        <v>3057</v>
      </c>
      <c r="I3278" s="173">
        <v>12</v>
      </c>
      <c r="J3278">
        <v>928</v>
      </c>
      <c r="K3278" s="173">
        <v>400</v>
      </c>
      <c r="L3278" s="173">
        <f t="shared" si="384"/>
        <v>5.1724137931034484</v>
      </c>
      <c r="M3278" s="173">
        <f t="shared" si="385"/>
        <v>17.172413793103448</v>
      </c>
      <c r="O3278" s="173">
        <f t="shared" si="386"/>
        <v>34.344827586206897</v>
      </c>
      <c r="P3278" s="173">
        <v>70</v>
      </c>
    </row>
    <row r="3279" spans="6:16" x14ac:dyDescent="0.35">
      <c r="F3279" s="886"/>
      <c r="G3279" s="245" t="s">
        <v>3057</v>
      </c>
      <c r="I3279" s="173">
        <v>12</v>
      </c>
      <c r="J3279">
        <v>928</v>
      </c>
      <c r="K3279" s="173">
        <v>400</v>
      </c>
      <c r="L3279" s="173">
        <f t="shared" si="384"/>
        <v>5.1724137931034484</v>
      </c>
      <c r="M3279" s="173">
        <f t="shared" si="385"/>
        <v>17.172413793103448</v>
      </c>
      <c r="O3279" s="173">
        <f t="shared" si="386"/>
        <v>34.344827586206897</v>
      </c>
      <c r="P3279" s="173">
        <v>70</v>
      </c>
    </row>
    <row r="3280" spans="6:16" x14ac:dyDescent="0.35">
      <c r="F3280" s="886"/>
      <c r="G3280" s="245" t="s">
        <v>3057</v>
      </c>
      <c r="I3280" s="173">
        <v>12</v>
      </c>
      <c r="J3280">
        <v>928</v>
      </c>
      <c r="K3280" s="173">
        <v>400</v>
      </c>
      <c r="L3280" s="173">
        <f t="shared" si="384"/>
        <v>5.1724137931034484</v>
      </c>
      <c r="M3280" s="173">
        <f t="shared" si="385"/>
        <v>17.172413793103448</v>
      </c>
      <c r="O3280" s="173">
        <f t="shared" si="386"/>
        <v>34.344827586206897</v>
      </c>
      <c r="P3280" s="173">
        <v>70</v>
      </c>
    </row>
    <row r="3281" spans="6:16" x14ac:dyDescent="0.35">
      <c r="F3281" s="886"/>
      <c r="G3281" s="245" t="s">
        <v>3057</v>
      </c>
      <c r="I3281" s="173">
        <v>12</v>
      </c>
      <c r="J3281">
        <v>928</v>
      </c>
      <c r="K3281" s="173">
        <v>400</v>
      </c>
      <c r="L3281" s="173">
        <f t="shared" si="384"/>
        <v>5.1724137931034484</v>
      </c>
      <c r="M3281" s="173">
        <f t="shared" si="385"/>
        <v>17.172413793103448</v>
      </c>
      <c r="O3281" s="173">
        <f t="shared" si="386"/>
        <v>34.344827586206897</v>
      </c>
      <c r="P3281" s="173">
        <v>70</v>
      </c>
    </row>
    <row r="3282" spans="6:16" x14ac:dyDescent="0.35">
      <c r="F3282" s="886"/>
      <c r="G3282" s="245" t="s">
        <v>3057</v>
      </c>
      <c r="I3282" s="173">
        <v>12</v>
      </c>
      <c r="J3282">
        <v>928</v>
      </c>
      <c r="K3282" s="173">
        <v>400</v>
      </c>
      <c r="L3282" s="173">
        <f t="shared" si="384"/>
        <v>5.1724137931034484</v>
      </c>
      <c r="M3282" s="173">
        <f t="shared" si="385"/>
        <v>17.172413793103448</v>
      </c>
      <c r="O3282" s="173">
        <f t="shared" si="386"/>
        <v>34.344827586206897</v>
      </c>
      <c r="P3282" s="173">
        <v>70</v>
      </c>
    </row>
    <row r="3283" spans="6:16" x14ac:dyDescent="0.35">
      <c r="F3283" s="886"/>
      <c r="G3283" s="245" t="s">
        <v>3057</v>
      </c>
      <c r="I3283" s="173">
        <v>12</v>
      </c>
      <c r="J3283">
        <v>928</v>
      </c>
      <c r="K3283" s="173">
        <v>400</v>
      </c>
      <c r="L3283" s="173">
        <f t="shared" si="384"/>
        <v>5.1724137931034484</v>
      </c>
      <c r="M3283" s="173">
        <f t="shared" si="385"/>
        <v>17.172413793103448</v>
      </c>
      <c r="O3283" s="173">
        <f t="shared" si="386"/>
        <v>34.344827586206897</v>
      </c>
      <c r="P3283" s="173">
        <v>70</v>
      </c>
    </row>
    <row r="3284" spans="6:16" x14ac:dyDescent="0.35">
      <c r="F3284" s="886"/>
      <c r="G3284" s="245" t="s">
        <v>3057</v>
      </c>
      <c r="I3284" s="173">
        <v>12</v>
      </c>
      <c r="J3284">
        <v>928</v>
      </c>
      <c r="K3284" s="173">
        <v>400</v>
      </c>
      <c r="L3284" s="173">
        <f t="shared" si="384"/>
        <v>5.1724137931034484</v>
      </c>
      <c r="M3284" s="173">
        <f t="shared" si="385"/>
        <v>17.172413793103448</v>
      </c>
      <c r="O3284" s="173">
        <f t="shared" si="386"/>
        <v>34.344827586206897</v>
      </c>
      <c r="P3284" s="173">
        <v>70</v>
      </c>
    </row>
    <row r="3285" spans="6:16" x14ac:dyDescent="0.35">
      <c r="F3285" s="886"/>
      <c r="G3285" s="245" t="s">
        <v>3057</v>
      </c>
      <c r="I3285" s="173">
        <v>12</v>
      </c>
      <c r="J3285">
        <v>928</v>
      </c>
      <c r="K3285" s="173">
        <v>400</v>
      </c>
      <c r="L3285" s="173">
        <f t="shared" si="384"/>
        <v>5.1724137931034484</v>
      </c>
      <c r="M3285" s="173">
        <f t="shared" si="385"/>
        <v>17.172413793103448</v>
      </c>
      <c r="O3285" s="173">
        <f t="shared" si="386"/>
        <v>34.344827586206897</v>
      </c>
      <c r="P3285" s="173">
        <v>70</v>
      </c>
    </row>
    <row r="3286" spans="6:16" x14ac:dyDescent="0.35">
      <c r="F3286" s="886"/>
      <c r="G3286" s="245" t="s">
        <v>3057</v>
      </c>
      <c r="I3286" s="173">
        <v>12</v>
      </c>
      <c r="J3286">
        <v>928</v>
      </c>
      <c r="K3286" s="173">
        <v>400</v>
      </c>
      <c r="L3286" s="173">
        <f t="shared" si="384"/>
        <v>5.1724137931034484</v>
      </c>
      <c r="M3286" s="173">
        <f t="shared" si="385"/>
        <v>17.172413793103448</v>
      </c>
      <c r="O3286" s="173">
        <f t="shared" si="386"/>
        <v>34.344827586206897</v>
      </c>
      <c r="P3286" s="173">
        <v>70</v>
      </c>
    </row>
    <row r="3287" spans="6:16" x14ac:dyDescent="0.35">
      <c r="F3287" s="886"/>
      <c r="G3287" s="245" t="s">
        <v>3058</v>
      </c>
      <c r="I3287" s="173">
        <v>12</v>
      </c>
      <c r="J3287">
        <v>928</v>
      </c>
      <c r="K3287" s="173">
        <v>400</v>
      </c>
      <c r="L3287" s="173">
        <f t="shared" si="384"/>
        <v>5.1724137931034484</v>
      </c>
      <c r="M3287" s="173">
        <f t="shared" si="385"/>
        <v>17.172413793103448</v>
      </c>
      <c r="O3287" s="173">
        <f t="shared" si="386"/>
        <v>34.344827586206897</v>
      </c>
      <c r="P3287" s="173">
        <v>70</v>
      </c>
    </row>
    <row r="3288" spans="6:16" x14ac:dyDescent="0.35">
      <c r="F3288" s="886"/>
      <c r="G3288" s="245" t="s">
        <v>3058</v>
      </c>
      <c r="I3288" s="173">
        <v>12</v>
      </c>
      <c r="J3288">
        <v>928</v>
      </c>
      <c r="K3288" s="173">
        <v>400</v>
      </c>
      <c r="L3288" s="173">
        <f t="shared" si="384"/>
        <v>5.1724137931034484</v>
      </c>
      <c r="M3288" s="173">
        <f t="shared" si="385"/>
        <v>17.172413793103448</v>
      </c>
      <c r="O3288" s="173">
        <f t="shared" si="386"/>
        <v>34.344827586206897</v>
      </c>
      <c r="P3288" s="173">
        <v>70</v>
      </c>
    </row>
    <row r="3289" spans="6:16" x14ac:dyDescent="0.35">
      <c r="F3289" s="886"/>
      <c r="G3289" s="245" t="s">
        <v>3058</v>
      </c>
      <c r="I3289" s="173">
        <v>12</v>
      </c>
      <c r="J3289">
        <v>928</v>
      </c>
      <c r="K3289" s="173">
        <v>400</v>
      </c>
      <c r="L3289" s="173">
        <f t="shared" si="384"/>
        <v>5.1724137931034484</v>
      </c>
      <c r="M3289" s="173">
        <f t="shared" si="385"/>
        <v>17.172413793103448</v>
      </c>
      <c r="O3289" s="173">
        <f t="shared" si="386"/>
        <v>34.344827586206897</v>
      </c>
      <c r="P3289" s="173">
        <v>70</v>
      </c>
    </row>
    <row r="3290" spans="6:16" x14ac:dyDescent="0.35">
      <c r="F3290" s="886"/>
      <c r="G3290" s="245" t="s">
        <v>3058</v>
      </c>
      <c r="I3290" s="173">
        <v>12</v>
      </c>
      <c r="J3290">
        <v>928</v>
      </c>
      <c r="K3290" s="173">
        <v>400</v>
      </c>
      <c r="L3290" s="173">
        <f t="shared" si="384"/>
        <v>5.1724137931034484</v>
      </c>
      <c r="M3290" s="173">
        <f t="shared" si="385"/>
        <v>17.172413793103448</v>
      </c>
      <c r="O3290" s="173">
        <f t="shared" si="386"/>
        <v>34.344827586206897</v>
      </c>
      <c r="P3290" s="173">
        <v>70</v>
      </c>
    </row>
    <row r="3291" spans="6:16" x14ac:dyDescent="0.35">
      <c r="F3291" s="886"/>
      <c r="G3291" s="245" t="s">
        <v>3058</v>
      </c>
      <c r="I3291" s="173">
        <v>12</v>
      </c>
      <c r="J3291">
        <v>928</v>
      </c>
      <c r="K3291" s="173">
        <v>400</v>
      </c>
      <c r="L3291" s="173">
        <f t="shared" si="384"/>
        <v>5.1724137931034484</v>
      </c>
      <c r="M3291" s="173">
        <f t="shared" si="385"/>
        <v>17.172413793103448</v>
      </c>
      <c r="O3291" s="173">
        <f t="shared" si="386"/>
        <v>34.344827586206897</v>
      </c>
      <c r="P3291" s="173">
        <v>70</v>
      </c>
    </row>
    <row r="3292" spans="6:16" x14ac:dyDescent="0.35">
      <c r="F3292" s="886"/>
      <c r="G3292" s="245" t="s">
        <v>3059</v>
      </c>
      <c r="I3292" s="173">
        <v>12</v>
      </c>
      <c r="J3292">
        <v>928</v>
      </c>
      <c r="K3292" s="173">
        <v>400</v>
      </c>
      <c r="L3292" s="173">
        <f t="shared" si="384"/>
        <v>5.1724137931034484</v>
      </c>
      <c r="M3292" s="173">
        <f t="shared" si="385"/>
        <v>17.172413793103448</v>
      </c>
      <c r="O3292" s="173">
        <f t="shared" si="386"/>
        <v>34.344827586206897</v>
      </c>
      <c r="P3292" s="173">
        <v>70</v>
      </c>
    </row>
    <row r="3293" spans="6:16" x14ac:dyDescent="0.35">
      <c r="F3293" s="886"/>
      <c r="G3293" s="245" t="s">
        <v>3059</v>
      </c>
      <c r="I3293" s="173">
        <v>12</v>
      </c>
      <c r="J3293">
        <v>928</v>
      </c>
      <c r="K3293" s="173">
        <v>400</v>
      </c>
      <c r="L3293" s="173">
        <f t="shared" si="384"/>
        <v>5.1724137931034484</v>
      </c>
      <c r="M3293" s="173">
        <f t="shared" si="385"/>
        <v>17.172413793103448</v>
      </c>
      <c r="O3293" s="173">
        <f t="shared" si="386"/>
        <v>34.344827586206897</v>
      </c>
      <c r="P3293" s="173">
        <v>70</v>
      </c>
    </row>
    <row r="3294" spans="6:16" x14ac:dyDescent="0.35">
      <c r="F3294" s="886"/>
      <c r="G3294" s="245" t="s">
        <v>3059</v>
      </c>
      <c r="I3294" s="173">
        <v>12</v>
      </c>
      <c r="J3294">
        <v>928</v>
      </c>
      <c r="K3294" s="173">
        <v>400</v>
      </c>
      <c r="L3294" s="173">
        <f t="shared" si="384"/>
        <v>5.1724137931034484</v>
      </c>
      <c r="M3294" s="173">
        <f t="shared" si="385"/>
        <v>17.172413793103448</v>
      </c>
      <c r="O3294" s="173">
        <f t="shared" si="386"/>
        <v>34.344827586206897</v>
      </c>
      <c r="P3294" s="173">
        <v>70</v>
      </c>
    </row>
    <row r="3295" spans="6:16" x14ac:dyDescent="0.35">
      <c r="F3295" s="886"/>
      <c r="G3295" s="245" t="s">
        <v>3059</v>
      </c>
      <c r="I3295" s="173">
        <v>12</v>
      </c>
      <c r="J3295">
        <v>928</v>
      </c>
      <c r="K3295" s="173">
        <v>400</v>
      </c>
      <c r="L3295" s="173">
        <f t="shared" si="384"/>
        <v>5.1724137931034484</v>
      </c>
      <c r="M3295" s="173">
        <f t="shared" si="385"/>
        <v>17.172413793103448</v>
      </c>
      <c r="O3295" s="173">
        <f t="shared" si="386"/>
        <v>34.344827586206897</v>
      </c>
      <c r="P3295" s="173">
        <v>70</v>
      </c>
    </row>
    <row r="3296" spans="6:16" x14ac:dyDescent="0.35">
      <c r="F3296" s="886"/>
      <c r="G3296" s="245" t="s">
        <v>3059</v>
      </c>
      <c r="I3296" s="173">
        <v>12</v>
      </c>
      <c r="J3296">
        <v>928</v>
      </c>
      <c r="K3296" s="173">
        <v>400</v>
      </c>
      <c r="L3296" s="173">
        <f t="shared" si="384"/>
        <v>5.1724137931034484</v>
      </c>
      <c r="M3296" s="173">
        <f t="shared" si="385"/>
        <v>17.172413793103448</v>
      </c>
      <c r="O3296" s="173">
        <f t="shared" si="386"/>
        <v>34.344827586206897</v>
      </c>
      <c r="P3296" s="173">
        <v>70</v>
      </c>
    </row>
    <row r="3297" spans="6:16" x14ac:dyDescent="0.35">
      <c r="F3297" s="886"/>
      <c r="G3297" s="245" t="s">
        <v>3061</v>
      </c>
      <c r="I3297" s="173">
        <v>12</v>
      </c>
      <c r="J3297">
        <v>928</v>
      </c>
      <c r="K3297" s="173">
        <v>400</v>
      </c>
      <c r="L3297" s="173">
        <f t="shared" si="384"/>
        <v>5.1724137931034484</v>
      </c>
      <c r="M3297" s="173">
        <f t="shared" si="385"/>
        <v>17.172413793103448</v>
      </c>
      <c r="O3297" s="173">
        <f t="shared" si="386"/>
        <v>34.344827586206897</v>
      </c>
      <c r="P3297" s="173">
        <v>65</v>
      </c>
    </row>
    <row r="3298" spans="6:16" x14ac:dyDescent="0.35">
      <c r="F3298" s="886"/>
      <c r="G3298" s="245" t="s">
        <v>3061</v>
      </c>
      <c r="I3298" s="173">
        <v>12</v>
      </c>
      <c r="J3298">
        <v>928</v>
      </c>
      <c r="K3298" s="173">
        <v>400</v>
      </c>
      <c r="L3298" s="173">
        <f t="shared" si="384"/>
        <v>5.1724137931034484</v>
      </c>
      <c r="M3298" s="173">
        <f t="shared" si="385"/>
        <v>17.172413793103448</v>
      </c>
      <c r="O3298" s="173">
        <f t="shared" si="386"/>
        <v>34.344827586206897</v>
      </c>
      <c r="P3298" s="173">
        <v>65</v>
      </c>
    </row>
    <row r="3299" spans="6:16" x14ac:dyDescent="0.35">
      <c r="F3299" s="886"/>
      <c r="G3299" s="245" t="s">
        <v>3061</v>
      </c>
      <c r="I3299" s="173">
        <v>12</v>
      </c>
      <c r="J3299">
        <v>928</v>
      </c>
      <c r="K3299" s="173">
        <v>400</v>
      </c>
      <c r="L3299" s="173">
        <f t="shared" si="384"/>
        <v>5.1724137931034484</v>
      </c>
      <c r="M3299" s="173">
        <f t="shared" si="385"/>
        <v>17.172413793103448</v>
      </c>
      <c r="O3299" s="173">
        <f t="shared" si="386"/>
        <v>34.344827586206897</v>
      </c>
      <c r="P3299" s="173">
        <v>65</v>
      </c>
    </row>
    <row r="3300" spans="6:16" x14ac:dyDescent="0.35">
      <c r="F3300" s="886"/>
      <c r="G3300" s="245" t="s">
        <v>3061</v>
      </c>
      <c r="I3300" s="173">
        <v>12</v>
      </c>
      <c r="J3300">
        <v>928</v>
      </c>
      <c r="K3300" s="173">
        <v>400</v>
      </c>
      <c r="L3300" s="173">
        <f t="shared" si="384"/>
        <v>5.1724137931034484</v>
      </c>
      <c r="M3300" s="173">
        <f t="shared" si="385"/>
        <v>17.172413793103448</v>
      </c>
      <c r="O3300" s="173">
        <f t="shared" si="386"/>
        <v>34.344827586206897</v>
      </c>
      <c r="P3300" s="173">
        <v>65</v>
      </c>
    </row>
    <row r="3301" spans="6:16" x14ac:dyDescent="0.35">
      <c r="F3301" s="886"/>
      <c r="G3301" s="245" t="s">
        <v>3061</v>
      </c>
      <c r="I3301" s="173">
        <v>12</v>
      </c>
      <c r="J3301">
        <v>928</v>
      </c>
      <c r="K3301" s="173">
        <v>400</v>
      </c>
      <c r="L3301" s="173">
        <f t="shared" si="384"/>
        <v>5.1724137931034484</v>
      </c>
      <c r="M3301" s="173">
        <f t="shared" si="385"/>
        <v>17.172413793103448</v>
      </c>
      <c r="O3301" s="173">
        <f t="shared" si="386"/>
        <v>34.344827586206897</v>
      </c>
      <c r="P3301" s="173">
        <v>65</v>
      </c>
    </row>
    <row r="3302" spans="6:16" x14ac:dyDescent="0.35">
      <c r="F3302" s="886"/>
      <c r="G3302" s="245" t="s">
        <v>3062</v>
      </c>
      <c r="I3302" s="173">
        <v>12</v>
      </c>
      <c r="J3302">
        <v>928</v>
      </c>
      <c r="K3302" s="173">
        <v>400</v>
      </c>
      <c r="L3302" s="173">
        <f t="shared" si="384"/>
        <v>5.1724137931034484</v>
      </c>
      <c r="M3302" s="173">
        <f t="shared" si="385"/>
        <v>17.172413793103448</v>
      </c>
      <c r="O3302" s="173">
        <f t="shared" si="386"/>
        <v>34.344827586206897</v>
      </c>
      <c r="P3302" s="173">
        <v>65</v>
      </c>
    </row>
    <row r="3303" spans="6:16" x14ac:dyDescent="0.35">
      <c r="F3303" s="886"/>
      <c r="G3303" s="245" t="s">
        <v>3062</v>
      </c>
      <c r="I3303" s="173">
        <v>12</v>
      </c>
      <c r="J3303">
        <v>928</v>
      </c>
      <c r="K3303" s="173">
        <v>400</v>
      </c>
      <c r="L3303" s="173">
        <f t="shared" si="384"/>
        <v>5.1724137931034484</v>
      </c>
      <c r="M3303" s="173">
        <f t="shared" si="385"/>
        <v>17.172413793103448</v>
      </c>
      <c r="O3303" s="173">
        <f t="shared" si="386"/>
        <v>34.344827586206897</v>
      </c>
      <c r="P3303" s="173">
        <v>65</v>
      </c>
    </row>
    <row r="3304" spans="6:16" x14ac:dyDescent="0.35">
      <c r="F3304" s="886"/>
      <c r="G3304" s="245" t="s">
        <v>3062</v>
      </c>
      <c r="I3304" s="173">
        <v>12</v>
      </c>
      <c r="J3304">
        <v>928</v>
      </c>
      <c r="K3304" s="173">
        <v>400</v>
      </c>
      <c r="L3304" s="173">
        <f t="shared" si="384"/>
        <v>5.1724137931034484</v>
      </c>
      <c r="M3304" s="173">
        <f t="shared" si="385"/>
        <v>17.172413793103448</v>
      </c>
      <c r="O3304" s="173">
        <f t="shared" si="386"/>
        <v>34.344827586206897</v>
      </c>
      <c r="P3304" s="173">
        <v>65</v>
      </c>
    </row>
    <row r="3305" spans="6:16" x14ac:dyDescent="0.35">
      <c r="F3305" s="886"/>
      <c r="G3305" s="245" t="s">
        <v>3062</v>
      </c>
      <c r="I3305" s="173">
        <v>12</v>
      </c>
      <c r="J3305">
        <v>928</v>
      </c>
      <c r="K3305" s="173">
        <v>400</v>
      </c>
      <c r="L3305" s="173">
        <f t="shared" si="384"/>
        <v>5.1724137931034484</v>
      </c>
      <c r="M3305" s="173">
        <f t="shared" si="385"/>
        <v>17.172413793103448</v>
      </c>
      <c r="O3305" s="173">
        <f t="shared" si="386"/>
        <v>34.344827586206897</v>
      </c>
      <c r="P3305" s="173">
        <v>65</v>
      </c>
    </row>
    <row r="3306" spans="6:16" x14ac:dyDescent="0.35">
      <c r="F3306" s="886"/>
      <c r="G3306" s="245" t="s">
        <v>3062</v>
      </c>
      <c r="I3306" s="173">
        <v>12</v>
      </c>
      <c r="J3306">
        <v>928</v>
      </c>
      <c r="K3306" s="173">
        <v>400</v>
      </c>
      <c r="L3306" s="173">
        <f t="shared" si="384"/>
        <v>5.1724137931034484</v>
      </c>
      <c r="M3306" s="173">
        <f t="shared" si="385"/>
        <v>17.172413793103448</v>
      </c>
      <c r="O3306" s="173">
        <f t="shared" si="386"/>
        <v>34.344827586206897</v>
      </c>
      <c r="P3306" s="173">
        <v>65</v>
      </c>
    </row>
    <row r="3307" spans="6:16" x14ac:dyDescent="0.35">
      <c r="F3307" s="886"/>
      <c r="G3307" s="245" t="s">
        <v>3063</v>
      </c>
      <c r="I3307" s="173">
        <v>10</v>
      </c>
      <c r="J3307">
        <v>928</v>
      </c>
      <c r="K3307" s="173">
        <v>400</v>
      </c>
      <c r="L3307" s="173">
        <f t="shared" si="384"/>
        <v>4.3103448275862073</v>
      </c>
      <c r="M3307" s="173">
        <f t="shared" si="385"/>
        <v>14.310344827586206</v>
      </c>
      <c r="O3307" s="173">
        <f t="shared" si="386"/>
        <v>28.620689655172413</v>
      </c>
      <c r="P3307" s="173">
        <v>50</v>
      </c>
    </row>
    <row r="3308" spans="6:16" x14ac:dyDescent="0.35">
      <c r="F3308" s="886"/>
      <c r="G3308" s="245" t="s">
        <v>3063</v>
      </c>
      <c r="I3308" s="173">
        <v>10</v>
      </c>
      <c r="J3308">
        <v>928</v>
      </c>
      <c r="K3308" s="173">
        <v>400</v>
      </c>
      <c r="L3308" s="173">
        <f t="shared" si="384"/>
        <v>4.3103448275862073</v>
      </c>
      <c r="M3308" s="173">
        <f t="shared" si="385"/>
        <v>14.310344827586206</v>
      </c>
      <c r="O3308" s="173">
        <f t="shared" si="386"/>
        <v>28.620689655172413</v>
      </c>
      <c r="P3308" s="173">
        <v>50</v>
      </c>
    </row>
    <row r="3309" spans="6:16" x14ac:dyDescent="0.35">
      <c r="F3309" s="886"/>
      <c r="G3309" s="245" t="s">
        <v>3063</v>
      </c>
      <c r="I3309" s="173">
        <v>10</v>
      </c>
      <c r="J3309">
        <v>928</v>
      </c>
      <c r="K3309" s="173">
        <v>400</v>
      </c>
      <c r="L3309" s="173">
        <f t="shared" si="384"/>
        <v>4.3103448275862073</v>
      </c>
      <c r="M3309" s="173">
        <f t="shared" si="385"/>
        <v>14.310344827586206</v>
      </c>
      <c r="O3309" s="173">
        <f t="shared" si="386"/>
        <v>28.620689655172413</v>
      </c>
      <c r="P3309" s="173">
        <v>50</v>
      </c>
    </row>
    <row r="3310" spans="6:16" x14ac:dyDescent="0.35">
      <c r="F3310" s="886"/>
      <c r="G3310" s="245" t="s">
        <v>3063</v>
      </c>
      <c r="I3310" s="173">
        <v>10</v>
      </c>
      <c r="J3310">
        <v>928</v>
      </c>
      <c r="K3310" s="173">
        <v>400</v>
      </c>
      <c r="L3310" s="173">
        <f t="shared" si="384"/>
        <v>4.3103448275862073</v>
      </c>
      <c r="M3310" s="173">
        <f t="shared" si="385"/>
        <v>14.310344827586206</v>
      </c>
      <c r="O3310" s="173">
        <f t="shared" si="386"/>
        <v>28.620689655172413</v>
      </c>
      <c r="P3310" s="173">
        <v>50</v>
      </c>
    </row>
    <row r="3311" spans="6:16" x14ac:dyDescent="0.35">
      <c r="F3311" s="886"/>
      <c r="G3311" s="245" t="s">
        <v>3063</v>
      </c>
      <c r="I3311" s="173">
        <v>10</v>
      </c>
      <c r="J3311">
        <v>928</v>
      </c>
      <c r="K3311" s="173">
        <v>400</v>
      </c>
      <c r="L3311" s="173">
        <f t="shared" si="384"/>
        <v>4.3103448275862073</v>
      </c>
      <c r="M3311" s="173">
        <f t="shared" si="385"/>
        <v>14.310344827586206</v>
      </c>
      <c r="O3311" s="173">
        <f t="shared" si="386"/>
        <v>28.620689655172413</v>
      </c>
      <c r="P3311" s="173">
        <v>50</v>
      </c>
    </row>
    <row r="3312" spans="6:16" x14ac:dyDescent="0.35">
      <c r="F3312" s="886"/>
      <c r="G3312" s="245" t="s">
        <v>3064</v>
      </c>
      <c r="I3312" s="173">
        <v>10</v>
      </c>
      <c r="J3312">
        <v>928</v>
      </c>
      <c r="K3312" s="173">
        <v>400</v>
      </c>
      <c r="L3312" s="173">
        <f t="shared" si="384"/>
        <v>4.3103448275862073</v>
      </c>
      <c r="M3312" s="173">
        <f t="shared" si="385"/>
        <v>14.310344827586206</v>
      </c>
      <c r="O3312" s="173">
        <f t="shared" si="386"/>
        <v>28.620689655172413</v>
      </c>
      <c r="P3312" s="173">
        <v>45</v>
      </c>
    </row>
    <row r="3313" spans="6:16" x14ac:dyDescent="0.35">
      <c r="F3313" s="886"/>
      <c r="G3313" s="245" t="s">
        <v>3064</v>
      </c>
      <c r="I3313" s="173">
        <v>10</v>
      </c>
      <c r="J3313">
        <v>928</v>
      </c>
      <c r="K3313" s="173">
        <v>400</v>
      </c>
      <c r="L3313" s="173">
        <f t="shared" si="384"/>
        <v>4.3103448275862073</v>
      </c>
      <c r="M3313" s="173">
        <f t="shared" si="385"/>
        <v>14.310344827586206</v>
      </c>
      <c r="O3313" s="173">
        <f t="shared" si="386"/>
        <v>28.620689655172413</v>
      </c>
      <c r="P3313" s="173">
        <v>45</v>
      </c>
    </row>
    <row r="3314" spans="6:16" x14ac:dyDescent="0.35">
      <c r="F3314" s="886"/>
      <c r="G3314" s="245" t="s">
        <v>3064</v>
      </c>
      <c r="I3314" s="173">
        <v>10</v>
      </c>
      <c r="J3314">
        <v>928</v>
      </c>
      <c r="K3314" s="173">
        <v>400</v>
      </c>
      <c r="L3314" s="173">
        <f t="shared" si="384"/>
        <v>4.3103448275862073</v>
      </c>
      <c r="M3314" s="173">
        <f t="shared" si="385"/>
        <v>14.310344827586206</v>
      </c>
      <c r="O3314" s="173">
        <f t="shared" si="386"/>
        <v>28.620689655172413</v>
      </c>
      <c r="P3314" s="173">
        <v>45</v>
      </c>
    </row>
    <row r="3315" spans="6:16" x14ac:dyDescent="0.35">
      <c r="F3315" s="886"/>
      <c r="G3315" s="245" t="s">
        <v>3064</v>
      </c>
      <c r="I3315" s="173">
        <v>10</v>
      </c>
      <c r="J3315">
        <v>928</v>
      </c>
      <c r="K3315" s="173">
        <v>400</v>
      </c>
      <c r="L3315" s="173">
        <f t="shared" si="384"/>
        <v>4.3103448275862073</v>
      </c>
      <c r="M3315" s="173">
        <f t="shared" si="385"/>
        <v>14.310344827586206</v>
      </c>
      <c r="O3315" s="173">
        <f t="shared" si="386"/>
        <v>28.620689655172413</v>
      </c>
      <c r="P3315" s="173">
        <v>45</v>
      </c>
    </row>
    <row r="3316" spans="6:16" x14ac:dyDescent="0.35">
      <c r="F3316" s="886"/>
      <c r="G3316" s="245" t="s">
        <v>3064</v>
      </c>
      <c r="I3316" s="173">
        <v>10</v>
      </c>
      <c r="J3316">
        <v>928</v>
      </c>
      <c r="K3316" s="173">
        <v>400</v>
      </c>
      <c r="L3316" s="173">
        <f t="shared" si="384"/>
        <v>4.3103448275862073</v>
      </c>
      <c r="M3316" s="173">
        <f t="shared" si="385"/>
        <v>14.310344827586206</v>
      </c>
      <c r="O3316" s="173">
        <f t="shared" si="386"/>
        <v>28.620689655172413</v>
      </c>
      <c r="P3316" s="173">
        <v>45</v>
      </c>
    </row>
    <row r="3317" spans="6:16" x14ac:dyDescent="0.35">
      <c r="F3317" s="886"/>
      <c r="G3317" s="245" t="s">
        <v>3065</v>
      </c>
      <c r="I3317" s="173">
        <v>10</v>
      </c>
      <c r="J3317">
        <v>928</v>
      </c>
      <c r="K3317" s="173">
        <v>400</v>
      </c>
      <c r="L3317" s="173">
        <f t="shared" si="384"/>
        <v>4.3103448275862073</v>
      </c>
      <c r="M3317" s="173">
        <f t="shared" si="385"/>
        <v>14.310344827586206</v>
      </c>
      <c r="O3317" s="173">
        <f t="shared" si="386"/>
        <v>28.620689655172413</v>
      </c>
      <c r="P3317" s="173">
        <v>45</v>
      </c>
    </row>
    <row r="3318" spans="6:16" x14ac:dyDescent="0.35">
      <c r="F3318" s="886"/>
      <c r="G3318" s="245" t="s">
        <v>3065</v>
      </c>
      <c r="I3318" s="173">
        <v>10</v>
      </c>
      <c r="J3318">
        <v>928</v>
      </c>
      <c r="K3318" s="173">
        <v>400</v>
      </c>
      <c r="L3318" s="173">
        <f t="shared" si="384"/>
        <v>4.3103448275862073</v>
      </c>
      <c r="M3318" s="173">
        <f t="shared" si="385"/>
        <v>14.310344827586206</v>
      </c>
      <c r="O3318" s="173">
        <f t="shared" si="386"/>
        <v>28.620689655172413</v>
      </c>
      <c r="P3318" s="173">
        <v>45</v>
      </c>
    </row>
    <row r="3319" spans="6:16" x14ac:dyDescent="0.35">
      <c r="F3319" s="886"/>
      <c r="G3319" s="245" t="s">
        <v>3065</v>
      </c>
      <c r="I3319" s="173">
        <v>10</v>
      </c>
      <c r="J3319">
        <v>928</v>
      </c>
      <c r="K3319" s="173">
        <v>400</v>
      </c>
      <c r="L3319" s="173">
        <f t="shared" si="384"/>
        <v>4.3103448275862073</v>
      </c>
      <c r="M3319" s="173">
        <f t="shared" si="385"/>
        <v>14.310344827586206</v>
      </c>
      <c r="O3319" s="173">
        <f t="shared" si="386"/>
        <v>28.620689655172413</v>
      </c>
      <c r="P3319" s="173">
        <v>45</v>
      </c>
    </row>
    <row r="3320" spans="6:16" x14ac:dyDescent="0.35">
      <c r="F3320" s="886"/>
      <c r="G3320" s="245" t="s">
        <v>3065</v>
      </c>
      <c r="I3320" s="173">
        <v>10</v>
      </c>
      <c r="J3320">
        <v>928</v>
      </c>
      <c r="K3320" s="173">
        <v>400</v>
      </c>
      <c r="L3320" s="173">
        <f t="shared" si="384"/>
        <v>4.3103448275862073</v>
      </c>
      <c r="M3320" s="173">
        <f t="shared" si="385"/>
        <v>14.310344827586206</v>
      </c>
      <c r="O3320" s="173">
        <f t="shared" si="386"/>
        <v>28.620689655172413</v>
      </c>
      <c r="P3320" s="173">
        <v>45</v>
      </c>
    </row>
    <row r="3321" spans="6:16" x14ac:dyDescent="0.35">
      <c r="F3321" s="886"/>
      <c r="G3321" s="245" t="s">
        <v>3065</v>
      </c>
      <c r="I3321" s="173">
        <v>10</v>
      </c>
      <c r="J3321">
        <v>928</v>
      </c>
      <c r="K3321" s="173">
        <v>400</v>
      </c>
      <c r="L3321" s="173">
        <f t="shared" si="384"/>
        <v>4.3103448275862073</v>
      </c>
      <c r="M3321" s="173">
        <f t="shared" si="385"/>
        <v>14.310344827586206</v>
      </c>
      <c r="O3321" s="173">
        <f t="shared" si="386"/>
        <v>28.620689655172413</v>
      </c>
      <c r="P3321" s="173">
        <v>45</v>
      </c>
    </row>
    <row r="3322" spans="6:16" x14ac:dyDescent="0.35">
      <c r="F3322" s="886"/>
      <c r="G3322" s="245" t="s">
        <v>3066</v>
      </c>
      <c r="I3322" s="173">
        <v>7</v>
      </c>
      <c r="J3322">
        <v>928</v>
      </c>
      <c r="K3322" s="173">
        <v>400</v>
      </c>
      <c r="L3322" s="173">
        <f t="shared" si="384"/>
        <v>3.0172413793103448</v>
      </c>
      <c r="M3322" s="173">
        <f t="shared" si="385"/>
        <v>10.017241379310345</v>
      </c>
      <c r="O3322" s="173">
        <f t="shared" si="386"/>
        <v>20.03448275862069</v>
      </c>
      <c r="P3322" s="173">
        <v>45</v>
      </c>
    </row>
    <row r="3323" spans="6:16" x14ac:dyDescent="0.35">
      <c r="F3323" s="886"/>
      <c r="G3323" s="245" t="s">
        <v>3066</v>
      </c>
      <c r="I3323" s="173">
        <v>7</v>
      </c>
      <c r="J3323">
        <v>928</v>
      </c>
      <c r="K3323" s="173">
        <v>400</v>
      </c>
      <c r="L3323" s="173">
        <f t="shared" si="384"/>
        <v>3.0172413793103448</v>
      </c>
      <c r="M3323" s="173">
        <f t="shared" si="385"/>
        <v>10.017241379310345</v>
      </c>
      <c r="O3323" s="173">
        <f t="shared" si="386"/>
        <v>20.03448275862069</v>
      </c>
      <c r="P3323" s="173">
        <v>45</v>
      </c>
    </row>
    <row r="3324" spans="6:16" x14ac:dyDescent="0.35">
      <c r="F3324" s="886"/>
      <c r="G3324" s="245" t="s">
        <v>3066</v>
      </c>
      <c r="I3324" s="173">
        <v>7</v>
      </c>
      <c r="J3324">
        <v>928</v>
      </c>
      <c r="K3324" s="173">
        <v>400</v>
      </c>
      <c r="L3324" s="173">
        <f t="shared" si="384"/>
        <v>3.0172413793103448</v>
      </c>
      <c r="M3324" s="173">
        <f t="shared" si="385"/>
        <v>10.017241379310345</v>
      </c>
      <c r="O3324" s="173">
        <f t="shared" si="386"/>
        <v>20.03448275862069</v>
      </c>
      <c r="P3324" s="173">
        <v>45</v>
      </c>
    </row>
    <row r="3325" spans="6:16" x14ac:dyDescent="0.35">
      <c r="F3325" s="886"/>
      <c r="G3325" s="245" t="s">
        <v>3066</v>
      </c>
      <c r="I3325" s="173">
        <v>7</v>
      </c>
      <c r="J3325">
        <v>928</v>
      </c>
      <c r="K3325" s="173">
        <v>400</v>
      </c>
      <c r="L3325" s="173">
        <f t="shared" si="384"/>
        <v>3.0172413793103448</v>
      </c>
      <c r="M3325" s="173">
        <f t="shared" si="385"/>
        <v>10.017241379310345</v>
      </c>
      <c r="O3325" s="173">
        <f t="shared" si="386"/>
        <v>20.03448275862069</v>
      </c>
      <c r="P3325" s="173">
        <v>45</v>
      </c>
    </row>
    <row r="3326" spans="6:16" x14ac:dyDescent="0.35">
      <c r="F3326" s="886"/>
      <c r="G3326" s="245" t="s">
        <v>3066</v>
      </c>
      <c r="I3326" s="173">
        <v>7</v>
      </c>
      <c r="J3326">
        <v>928</v>
      </c>
      <c r="K3326" s="173">
        <v>400</v>
      </c>
      <c r="L3326" s="173">
        <f t="shared" si="384"/>
        <v>3.0172413793103448</v>
      </c>
      <c r="M3326" s="173">
        <f t="shared" si="385"/>
        <v>10.017241379310345</v>
      </c>
      <c r="O3326" s="173">
        <f t="shared" si="386"/>
        <v>20.03448275862069</v>
      </c>
      <c r="P3326" s="173">
        <v>45</v>
      </c>
    </row>
    <row r="3327" spans="6:16" x14ac:dyDescent="0.35">
      <c r="F3327" s="886"/>
      <c r="G3327" s="245" t="s">
        <v>3067</v>
      </c>
      <c r="I3327" s="173">
        <v>7</v>
      </c>
      <c r="J3327">
        <v>928</v>
      </c>
      <c r="K3327" s="173">
        <v>400</v>
      </c>
      <c r="L3327" s="173">
        <f t="shared" ref="L3327:L3352" si="387">+I3327/J3327*K3327</f>
        <v>3.0172413793103448</v>
      </c>
      <c r="M3327" s="173">
        <f t="shared" ref="M3327:M3352" si="388">+I3327+L3327</f>
        <v>10.017241379310345</v>
      </c>
      <c r="O3327" s="173">
        <f t="shared" ref="O3327:O3352" si="389">+M3327*2</f>
        <v>20.03448275862069</v>
      </c>
      <c r="P3327" s="173">
        <v>45</v>
      </c>
    </row>
    <row r="3328" spans="6:16" x14ac:dyDescent="0.35">
      <c r="F3328" s="886"/>
      <c r="G3328" s="245" t="s">
        <v>3067</v>
      </c>
      <c r="I3328" s="173">
        <v>7</v>
      </c>
      <c r="J3328">
        <v>928</v>
      </c>
      <c r="K3328" s="173">
        <v>400</v>
      </c>
      <c r="L3328" s="173">
        <f t="shared" si="387"/>
        <v>3.0172413793103448</v>
      </c>
      <c r="M3328" s="173">
        <f t="shared" si="388"/>
        <v>10.017241379310345</v>
      </c>
      <c r="O3328" s="173">
        <f t="shared" si="389"/>
        <v>20.03448275862069</v>
      </c>
      <c r="P3328" s="173">
        <v>45</v>
      </c>
    </row>
    <row r="3329" spans="6:16" x14ac:dyDescent="0.35">
      <c r="F3329" s="886"/>
      <c r="G3329" s="245" t="s">
        <v>3067</v>
      </c>
      <c r="I3329" s="173">
        <v>7</v>
      </c>
      <c r="J3329">
        <v>928</v>
      </c>
      <c r="K3329" s="173">
        <v>400</v>
      </c>
      <c r="L3329" s="173">
        <f t="shared" si="387"/>
        <v>3.0172413793103448</v>
      </c>
      <c r="M3329" s="173">
        <f t="shared" si="388"/>
        <v>10.017241379310345</v>
      </c>
      <c r="O3329" s="173">
        <f t="shared" si="389"/>
        <v>20.03448275862069</v>
      </c>
      <c r="P3329" s="173">
        <v>45</v>
      </c>
    </row>
    <row r="3330" spans="6:16" x14ac:dyDescent="0.35">
      <c r="F3330" s="886"/>
      <c r="G3330" s="245" t="s">
        <v>3067</v>
      </c>
      <c r="I3330" s="173">
        <v>7</v>
      </c>
      <c r="J3330">
        <v>928</v>
      </c>
      <c r="K3330" s="173">
        <v>400</v>
      </c>
      <c r="L3330" s="173">
        <f t="shared" si="387"/>
        <v>3.0172413793103448</v>
      </c>
      <c r="M3330" s="173">
        <f t="shared" si="388"/>
        <v>10.017241379310345</v>
      </c>
      <c r="O3330" s="173">
        <f t="shared" si="389"/>
        <v>20.03448275862069</v>
      </c>
      <c r="P3330" s="173">
        <v>45</v>
      </c>
    </row>
    <row r="3331" spans="6:16" x14ac:dyDescent="0.35">
      <c r="F3331" s="886"/>
      <c r="G3331" s="245" t="s">
        <v>3067</v>
      </c>
      <c r="I3331" s="173">
        <v>7</v>
      </c>
      <c r="J3331">
        <v>928</v>
      </c>
      <c r="K3331" s="173">
        <v>400</v>
      </c>
      <c r="L3331" s="173">
        <f t="shared" si="387"/>
        <v>3.0172413793103448</v>
      </c>
      <c r="M3331" s="173">
        <f t="shared" si="388"/>
        <v>10.017241379310345</v>
      </c>
      <c r="O3331" s="173">
        <f t="shared" si="389"/>
        <v>20.03448275862069</v>
      </c>
      <c r="P3331" s="173">
        <v>45</v>
      </c>
    </row>
    <row r="3332" spans="6:16" x14ac:dyDescent="0.35">
      <c r="F3332" s="886"/>
      <c r="G3332" s="245" t="s">
        <v>3071</v>
      </c>
      <c r="I3332" s="173">
        <v>6</v>
      </c>
      <c r="J3332">
        <v>928</v>
      </c>
      <c r="K3332" s="173">
        <v>400</v>
      </c>
      <c r="L3332" s="173">
        <f t="shared" si="387"/>
        <v>2.5862068965517242</v>
      </c>
      <c r="M3332" s="173">
        <f t="shared" si="388"/>
        <v>8.5862068965517242</v>
      </c>
      <c r="O3332" s="173">
        <f t="shared" si="389"/>
        <v>17.172413793103448</v>
      </c>
      <c r="P3332" s="173">
        <v>35</v>
      </c>
    </row>
    <row r="3333" spans="6:16" x14ac:dyDescent="0.35">
      <c r="F3333" s="886"/>
      <c r="G3333" s="245" t="s">
        <v>3071</v>
      </c>
      <c r="I3333" s="173">
        <v>6</v>
      </c>
      <c r="J3333">
        <v>928</v>
      </c>
      <c r="K3333" s="173">
        <v>400</v>
      </c>
      <c r="L3333" s="173">
        <f t="shared" si="387"/>
        <v>2.5862068965517242</v>
      </c>
      <c r="M3333" s="173">
        <f t="shared" si="388"/>
        <v>8.5862068965517242</v>
      </c>
      <c r="O3333" s="173">
        <f t="shared" si="389"/>
        <v>17.172413793103448</v>
      </c>
      <c r="P3333" s="173">
        <v>35</v>
      </c>
    </row>
    <row r="3334" spans="6:16" x14ac:dyDescent="0.35">
      <c r="F3334" s="886"/>
      <c r="G3334" s="245" t="s">
        <v>3071</v>
      </c>
      <c r="I3334" s="173">
        <v>6</v>
      </c>
      <c r="J3334">
        <v>928</v>
      </c>
      <c r="K3334" s="173">
        <v>400</v>
      </c>
      <c r="L3334" s="173">
        <f t="shared" si="387"/>
        <v>2.5862068965517242</v>
      </c>
      <c r="M3334" s="173">
        <f t="shared" si="388"/>
        <v>8.5862068965517242</v>
      </c>
      <c r="O3334" s="173">
        <f t="shared" si="389"/>
        <v>17.172413793103448</v>
      </c>
      <c r="P3334" s="173">
        <v>35</v>
      </c>
    </row>
    <row r="3335" spans="6:16" x14ac:dyDescent="0.35">
      <c r="F3335" s="886"/>
      <c r="G3335" s="245" t="s">
        <v>3071</v>
      </c>
      <c r="I3335" s="173">
        <v>6</v>
      </c>
      <c r="J3335">
        <v>928</v>
      </c>
      <c r="K3335" s="173">
        <v>400</v>
      </c>
      <c r="L3335" s="173">
        <f t="shared" si="387"/>
        <v>2.5862068965517242</v>
      </c>
      <c r="M3335" s="173">
        <f t="shared" si="388"/>
        <v>8.5862068965517242</v>
      </c>
      <c r="O3335" s="173">
        <f t="shared" si="389"/>
        <v>17.172413793103448</v>
      </c>
      <c r="P3335" s="173">
        <v>35</v>
      </c>
    </row>
    <row r="3336" spans="6:16" x14ac:dyDescent="0.35">
      <c r="F3336" s="886"/>
      <c r="G3336" s="245" t="s">
        <v>3071</v>
      </c>
      <c r="I3336" s="173">
        <v>6</v>
      </c>
      <c r="J3336">
        <v>928</v>
      </c>
      <c r="K3336" s="173">
        <v>400</v>
      </c>
      <c r="L3336" s="173">
        <f t="shared" si="387"/>
        <v>2.5862068965517242</v>
      </c>
      <c r="M3336" s="173">
        <f t="shared" si="388"/>
        <v>8.5862068965517242</v>
      </c>
      <c r="O3336" s="173">
        <f t="shared" si="389"/>
        <v>17.172413793103448</v>
      </c>
      <c r="P3336" s="173">
        <v>35</v>
      </c>
    </row>
    <row r="3337" spans="6:16" x14ac:dyDescent="0.35">
      <c r="F3337" s="886"/>
      <c r="G3337" s="245" t="s">
        <v>3068</v>
      </c>
      <c r="I3337" s="173">
        <v>8</v>
      </c>
      <c r="J3337">
        <v>928</v>
      </c>
      <c r="K3337" s="173">
        <v>400</v>
      </c>
      <c r="L3337" s="173">
        <f t="shared" si="387"/>
        <v>3.4482758620689653</v>
      </c>
      <c r="M3337" s="173">
        <f t="shared" si="388"/>
        <v>11.448275862068964</v>
      </c>
      <c r="O3337" s="173">
        <f t="shared" si="389"/>
        <v>22.896551724137929</v>
      </c>
      <c r="P3337" s="173">
        <v>45</v>
      </c>
    </row>
    <row r="3338" spans="6:16" x14ac:dyDescent="0.35">
      <c r="F3338" s="886"/>
      <c r="G3338" s="245" t="s">
        <v>3068</v>
      </c>
      <c r="I3338" s="173">
        <v>8</v>
      </c>
      <c r="J3338">
        <v>928</v>
      </c>
      <c r="K3338" s="173">
        <v>400</v>
      </c>
      <c r="L3338" s="173">
        <f t="shared" si="387"/>
        <v>3.4482758620689653</v>
      </c>
      <c r="M3338" s="173">
        <f t="shared" si="388"/>
        <v>11.448275862068964</v>
      </c>
      <c r="O3338" s="173">
        <f t="shared" si="389"/>
        <v>22.896551724137929</v>
      </c>
      <c r="P3338" s="173">
        <v>45</v>
      </c>
    </row>
    <row r="3339" spans="6:16" x14ac:dyDescent="0.35">
      <c r="F3339" s="886"/>
      <c r="G3339" s="245" t="s">
        <v>3068</v>
      </c>
      <c r="I3339" s="173">
        <v>8</v>
      </c>
      <c r="J3339">
        <v>928</v>
      </c>
      <c r="K3339" s="173">
        <v>400</v>
      </c>
      <c r="L3339" s="173">
        <f t="shared" si="387"/>
        <v>3.4482758620689653</v>
      </c>
      <c r="M3339" s="173">
        <f t="shared" si="388"/>
        <v>11.448275862068964</v>
      </c>
      <c r="O3339" s="173">
        <f t="shared" si="389"/>
        <v>22.896551724137929</v>
      </c>
      <c r="P3339" s="173">
        <v>45</v>
      </c>
    </row>
    <row r="3340" spans="6:16" x14ac:dyDescent="0.35">
      <c r="F3340" s="886"/>
      <c r="G3340" s="245" t="s">
        <v>3068</v>
      </c>
      <c r="I3340" s="173">
        <v>8</v>
      </c>
      <c r="J3340">
        <v>928</v>
      </c>
      <c r="K3340" s="173">
        <v>400</v>
      </c>
      <c r="L3340" s="173">
        <f t="shared" si="387"/>
        <v>3.4482758620689653</v>
      </c>
      <c r="M3340" s="173">
        <f t="shared" si="388"/>
        <v>11.448275862068964</v>
      </c>
      <c r="O3340" s="173">
        <f t="shared" si="389"/>
        <v>22.896551724137929</v>
      </c>
      <c r="P3340" s="173">
        <v>45</v>
      </c>
    </row>
    <row r="3341" spans="6:16" x14ac:dyDescent="0.35">
      <c r="F3341" s="886"/>
      <c r="G3341" s="245" t="s">
        <v>3068</v>
      </c>
      <c r="I3341" s="173">
        <v>8</v>
      </c>
      <c r="J3341">
        <v>928</v>
      </c>
      <c r="K3341" s="173">
        <v>400</v>
      </c>
      <c r="L3341" s="173">
        <f t="shared" si="387"/>
        <v>3.4482758620689653</v>
      </c>
      <c r="M3341" s="173">
        <f t="shared" si="388"/>
        <v>11.448275862068964</v>
      </c>
      <c r="O3341" s="173">
        <f t="shared" si="389"/>
        <v>22.896551724137929</v>
      </c>
      <c r="P3341" s="173">
        <v>45</v>
      </c>
    </row>
    <row r="3342" spans="6:16" x14ac:dyDescent="0.35">
      <c r="F3342" s="886"/>
      <c r="G3342" s="245" t="s">
        <v>3068</v>
      </c>
      <c r="I3342" s="173">
        <v>8</v>
      </c>
      <c r="J3342">
        <v>928</v>
      </c>
      <c r="K3342" s="173">
        <v>400</v>
      </c>
      <c r="L3342" s="173">
        <f t="shared" si="387"/>
        <v>3.4482758620689653</v>
      </c>
      <c r="M3342" s="173">
        <f t="shared" si="388"/>
        <v>11.448275862068964</v>
      </c>
      <c r="O3342" s="173">
        <f t="shared" si="389"/>
        <v>22.896551724137929</v>
      </c>
      <c r="P3342" s="173">
        <v>45</v>
      </c>
    </row>
    <row r="3343" spans="6:16" x14ac:dyDescent="0.35">
      <c r="F3343" s="886"/>
      <c r="G3343" s="245" t="s">
        <v>3069</v>
      </c>
      <c r="I3343" s="173">
        <v>9</v>
      </c>
      <c r="J3343">
        <v>928</v>
      </c>
      <c r="K3343" s="173">
        <v>400</v>
      </c>
      <c r="L3343" s="173">
        <f t="shared" si="387"/>
        <v>3.8793103448275863</v>
      </c>
      <c r="M3343" s="173">
        <f t="shared" si="388"/>
        <v>12.879310344827587</v>
      </c>
      <c r="O3343" s="173">
        <f t="shared" si="389"/>
        <v>25.758620689655174</v>
      </c>
      <c r="P3343" s="173">
        <v>45</v>
      </c>
    </row>
    <row r="3344" spans="6:16" x14ac:dyDescent="0.35">
      <c r="F3344" s="886"/>
      <c r="G3344" s="245" t="s">
        <v>3069</v>
      </c>
      <c r="I3344" s="173">
        <v>9</v>
      </c>
      <c r="J3344">
        <v>928</v>
      </c>
      <c r="K3344" s="173">
        <v>400</v>
      </c>
      <c r="L3344" s="173">
        <f t="shared" si="387"/>
        <v>3.8793103448275863</v>
      </c>
      <c r="M3344" s="173">
        <f t="shared" si="388"/>
        <v>12.879310344827587</v>
      </c>
      <c r="O3344" s="173">
        <f t="shared" si="389"/>
        <v>25.758620689655174</v>
      </c>
      <c r="P3344" s="173">
        <v>45</v>
      </c>
    </row>
    <row r="3345" spans="3:18" x14ac:dyDescent="0.35">
      <c r="F3345" s="886"/>
      <c r="G3345" s="245" t="s">
        <v>3069</v>
      </c>
      <c r="I3345" s="173">
        <v>9</v>
      </c>
      <c r="J3345">
        <v>928</v>
      </c>
      <c r="K3345" s="173">
        <v>400</v>
      </c>
      <c r="L3345" s="173">
        <f t="shared" si="387"/>
        <v>3.8793103448275863</v>
      </c>
      <c r="M3345" s="173">
        <f t="shared" si="388"/>
        <v>12.879310344827587</v>
      </c>
      <c r="O3345" s="173">
        <f t="shared" si="389"/>
        <v>25.758620689655174</v>
      </c>
      <c r="P3345" s="173">
        <v>45</v>
      </c>
    </row>
    <row r="3346" spans="3:18" x14ac:dyDescent="0.35">
      <c r="F3346" s="886"/>
      <c r="G3346" s="245" t="s">
        <v>3069</v>
      </c>
      <c r="I3346" s="173">
        <v>9</v>
      </c>
      <c r="J3346">
        <v>928</v>
      </c>
      <c r="K3346" s="173">
        <v>400</v>
      </c>
      <c r="L3346" s="173">
        <f t="shared" si="387"/>
        <v>3.8793103448275863</v>
      </c>
      <c r="M3346" s="173">
        <f t="shared" si="388"/>
        <v>12.879310344827587</v>
      </c>
      <c r="O3346" s="173">
        <f t="shared" si="389"/>
        <v>25.758620689655174</v>
      </c>
      <c r="P3346" s="173">
        <v>45</v>
      </c>
    </row>
    <row r="3347" spans="3:18" x14ac:dyDescent="0.35">
      <c r="F3347" s="886"/>
      <c r="G3347" s="245" t="s">
        <v>3069</v>
      </c>
      <c r="I3347" s="173">
        <v>9</v>
      </c>
      <c r="J3347">
        <v>928</v>
      </c>
      <c r="K3347" s="173">
        <v>400</v>
      </c>
      <c r="L3347" s="173">
        <f t="shared" si="387"/>
        <v>3.8793103448275863</v>
      </c>
      <c r="M3347" s="173">
        <f t="shared" si="388"/>
        <v>12.879310344827587</v>
      </c>
      <c r="O3347" s="173">
        <f t="shared" si="389"/>
        <v>25.758620689655174</v>
      </c>
      <c r="P3347" s="173">
        <v>45</v>
      </c>
    </row>
    <row r="3348" spans="3:18" x14ac:dyDescent="0.35">
      <c r="F3348" s="886"/>
      <c r="G3348" s="245" t="s">
        <v>3070</v>
      </c>
      <c r="I3348" s="173">
        <v>9</v>
      </c>
      <c r="J3348">
        <v>928</v>
      </c>
      <c r="K3348" s="173">
        <v>400</v>
      </c>
      <c r="L3348" s="173">
        <f t="shared" si="387"/>
        <v>3.8793103448275863</v>
      </c>
      <c r="M3348" s="173">
        <f t="shared" si="388"/>
        <v>12.879310344827587</v>
      </c>
      <c r="O3348" s="173">
        <f t="shared" si="389"/>
        <v>25.758620689655174</v>
      </c>
      <c r="P3348" s="173">
        <v>45</v>
      </c>
    </row>
    <row r="3349" spans="3:18" x14ac:dyDescent="0.35">
      <c r="F3349" s="886"/>
      <c r="G3349" s="245" t="s">
        <v>3070</v>
      </c>
      <c r="I3349" s="173">
        <v>9</v>
      </c>
      <c r="J3349">
        <v>928</v>
      </c>
      <c r="K3349" s="173">
        <v>400</v>
      </c>
      <c r="L3349" s="173">
        <f t="shared" si="387"/>
        <v>3.8793103448275863</v>
      </c>
      <c r="M3349" s="173">
        <f t="shared" si="388"/>
        <v>12.879310344827587</v>
      </c>
      <c r="O3349" s="173">
        <f t="shared" si="389"/>
        <v>25.758620689655174</v>
      </c>
      <c r="P3349" s="173">
        <v>45</v>
      </c>
    </row>
    <row r="3350" spans="3:18" x14ac:dyDescent="0.35">
      <c r="F3350" s="886"/>
      <c r="G3350" s="245" t="s">
        <v>3070</v>
      </c>
      <c r="I3350" s="173">
        <v>9</v>
      </c>
      <c r="J3350">
        <v>928</v>
      </c>
      <c r="K3350" s="173">
        <v>400</v>
      </c>
      <c r="L3350" s="173">
        <f t="shared" si="387"/>
        <v>3.8793103448275863</v>
      </c>
      <c r="M3350" s="173">
        <f t="shared" si="388"/>
        <v>12.879310344827587</v>
      </c>
      <c r="O3350" s="173">
        <f t="shared" si="389"/>
        <v>25.758620689655174</v>
      </c>
      <c r="P3350" s="173">
        <v>45</v>
      </c>
    </row>
    <row r="3351" spans="3:18" x14ac:dyDescent="0.35">
      <c r="F3351" s="886"/>
      <c r="G3351" s="245" t="s">
        <v>3070</v>
      </c>
      <c r="I3351" s="173">
        <v>9</v>
      </c>
      <c r="J3351">
        <v>928</v>
      </c>
      <c r="K3351" s="173">
        <v>400</v>
      </c>
      <c r="L3351" s="173">
        <f t="shared" si="387"/>
        <v>3.8793103448275863</v>
      </c>
      <c r="M3351" s="173">
        <f t="shared" si="388"/>
        <v>12.879310344827587</v>
      </c>
      <c r="O3351" s="173">
        <f t="shared" si="389"/>
        <v>25.758620689655174</v>
      </c>
      <c r="P3351" s="173">
        <v>45</v>
      </c>
    </row>
    <row r="3352" spans="3:18" x14ac:dyDescent="0.35">
      <c r="F3352" s="886"/>
      <c r="G3352" s="245" t="s">
        <v>3070</v>
      </c>
      <c r="I3352" s="173">
        <v>9</v>
      </c>
      <c r="J3352">
        <v>928</v>
      </c>
      <c r="K3352" s="173">
        <v>400</v>
      </c>
      <c r="L3352" s="173">
        <f t="shared" si="387"/>
        <v>3.8793103448275863</v>
      </c>
      <c r="M3352" s="173">
        <f t="shared" si="388"/>
        <v>12.879310344827587</v>
      </c>
      <c r="O3352" s="173">
        <f t="shared" si="389"/>
        <v>25.758620689655174</v>
      </c>
      <c r="P3352" s="173">
        <v>45</v>
      </c>
    </row>
    <row r="3353" spans="3:18" x14ac:dyDescent="0.35">
      <c r="I3353" s="173">
        <f>SUM(I3262:I3352)</f>
        <v>928</v>
      </c>
    </row>
    <row r="3354" spans="3:18" ht="18.5" x14ac:dyDescent="0.45">
      <c r="G3354" s="89" t="s">
        <v>2930</v>
      </c>
    </row>
    <row r="3355" spans="3:18" x14ac:dyDescent="0.35">
      <c r="D3355" s="233" t="s">
        <v>2961</v>
      </c>
    </row>
    <row r="3356" spans="3:18" x14ac:dyDescent="0.35">
      <c r="C3356" s="233" t="s">
        <v>2962</v>
      </c>
      <c r="E3356" s="366"/>
      <c r="G3356" s="245" t="s">
        <v>2963</v>
      </c>
      <c r="I3356" s="245">
        <v>11</v>
      </c>
      <c r="J3356" s="173">
        <v>198</v>
      </c>
      <c r="K3356">
        <f>69+55+20+5</f>
        <v>149</v>
      </c>
      <c r="L3356" s="402">
        <f>+I3356/J3356*K3356</f>
        <v>8.2777777777777768</v>
      </c>
      <c r="M3356" s="173">
        <f>+I3356+L3356</f>
        <v>19.277777777777779</v>
      </c>
      <c r="N3356" s="173"/>
      <c r="O3356" s="2">
        <f>+M3356*1.5</f>
        <v>28.916666666666668</v>
      </c>
      <c r="P3356" s="173">
        <v>45</v>
      </c>
      <c r="R3356" s="6"/>
    </row>
    <row r="3357" spans="3:18" x14ac:dyDescent="0.35">
      <c r="C3357" s="233" t="s">
        <v>2962</v>
      </c>
      <c r="G3357" s="245" t="s">
        <v>2963</v>
      </c>
      <c r="I3357" s="245">
        <v>11</v>
      </c>
      <c r="J3357" s="173">
        <v>198</v>
      </c>
      <c r="K3357">
        <f t="shared" ref="K3357:K3373" si="390">69+55+20+5</f>
        <v>149</v>
      </c>
      <c r="L3357" s="402">
        <f t="shared" ref="L3357:L3373" si="391">+I3357/J3357*K3357</f>
        <v>8.2777777777777768</v>
      </c>
      <c r="M3357" s="173">
        <f t="shared" ref="M3357:M3373" si="392">+I3357+L3357</f>
        <v>19.277777777777779</v>
      </c>
      <c r="N3357" s="173"/>
      <c r="O3357" s="2">
        <f t="shared" ref="O3357:O3382" si="393">+M3357*1.5</f>
        <v>28.916666666666668</v>
      </c>
      <c r="P3357" s="173">
        <v>45</v>
      </c>
    </row>
    <row r="3358" spans="3:18" x14ac:dyDescent="0.35">
      <c r="C3358" s="233" t="s">
        <v>2962</v>
      </c>
      <c r="G3358" s="245" t="s">
        <v>2964</v>
      </c>
      <c r="I3358" s="245">
        <v>11</v>
      </c>
      <c r="J3358" s="173">
        <v>198</v>
      </c>
      <c r="K3358">
        <f t="shared" si="390"/>
        <v>149</v>
      </c>
      <c r="L3358" s="402">
        <f t="shared" si="391"/>
        <v>8.2777777777777768</v>
      </c>
      <c r="M3358" s="173">
        <f t="shared" si="392"/>
        <v>19.277777777777779</v>
      </c>
      <c r="N3358" s="173"/>
      <c r="O3358" s="2">
        <f t="shared" si="393"/>
        <v>28.916666666666668</v>
      </c>
      <c r="P3358" s="173">
        <v>45</v>
      </c>
    </row>
    <row r="3359" spans="3:18" x14ac:dyDescent="0.35">
      <c r="C3359" s="233" t="s">
        <v>2962</v>
      </c>
      <c r="G3359" s="245" t="s">
        <v>2964</v>
      </c>
      <c r="I3359" s="245">
        <v>11</v>
      </c>
      <c r="J3359" s="173"/>
      <c r="K3359">
        <f t="shared" si="390"/>
        <v>149</v>
      </c>
      <c r="L3359" s="402"/>
      <c r="N3359" s="173"/>
      <c r="O3359" s="2"/>
      <c r="P3359" s="173">
        <v>45</v>
      </c>
    </row>
    <row r="3360" spans="3:18" x14ac:dyDescent="0.35">
      <c r="C3360" s="233" t="s">
        <v>2962</v>
      </c>
      <c r="G3360" s="245" t="s">
        <v>2965</v>
      </c>
      <c r="I3360" s="245">
        <v>11</v>
      </c>
      <c r="J3360" s="173">
        <v>198</v>
      </c>
      <c r="K3360">
        <f t="shared" si="390"/>
        <v>149</v>
      </c>
      <c r="L3360" s="402">
        <f t="shared" si="391"/>
        <v>8.2777777777777768</v>
      </c>
      <c r="M3360" s="173">
        <f t="shared" si="392"/>
        <v>19.277777777777779</v>
      </c>
      <c r="N3360" s="173"/>
      <c r="O3360" s="2">
        <f t="shared" si="393"/>
        <v>28.916666666666668</v>
      </c>
      <c r="P3360" s="173">
        <v>45</v>
      </c>
    </row>
    <row r="3361" spans="3:16" x14ac:dyDescent="0.35">
      <c r="C3361" s="233" t="s">
        <v>2962</v>
      </c>
      <c r="G3361" s="245" t="s">
        <v>2965</v>
      </c>
      <c r="I3361" s="245">
        <v>11</v>
      </c>
      <c r="J3361" s="173">
        <v>198</v>
      </c>
      <c r="K3361">
        <f t="shared" si="390"/>
        <v>149</v>
      </c>
      <c r="L3361" s="402">
        <f t="shared" si="391"/>
        <v>8.2777777777777768</v>
      </c>
      <c r="M3361" s="173">
        <f t="shared" si="392"/>
        <v>19.277777777777779</v>
      </c>
      <c r="N3361" s="173"/>
      <c r="O3361" s="2">
        <f t="shared" si="393"/>
        <v>28.916666666666668</v>
      </c>
      <c r="P3361" s="173">
        <v>45</v>
      </c>
    </row>
    <row r="3362" spans="3:16" x14ac:dyDescent="0.35">
      <c r="C3362" s="233" t="s">
        <v>2962</v>
      </c>
      <c r="G3362" s="245" t="s">
        <v>2966</v>
      </c>
      <c r="I3362" s="245">
        <v>11</v>
      </c>
      <c r="J3362" s="173">
        <v>198</v>
      </c>
      <c r="K3362">
        <f t="shared" si="390"/>
        <v>149</v>
      </c>
      <c r="L3362" s="402">
        <f t="shared" si="391"/>
        <v>8.2777777777777768</v>
      </c>
      <c r="M3362" s="173">
        <f t="shared" si="392"/>
        <v>19.277777777777779</v>
      </c>
      <c r="N3362" s="173"/>
      <c r="O3362" s="2">
        <f t="shared" si="393"/>
        <v>28.916666666666668</v>
      </c>
      <c r="P3362" s="173">
        <v>55</v>
      </c>
    </row>
    <row r="3363" spans="3:16" x14ac:dyDescent="0.35">
      <c r="C3363" s="233" t="s">
        <v>2962</v>
      </c>
      <c r="G3363" s="245" t="s">
        <v>2966</v>
      </c>
      <c r="I3363" s="245">
        <v>11</v>
      </c>
      <c r="J3363" s="173">
        <v>198</v>
      </c>
      <c r="K3363">
        <f t="shared" si="390"/>
        <v>149</v>
      </c>
      <c r="L3363" s="402">
        <f t="shared" si="391"/>
        <v>8.2777777777777768</v>
      </c>
      <c r="M3363" s="173">
        <f t="shared" si="392"/>
        <v>19.277777777777779</v>
      </c>
      <c r="N3363" s="173"/>
      <c r="O3363" s="2">
        <f t="shared" si="393"/>
        <v>28.916666666666668</v>
      </c>
      <c r="P3363" s="173">
        <v>55</v>
      </c>
    </row>
    <row r="3364" spans="3:16" x14ac:dyDescent="0.35">
      <c r="C3364" s="233" t="s">
        <v>2962</v>
      </c>
      <c r="G3364" s="245" t="s">
        <v>2967</v>
      </c>
      <c r="I3364" s="245">
        <v>11</v>
      </c>
      <c r="J3364" s="173">
        <v>198</v>
      </c>
      <c r="K3364">
        <f t="shared" si="390"/>
        <v>149</v>
      </c>
      <c r="L3364" s="402">
        <f t="shared" si="391"/>
        <v>8.2777777777777768</v>
      </c>
      <c r="M3364" s="173">
        <f t="shared" si="392"/>
        <v>19.277777777777779</v>
      </c>
      <c r="N3364" s="173"/>
      <c r="O3364" s="2">
        <f t="shared" si="393"/>
        <v>28.916666666666668</v>
      </c>
      <c r="P3364" s="173">
        <v>55</v>
      </c>
    </row>
    <row r="3365" spans="3:16" x14ac:dyDescent="0.35">
      <c r="C3365" s="233" t="s">
        <v>2962</v>
      </c>
      <c r="G3365" s="245" t="s">
        <v>2967</v>
      </c>
      <c r="I3365" s="245">
        <v>11</v>
      </c>
      <c r="J3365" s="173">
        <v>198</v>
      </c>
      <c r="K3365">
        <f t="shared" si="390"/>
        <v>149</v>
      </c>
      <c r="L3365" s="402">
        <f t="shared" si="391"/>
        <v>8.2777777777777768</v>
      </c>
      <c r="M3365" s="173">
        <f t="shared" si="392"/>
        <v>19.277777777777779</v>
      </c>
      <c r="N3365" s="173"/>
      <c r="O3365" s="2">
        <f t="shared" si="393"/>
        <v>28.916666666666668</v>
      </c>
      <c r="P3365" s="173">
        <v>55</v>
      </c>
    </row>
    <row r="3366" spans="3:16" x14ac:dyDescent="0.35">
      <c r="C3366" s="233" t="s">
        <v>2962</v>
      </c>
      <c r="G3366" s="245" t="s">
        <v>2968</v>
      </c>
      <c r="I3366" s="245">
        <v>11</v>
      </c>
      <c r="J3366" s="173">
        <v>198</v>
      </c>
      <c r="K3366">
        <f t="shared" si="390"/>
        <v>149</v>
      </c>
      <c r="L3366" s="402">
        <f t="shared" si="391"/>
        <v>8.2777777777777768</v>
      </c>
      <c r="M3366" s="173">
        <f t="shared" si="392"/>
        <v>19.277777777777779</v>
      </c>
      <c r="N3366" s="173"/>
      <c r="O3366" s="2">
        <f t="shared" si="393"/>
        <v>28.916666666666668</v>
      </c>
      <c r="P3366" s="173">
        <v>55</v>
      </c>
    </row>
    <row r="3367" spans="3:16" x14ac:dyDescent="0.35">
      <c r="C3367" s="233" t="s">
        <v>2962</v>
      </c>
      <c r="G3367" s="245" t="s">
        <v>2968</v>
      </c>
      <c r="I3367" s="245">
        <v>11</v>
      </c>
      <c r="J3367" s="173">
        <v>198</v>
      </c>
      <c r="K3367">
        <f t="shared" si="390"/>
        <v>149</v>
      </c>
      <c r="L3367" s="402">
        <f t="shared" si="391"/>
        <v>8.2777777777777768</v>
      </c>
      <c r="M3367" s="173">
        <f t="shared" si="392"/>
        <v>19.277777777777779</v>
      </c>
      <c r="N3367" s="173"/>
      <c r="O3367" s="2">
        <f t="shared" si="393"/>
        <v>28.916666666666668</v>
      </c>
      <c r="P3367" s="173">
        <v>55</v>
      </c>
    </row>
    <row r="3368" spans="3:16" x14ac:dyDescent="0.35">
      <c r="C3368" s="233" t="s">
        <v>2962</v>
      </c>
      <c r="G3368" s="245" t="s">
        <v>2969</v>
      </c>
      <c r="I3368" s="245">
        <v>11</v>
      </c>
      <c r="J3368" s="173">
        <v>198</v>
      </c>
      <c r="K3368">
        <f t="shared" si="390"/>
        <v>149</v>
      </c>
      <c r="L3368" s="402">
        <f t="shared" si="391"/>
        <v>8.2777777777777768</v>
      </c>
      <c r="M3368" s="173">
        <f t="shared" si="392"/>
        <v>19.277777777777779</v>
      </c>
      <c r="N3368" s="173"/>
      <c r="O3368" s="2">
        <f t="shared" si="393"/>
        <v>28.916666666666668</v>
      </c>
      <c r="P3368" s="173">
        <v>50</v>
      </c>
    </row>
    <row r="3369" spans="3:16" x14ac:dyDescent="0.35">
      <c r="C3369" s="233" t="s">
        <v>2962</v>
      </c>
      <c r="G3369" s="245" t="s">
        <v>2969</v>
      </c>
      <c r="I3369" s="245">
        <v>11</v>
      </c>
      <c r="J3369" s="173">
        <v>198</v>
      </c>
      <c r="K3369">
        <f t="shared" si="390"/>
        <v>149</v>
      </c>
      <c r="L3369" s="402">
        <f t="shared" si="391"/>
        <v>8.2777777777777768</v>
      </c>
      <c r="M3369" s="173">
        <f t="shared" si="392"/>
        <v>19.277777777777779</v>
      </c>
      <c r="N3369" s="173"/>
      <c r="O3369" s="2">
        <f t="shared" si="393"/>
        <v>28.916666666666668</v>
      </c>
      <c r="P3369" s="173">
        <v>50</v>
      </c>
    </row>
    <row r="3370" spans="3:16" x14ac:dyDescent="0.35">
      <c r="C3370" s="233" t="s">
        <v>2962</v>
      </c>
      <c r="G3370" s="245" t="s">
        <v>2969</v>
      </c>
      <c r="I3370" s="245">
        <v>11</v>
      </c>
      <c r="J3370" s="173">
        <v>198</v>
      </c>
      <c r="K3370">
        <f t="shared" si="390"/>
        <v>149</v>
      </c>
      <c r="L3370" s="402">
        <f t="shared" si="391"/>
        <v>8.2777777777777768</v>
      </c>
      <c r="M3370" s="173">
        <f t="shared" si="392"/>
        <v>19.277777777777779</v>
      </c>
      <c r="N3370" s="173"/>
      <c r="O3370" s="2">
        <f t="shared" si="393"/>
        <v>28.916666666666668</v>
      </c>
      <c r="P3370" s="173">
        <v>50</v>
      </c>
    </row>
    <row r="3371" spans="3:16" x14ac:dyDescent="0.35">
      <c r="C3371" s="233" t="s">
        <v>2962</v>
      </c>
      <c r="G3371" s="245" t="s">
        <v>2970</v>
      </c>
      <c r="I3371" s="245">
        <v>11</v>
      </c>
      <c r="J3371" s="173">
        <v>198</v>
      </c>
      <c r="K3371">
        <f t="shared" si="390"/>
        <v>149</v>
      </c>
      <c r="L3371" s="402">
        <f t="shared" si="391"/>
        <v>8.2777777777777768</v>
      </c>
      <c r="M3371" s="173">
        <f t="shared" si="392"/>
        <v>19.277777777777779</v>
      </c>
      <c r="N3371" s="173"/>
      <c r="O3371" s="2">
        <f t="shared" si="393"/>
        <v>28.916666666666668</v>
      </c>
      <c r="P3371" s="173">
        <v>50</v>
      </c>
    </row>
    <row r="3372" spans="3:16" x14ac:dyDescent="0.35">
      <c r="C3372" s="233" t="s">
        <v>2962</v>
      </c>
      <c r="G3372" s="245" t="s">
        <v>2970</v>
      </c>
      <c r="I3372" s="245">
        <v>11</v>
      </c>
      <c r="J3372" s="173">
        <v>198</v>
      </c>
      <c r="K3372">
        <f t="shared" si="390"/>
        <v>149</v>
      </c>
      <c r="L3372" s="402">
        <f t="shared" si="391"/>
        <v>8.2777777777777768</v>
      </c>
      <c r="M3372" s="173">
        <f t="shared" si="392"/>
        <v>19.277777777777779</v>
      </c>
      <c r="N3372" s="173"/>
      <c r="O3372" s="2">
        <f t="shared" si="393"/>
        <v>28.916666666666668</v>
      </c>
      <c r="P3372" s="173">
        <v>50</v>
      </c>
    </row>
    <row r="3373" spans="3:16" ht="15" thickBot="1" x14ac:dyDescent="0.4">
      <c r="C3373" s="233" t="s">
        <v>2962</v>
      </c>
      <c r="G3373" s="245" t="s">
        <v>2970</v>
      </c>
      <c r="I3373" s="245">
        <v>11</v>
      </c>
      <c r="J3373" s="173">
        <v>198</v>
      </c>
      <c r="K3373">
        <f t="shared" si="390"/>
        <v>149</v>
      </c>
      <c r="L3373" s="402">
        <f t="shared" si="391"/>
        <v>8.2777777777777768</v>
      </c>
      <c r="M3373" s="173">
        <f t="shared" si="392"/>
        <v>19.277777777777779</v>
      </c>
      <c r="N3373" s="173"/>
      <c r="O3373" s="2">
        <f t="shared" si="393"/>
        <v>28.916666666666668</v>
      </c>
      <c r="P3373" s="173">
        <v>50</v>
      </c>
    </row>
    <row r="3374" spans="3:16" ht="15" thickBot="1" x14ac:dyDescent="0.4">
      <c r="I3374" s="906">
        <f>SUM(I3356:I3373)</f>
        <v>198</v>
      </c>
      <c r="J3374" s="8"/>
      <c r="K3374" s="907"/>
      <c r="L3374" s="907"/>
      <c r="M3374" s="907"/>
      <c r="N3374" s="8"/>
      <c r="O3374" s="907"/>
      <c r="P3374" s="851">
        <f>SUM(P3356:P3373)</f>
        <v>900</v>
      </c>
    </row>
    <row r="3375" spans="3:16" x14ac:dyDescent="0.35">
      <c r="C3375" s="233" t="s">
        <v>3050</v>
      </c>
      <c r="F3375" s="366">
        <v>44</v>
      </c>
      <c r="G3375" s="245" t="s">
        <v>3051</v>
      </c>
      <c r="I3375" s="146">
        <v>25</v>
      </c>
      <c r="J3375" s="3">
        <v>300</v>
      </c>
      <c r="K3375" s="146">
        <v>160</v>
      </c>
      <c r="L3375" s="402">
        <f t="shared" ref="L3375" si="394">+I3375/J3375*K3375</f>
        <v>13.333333333333332</v>
      </c>
      <c r="M3375" s="173">
        <f t="shared" ref="M3375" si="395">+I3375+L3375</f>
        <v>38.333333333333329</v>
      </c>
      <c r="N3375" s="3"/>
      <c r="O3375" s="2">
        <f t="shared" si="393"/>
        <v>57.499999999999993</v>
      </c>
      <c r="P3375" s="146">
        <v>125</v>
      </c>
    </row>
    <row r="3376" spans="3:16" x14ac:dyDescent="0.35">
      <c r="C3376" s="233" t="s">
        <v>3050</v>
      </c>
      <c r="F3376" s="366">
        <v>46</v>
      </c>
      <c r="G3376" s="245" t="s">
        <v>3051</v>
      </c>
      <c r="I3376" s="146">
        <v>25</v>
      </c>
      <c r="J3376" s="3">
        <v>300</v>
      </c>
      <c r="K3376" s="146">
        <v>160</v>
      </c>
      <c r="L3376" s="402">
        <f t="shared" ref="L3376:L3382" si="396">+I3376/J3376*K3376</f>
        <v>13.333333333333332</v>
      </c>
      <c r="M3376" s="173">
        <f t="shared" ref="M3376:M3382" si="397">+I3376+L3376</f>
        <v>38.333333333333329</v>
      </c>
      <c r="N3376" s="3"/>
      <c r="O3376" s="2">
        <f t="shared" si="393"/>
        <v>57.499999999999993</v>
      </c>
      <c r="P3376" s="146">
        <v>125</v>
      </c>
    </row>
    <row r="3377" spans="3:16" x14ac:dyDescent="0.35">
      <c r="C3377" s="233" t="s">
        <v>3050</v>
      </c>
      <c r="F3377" s="366">
        <v>48</v>
      </c>
      <c r="G3377" s="245" t="s">
        <v>3051</v>
      </c>
      <c r="I3377" s="146">
        <v>25</v>
      </c>
      <c r="J3377" s="3">
        <v>300</v>
      </c>
      <c r="K3377" s="146">
        <v>160</v>
      </c>
      <c r="L3377" s="402">
        <f t="shared" si="396"/>
        <v>13.333333333333332</v>
      </c>
      <c r="M3377" s="173">
        <f t="shared" si="397"/>
        <v>38.333333333333329</v>
      </c>
      <c r="N3377" s="3"/>
      <c r="O3377" s="2">
        <f t="shared" si="393"/>
        <v>57.499999999999993</v>
      </c>
      <c r="P3377" s="146">
        <v>125</v>
      </c>
    </row>
    <row r="3378" spans="3:16" x14ac:dyDescent="0.35">
      <c r="C3378" s="233" t="s">
        <v>3050</v>
      </c>
      <c r="F3378" s="366">
        <v>50</v>
      </c>
      <c r="G3378" s="245" t="s">
        <v>3051</v>
      </c>
      <c r="I3378" s="146">
        <v>25</v>
      </c>
      <c r="J3378" s="3">
        <v>300</v>
      </c>
      <c r="K3378" s="146">
        <v>160</v>
      </c>
      <c r="L3378" s="402">
        <f t="shared" si="396"/>
        <v>13.333333333333332</v>
      </c>
      <c r="M3378" s="173">
        <f t="shared" si="397"/>
        <v>38.333333333333329</v>
      </c>
      <c r="N3378" s="3"/>
      <c r="O3378" s="2">
        <f t="shared" si="393"/>
        <v>57.499999999999993</v>
      </c>
      <c r="P3378" s="146">
        <v>125</v>
      </c>
    </row>
    <row r="3379" spans="3:16" x14ac:dyDescent="0.35">
      <c r="F3379" s="366">
        <v>42</v>
      </c>
      <c r="G3379" s="245" t="s">
        <v>3052</v>
      </c>
      <c r="I3379" s="146">
        <v>50</v>
      </c>
      <c r="J3379" s="3">
        <v>300</v>
      </c>
      <c r="K3379" s="146">
        <v>160</v>
      </c>
      <c r="L3379" s="402">
        <f t="shared" si="396"/>
        <v>26.666666666666664</v>
      </c>
      <c r="M3379" s="173">
        <f t="shared" si="397"/>
        <v>76.666666666666657</v>
      </c>
      <c r="N3379" s="3"/>
      <c r="O3379" s="2">
        <f t="shared" si="393"/>
        <v>114.99999999999999</v>
      </c>
      <c r="P3379" s="146">
        <v>130</v>
      </c>
    </row>
    <row r="3380" spans="3:16" x14ac:dyDescent="0.35">
      <c r="F3380" s="366">
        <v>44</v>
      </c>
      <c r="G3380" s="245" t="s">
        <v>3052</v>
      </c>
      <c r="I3380" s="146">
        <v>50</v>
      </c>
      <c r="J3380" s="3">
        <v>300</v>
      </c>
      <c r="K3380" s="146">
        <v>160</v>
      </c>
      <c r="L3380" s="402">
        <f t="shared" si="396"/>
        <v>26.666666666666664</v>
      </c>
      <c r="M3380" s="173">
        <f t="shared" si="397"/>
        <v>76.666666666666657</v>
      </c>
      <c r="N3380" s="3"/>
      <c r="O3380" s="2">
        <f t="shared" si="393"/>
        <v>114.99999999999999</v>
      </c>
      <c r="P3380" s="146">
        <v>130</v>
      </c>
    </row>
    <row r="3381" spans="3:16" x14ac:dyDescent="0.35">
      <c r="F3381" s="366">
        <v>46</v>
      </c>
      <c r="G3381" s="245" t="s">
        <v>3052</v>
      </c>
      <c r="I3381" s="146">
        <v>50</v>
      </c>
      <c r="J3381" s="3">
        <v>300</v>
      </c>
      <c r="K3381" s="146">
        <v>160</v>
      </c>
      <c r="L3381" s="402">
        <f t="shared" si="396"/>
        <v>26.666666666666664</v>
      </c>
      <c r="M3381" s="173">
        <f t="shared" si="397"/>
        <v>76.666666666666657</v>
      </c>
      <c r="N3381" s="3"/>
      <c r="O3381" s="2">
        <f t="shared" si="393"/>
        <v>114.99999999999999</v>
      </c>
      <c r="P3381" s="146">
        <v>130</v>
      </c>
    </row>
    <row r="3382" spans="3:16" ht="15" thickBot="1" x14ac:dyDescent="0.4">
      <c r="F3382" s="366">
        <v>48</v>
      </c>
      <c r="G3382" s="245" t="s">
        <v>3052</v>
      </c>
      <c r="I3382" s="146">
        <v>50</v>
      </c>
      <c r="J3382" s="3">
        <v>300</v>
      </c>
      <c r="K3382" s="146">
        <v>160</v>
      </c>
      <c r="L3382" s="402">
        <f t="shared" si="396"/>
        <v>26.666666666666664</v>
      </c>
      <c r="M3382" s="173">
        <f t="shared" si="397"/>
        <v>76.666666666666657</v>
      </c>
      <c r="N3382" s="3"/>
      <c r="O3382" s="2">
        <f t="shared" si="393"/>
        <v>114.99999999999999</v>
      </c>
      <c r="P3382" s="146">
        <v>130</v>
      </c>
    </row>
    <row r="3383" spans="3:16" ht="15" thickBot="1" x14ac:dyDescent="0.4">
      <c r="I3383" s="906">
        <f>SUM(I3375:I3382)</f>
        <v>300</v>
      </c>
      <c r="J3383" s="8"/>
      <c r="K3383" s="907"/>
      <c r="L3383" s="907"/>
      <c r="M3383" s="907"/>
      <c r="N3383" s="8"/>
      <c r="O3383" s="907">
        <f t="shared" ref="O3383:P3383" si="398">SUM(O3375:O3382)</f>
        <v>689.99999999999989</v>
      </c>
      <c r="P3383" s="851">
        <f t="shared" si="398"/>
        <v>1020</v>
      </c>
    </row>
    <row r="3384" spans="3:16" x14ac:dyDescent="0.35">
      <c r="I3384" s="146"/>
      <c r="J3384" s="3"/>
      <c r="K3384" s="146"/>
      <c r="L3384" s="146"/>
      <c r="M3384" s="146"/>
      <c r="N3384" s="3"/>
      <c r="O3384" s="146"/>
      <c r="P3384" s="146"/>
    </row>
    <row r="3386" spans="3:16" x14ac:dyDescent="0.35">
      <c r="C3386" s="233" t="s">
        <v>3039</v>
      </c>
      <c r="F3386" s="366">
        <v>52</v>
      </c>
      <c r="G3386" s="245" t="s">
        <v>3040</v>
      </c>
      <c r="I3386" s="173">
        <v>45</v>
      </c>
      <c r="J3386" s="173">
        <v>790</v>
      </c>
      <c r="K3386" s="173">
        <v>270</v>
      </c>
      <c r="L3386" s="402">
        <f t="shared" ref="L3386" si="399">+I3386/J3386*K3386</f>
        <v>15.379746835443038</v>
      </c>
      <c r="M3386" s="173">
        <f t="shared" ref="M3386" si="400">+I3386+L3386</f>
        <v>60.379746835443036</v>
      </c>
      <c r="N3386" s="173"/>
      <c r="O3386" s="2">
        <f t="shared" ref="O3386" si="401">+M3386*1.5</f>
        <v>90.569620253164558</v>
      </c>
      <c r="P3386" s="173">
        <v>130</v>
      </c>
    </row>
    <row r="3387" spans="3:16" x14ac:dyDescent="0.35">
      <c r="C3387" s="233" t="s">
        <v>3039</v>
      </c>
      <c r="F3387" s="366">
        <v>54</v>
      </c>
      <c r="G3387" s="245" t="s">
        <v>3040</v>
      </c>
      <c r="I3387" s="173">
        <v>45</v>
      </c>
      <c r="J3387" s="173">
        <v>790</v>
      </c>
      <c r="K3387" s="173">
        <v>270</v>
      </c>
      <c r="L3387" s="402">
        <f t="shared" ref="L3387:L3399" si="402">+I3387/J3387*K3387</f>
        <v>15.379746835443038</v>
      </c>
      <c r="M3387" s="173">
        <f t="shared" ref="M3387:M3399" si="403">+I3387+L3387</f>
        <v>60.379746835443036</v>
      </c>
      <c r="N3387" s="173"/>
      <c r="O3387" s="2">
        <f t="shared" ref="O3387:O3399" si="404">+M3387*1.5</f>
        <v>90.569620253164558</v>
      </c>
      <c r="P3387" s="173">
        <v>130</v>
      </c>
    </row>
    <row r="3388" spans="3:16" x14ac:dyDescent="0.35">
      <c r="C3388" s="233" t="s">
        <v>3039</v>
      </c>
      <c r="F3388" s="366">
        <v>56</v>
      </c>
      <c r="G3388" s="245" t="s">
        <v>3040</v>
      </c>
      <c r="I3388" s="173">
        <v>45</v>
      </c>
      <c r="J3388" s="173">
        <v>790</v>
      </c>
      <c r="K3388" s="173">
        <v>270</v>
      </c>
      <c r="L3388" s="402">
        <f t="shared" si="402"/>
        <v>15.379746835443038</v>
      </c>
      <c r="M3388" s="173">
        <f t="shared" si="403"/>
        <v>60.379746835443036</v>
      </c>
      <c r="N3388" s="173"/>
      <c r="O3388" s="2">
        <f t="shared" si="404"/>
        <v>90.569620253164558</v>
      </c>
      <c r="P3388" s="173">
        <v>130</v>
      </c>
    </row>
    <row r="3389" spans="3:16" x14ac:dyDescent="0.35">
      <c r="C3389" s="233" t="s">
        <v>3039</v>
      </c>
      <c r="F3389" s="366">
        <v>52</v>
      </c>
      <c r="G3389" s="245" t="s">
        <v>3041</v>
      </c>
      <c r="I3389" s="173">
        <v>45</v>
      </c>
      <c r="J3389" s="173">
        <v>790</v>
      </c>
      <c r="K3389" s="173">
        <v>270</v>
      </c>
      <c r="L3389" s="402">
        <f t="shared" si="402"/>
        <v>15.379746835443038</v>
      </c>
      <c r="M3389" s="173">
        <f t="shared" si="403"/>
        <v>60.379746835443036</v>
      </c>
      <c r="N3389" s="173"/>
      <c r="O3389" s="2">
        <f t="shared" si="404"/>
        <v>90.569620253164558</v>
      </c>
      <c r="P3389" s="173">
        <v>130</v>
      </c>
    </row>
    <row r="3390" spans="3:16" x14ac:dyDescent="0.35">
      <c r="C3390" s="233" t="s">
        <v>3039</v>
      </c>
      <c r="F3390" s="366">
        <v>54</v>
      </c>
      <c r="G3390" s="245" t="s">
        <v>3041</v>
      </c>
      <c r="I3390" s="173">
        <v>45</v>
      </c>
      <c r="J3390" s="173">
        <v>790</v>
      </c>
      <c r="K3390" s="173">
        <v>270</v>
      </c>
      <c r="L3390" s="402">
        <f t="shared" si="402"/>
        <v>15.379746835443038</v>
      </c>
      <c r="M3390" s="173">
        <f t="shared" si="403"/>
        <v>60.379746835443036</v>
      </c>
      <c r="N3390" s="173"/>
      <c r="O3390" s="2">
        <f t="shared" si="404"/>
        <v>90.569620253164558</v>
      </c>
      <c r="P3390" s="173">
        <v>130</v>
      </c>
    </row>
    <row r="3391" spans="3:16" x14ac:dyDescent="0.35">
      <c r="C3391" s="233" t="s">
        <v>3039</v>
      </c>
      <c r="F3391" s="366">
        <v>56</v>
      </c>
      <c r="G3391" s="245" t="s">
        <v>3041</v>
      </c>
      <c r="I3391" s="173">
        <v>45</v>
      </c>
      <c r="J3391" s="173">
        <v>790</v>
      </c>
      <c r="K3391" s="173">
        <v>270</v>
      </c>
      <c r="L3391" s="402">
        <f t="shared" si="402"/>
        <v>15.379746835443038</v>
      </c>
      <c r="M3391" s="173">
        <f t="shared" si="403"/>
        <v>60.379746835443036</v>
      </c>
      <c r="N3391" s="173"/>
      <c r="O3391" s="2">
        <f t="shared" si="404"/>
        <v>90.569620253164558</v>
      </c>
      <c r="P3391" s="173">
        <v>130</v>
      </c>
    </row>
    <row r="3392" spans="3:16" x14ac:dyDescent="0.35">
      <c r="C3392" s="233" t="s">
        <v>1547</v>
      </c>
      <c r="F3392" s="366">
        <v>44</v>
      </c>
      <c r="G3392" s="245" t="s">
        <v>3042</v>
      </c>
      <c r="I3392" s="173">
        <v>70</v>
      </c>
      <c r="J3392" s="173">
        <v>790</v>
      </c>
      <c r="K3392" s="173">
        <v>270</v>
      </c>
      <c r="L3392" s="402">
        <f t="shared" si="402"/>
        <v>23.924050632911392</v>
      </c>
      <c r="M3392" s="173">
        <f t="shared" si="403"/>
        <v>93.924050632911388</v>
      </c>
      <c r="N3392" s="173"/>
      <c r="O3392" s="2">
        <f t="shared" si="404"/>
        <v>140.88607594936707</v>
      </c>
      <c r="P3392" s="173">
        <v>160</v>
      </c>
    </row>
    <row r="3393" spans="3:16" x14ac:dyDescent="0.35">
      <c r="C3393" s="233" t="s">
        <v>1547</v>
      </c>
      <c r="F3393" s="366">
        <v>46</v>
      </c>
      <c r="G3393" s="245" t="s">
        <v>3042</v>
      </c>
      <c r="I3393" s="173">
        <v>70</v>
      </c>
      <c r="J3393" s="173">
        <v>790</v>
      </c>
      <c r="K3393" s="173">
        <v>270</v>
      </c>
      <c r="L3393" s="402">
        <f t="shared" si="402"/>
        <v>23.924050632911392</v>
      </c>
      <c r="M3393" s="173">
        <f t="shared" si="403"/>
        <v>93.924050632911388</v>
      </c>
      <c r="N3393" s="173"/>
      <c r="O3393" s="2">
        <f t="shared" si="404"/>
        <v>140.88607594936707</v>
      </c>
      <c r="P3393" s="173">
        <v>160</v>
      </c>
    </row>
    <row r="3394" spans="3:16" x14ac:dyDescent="0.35">
      <c r="C3394" s="233" t="s">
        <v>1547</v>
      </c>
      <c r="F3394" s="366">
        <v>48</v>
      </c>
      <c r="G3394" s="245" t="s">
        <v>3042</v>
      </c>
      <c r="I3394" s="173">
        <v>70</v>
      </c>
      <c r="J3394" s="173">
        <v>790</v>
      </c>
      <c r="K3394" s="173">
        <v>270</v>
      </c>
      <c r="L3394" s="402">
        <f t="shared" si="402"/>
        <v>23.924050632911392</v>
      </c>
      <c r="M3394" s="173">
        <f t="shared" si="403"/>
        <v>93.924050632911388</v>
      </c>
      <c r="N3394" s="173"/>
      <c r="O3394" s="2">
        <f t="shared" si="404"/>
        <v>140.88607594936707</v>
      </c>
      <c r="P3394" s="173">
        <v>160</v>
      </c>
    </row>
    <row r="3395" spans="3:16" x14ac:dyDescent="0.35">
      <c r="C3395" s="233" t="s">
        <v>1547</v>
      </c>
      <c r="F3395" s="366">
        <v>50</v>
      </c>
      <c r="G3395" s="245" t="s">
        <v>3042</v>
      </c>
      <c r="I3395" s="173">
        <v>70</v>
      </c>
      <c r="J3395" s="173">
        <v>790</v>
      </c>
      <c r="K3395" s="173">
        <v>270</v>
      </c>
      <c r="L3395" s="402">
        <f t="shared" si="402"/>
        <v>23.924050632911392</v>
      </c>
      <c r="M3395" s="173">
        <f t="shared" si="403"/>
        <v>93.924050632911388</v>
      </c>
      <c r="N3395" s="173"/>
      <c r="O3395" s="2">
        <f t="shared" si="404"/>
        <v>140.88607594936707</v>
      </c>
      <c r="P3395" s="173">
        <v>160</v>
      </c>
    </row>
    <row r="3396" spans="3:16" x14ac:dyDescent="0.35">
      <c r="C3396" s="233" t="s">
        <v>522</v>
      </c>
      <c r="G3396" s="245" t="s">
        <v>3043</v>
      </c>
      <c r="I3396" s="173">
        <v>60</v>
      </c>
      <c r="J3396" s="173">
        <v>790</v>
      </c>
      <c r="K3396" s="173">
        <v>270</v>
      </c>
      <c r="L3396" s="402">
        <f t="shared" si="402"/>
        <v>20.50632911392405</v>
      </c>
      <c r="M3396" s="173">
        <f t="shared" si="403"/>
        <v>80.506329113924053</v>
      </c>
      <c r="N3396" s="173"/>
      <c r="O3396" s="2">
        <f t="shared" si="404"/>
        <v>120.75949367088609</v>
      </c>
      <c r="P3396" s="173">
        <v>160</v>
      </c>
    </row>
    <row r="3397" spans="3:16" x14ac:dyDescent="0.35">
      <c r="C3397" s="233" t="s">
        <v>522</v>
      </c>
      <c r="G3397" s="245" t="s">
        <v>3043</v>
      </c>
      <c r="I3397" s="173">
        <v>60</v>
      </c>
      <c r="J3397" s="173">
        <v>790</v>
      </c>
      <c r="K3397" s="173">
        <v>270</v>
      </c>
      <c r="L3397" s="402">
        <f t="shared" si="402"/>
        <v>20.50632911392405</v>
      </c>
      <c r="M3397" s="173">
        <f t="shared" si="403"/>
        <v>80.506329113924053</v>
      </c>
      <c r="N3397" s="173"/>
      <c r="O3397" s="2">
        <f t="shared" si="404"/>
        <v>120.75949367088609</v>
      </c>
      <c r="P3397" s="173">
        <v>160</v>
      </c>
    </row>
    <row r="3398" spans="3:16" x14ac:dyDescent="0.35">
      <c r="C3398" s="233" t="s">
        <v>522</v>
      </c>
      <c r="G3398" s="245" t="s">
        <v>3043</v>
      </c>
      <c r="I3398" s="173">
        <v>60</v>
      </c>
      <c r="J3398" s="173">
        <v>790</v>
      </c>
      <c r="K3398" s="173">
        <v>270</v>
      </c>
      <c r="L3398" s="402">
        <f t="shared" si="402"/>
        <v>20.50632911392405</v>
      </c>
      <c r="M3398" s="173">
        <f t="shared" si="403"/>
        <v>80.506329113924053</v>
      </c>
      <c r="N3398" s="173"/>
      <c r="O3398" s="2">
        <f t="shared" si="404"/>
        <v>120.75949367088609</v>
      </c>
      <c r="P3398" s="173">
        <v>160</v>
      </c>
    </row>
    <row r="3399" spans="3:16" ht="15" thickBot="1" x14ac:dyDescent="0.4">
      <c r="C3399" s="233" t="s">
        <v>522</v>
      </c>
      <c r="G3399" s="245" t="s">
        <v>3043</v>
      </c>
      <c r="I3399" s="173">
        <v>60</v>
      </c>
      <c r="J3399" s="173">
        <v>790</v>
      </c>
      <c r="K3399" s="173">
        <v>270</v>
      </c>
      <c r="L3399" s="402">
        <f t="shared" si="402"/>
        <v>20.50632911392405</v>
      </c>
      <c r="M3399" s="173">
        <f t="shared" si="403"/>
        <v>80.506329113924053</v>
      </c>
      <c r="N3399" s="173"/>
      <c r="O3399" s="2">
        <f t="shared" si="404"/>
        <v>120.75949367088609</v>
      </c>
      <c r="P3399" s="173">
        <v>160</v>
      </c>
    </row>
    <row r="3400" spans="3:16" ht="15" thickBot="1" x14ac:dyDescent="0.4">
      <c r="I3400" s="906">
        <f>SUM(I3386:I3399)</f>
        <v>790</v>
      </c>
      <c r="J3400" s="8"/>
      <c r="K3400" s="907"/>
      <c r="L3400" s="907"/>
      <c r="M3400" s="907"/>
      <c r="N3400" s="8"/>
      <c r="O3400" s="907"/>
      <c r="P3400" s="851">
        <f>SUM(P3386:P3399)</f>
        <v>2060</v>
      </c>
    </row>
    <row r="3402" spans="3:16" x14ac:dyDescent="0.35">
      <c r="C3402" s="233" t="s">
        <v>99</v>
      </c>
      <c r="F3402" s="366">
        <v>50</v>
      </c>
      <c r="G3402" s="245" t="s">
        <v>3047</v>
      </c>
      <c r="I3402" s="173">
        <v>71</v>
      </c>
      <c r="J3402" s="173">
        <v>388</v>
      </c>
      <c r="K3402" s="173">
        <f>12*15+25</f>
        <v>205</v>
      </c>
      <c r="L3402" s="402">
        <f t="shared" ref="L3402" si="405">+I3402/J3402*K3402</f>
        <v>37.512886597938142</v>
      </c>
      <c r="M3402" s="173">
        <f t="shared" ref="M3402" si="406">+I3402+L3402</f>
        <v>108.51288659793815</v>
      </c>
      <c r="N3402" s="173"/>
      <c r="O3402" s="2">
        <f t="shared" ref="O3402" si="407">+M3402*1.5</f>
        <v>162.76932989690721</v>
      </c>
      <c r="P3402" s="173">
        <v>160</v>
      </c>
    </row>
    <row r="3403" spans="3:16" x14ac:dyDescent="0.35">
      <c r="C3403" s="233" t="s">
        <v>99</v>
      </c>
      <c r="F3403" s="366">
        <v>52</v>
      </c>
      <c r="G3403" s="245" t="s">
        <v>3047</v>
      </c>
      <c r="I3403" s="173">
        <v>71</v>
      </c>
      <c r="J3403" s="173">
        <v>388</v>
      </c>
      <c r="K3403" s="173">
        <f t="shared" ref="K3403:K3409" si="408">12*15+25</f>
        <v>205</v>
      </c>
      <c r="L3403" s="402">
        <f t="shared" ref="L3403:L3409" si="409">+I3403/J3403*K3403</f>
        <v>37.512886597938142</v>
      </c>
      <c r="M3403" s="173">
        <f t="shared" ref="M3403:M3409" si="410">+I3403+L3403</f>
        <v>108.51288659793815</v>
      </c>
      <c r="N3403" s="173"/>
      <c r="O3403" s="2">
        <f t="shared" ref="O3403:O3409" si="411">+M3403*1.5</f>
        <v>162.76932989690721</v>
      </c>
      <c r="P3403" s="173">
        <v>160</v>
      </c>
    </row>
    <row r="3404" spans="3:16" x14ac:dyDescent="0.35">
      <c r="C3404" s="233" t="s">
        <v>99</v>
      </c>
      <c r="F3404" s="366">
        <v>54</v>
      </c>
      <c r="G3404" s="245" t="s">
        <v>3047</v>
      </c>
      <c r="I3404" s="173">
        <v>71</v>
      </c>
      <c r="J3404" s="173">
        <v>388</v>
      </c>
      <c r="K3404" s="173">
        <f t="shared" si="408"/>
        <v>205</v>
      </c>
      <c r="L3404" s="402">
        <f t="shared" si="409"/>
        <v>37.512886597938142</v>
      </c>
      <c r="M3404" s="173">
        <f t="shared" si="410"/>
        <v>108.51288659793815</v>
      </c>
      <c r="N3404" s="173"/>
      <c r="O3404" s="2">
        <f t="shared" si="411"/>
        <v>162.76932989690721</v>
      </c>
      <c r="P3404" s="173">
        <v>160</v>
      </c>
    </row>
    <row r="3405" spans="3:16" x14ac:dyDescent="0.35">
      <c r="C3405" s="233" t="s">
        <v>99</v>
      </c>
      <c r="F3405" s="366">
        <v>56</v>
      </c>
      <c r="G3405" s="245" t="s">
        <v>3047</v>
      </c>
      <c r="I3405" s="173">
        <v>71</v>
      </c>
      <c r="J3405" s="173">
        <v>388</v>
      </c>
      <c r="K3405" s="173">
        <f t="shared" si="408"/>
        <v>205</v>
      </c>
      <c r="L3405" s="402">
        <f t="shared" si="409"/>
        <v>37.512886597938142</v>
      </c>
      <c r="M3405" s="173">
        <f t="shared" si="410"/>
        <v>108.51288659793815</v>
      </c>
      <c r="N3405" s="173"/>
      <c r="O3405" s="2">
        <f t="shared" si="411"/>
        <v>162.76932989690721</v>
      </c>
      <c r="P3405" s="173">
        <v>160</v>
      </c>
    </row>
    <row r="3406" spans="3:16" x14ac:dyDescent="0.35">
      <c r="C3406" s="233" t="s">
        <v>1855</v>
      </c>
      <c r="F3406" s="366">
        <v>44</v>
      </c>
      <c r="G3406" s="245" t="s">
        <v>3048</v>
      </c>
      <c r="I3406" s="173">
        <v>26</v>
      </c>
      <c r="J3406" s="173">
        <v>388</v>
      </c>
      <c r="K3406" s="173">
        <f t="shared" si="408"/>
        <v>205</v>
      </c>
      <c r="L3406" s="402">
        <f t="shared" si="409"/>
        <v>13.737113402061855</v>
      </c>
      <c r="M3406" s="173">
        <f t="shared" si="410"/>
        <v>39.737113402061851</v>
      </c>
      <c r="N3406" s="173"/>
      <c r="O3406" s="2">
        <f t="shared" si="411"/>
        <v>59.605670103092777</v>
      </c>
      <c r="P3406" s="173">
        <v>90</v>
      </c>
    </row>
    <row r="3407" spans="3:16" x14ac:dyDescent="0.35">
      <c r="C3407" s="233" t="s">
        <v>1855</v>
      </c>
      <c r="F3407" s="366">
        <v>46</v>
      </c>
      <c r="G3407" s="245" t="s">
        <v>3048</v>
      </c>
      <c r="I3407" s="173">
        <v>26</v>
      </c>
      <c r="J3407" s="173">
        <v>388</v>
      </c>
      <c r="K3407" s="173">
        <f t="shared" si="408"/>
        <v>205</v>
      </c>
      <c r="L3407" s="402">
        <f t="shared" si="409"/>
        <v>13.737113402061855</v>
      </c>
      <c r="M3407" s="173">
        <f t="shared" si="410"/>
        <v>39.737113402061851</v>
      </c>
      <c r="N3407" s="173"/>
      <c r="O3407" s="2">
        <f t="shared" si="411"/>
        <v>59.605670103092777</v>
      </c>
      <c r="P3407" s="173">
        <v>90</v>
      </c>
    </row>
    <row r="3408" spans="3:16" x14ac:dyDescent="0.35">
      <c r="C3408" s="233" t="s">
        <v>1855</v>
      </c>
      <c r="F3408" s="366">
        <v>48</v>
      </c>
      <c r="G3408" s="245" t="s">
        <v>3048</v>
      </c>
      <c r="I3408" s="173">
        <v>26</v>
      </c>
      <c r="J3408" s="173">
        <v>388</v>
      </c>
      <c r="K3408" s="173">
        <f t="shared" si="408"/>
        <v>205</v>
      </c>
      <c r="L3408" s="402">
        <f t="shared" si="409"/>
        <v>13.737113402061855</v>
      </c>
      <c r="M3408" s="173">
        <f t="shared" si="410"/>
        <v>39.737113402061851</v>
      </c>
      <c r="N3408" s="173"/>
      <c r="O3408" s="2">
        <f t="shared" si="411"/>
        <v>59.605670103092777</v>
      </c>
      <c r="P3408" s="173">
        <v>90</v>
      </c>
    </row>
    <row r="3409" spans="3:16" ht="15" thickBot="1" x14ac:dyDescent="0.4">
      <c r="C3409" s="233" t="s">
        <v>1855</v>
      </c>
      <c r="F3409" s="366">
        <v>50</v>
      </c>
      <c r="G3409" s="245" t="s">
        <v>3048</v>
      </c>
      <c r="I3409" s="173">
        <v>26</v>
      </c>
      <c r="J3409" s="173">
        <v>388</v>
      </c>
      <c r="K3409" s="173">
        <f t="shared" si="408"/>
        <v>205</v>
      </c>
      <c r="L3409" s="402">
        <f t="shared" si="409"/>
        <v>13.737113402061855</v>
      </c>
      <c r="M3409" s="173">
        <f t="shared" si="410"/>
        <v>39.737113402061851</v>
      </c>
      <c r="N3409" s="173"/>
      <c r="O3409" s="2">
        <f t="shared" si="411"/>
        <v>59.605670103092777</v>
      </c>
      <c r="P3409" s="173">
        <v>90</v>
      </c>
    </row>
    <row r="3410" spans="3:16" ht="15" thickBot="1" x14ac:dyDescent="0.4">
      <c r="I3410" s="906">
        <f>SUM(I3402:I3409)</f>
        <v>388</v>
      </c>
      <c r="J3410" s="8"/>
      <c r="K3410" s="907"/>
      <c r="L3410" s="907"/>
      <c r="M3410" s="907"/>
      <c r="N3410" s="8"/>
      <c r="O3410" s="907"/>
      <c r="P3410" s="851">
        <f>SUM(P3402:P3409)</f>
        <v>1000</v>
      </c>
    </row>
    <row r="3413" spans="3:16" x14ac:dyDescent="0.35">
      <c r="C3413" s="233" t="s">
        <v>3044</v>
      </c>
      <c r="F3413" s="366">
        <v>42</v>
      </c>
      <c r="G3413" s="245" t="s">
        <v>3045</v>
      </c>
      <c r="I3413" s="173">
        <v>20</v>
      </c>
      <c r="J3413">
        <v>160</v>
      </c>
      <c r="K3413" s="173">
        <f>6*15+25</f>
        <v>115</v>
      </c>
      <c r="L3413" s="402">
        <f t="shared" ref="L3413:L3420" si="412">+I3413/J3413*K3413</f>
        <v>14.375</v>
      </c>
      <c r="M3413" s="173">
        <f t="shared" ref="M3413:M3420" si="413">+I3413+L3413</f>
        <v>34.375</v>
      </c>
      <c r="N3413" s="173"/>
      <c r="O3413" s="2">
        <f t="shared" ref="O3413:O3420" si="414">+M3413*1.5</f>
        <v>51.5625</v>
      </c>
      <c r="P3413" s="173">
        <v>80</v>
      </c>
    </row>
    <row r="3414" spans="3:16" x14ac:dyDescent="0.35">
      <c r="C3414" s="233" t="s">
        <v>3044</v>
      </c>
      <c r="F3414" s="366">
        <v>44</v>
      </c>
      <c r="G3414" s="245" t="s">
        <v>3045</v>
      </c>
      <c r="I3414" s="173">
        <v>20</v>
      </c>
      <c r="J3414">
        <v>160</v>
      </c>
      <c r="K3414" s="173">
        <f t="shared" ref="K3414:K3420" si="415">6*15+25</f>
        <v>115</v>
      </c>
      <c r="L3414" s="402">
        <f t="shared" si="412"/>
        <v>14.375</v>
      </c>
      <c r="M3414" s="173">
        <f t="shared" si="413"/>
        <v>34.375</v>
      </c>
      <c r="N3414" s="173"/>
      <c r="O3414" s="2">
        <f t="shared" si="414"/>
        <v>51.5625</v>
      </c>
      <c r="P3414" s="173">
        <v>80</v>
      </c>
    </row>
    <row r="3415" spans="3:16" x14ac:dyDescent="0.35">
      <c r="C3415" s="233" t="s">
        <v>3044</v>
      </c>
      <c r="F3415" s="366">
        <v>46</v>
      </c>
      <c r="G3415" s="245" t="s">
        <v>3045</v>
      </c>
      <c r="I3415" s="173">
        <v>20</v>
      </c>
      <c r="J3415">
        <v>160</v>
      </c>
      <c r="K3415" s="173">
        <f t="shared" si="415"/>
        <v>115</v>
      </c>
      <c r="L3415" s="402">
        <f t="shared" si="412"/>
        <v>14.375</v>
      </c>
      <c r="M3415" s="173">
        <f t="shared" si="413"/>
        <v>34.375</v>
      </c>
      <c r="N3415" s="173"/>
      <c r="O3415" s="2">
        <f t="shared" si="414"/>
        <v>51.5625</v>
      </c>
      <c r="P3415" s="173">
        <v>80</v>
      </c>
    </row>
    <row r="3416" spans="3:16" x14ac:dyDescent="0.35">
      <c r="C3416" s="233" t="s">
        <v>3044</v>
      </c>
      <c r="F3416" s="366">
        <v>48</v>
      </c>
      <c r="G3416" s="245" t="s">
        <v>3045</v>
      </c>
      <c r="I3416" s="173">
        <v>20</v>
      </c>
      <c r="J3416">
        <v>160</v>
      </c>
      <c r="K3416" s="173">
        <f t="shared" si="415"/>
        <v>115</v>
      </c>
      <c r="L3416" s="402">
        <f t="shared" si="412"/>
        <v>14.375</v>
      </c>
      <c r="M3416" s="173">
        <f t="shared" si="413"/>
        <v>34.375</v>
      </c>
      <c r="N3416" s="173"/>
      <c r="O3416" s="2">
        <f t="shared" si="414"/>
        <v>51.5625</v>
      </c>
      <c r="P3416" s="173">
        <v>80</v>
      </c>
    </row>
    <row r="3417" spans="3:16" x14ac:dyDescent="0.35">
      <c r="C3417" s="233" t="s">
        <v>3044</v>
      </c>
      <c r="F3417" s="366">
        <v>36</v>
      </c>
      <c r="G3417" s="245" t="s">
        <v>3046</v>
      </c>
      <c r="I3417" s="173">
        <v>20</v>
      </c>
      <c r="J3417">
        <v>160</v>
      </c>
      <c r="K3417" s="173">
        <f t="shared" si="415"/>
        <v>115</v>
      </c>
      <c r="L3417" s="402">
        <f t="shared" si="412"/>
        <v>14.375</v>
      </c>
      <c r="M3417" s="173">
        <f t="shared" si="413"/>
        <v>34.375</v>
      </c>
      <c r="N3417" s="173"/>
      <c r="O3417" s="2">
        <f t="shared" si="414"/>
        <v>51.5625</v>
      </c>
      <c r="P3417" s="173">
        <v>80</v>
      </c>
    </row>
    <row r="3418" spans="3:16" x14ac:dyDescent="0.35">
      <c r="C3418" s="233" t="s">
        <v>3044</v>
      </c>
      <c r="F3418" s="366">
        <v>38</v>
      </c>
      <c r="G3418" s="245" t="s">
        <v>3046</v>
      </c>
      <c r="I3418" s="173">
        <v>20</v>
      </c>
      <c r="J3418">
        <v>160</v>
      </c>
      <c r="K3418" s="173">
        <f t="shared" si="415"/>
        <v>115</v>
      </c>
      <c r="L3418" s="402">
        <f t="shared" si="412"/>
        <v>14.375</v>
      </c>
      <c r="M3418" s="173">
        <f t="shared" si="413"/>
        <v>34.375</v>
      </c>
      <c r="N3418" s="173"/>
      <c r="O3418" s="2">
        <f t="shared" si="414"/>
        <v>51.5625</v>
      </c>
      <c r="P3418" s="173">
        <v>80</v>
      </c>
    </row>
    <row r="3419" spans="3:16" x14ac:dyDescent="0.35">
      <c r="C3419" s="233" t="s">
        <v>3044</v>
      </c>
      <c r="F3419" s="366">
        <v>40</v>
      </c>
      <c r="G3419" s="245" t="s">
        <v>3046</v>
      </c>
      <c r="I3419" s="173">
        <v>20</v>
      </c>
      <c r="J3419">
        <v>160</v>
      </c>
      <c r="K3419" s="173">
        <f t="shared" si="415"/>
        <v>115</v>
      </c>
      <c r="L3419" s="402">
        <f t="shared" si="412"/>
        <v>14.375</v>
      </c>
      <c r="M3419" s="173">
        <f t="shared" si="413"/>
        <v>34.375</v>
      </c>
      <c r="N3419" s="173"/>
      <c r="O3419" s="2">
        <f t="shared" si="414"/>
        <v>51.5625</v>
      </c>
      <c r="P3419" s="173">
        <v>80</v>
      </c>
    </row>
    <row r="3420" spans="3:16" ht="15" thickBot="1" x14ac:dyDescent="0.4">
      <c r="C3420" s="233" t="s">
        <v>3044</v>
      </c>
      <c r="F3420" s="366">
        <v>42</v>
      </c>
      <c r="G3420" s="245" t="s">
        <v>3046</v>
      </c>
      <c r="I3420" s="173">
        <v>20</v>
      </c>
      <c r="J3420">
        <v>160</v>
      </c>
      <c r="K3420" s="173">
        <f t="shared" si="415"/>
        <v>115</v>
      </c>
      <c r="L3420" s="402">
        <f t="shared" si="412"/>
        <v>14.375</v>
      </c>
      <c r="M3420" s="173">
        <f t="shared" si="413"/>
        <v>34.375</v>
      </c>
      <c r="N3420" s="173"/>
      <c r="O3420" s="2">
        <f t="shared" si="414"/>
        <v>51.5625</v>
      </c>
      <c r="P3420" s="173">
        <v>80</v>
      </c>
    </row>
    <row r="3421" spans="3:16" ht="15" thickBot="1" x14ac:dyDescent="0.4">
      <c r="I3421" s="906">
        <f>SUM(I3413:I3420)</f>
        <v>160</v>
      </c>
      <c r="J3421" s="8"/>
      <c r="K3421" s="907"/>
      <c r="L3421" s="907"/>
      <c r="M3421" s="907"/>
      <c r="N3421" s="8"/>
      <c r="O3421" s="907"/>
      <c r="P3421" s="851">
        <f>SUM(P3413:P3420)</f>
        <v>640</v>
      </c>
    </row>
  </sheetData>
  <sortState xmlns:xlrd2="http://schemas.microsoft.com/office/spreadsheetml/2017/richdata2" ref="G1176:K1180">
    <sortCondition descending="1" ref="I1176:I1180"/>
  </sortState>
  <phoneticPr fontId="45" type="noConversion"/>
  <printOptions gridLines="1"/>
  <pageMargins left="0.7" right="0.7" top="0.75" bottom="0.75" header="0.3" footer="0.3"/>
  <pageSetup scale="3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L26"/>
  <sheetViews>
    <sheetView topLeftCell="A4" zoomScale="110" zoomScaleNormal="110" workbookViewId="0">
      <selection activeCell="A28" sqref="A28:XFD35"/>
    </sheetView>
  </sheetViews>
  <sheetFormatPr defaultRowHeight="14.5" x14ac:dyDescent="0.35"/>
  <cols>
    <col min="2" max="2" width="18.7265625" customWidth="1"/>
    <col min="6" max="6" width="10.1796875" customWidth="1"/>
    <col min="7" max="7" width="12" customWidth="1"/>
    <col min="9" max="9" width="11.7265625" customWidth="1"/>
  </cols>
  <sheetData>
    <row r="1" spans="1:7" x14ac:dyDescent="0.35">
      <c r="A1" t="s">
        <v>534</v>
      </c>
    </row>
    <row r="2" spans="1:7" x14ac:dyDescent="0.35">
      <c r="B2" t="s">
        <v>113</v>
      </c>
    </row>
    <row r="3" spans="1:7" x14ac:dyDescent="0.35">
      <c r="B3" t="s">
        <v>114</v>
      </c>
    </row>
    <row r="5" spans="1:7" x14ac:dyDescent="0.35">
      <c r="B5" t="s">
        <v>292</v>
      </c>
    </row>
    <row r="7" spans="1:7" x14ac:dyDescent="0.35">
      <c r="B7" t="s">
        <v>293</v>
      </c>
    </row>
    <row r="9" spans="1:7" x14ac:dyDescent="0.35">
      <c r="B9" t="s">
        <v>297</v>
      </c>
      <c r="G9" t="s">
        <v>299</v>
      </c>
    </row>
    <row r="10" spans="1:7" x14ac:dyDescent="0.35">
      <c r="G10" t="s">
        <v>298</v>
      </c>
    </row>
    <row r="11" spans="1:7" x14ac:dyDescent="0.35">
      <c r="G11" t="s">
        <v>364</v>
      </c>
    </row>
    <row r="12" spans="1:7" x14ac:dyDescent="0.35">
      <c r="G12" t="s">
        <v>365</v>
      </c>
    </row>
    <row r="13" spans="1:7" x14ac:dyDescent="0.35">
      <c r="G13" t="s">
        <v>366</v>
      </c>
    </row>
    <row r="14" spans="1:7" x14ac:dyDescent="0.35">
      <c r="G14" t="s">
        <v>367</v>
      </c>
    </row>
    <row r="16" spans="1:7" x14ac:dyDescent="0.35">
      <c r="B16" t="s">
        <v>368</v>
      </c>
      <c r="G16" t="s">
        <v>369</v>
      </c>
    </row>
    <row r="17" spans="2:12" x14ac:dyDescent="0.35">
      <c r="G17" t="s">
        <v>370</v>
      </c>
    </row>
    <row r="18" spans="2:12" x14ac:dyDescent="0.35">
      <c r="G18" t="s">
        <v>371</v>
      </c>
    </row>
    <row r="20" spans="2:12" x14ac:dyDescent="0.35">
      <c r="B20" t="s">
        <v>372</v>
      </c>
    </row>
    <row r="21" spans="2:12" x14ac:dyDescent="0.35">
      <c r="G21" t="s">
        <v>374</v>
      </c>
      <c r="L21">
        <v>100</v>
      </c>
    </row>
    <row r="22" spans="2:12" x14ac:dyDescent="0.35">
      <c r="G22" t="s">
        <v>376</v>
      </c>
      <c r="L22">
        <v>50</v>
      </c>
    </row>
    <row r="23" spans="2:12" x14ac:dyDescent="0.35">
      <c r="F23" t="s">
        <v>377</v>
      </c>
      <c r="G23" t="s">
        <v>373</v>
      </c>
      <c r="L23" s="90">
        <v>0.5</v>
      </c>
    </row>
    <row r="24" spans="2:12" x14ac:dyDescent="0.35">
      <c r="G24" t="s">
        <v>379</v>
      </c>
      <c r="L24" s="90">
        <v>0.1</v>
      </c>
    </row>
    <row r="25" spans="2:12" x14ac:dyDescent="0.35">
      <c r="G25" t="s">
        <v>378</v>
      </c>
      <c r="L25" s="90">
        <v>0.1</v>
      </c>
    </row>
    <row r="26" spans="2:12" x14ac:dyDescent="0.35">
      <c r="G26" t="s">
        <v>375</v>
      </c>
      <c r="L26" s="90">
        <v>0.3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Q68"/>
  <sheetViews>
    <sheetView tabSelected="1" topLeftCell="A53" workbookViewId="0">
      <selection activeCell="J55" sqref="J55"/>
    </sheetView>
  </sheetViews>
  <sheetFormatPr defaultRowHeight="14.5" x14ac:dyDescent="0.35"/>
  <cols>
    <col min="2" max="2" width="14.1796875" customWidth="1"/>
    <col min="11" max="11" width="17.81640625" customWidth="1"/>
    <col min="16" max="16" width="15" customWidth="1"/>
  </cols>
  <sheetData>
    <row r="1" spans="1:14" x14ac:dyDescent="0.35">
      <c r="A1" t="s">
        <v>534</v>
      </c>
    </row>
    <row r="2" spans="1:14" x14ac:dyDescent="0.35">
      <c r="C2" s="3" t="s">
        <v>213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218</v>
      </c>
      <c r="I2" s="3" t="s">
        <v>219</v>
      </c>
      <c r="J2" s="3" t="s">
        <v>220</v>
      </c>
      <c r="K2" s="3" t="s">
        <v>221</v>
      </c>
      <c r="L2" s="3" t="s">
        <v>222</v>
      </c>
      <c r="M2" s="3" t="s">
        <v>223</v>
      </c>
      <c r="N2" s="3" t="s">
        <v>224</v>
      </c>
    </row>
    <row r="3" spans="1:14" x14ac:dyDescent="0.35">
      <c r="B3" t="s">
        <v>225</v>
      </c>
    </row>
    <row r="5" spans="1:14" x14ac:dyDescent="0.35">
      <c r="B5" s="3" t="s">
        <v>211</v>
      </c>
    </row>
    <row r="6" spans="1:14" x14ac:dyDescent="0.35">
      <c r="B6" t="s">
        <v>209</v>
      </c>
    </row>
    <row r="7" spans="1:14" x14ac:dyDescent="0.35">
      <c r="B7" t="s">
        <v>206</v>
      </c>
    </row>
    <row r="9" spans="1:14" x14ac:dyDescent="0.35">
      <c r="B9" s="3" t="s">
        <v>287</v>
      </c>
    </row>
    <row r="10" spans="1:14" x14ac:dyDescent="0.35">
      <c r="B10" s="3" t="s">
        <v>209</v>
      </c>
    </row>
    <row r="11" spans="1:14" x14ac:dyDescent="0.35">
      <c r="B11" s="129" t="s">
        <v>288</v>
      </c>
    </row>
    <row r="12" spans="1:14" x14ac:dyDescent="0.35">
      <c r="B12" s="129" t="s">
        <v>289</v>
      </c>
    </row>
    <row r="13" spans="1:14" x14ac:dyDescent="0.35">
      <c r="B13" s="129" t="s">
        <v>290</v>
      </c>
    </row>
    <row r="14" spans="1:14" x14ac:dyDescent="0.35">
      <c r="B14" s="129" t="s">
        <v>291</v>
      </c>
    </row>
    <row r="15" spans="1:14" x14ac:dyDescent="0.35">
      <c r="B15" s="3" t="s">
        <v>206</v>
      </c>
    </row>
    <row r="16" spans="1:14" x14ac:dyDescent="0.35">
      <c r="B16" s="129" t="s">
        <v>288</v>
      </c>
    </row>
    <row r="17" spans="2:17" x14ac:dyDescent="0.35">
      <c r="B17" s="129" t="s">
        <v>289</v>
      </c>
    </row>
    <row r="18" spans="2:17" x14ac:dyDescent="0.35">
      <c r="B18" s="129" t="s">
        <v>290</v>
      </c>
    </row>
    <row r="19" spans="2:17" x14ac:dyDescent="0.35">
      <c r="B19" s="129" t="s">
        <v>291</v>
      </c>
    </row>
    <row r="20" spans="2:17" x14ac:dyDescent="0.35">
      <c r="B20" s="129"/>
    </row>
    <row r="21" spans="2:17" x14ac:dyDescent="0.35">
      <c r="B21" s="3" t="s">
        <v>212</v>
      </c>
    </row>
    <row r="22" spans="2:17" x14ac:dyDescent="0.35">
      <c r="B22" t="s">
        <v>209</v>
      </c>
    </row>
    <row r="23" spans="2:17" x14ac:dyDescent="0.35">
      <c r="B23" t="s">
        <v>206</v>
      </c>
    </row>
    <row r="26" spans="2:17" s="3" customFormat="1" ht="15" thickBot="1" x14ac:dyDescent="0.4">
      <c r="B26" s="3" t="s">
        <v>1008</v>
      </c>
    </row>
    <row r="27" spans="2:17" s="3" customFormat="1" ht="15" thickBot="1" x14ac:dyDescent="0.4">
      <c r="B27" s="7"/>
      <c r="C27" s="8" t="s">
        <v>1011</v>
      </c>
      <c r="D27" s="8" t="s">
        <v>1010</v>
      </c>
      <c r="E27" s="8"/>
      <c r="F27" s="8"/>
      <c r="G27" s="8" t="s">
        <v>1012</v>
      </c>
      <c r="H27" s="8" t="s">
        <v>1010</v>
      </c>
      <c r="I27" s="8"/>
      <c r="J27" s="8"/>
      <c r="K27" s="632" t="s">
        <v>1013</v>
      </c>
      <c r="L27" s="633" t="s">
        <v>1010</v>
      </c>
      <c r="M27" s="7"/>
      <c r="N27" s="8"/>
      <c r="O27" s="8" t="s">
        <v>1555</v>
      </c>
      <c r="P27" s="107" t="s">
        <v>1010</v>
      </c>
    </row>
    <row r="28" spans="2:17" x14ac:dyDescent="0.35">
      <c r="C28">
        <v>1</v>
      </c>
      <c r="D28" s="43" t="s">
        <v>1441</v>
      </c>
      <c r="G28">
        <v>7</v>
      </c>
      <c r="H28" t="s">
        <v>1442</v>
      </c>
      <c r="K28" s="239">
        <v>7</v>
      </c>
      <c r="L28" s="239" t="s">
        <v>1443</v>
      </c>
      <c r="O28">
        <v>1</v>
      </c>
      <c r="P28" t="s">
        <v>1556</v>
      </c>
      <c r="Q28" t="s">
        <v>1557</v>
      </c>
    </row>
    <row r="29" spans="2:17" x14ac:dyDescent="0.35">
      <c r="C29">
        <v>1</v>
      </c>
      <c r="D29" s="6" t="s">
        <v>1558</v>
      </c>
      <c r="G29">
        <v>6</v>
      </c>
      <c r="H29" t="s">
        <v>1760</v>
      </c>
      <c r="K29" s="239">
        <v>1</v>
      </c>
      <c r="L29" s="239" t="s">
        <v>1543</v>
      </c>
      <c r="M29" t="s">
        <v>1544</v>
      </c>
    </row>
    <row r="30" spans="2:17" x14ac:dyDescent="0.35">
      <c r="C30">
        <v>6</v>
      </c>
      <c r="D30" t="s">
        <v>1753</v>
      </c>
      <c r="G30">
        <v>7</v>
      </c>
      <c r="H30" t="s">
        <v>1917</v>
      </c>
      <c r="K30" s="239">
        <v>5</v>
      </c>
      <c r="L30" s="239" t="s">
        <v>1649</v>
      </c>
    </row>
    <row r="31" spans="2:17" x14ac:dyDescent="0.35">
      <c r="C31">
        <v>1</v>
      </c>
      <c r="D31" s="6">
        <v>45836</v>
      </c>
      <c r="K31" s="239"/>
      <c r="L31" s="239"/>
    </row>
    <row r="32" spans="2:17" ht="15" thickBot="1" x14ac:dyDescent="0.4">
      <c r="C32">
        <v>8</v>
      </c>
      <c r="D32" t="s">
        <v>1795</v>
      </c>
      <c r="K32" s="239"/>
      <c r="L32" s="239"/>
    </row>
    <row r="33" spans="2:16" s="3" customFormat="1" ht="15" thickBot="1" x14ac:dyDescent="0.4">
      <c r="B33" s="7" t="s">
        <v>26</v>
      </c>
      <c r="C33" s="8">
        <f>SUM(C28:C32)</f>
        <v>17</v>
      </c>
      <c r="D33" s="8"/>
      <c r="E33" s="8"/>
      <c r="F33" s="8"/>
      <c r="G33" s="8">
        <f>SUM(G28:G32)</f>
        <v>20</v>
      </c>
      <c r="H33" s="8"/>
      <c r="I33" s="8"/>
      <c r="J33" s="8"/>
      <c r="K33" s="632">
        <f>SUM(K28:K32)</f>
        <v>13</v>
      </c>
      <c r="L33" s="633"/>
      <c r="M33" s="7"/>
      <c r="N33" s="8"/>
      <c r="O33" s="8">
        <f>SUM(O28:O32)</f>
        <v>1</v>
      </c>
      <c r="P33" s="107"/>
    </row>
    <row r="36" spans="2:16" x14ac:dyDescent="0.35">
      <c r="B36" t="s">
        <v>1338</v>
      </c>
      <c r="D36" t="s">
        <v>78</v>
      </c>
      <c r="E36" t="s">
        <v>1339</v>
      </c>
      <c r="F36" t="s">
        <v>223</v>
      </c>
      <c r="G36" t="s">
        <v>224</v>
      </c>
      <c r="I36" t="s">
        <v>104</v>
      </c>
      <c r="J36" t="s">
        <v>105</v>
      </c>
      <c r="K36" t="s">
        <v>106</v>
      </c>
      <c r="L36" t="s">
        <v>133</v>
      </c>
      <c r="M36" t="s">
        <v>108</v>
      </c>
      <c r="N36" t="s">
        <v>134</v>
      </c>
    </row>
    <row r="37" spans="2:16" x14ac:dyDescent="0.35">
      <c r="B37" t="s">
        <v>209</v>
      </c>
      <c r="C37" s="13">
        <v>100</v>
      </c>
      <c r="D37" s="92">
        <v>-25</v>
      </c>
      <c r="E37" s="92">
        <v>-25</v>
      </c>
      <c r="F37" s="92">
        <v>-25</v>
      </c>
      <c r="G37" s="92">
        <v>-25</v>
      </c>
      <c r="L37" s="13">
        <v>80</v>
      </c>
      <c r="N37" s="92">
        <v>50</v>
      </c>
      <c r="O37">
        <v>-25</v>
      </c>
    </row>
    <row r="38" spans="2:16" x14ac:dyDescent="0.35">
      <c r="B38" t="s">
        <v>1340</v>
      </c>
      <c r="C38" s="13">
        <v>20</v>
      </c>
      <c r="F38" s="92">
        <v>-20</v>
      </c>
      <c r="L38" s="13">
        <v>20</v>
      </c>
    </row>
    <row r="40" spans="2:16" x14ac:dyDescent="0.35">
      <c r="B40" t="s">
        <v>1444</v>
      </c>
      <c r="I40" s="13">
        <v>20</v>
      </c>
    </row>
    <row r="42" spans="2:16" ht="15" thickBot="1" x14ac:dyDescent="0.4"/>
    <row r="43" spans="2:16" ht="15" thickBot="1" x14ac:dyDescent="0.4">
      <c r="B43" s="332" t="s">
        <v>1754</v>
      </c>
      <c r="C43" s="179"/>
      <c r="D43" s="179"/>
      <c r="E43" s="179"/>
      <c r="F43" s="179" t="s">
        <v>104</v>
      </c>
      <c r="G43" s="179" t="s">
        <v>105</v>
      </c>
      <c r="H43" s="179" t="s">
        <v>106</v>
      </c>
      <c r="I43" s="179" t="s">
        <v>107</v>
      </c>
      <c r="J43" s="179" t="s">
        <v>108</v>
      </c>
      <c r="K43" s="179" t="s">
        <v>134</v>
      </c>
      <c r="L43" s="333" t="s">
        <v>135</v>
      </c>
    </row>
    <row r="44" spans="2:16" ht="15" thickBot="1" x14ac:dyDescent="0.4"/>
    <row r="45" spans="2:16" x14ac:dyDescent="0.35">
      <c r="B45" s="634" t="s">
        <v>209</v>
      </c>
      <c r="C45" s="635" t="s">
        <v>211</v>
      </c>
      <c r="D45" s="635"/>
      <c r="E45" s="635"/>
      <c r="F45" s="635">
        <v>200</v>
      </c>
      <c r="G45" s="635">
        <v>200</v>
      </c>
      <c r="H45" s="635">
        <v>200</v>
      </c>
      <c r="I45" s="635">
        <v>200</v>
      </c>
      <c r="J45" s="635">
        <v>200</v>
      </c>
      <c r="K45" s="635"/>
      <c r="L45" s="636"/>
    </row>
    <row r="46" spans="2:16" x14ac:dyDescent="0.35">
      <c r="B46" s="639"/>
      <c r="C46" s="383" t="s">
        <v>35</v>
      </c>
      <c r="D46" s="383"/>
      <c r="E46" s="383"/>
      <c r="F46" s="383">
        <v>80</v>
      </c>
      <c r="G46" s="383">
        <v>80</v>
      </c>
      <c r="H46" s="383">
        <v>100</v>
      </c>
      <c r="I46" s="383">
        <v>100</v>
      </c>
      <c r="J46" s="383">
        <v>100</v>
      </c>
      <c r="K46" s="383"/>
      <c r="L46" s="640"/>
    </row>
    <row r="47" spans="2:16" x14ac:dyDescent="0.35">
      <c r="B47" s="639"/>
      <c r="C47" s="383" t="s">
        <v>1766</v>
      </c>
      <c r="D47" s="383"/>
      <c r="E47" s="383"/>
      <c r="F47" s="383"/>
      <c r="G47" s="383"/>
      <c r="H47" s="383"/>
      <c r="I47" s="383"/>
      <c r="J47" s="383"/>
      <c r="K47" s="383"/>
      <c r="L47" s="640"/>
    </row>
    <row r="48" spans="2:16" x14ac:dyDescent="0.35">
      <c r="B48" s="637"/>
      <c r="C48" s="44" t="s">
        <v>1755</v>
      </c>
      <c r="D48" s="909">
        <v>80</v>
      </c>
      <c r="E48" s="44"/>
      <c r="F48" s="44"/>
      <c r="G48" s="44"/>
      <c r="H48" s="44"/>
      <c r="I48" s="44"/>
      <c r="J48" s="923">
        <v>-20</v>
      </c>
      <c r="K48" s="44"/>
      <c r="L48" s="87"/>
    </row>
    <row r="49" spans="2:12" ht="15" thickBot="1" x14ac:dyDescent="0.4">
      <c r="B49" s="638"/>
      <c r="C49" s="41" t="s">
        <v>1756</v>
      </c>
      <c r="D49" s="41"/>
      <c r="E49" s="41"/>
      <c r="F49" s="41">
        <f>SUM(F45:F48)</f>
        <v>280</v>
      </c>
      <c r="G49" s="41">
        <f>SUM(G45:G48)</f>
        <v>280</v>
      </c>
      <c r="H49" s="41">
        <f>SUM(H45:H48)</f>
        <v>300</v>
      </c>
      <c r="I49" s="41">
        <f t="shared" ref="I49:J49" si="0">SUM(I45:I48)</f>
        <v>300</v>
      </c>
      <c r="J49" s="41">
        <f t="shared" si="0"/>
        <v>280</v>
      </c>
      <c r="K49" s="41"/>
      <c r="L49" s="41"/>
    </row>
    <row r="51" spans="2:12" ht="15" thickBot="1" x14ac:dyDescent="0.4"/>
    <row r="52" spans="2:12" x14ac:dyDescent="0.35">
      <c r="B52" s="634" t="s">
        <v>1531</v>
      </c>
      <c r="C52" s="635" t="s">
        <v>211</v>
      </c>
      <c r="D52" s="635"/>
      <c r="E52" s="635"/>
      <c r="F52" s="635">
        <v>200</v>
      </c>
      <c r="G52" s="635">
        <v>200</v>
      </c>
      <c r="H52" s="635">
        <v>200</v>
      </c>
      <c r="I52" s="635">
        <v>200</v>
      </c>
      <c r="J52" s="635">
        <v>200</v>
      </c>
      <c r="K52" s="635">
        <v>200</v>
      </c>
      <c r="L52" s="636">
        <v>400</v>
      </c>
    </row>
    <row r="53" spans="2:12" x14ac:dyDescent="0.35">
      <c r="B53" s="639"/>
      <c r="C53" s="383" t="s">
        <v>35</v>
      </c>
      <c r="D53" s="383"/>
      <c r="E53" s="383"/>
      <c r="F53" s="383">
        <v>80</v>
      </c>
      <c r="G53" s="383">
        <v>80</v>
      </c>
      <c r="H53" s="383">
        <v>100</v>
      </c>
      <c r="I53" s="383"/>
      <c r="J53" s="383"/>
      <c r="K53" s="383"/>
      <c r="L53" s="640"/>
    </row>
    <row r="54" spans="2:12" x14ac:dyDescent="0.35">
      <c r="B54" s="639"/>
      <c r="C54" s="383" t="s">
        <v>1766</v>
      </c>
      <c r="D54" s="383"/>
      <c r="E54" s="383"/>
      <c r="F54" s="383"/>
      <c r="G54" s="383"/>
      <c r="H54" s="383">
        <v>20</v>
      </c>
      <c r="I54" s="383"/>
      <c r="J54" s="383"/>
      <c r="K54" s="383"/>
      <c r="L54" s="640"/>
    </row>
    <row r="55" spans="2:12" x14ac:dyDescent="0.35">
      <c r="B55" s="637"/>
      <c r="C55" s="44" t="s">
        <v>1755</v>
      </c>
      <c r="D55" s="44"/>
      <c r="E55" s="44"/>
      <c r="F55" s="44"/>
      <c r="G55" s="44"/>
      <c r="H55" s="909">
        <v>50</v>
      </c>
      <c r="I55" s="44"/>
      <c r="J55" s="44"/>
      <c r="K55" s="44"/>
      <c r="L55" s="87"/>
    </row>
    <row r="56" spans="2:12" ht="15" thickBot="1" x14ac:dyDescent="0.4">
      <c r="B56" s="638"/>
      <c r="C56" s="41" t="s">
        <v>1756</v>
      </c>
      <c r="D56" s="41"/>
      <c r="E56" s="41"/>
      <c r="F56" s="41">
        <f t="shared" ref="F56:L56" si="1">SUM(F52:F55)</f>
        <v>280</v>
      </c>
      <c r="G56" s="41">
        <f t="shared" si="1"/>
        <v>280</v>
      </c>
      <c r="H56" s="41">
        <f t="shared" si="1"/>
        <v>370</v>
      </c>
      <c r="I56" s="41">
        <f t="shared" si="1"/>
        <v>200</v>
      </c>
      <c r="J56" s="41">
        <f t="shared" si="1"/>
        <v>200</v>
      </c>
      <c r="K56" s="41">
        <f t="shared" si="1"/>
        <v>200</v>
      </c>
      <c r="L56" s="41">
        <f t="shared" si="1"/>
        <v>400</v>
      </c>
    </row>
    <row r="58" spans="2:12" ht="15" thickBot="1" x14ac:dyDescent="0.4"/>
    <row r="59" spans="2:12" x14ac:dyDescent="0.35">
      <c r="B59" s="634" t="s">
        <v>1757</v>
      </c>
      <c r="C59" s="635" t="s">
        <v>211</v>
      </c>
      <c r="D59" s="635"/>
      <c r="E59" s="635"/>
      <c r="F59" s="635">
        <v>200</v>
      </c>
      <c r="G59" s="635">
        <v>200</v>
      </c>
      <c r="H59" s="635">
        <v>200</v>
      </c>
      <c r="I59" s="635">
        <v>200</v>
      </c>
      <c r="J59" s="635">
        <v>200</v>
      </c>
      <c r="K59" s="635">
        <v>200</v>
      </c>
      <c r="L59" s="635">
        <v>220</v>
      </c>
    </row>
    <row r="60" spans="2:12" x14ac:dyDescent="0.35">
      <c r="B60" s="639"/>
      <c r="C60" s="383"/>
      <c r="D60" s="383"/>
      <c r="E60" s="383"/>
      <c r="F60" s="383">
        <v>80</v>
      </c>
      <c r="G60" s="383">
        <v>80</v>
      </c>
      <c r="H60" s="383">
        <v>100</v>
      </c>
      <c r="I60" s="383"/>
      <c r="J60" s="383"/>
      <c r="K60" s="383"/>
      <c r="L60" s="910"/>
    </row>
    <row r="61" spans="2:12" x14ac:dyDescent="0.35">
      <c r="B61" s="639"/>
      <c r="C61" s="383" t="s">
        <v>1766</v>
      </c>
      <c r="D61" s="383"/>
      <c r="E61" s="383"/>
      <c r="F61" s="383"/>
      <c r="G61" s="383">
        <v>0</v>
      </c>
      <c r="H61" s="383"/>
      <c r="I61" s="383"/>
      <c r="J61" s="383"/>
      <c r="K61" s="383"/>
      <c r="L61" s="640">
        <v>9</v>
      </c>
    </row>
    <row r="62" spans="2:12" x14ac:dyDescent="0.35">
      <c r="B62" s="637"/>
      <c r="C62" s="44" t="s">
        <v>1755</v>
      </c>
      <c r="D62" s="44"/>
      <c r="E62" s="44"/>
      <c r="F62" s="44"/>
      <c r="G62" s="44"/>
      <c r="H62" s="44"/>
      <c r="I62" s="44"/>
      <c r="J62" s="44"/>
      <c r="K62" s="44"/>
      <c r="L62" s="87"/>
    </row>
    <row r="63" spans="2:12" ht="15" thickBot="1" x14ac:dyDescent="0.4">
      <c r="B63" s="638"/>
      <c r="C63" s="41" t="s">
        <v>1756</v>
      </c>
      <c r="D63" s="41"/>
      <c r="E63" s="41"/>
      <c r="F63" s="41">
        <f t="shared" ref="F63:L63" si="2">SUM(F59:F62)</f>
        <v>280</v>
      </c>
      <c r="G63" s="41">
        <f t="shared" si="2"/>
        <v>280</v>
      </c>
      <c r="H63" s="41">
        <f t="shared" si="2"/>
        <v>300</v>
      </c>
      <c r="I63" s="41">
        <f t="shared" si="2"/>
        <v>200</v>
      </c>
      <c r="J63" s="41">
        <f t="shared" si="2"/>
        <v>200</v>
      </c>
      <c r="K63" s="41">
        <f t="shared" si="2"/>
        <v>200</v>
      </c>
      <c r="L63" s="41">
        <f t="shared" si="2"/>
        <v>229</v>
      </c>
    </row>
    <row r="65" spans="2:12" ht="15" thickBot="1" x14ac:dyDescent="0.4"/>
    <row r="66" spans="2:12" x14ac:dyDescent="0.35">
      <c r="B66" s="634" t="s">
        <v>1759</v>
      </c>
      <c r="C66" s="635" t="s">
        <v>211</v>
      </c>
      <c r="D66" s="635"/>
      <c r="E66" s="635"/>
      <c r="F66" s="635">
        <v>150</v>
      </c>
      <c r="G66" s="635">
        <v>150</v>
      </c>
      <c r="H66" s="635">
        <v>150</v>
      </c>
      <c r="I66" s="635">
        <v>150</v>
      </c>
      <c r="J66" s="635">
        <v>150</v>
      </c>
      <c r="K66" s="635">
        <v>150</v>
      </c>
      <c r="L66" s="635">
        <v>150</v>
      </c>
    </row>
    <row r="67" spans="2:12" x14ac:dyDescent="0.35">
      <c r="B67" s="637"/>
      <c r="C67" s="44" t="s">
        <v>1755</v>
      </c>
      <c r="D67" s="44"/>
      <c r="E67" s="44"/>
      <c r="F67" s="44">
        <v>0</v>
      </c>
      <c r="G67" s="44">
        <v>0</v>
      </c>
      <c r="H67" s="44"/>
      <c r="I67" s="44"/>
      <c r="J67" s="44"/>
      <c r="K67" s="44"/>
      <c r="L67" s="87"/>
    </row>
    <row r="68" spans="2:12" ht="15" thickBot="1" x14ac:dyDescent="0.4">
      <c r="B68" s="638"/>
      <c r="C68" s="41" t="s">
        <v>1756</v>
      </c>
      <c r="D68" s="41"/>
      <c r="E68" s="41"/>
      <c r="F68" s="41">
        <f t="shared" ref="F68:L68" si="3">SUM(F66:F67)</f>
        <v>150</v>
      </c>
      <c r="G68" s="41">
        <f t="shared" si="3"/>
        <v>150</v>
      </c>
      <c r="H68" s="41">
        <f t="shared" si="3"/>
        <v>150</v>
      </c>
      <c r="I68" s="41">
        <f t="shared" si="3"/>
        <v>150</v>
      </c>
      <c r="J68" s="41">
        <f t="shared" si="3"/>
        <v>150</v>
      </c>
      <c r="K68" s="41">
        <f t="shared" si="3"/>
        <v>150</v>
      </c>
      <c r="L68" s="41">
        <f t="shared" si="3"/>
        <v>150</v>
      </c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S102"/>
  <sheetViews>
    <sheetView topLeftCell="A36" workbookViewId="0">
      <selection activeCell="D36" sqref="D36"/>
    </sheetView>
  </sheetViews>
  <sheetFormatPr defaultColWidth="17.26953125" defaultRowHeight="18.5" x14ac:dyDescent="0.45"/>
  <cols>
    <col min="1" max="16384" width="17.26953125" style="301"/>
  </cols>
  <sheetData>
    <row r="2" spans="1:19" ht="19" thickBot="1" x14ac:dyDescent="0.5"/>
    <row r="3" spans="1:19" ht="19" thickBot="1" x14ac:dyDescent="0.5">
      <c r="A3" s="5"/>
      <c r="F3" s="302"/>
      <c r="G3" s="303"/>
      <c r="H3" s="304"/>
      <c r="I3" s="305"/>
      <c r="J3" s="305"/>
      <c r="K3" s="305"/>
      <c r="L3" s="306"/>
      <c r="M3" s="305"/>
      <c r="N3" s="305"/>
    </row>
    <row r="4" spans="1:19" x14ac:dyDescent="0.45">
      <c r="A4" s="5"/>
      <c r="G4" s="307"/>
      <c r="H4" s="305"/>
      <c r="I4" s="305"/>
      <c r="J4" s="305"/>
      <c r="K4" s="305"/>
      <c r="L4" s="306"/>
      <c r="M4" s="305"/>
      <c r="N4" s="305"/>
    </row>
    <row r="5" spans="1:19" x14ac:dyDescent="0.45">
      <c r="A5" s="5"/>
      <c r="G5" s="307"/>
      <c r="H5" s="308"/>
      <c r="I5" s="305"/>
      <c r="J5" s="305"/>
      <c r="K5" s="305"/>
      <c r="L5" s="306"/>
      <c r="M5" s="305"/>
      <c r="N5" s="305"/>
    </row>
    <row r="6" spans="1:19" ht="19" thickBot="1" x14ac:dyDescent="0.5">
      <c r="A6" s="5"/>
      <c r="G6" s="307"/>
      <c r="H6" s="308"/>
      <c r="I6" s="305"/>
      <c r="J6" s="305"/>
      <c r="K6" s="305"/>
      <c r="L6" s="306"/>
      <c r="M6" s="305"/>
      <c r="N6" s="305"/>
    </row>
    <row r="7" spans="1:19" ht="19" thickBot="1" x14ac:dyDescent="0.5">
      <c r="A7" s="5"/>
      <c r="F7" s="100"/>
      <c r="G7" s="309"/>
      <c r="H7" s="310"/>
      <c r="I7" s="305"/>
      <c r="J7" s="305"/>
      <c r="K7" s="305"/>
      <c r="L7" s="306"/>
      <c r="M7" s="305"/>
      <c r="N7" s="305"/>
      <c r="S7" s="311"/>
    </row>
    <row r="8" spans="1:19" ht="19" thickBot="1" x14ac:dyDescent="0.5">
      <c r="A8" s="5"/>
      <c r="G8" s="307"/>
      <c r="H8" s="312"/>
      <c r="I8" s="305"/>
      <c r="J8" s="305"/>
      <c r="K8" s="305"/>
      <c r="L8" s="306"/>
      <c r="M8" s="305"/>
      <c r="N8" s="305"/>
      <c r="S8" s="311"/>
    </row>
    <row r="9" spans="1:19" ht="19" thickBot="1" x14ac:dyDescent="0.5">
      <c r="A9" s="5"/>
      <c r="F9" s="302"/>
      <c r="G9" s="313"/>
      <c r="H9" s="314"/>
      <c r="I9" s="305"/>
      <c r="J9" s="305"/>
      <c r="K9" s="305"/>
      <c r="L9" s="306"/>
      <c r="M9" s="305"/>
      <c r="N9" s="305"/>
    </row>
    <row r="10" spans="1:19" x14ac:dyDescent="0.45">
      <c r="A10" s="5"/>
      <c r="H10" s="307"/>
      <c r="I10" s="305"/>
      <c r="J10" s="305"/>
      <c r="K10" s="305"/>
      <c r="L10" s="306"/>
      <c r="M10" s="305"/>
      <c r="N10" s="305"/>
      <c r="S10" s="311"/>
    </row>
    <row r="11" spans="1:19" x14ac:dyDescent="0.45">
      <c r="A11" s="5"/>
      <c r="H11" s="307"/>
      <c r="I11" s="305"/>
      <c r="J11" s="305"/>
      <c r="K11" s="305"/>
      <c r="L11" s="306"/>
      <c r="M11" s="305"/>
      <c r="N11" s="305"/>
      <c r="S11" s="311"/>
    </row>
    <row r="12" spans="1:19" x14ac:dyDescent="0.45">
      <c r="A12" s="5"/>
      <c r="G12" s="307"/>
      <c r="H12" s="308"/>
      <c r="I12" s="305"/>
      <c r="J12" s="305"/>
      <c r="K12" s="305"/>
      <c r="L12" s="306"/>
      <c r="M12" s="305"/>
      <c r="N12" s="305"/>
    </row>
    <row r="13" spans="1:19" ht="19" thickBot="1" x14ac:dyDescent="0.5">
      <c r="A13" s="5"/>
      <c r="G13" s="307"/>
      <c r="H13" s="308"/>
      <c r="I13" s="305"/>
      <c r="J13" s="305"/>
      <c r="K13" s="305"/>
      <c r="L13" s="306"/>
      <c r="M13" s="305"/>
      <c r="N13" s="305"/>
    </row>
    <row r="14" spans="1:19" ht="19" thickBot="1" x14ac:dyDescent="0.5">
      <c r="A14" s="5"/>
      <c r="F14" s="100"/>
      <c r="G14" s="315"/>
      <c r="H14" s="316"/>
      <c r="I14" s="305"/>
      <c r="J14" s="305"/>
      <c r="K14" s="305"/>
      <c r="L14" s="306"/>
      <c r="M14" s="305"/>
      <c r="N14" s="305"/>
    </row>
    <row r="15" spans="1:19" x14ac:dyDescent="0.45">
      <c r="A15" s="5"/>
      <c r="G15" s="307"/>
      <c r="H15" s="308"/>
      <c r="I15" s="305"/>
      <c r="J15" s="305"/>
      <c r="K15" s="305"/>
      <c r="L15" s="306"/>
      <c r="M15" s="305"/>
      <c r="N15" s="305"/>
      <c r="S15" s="311"/>
    </row>
    <row r="16" spans="1:19" x14ac:dyDescent="0.45">
      <c r="A16" s="5"/>
      <c r="G16" s="307"/>
      <c r="H16" s="308"/>
      <c r="I16" s="305"/>
      <c r="J16" s="305"/>
      <c r="K16" s="305"/>
      <c r="L16" s="306"/>
      <c r="M16" s="305"/>
      <c r="N16" s="305"/>
      <c r="S16" s="311"/>
    </row>
    <row r="17" spans="1:19" x14ac:dyDescent="0.45">
      <c r="A17" s="5"/>
      <c r="G17" s="307"/>
      <c r="H17" s="308"/>
      <c r="I17" s="305"/>
      <c r="J17" s="305"/>
      <c r="K17" s="305"/>
      <c r="L17" s="306"/>
      <c r="M17" s="305"/>
      <c r="N17" s="305"/>
      <c r="S17" s="311"/>
    </row>
    <row r="18" spans="1:19" x14ac:dyDescent="0.45">
      <c r="A18" s="5"/>
      <c r="G18" s="307"/>
      <c r="H18" s="308"/>
      <c r="I18" s="305"/>
      <c r="J18" s="305"/>
      <c r="K18" s="305"/>
      <c r="L18" s="306"/>
      <c r="M18" s="305"/>
      <c r="N18" s="305"/>
      <c r="S18" s="311"/>
    </row>
    <row r="19" spans="1:19" s="5" customFormat="1" x14ac:dyDescent="0.45">
      <c r="B19" s="301"/>
      <c r="C19" s="301"/>
      <c r="D19" s="301"/>
      <c r="E19" s="301"/>
      <c r="F19" s="301"/>
      <c r="G19" s="307"/>
      <c r="H19" s="308"/>
      <c r="I19" s="305"/>
      <c r="J19" s="305"/>
      <c r="K19" s="305"/>
      <c r="L19" s="306"/>
      <c r="M19" s="305"/>
      <c r="N19" s="305"/>
    </row>
    <row r="20" spans="1:19" x14ac:dyDescent="0.45">
      <c r="A20" s="5"/>
      <c r="F20" s="5"/>
      <c r="G20" s="305"/>
      <c r="H20" s="308"/>
      <c r="I20" s="305"/>
      <c r="J20" s="305"/>
      <c r="K20" s="305"/>
      <c r="L20" s="306"/>
      <c r="M20" s="305"/>
      <c r="N20" s="305"/>
    </row>
    <row r="21" spans="1:19" x14ac:dyDescent="0.45">
      <c r="A21" s="5"/>
      <c r="G21" s="305"/>
      <c r="H21" s="308"/>
      <c r="I21" s="305"/>
      <c r="J21" s="305"/>
      <c r="K21" s="305"/>
      <c r="L21" s="306"/>
      <c r="M21" s="305"/>
      <c r="N21" s="305"/>
    </row>
    <row r="22" spans="1:19" x14ac:dyDescent="0.45">
      <c r="A22" s="5"/>
      <c r="G22" s="305"/>
      <c r="H22" s="308"/>
      <c r="I22" s="305"/>
      <c r="J22" s="305"/>
      <c r="K22" s="305"/>
      <c r="L22" s="306"/>
      <c r="M22" s="305"/>
      <c r="N22" s="305"/>
    </row>
    <row r="23" spans="1:19" x14ac:dyDescent="0.45">
      <c r="A23" s="5"/>
      <c r="G23" s="305"/>
      <c r="H23" s="308"/>
      <c r="I23" s="305"/>
      <c r="J23" s="305"/>
      <c r="K23" s="305"/>
      <c r="L23" s="306"/>
      <c r="M23" s="305"/>
      <c r="N23" s="305"/>
    </row>
    <row r="24" spans="1:19" x14ac:dyDescent="0.45">
      <c r="A24" s="5"/>
      <c r="F24" s="5"/>
      <c r="G24" s="305"/>
      <c r="H24" s="308"/>
      <c r="I24" s="305"/>
      <c r="J24" s="305"/>
      <c r="K24" s="305"/>
      <c r="L24" s="306"/>
      <c r="M24" s="305"/>
      <c r="N24" s="305"/>
    </row>
    <row r="25" spans="1:19" ht="19" thickBot="1" x14ac:dyDescent="0.5">
      <c r="A25" s="5"/>
      <c r="G25" s="305"/>
      <c r="H25" s="308"/>
      <c r="I25" s="305"/>
      <c r="J25" s="305"/>
      <c r="K25" s="305"/>
      <c r="L25" s="306"/>
      <c r="M25" s="305"/>
      <c r="N25" s="305"/>
    </row>
    <row r="26" spans="1:19" ht="19" thickBot="1" x14ac:dyDescent="0.5">
      <c r="A26" s="5"/>
      <c r="F26" s="100"/>
      <c r="G26" s="315"/>
      <c r="H26" s="317"/>
      <c r="I26" s="309"/>
      <c r="J26" s="305"/>
      <c r="K26" s="305"/>
      <c r="L26" s="306"/>
      <c r="M26" s="305"/>
      <c r="N26" s="305"/>
    </row>
    <row r="27" spans="1:19" x14ac:dyDescent="0.45">
      <c r="A27" s="5"/>
      <c r="F27" s="5"/>
      <c r="G27" s="305"/>
      <c r="H27" s="308"/>
      <c r="I27" s="305"/>
      <c r="J27" s="305"/>
      <c r="K27" s="305"/>
      <c r="L27" s="306"/>
      <c r="M27" s="305"/>
      <c r="N27" s="305"/>
    </row>
    <row r="28" spans="1:19" x14ac:dyDescent="0.45">
      <c r="A28" s="5"/>
      <c r="G28" s="305"/>
      <c r="H28" s="308"/>
      <c r="I28" s="305"/>
      <c r="J28" s="305"/>
      <c r="K28" s="305"/>
      <c r="L28" s="306"/>
      <c r="M28" s="305"/>
      <c r="N28" s="305"/>
      <c r="S28" s="311"/>
    </row>
    <row r="29" spans="1:19" x14ac:dyDescent="0.45">
      <c r="A29" s="5"/>
      <c r="G29" s="305"/>
      <c r="H29" s="308"/>
      <c r="I29" s="305"/>
      <c r="J29" s="305"/>
      <c r="K29" s="305"/>
      <c r="L29" s="306"/>
      <c r="M29" s="305"/>
      <c r="N29" s="305"/>
      <c r="O29" s="307"/>
      <c r="S29" s="311"/>
    </row>
    <row r="30" spans="1:19" x14ac:dyDescent="0.45">
      <c r="A30" s="5"/>
      <c r="G30" s="305"/>
      <c r="H30" s="308"/>
      <c r="I30" s="305"/>
      <c r="J30" s="305"/>
      <c r="K30" s="305"/>
      <c r="L30" s="306"/>
      <c r="M30" s="305"/>
      <c r="N30" s="305"/>
      <c r="O30" s="307"/>
      <c r="S30" s="311"/>
    </row>
    <row r="31" spans="1:19" x14ac:dyDescent="0.45">
      <c r="A31" s="5"/>
      <c r="G31" s="305"/>
      <c r="H31" s="308"/>
      <c r="I31" s="305"/>
      <c r="J31" s="305"/>
      <c r="K31" s="305"/>
      <c r="L31" s="306"/>
      <c r="M31" s="305"/>
      <c r="N31" s="305"/>
      <c r="O31" s="307"/>
    </row>
    <row r="32" spans="1:19" x14ac:dyDescent="0.45">
      <c r="A32" s="5"/>
      <c r="G32" s="305"/>
      <c r="H32" s="308"/>
      <c r="I32" s="305"/>
      <c r="J32" s="305"/>
      <c r="K32" s="305"/>
      <c r="L32" s="306"/>
      <c r="M32" s="305"/>
      <c r="N32" s="305"/>
      <c r="S32" s="311"/>
    </row>
    <row r="33" spans="1:19" x14ac:dyDescent="0.45">
      <c r="A33" s="5"/>
      <c r="G33" s="305"/>
      <c r="H33" s="308"/>
      <c r="I33" s="305"/>
      <c r="J33" s="305"/>
      <c r="K33" s="305"/>
      <c r="L33" s="306"/>
      <c r="M33" s="305"/>
      <c r="N33" s="305"/>
      <c r="S33" s="311"/>
    </row>
    <row r="34" spans="1:19" x14ac:dyDescent="0.45">
      <c r="A34" s="5"/>
      <c r="F34" s="5"/>
      <c r="G34" s="305"/>
      <c r="H34" s="308"/>
      <c r="I34" s="305"/>
      <c r="J34" s="305"/>
      <c r="K34" s="305"/>
      <c r="L34" s="306"/>
      <c r="M34" s="305"/>
      <c r="N34" s="305"/>
      <c r="S34" s="311"/>
    </row>
    <row r="35" spans="1:19" x14ac:dyDescent="0.45">
      <c r="A35" s="5"/>
      <c r="G35" s="305"/>
      <c r="H35" s="308"/>
      <c r="I35" s="305"/>
      <c r="J35" s="305"/>
      <c r="K35" s="305"/>
      <c r="L35" s="306"/>
      <c r="M35" s="305"/>
      <c r="N35" s="305"/>
      <c r="S35" s="311"/>
    </row>
    <row r="36" spans="1:19" s="321" customFormat="1" ht="37" x14ac:dyDescent="0.45">
      <c r="B36" s="321" t="s">
        <v>733</v>
      </c>
      <c r="C36" s="321" t="s">
        <v>2109</v>
      </c>
      <c r="D36" s="321" t="s">
        <v>2111</v>
      </c>
      <c r="E36" s="321" t="s">
        <v>2110</v>
      </c>
      <c r="F36" s="321" t="s">
        <v>734</v>
      </c>
      <c r="G36" s="322" t="s">
        <v>735</v>
      </c>
      <c r="I36" s="322"/>
      <c r="J36" s="322"/>
      <c r="K36" s="322"/>
      <c r="L36" s="323"/>
      <c r="M36" s="322"/>
      <c r="N36" s="322"/>
    </row>
    <row r="37" spans="1:19" x14ac:dyDescent="0.45">
      <c r="A37" s="5"/>
      <c r="G37" s="307"/>
      <c r="H37" s="308"/>
      <c r="I37" s="305"/>
      <c r="J37" s="305"/>
      <c r="K37" s="305"/>
      <c r="L37" s="306"/>
      <c r="M37" s="318"/>
      <c r="N37" s="305"/>
    </row>
    <row r="38" spans="1:19" x14ac:dyDescent="0.45">
      <c r="A38" s="5">
        <v>2</v>
      </c>
      <c r="B38" s="301" t="s">
        <v>581</v>
      </c>
      <c r="C38" s="301">
        <v>209</v>
      </c>
      <c r="E38" s="301">
        <v>69</v>
      </c>
      <c r="F38" s="301">
        <f t="shared" ref="F38:F57" si="0">+C38-E38</f>
        <v>140</v>
      </c>
      <c r="G38" s="307">
        <f t="shared" ref="G38:G57" si="1">+F38/C38*100</f>
        <v>66.985645933014354</v>
      </c>
      <c r="H38" s="308"/>
      <c r="I38" s="305"/>
      <c r="J38" s="305"/>
      <c r="K38" s="305"/>
      <c r="L38" s="306"/>
      <c r="M38" s="305"/>
      <c r="N38" s="305"/>
    </row>
    <row r="39" spans="1:19" x14ac:dyDescent="0.45">
      <c r="A39" s="5">
        <v>3</v>
      </c>
      <c r="B39" s="301" t="s">
        <v>577</v>
      </c>
      <c r="C39" s="301">
        <v>72</v>
      </c>
      <c r="E39" s="301">
        <v>28</v>
      </c>
      <c r="F39" s="301">
        <f t="shared" si="0"/>
        <v>44</v>
      </c>
      <c r="G39" s="307">
        <f t="shared" si="1"/>
        <v>61.111111111111114</v>
      </c>
      <c r="H39" s="308"/>
      <c r="I39" s="305"/>
      <c r="J39" s="305"/>
      <c r="K39" s="305"/>
      <c r="L39" s="306"/>
      <c r="M39" s="305"/>
      <c r="N39" s="305"/>
    </row>
    <row r="40" spans="1:19" x14ac:dyDescent="0.45">
      <c r="A40" s="5">
        <v>4</v>
      </c>
      <c r="B40" s="301" t="s">
        <v>742</v>
      </c>
      <c r="C40" s="301">
        <v>82</v>
      </c>
      <c r="E40" s="301">
        <v>32</v>
      </c>
      <c r="F40" s="301">
        <f t="shared" si="0"/>
        <v>50</v>
      </c>
      <c r="G40" s="307">
        <f t="shared" si="1"/>
        <v>60.975609756097562</v>
      </c>
      <c r="H40" s="308"/>
      <c r="I40" s="305"/>
      <c r="J40" s="305"/>
      <c r="K40" s="305"/>
      <c r="L40" s="306"/>
      <c r="M40" s="305"/>
      <c r="N40" s="305"/>
    </row>
    <row r="41" spans="1:19" x14ac:dyDescent="0.45">
      <c r="A41" s="5">
        <v>5</v>
      </c>
      <c r="B41" s="301" t="s">
        <v>506</v>
      </c>
      <c r="C41" s="301">
        <v>24</v>
      </c>
      <c r="E41" s="301">
        <v>10</v>
      </c>
      <c r="F41" s="301">
        <f t="shared" si="0"/>
        <v>14</v>
      </c>
      <c r="G41" s="307">
        <f t="shared" si="1"/>
        <v>58.333333333333336</v>
      </c>
      <c r="H41" s="308"/>
      <c r="I41" s="305"/>
      <c r="J41" s="305"/>
      <c r="K41" s="305"/>
      <c r="L41" s="306"/>
      <c r="M41" s="305"/>
      <c r="N41" s="305"/>
    </row>
    <row r="42" spans="1:19" x14ac:dyDescent="0.45">
      <c r="A42" s="5">
        <v>6</v>
      </c>
      <c r="B42" s="301" t="s">
        <v>663</v>
      </c>
      <c r="C42" s="301">
        <v>912</v>
      </c>
      <c r="E42" s="301">
        <v>381</v>
      </c>
      <c r="F42" s="301">
        <f t="shared" si="0"/>
        <v>531</v>
      </c>
      <c r="G42" s="307">
        <f t="shared" si="1"/>
        <v>58.223684210526315</v>
      </c>
      <c r="H42" s="308"/>
      <c r="I42" s="305"/>
      <c r="J42" s="305"/>
      <c r="K42" s="305"/>
      <c r="L42" s="306"/>
      <c r="M42" s="305"/>
      <c r="N42" s="305"/>
    </row>
    <row r="43" spans="1:19" x14ac:dyDescent="0.45">
      <c r="A43" s="5">
        <v>7</v>
      </c>
      <c r="B43" s="301" t="s">
        <v>744</v>
      </c>
      <c r="C43" s="301">
        <v>19</v>
      </c>
      <c r="E43" s="301">
        <v>8</v>
      </c>
      <c r="F43" s="301">
        <f t="shared" si="0"/>
        <v>11</v>
      </c>
      <c r="G43" s="307">
        <f t="shared" si="1"/>
        <v>57.894736842105267</v>
      </c>
      <c r="H43" s="308"/>
      <c r="I43" s="305"/>
      <c r="J43" s="305"/>
      <c r="K43" s="305"/>
      <c r="L43" s="306"/>
      <c r="M43" s="305"/>
      <c r="N43" s="305"/>
    </row>
    <row r="44" spans="1:19" x14ac:dyDescent="0.45">
      <c r="A44" s="5">
        <v>8</v>
      </c>
      <c r="B44" s="301" t="s">
        <v>576</v>
      </c>
      <c r="C44" s="301">
        <v>57</v>
      </c>
      <c r="E44" s="301">
        <v>25</v>
      </c>
      <c r="F44" s="301">
        <f t="shared" si="0"/>
        <v>32</v>
      </c>
      <c r="G44" s="307">
        <f t="shared" si="1"/>
        <v>56.140350877192979</v>
      </c>
      <c r="H44" s="308"/>
      <c r="I44" s="305"/>
      <c r="J44" s="305"/>
      <c r="K44" s="305"/>
      <c r="L44" s="306"/>
      <c r="M44" s="305"/>
      <c r="N44" s="305"/>
    </row>
    <row r="45" spans="1:19" x14ac:dyDescent="0.45">
      <c r="A45" s="5">
        <v>9</v>
      </c>
      <c r="B45" s="301" t="s">
        <v>741</v>
      </c>
      <c r="C45" s="301">
        <v>48</v>
      </c>
      <c r="E45" s="301">
        <v>22</v>
      </c>
      <c r="F45" s="301">
        <f t="shared" si="0"/>
        <v>26</v>
      </c>
      <c r="G45" s="307">
        <f t="shared" si="1"/>
        <v>54.166666666666664</v>
      </c>
      <c r="H45" s="308"/>
      <c r="I45" s="305"/>
      <c r="J45" s="305"/>
      <c r="K45" s="305"/>
      <c r="L45" s="306"/>
      <c r="M45" s="305"/>
      <c r="N45" s="305"/>
    </row>
    <row r="46" spans="1:19" x14ac:dyDescent="0.45">
      <c r="A46" s="5">
        <v>10</v>
      </c>
      <c r="B46" s="301" t="s">
        <v>745</v>
      </c>
      <c r="C46" s="301">
        <v>49</v>
      </c>
      <c r="E46" s="301">
        <v>25</v>
      </c>
      <c r="F46" s="301">
        <f t="shared" si="0"/>
        <v>24</v>
      </c>
      <c r="G46" s="307">
        <f t="shared" si="1"/>
        <v>48.979591836734691</v>
      </c>
      <c r="H46" s="308"/>
      <c r="I46" s="305"/>
      <c r="J46" s="305"/>
      <c r="K46" s="305"/>
      <c r="L46" s="306"/>
      <c r="M46" s="305"/>
      <c r="N46" s="305"/>
    </row>
    <row r="47" spans="1:19" x14ac:dyDescent="0.45">
      <c r="A47" s="5">
        <v>11</v>
      </c>
      <c r="B47" s="301" t="s">
        <v>739</v>
      </c>
      <c r="C47" s="301">
        <v>271</v>
      </c>
      <c r="E47" s="301">
        <v>139</v>
      </c>
      <c r="F47" s="301">
        <f t="shared" si="0"/>
        <v>132</v>
      </c>
      <c r="G47" s="307">
        <f t="shared" si="1"/>
        <v>48.708487084870846</v>
      </c>
      <c r="H47" s="308"/>
      <c r="I47" s="305"/>
      <c r="J47" s="305"/>
      <c r="K47" s="305"/>
      <c r="L47" s="306"/>
      <c r="M47" s="305"/>
      <c r="N47" s="305"/>
    </row>
    <row r="48" spans="1:19" x14ac:dyDescent="0.45">
      <c r="A48" s="5">
        <v>12</v>
      </c>
      <c r="B48" s="301" t="s">
        <v>736</v>
      </c>
      <c r="C48" s="301">
        <v>64</v>
      </c>
      <c r="E48" s="301">
        <v>36</v>
      </c>
      <c r="F48" s="301">
        <f t="shared" si="0"/>
        <v>28</v>
      </c>
      <c r="G48" s="307">
        <f t="shared" si="1"/>
        <v>43.75</v>
      </c>
      <c r="H48" s="308"/>
      <c r="I48" s="305"/>
      <c r="J48" s="305"/>
      <c r="K48" s="305"/>
      <c r="L48" s="306"/>
      <c r="M48" s="305"/>
      <c r="N48" s="305"/>
      <c r="S48" s="311"/>
    </row>
    <row r="49" spans="1:19" x14ac:dyDescent="0.45">
      <c r="A49" s="5">
        <v>13</v>
      </c>
      <c r="B49" s="301" t="s">
        <v>738</v>
      </c>
      <c r="C49" s="301">
        <v>169</v>
      </c>
      <c r="E49" s="301">
        <v>100</v>
      </c>
      <c r="F49" s="301">
        <f t="shared" si="0"/>
        <v>69</v>
      </c>
      <c r="G49" s="307">
        <f t="shared" si="1"/>
        <v>40.828402366863905</v>
      </c>
      <c r="I49" s="305"/>
      <c r="J49" s="305"/>
      <c r="K49" s="305"/>
      <c r="M49" s="305"/>
      <c r="N49" s="305"/>
    </row>
    <row r="50" spans="1:19" x14ac:dyDescent="0.45">
      <c r="A50" s="5">
        <v>14</v>
      </c>
      <c r="B50" s="301" t="s">
        <v>747</v>
      </c>
      <c r="C50" s="301">
        <v>40</v>
      </c>
      <c r="E50" s="301">
        <v>24</v>
      </c>
      <c r="F50" s="301">
        <f t="shared" si="0"/>
        <v>16</v>
      </c>
      <c r="G50" s="307">
        <f t="shared" si="1"/>
        <v>40</v>
      </c>
      <c r="I50" s="305"/>
      <c r="J50" s="305"/>
      <c r="K50" s="305"/>
      <c r="M50" s="305"/>
      <c r="N50" s="305"/>
    </row>
    <row r="51" spans="1:19" x14ac:dyDescent="0.45">
      <c r="A51" s="5">
        <v>15</v>
      </c>
      <c r="B51" s="301" t="s">
        <v>566</v>
      </c>
      <c r="C51" s="301">
        <v>363</v>
      </c>
      <c r="E51" s="301">
        <v>221</v>
      </c>
      <c r="F51" s="301">
        <f t="shared" si="0"/>
        <v>142</v>
      </c>
      <c r="G51" s="307">
        <f t="shared" si="1"/>
        <v>39.11845730027548</v>
      </c>
      <c r="H51" s="308"/>
      <c r="I51" s="305"/>
      <c r="J51" s="305"/>
      <c r="K51" s="305"/>
      <c r="L51" s="306"/>
      <c r="M51" s="305"/>
      <c r="N51" s="305"/>
      <c r="S51" s="311"/>
    </row>
    <row r="52" spans="1:19" x14ac:dyDescent="0.45">
      <c r="A52" s="5">
        <v>16</v>
      </c>
      <c r="B52" s="301" t="s">
        <v>746</v>
      </c>
      <c r="C52" s="301">
        <v>21</v>
      </c>
      <c r="E52" s="301">
        <v>12</v>
      </c>
      <c r="F52" s="301">
        <f t="shared" si="0"/>
        <v>9</v>
      </c>
      <c r="G52" s="307">
        <f t="shared" si="1"/>
        <v>42.857142857142854</v>
      </c>
      <c r="H52" s="308"/>
      <c r="I52" s="305"/>
      <c r="J52" s="305"/>
      <c r="K52" s="305"/>
      <c r="L52" s="306"/>
      <c r="M52" s="305"/>
      <c r="N52" s="305"/>
      <c r="S52" s="311"/>
    </row>
    <row r="53" spans="1:19" x14ac:dyDescent="0.45">
      <c r="A53" s="5">
        <v>17</v>
      </c>
      <c r="B53" s="301" t="s">
        <v>740</v>
      </c>
      <c r="C53" s="301">
        <v>123</v>
      </c>
      <c r="E53" s="301">
        <v>78</v>
      </c>
      <c r="F53" s="301">
        <f t="shared" si="0"/>
        <v>45</v>
      </c>
      <c r="G53" s="307">
        <f t="shared" si="1"/>
        <v>36.585365853658537</v>
      </c>
      <c r="H53" s="308"/>
      <c r="I53" s="305"/>
      <c r="J53" s="305"/>
      <c r="K53" s="305"/>
      <c r="L53" s="306"/>
      <c r="M53" s="305"/>
      <c r="N53" s="305"/>
      <c r="S53" s="311"/>
    </row>
    <row r="54" spans="1:19" x14ac:dyDescent="0.45">
      <c r="A54" s="5">
        <v>18</v>
      </c>
      <c r="B54" s="301" t="s">
        <v>743</v>
      </c>
      <c r="C54" s="301">
        <v>60</v>
      </c>
      <c r="E54" s="301">
        <v>39</v>
      </c>
      <c r="F54" s="301">
        <f t="shared" si="0"/>
        <v>21</v>
      </c>
      <c r="G54" s="307">
        <f t="shared" si="1"/>
        <v>35</v>
      </c>
      <c r="H54" s="308"/>
      <c r="I54" s="305"/>
      <c r="J54" s="305"/>
      <c r="K54" s="305"/>
      <c r="L54" s="306"/>
      <c r="M54" s="305"/>
      <c r="N54" s="305"/>
      <c r="S54" s="311"/>
    </row>
    <row r="55" spans="1:19" x14ac:dyDescent="0.45">
      <c r="A55" s="5">
        <v>19</v>
      </c>
      <c r="B55" s="301" t="s">
        <v>737</v>
      </c>
      <c r="C55" s="301">
        <v>95</v>
      </c>
      <c r="E55" s="301">
        <v>62</v>
      </c>
      <c r="F55" s="301">
        <f t="shared" si="0"/>
        <v>33</v>
      </c>
      <c r="G55" s="307">
        <f t="shared" si="1"/>
        <v>34.736842105263158</v>
      </c>
      <c r="H55" s="308"/>
      <c r="I55" s="305"/>
      <c r="J55" s="305"/>
      <c r="K55" s="305"/>
      <c r="L55" s="306"/>
      <c r="M55" s="305"/>
      <c r="N55" s="305"/>
      <c r="S55" s="311"/>
    </row>
    <row r="56" spans="1:19" x14ac:dyDescent="0.45">
      <c r="A56" s="5">
        <v>20</v>
      </c>
      <c r="B56" s="301" t="s">
        <v>245</v>
      </c>
      <c r="C56" s="301">
        <v>74</v>
      </c>
      <c r="E56" s="301">
        <v>54</v>
      </c>
      <c r="F56" s="301">
        <f t="shared" si="0"/>
        <v>20</v>
      </c>
      <c r="G56" s="307">
        <f t="shared" si="1"/>
        <v>27.027027027027028</v>
      </c>
      <c r="H56" s="308"/>
      <c r="I56" s="305"/>
      <c r="J56" s="305"/>
      <c r="K56" s="305"/>
      <c r="L56" s="306"/>
      <c r="M56" s="305"/>
      <c r="N56" s="305"/>
      <c r="S56" s="311"/>
    </row>
    <row r="57" spans="1:19" x14ac:dyDescent="0.45">
      <c r="A57" s="5">
        <v>21</v>
      </c>
      <c r="B57" s="301" t="s">
        <v>171</v>
      </c>
      <c r="C57" s="301">
        <v>4</v>
      </c>
      <c r="E57" s="301">
        <v>3</v>
      </c>
      <c r="F57" s="301">
        <f t="shared" si="0"/>
        <v>1</v>
      </c>
      <c r="G57" s="307">
        <f t="shared" si="1"/>
        <v>25</v>
      </c>
      <c r="H57" s="308"/>
      <c r="I57" s="305"/>
      <c r="J57" s="305"/>
      <c r="K57" s="305"/>
      <c r="L57" s="306"/>
      <c r="M57" s="305"/>
      <c r="N57" s="305"/>
      <c r="S57" s="311"/>
    </row>
    <row r="58" spans="1:19" x14ac:dyDescent="0.45">
      <c r="A58" s="5"/>
      <c r="G58" s="305"/>
      <c r="H58" s="308"/>
      <c r="I58" s="305"/>
      <c r="J58" s="305"/>
      <c r="K58" s="305"/>
      <c r="L58" s="306"/>
      <c r="M58" s="305"/>
      <c r="N58" s="305"/>
      <c r="S58" s="311"/>
    </row>
    <row r="59" spans="1:19" x14ac:dyDescent="0.45">
      <c r="A59" s="5"/>
      <c r="G59" s="305"/>
      <c r="H59" s="308"/>
      <c r="I59" s="305"/>
      <c r="J59" s="305"/>
      <c r="K59" s="305"/>
      <c r="L59" s="306"/>
      <c r="M59" s="305"/>
      <c r="N59" s="305"/>
      <c r="S59" s="311"/>
    </row>
    <row r="60" spans="1:19" x14ac:dyDescent="0.45">
      <c r="A60" s="5"/>
      <c r="G60" s="305"/>
      <c r="H60" s="308"/>
      <c r="I60" s="305"/>
      <c r="J60" s="305"/>
      <c r="K60" s="305"/>
      <c r="L60" s="306"/>
      <c r="M60" s="305"/>
      <c r="N60" s="305"/>
      <c r="S60" s="311"/>
    </row>
    <row r="61" spans="1:19" x14ac:dyDescent="0.45">
      <c r="A61" s="5"/>
      <c r="G61" s="305"/>
      <c r="H61" s="308"/>
      <c r="I61" s="305"/>
      <c r="J61" s="305"/>
      <c r="K61" s="305"/>
      <c r="L61" s="306"/>
      <c r="M61" s="305"/>
      <c r="N61" s="305"/>
      <c r="S61" s="311"/>
    </row>
    <row r="62" spans="1:19" x14ac:dyDescent="0.45">
      <c r="A62" s="5"/>
      <c r="G62" s="305"/>
      <c r="H62" s="308"/>
      <c r="I62" s="305"/>
      <c r="J62" s="305"/>
      <c r="K62" s="305"/>
      <c r="L62" s="306"/>
      <c r="M62" s="305"/>
      <c r="N62" s="305"/>
      <c r="S62" s="311"/>
    </row>
    <row r="63" spans="1:19" x14ac:dyDescent="0.45">
      <c r="A63" s="5"/>
      <c r="G63" s="305"/>
      <c r="H63" s="308"/>
      <c r="I63" s="305"/>
      <c r="J63" s="305"/>
      <c r="K63" s="305"/>
      <c r="L63" s="306"/>
      <c r="M63" s="305"/>
      <c r="N63" s="305"/>
      <c r="S63" s="311"/>
    </row>
    <row r="64" spans="1:19" x14ac:dyDescent="0.45">
      <c r="A64" s="5"/>
      <c r="G64" s="305"/>
      <c r="H64" s="308"/>
      <c r="I64" s="305"/>
      <c r="J64" s="305"/>
      <c r="K64" s="305"/>
      <c r="L64" s="306"/>
      <c r="M64" s="305"/>
      <c r="N64" s="305"/>
      <c r="S64" s="311"/>
    </row>
    <row r="65" spans="1:19" x14ac:dyDescent="0.45">
      <c r="A65" s="5"/>
      <c r="G65" s="305"/>
      <c r="H65" s="308"/>
      <c r="I65" s="305"/>
      <c r="J65" s="305"/>
      <c r="K65" s="305"/>
      <c r="L65" s="306"/>
      <c r="M65" s="305"/>
      <c r="N65" s="305"/>
      <c r="S65" s="311"/>
    </row>
    <row r="66" spans="1:19" x14ac:dyDescent="0.45">
      <c r="A66" s="5"/>
      <c r="G66" s="305"/>
      <c r="H66" s="308"/>
      <c r="I66" s="305"/>
      <c r="J66" s="305"/>
      <c r="K66" s="305"/>
      <c r="L66" s="306"/>
      <c r="M66" s="305"/>
      <c r="N66" s="305"/>
      <c r="S66" s="311"/>
    </row>
    <row r="67" spans="1:19" x14ac:dyDescent="0.45">
      <c r="A67" s="5"/>
      <c r="G67" s="305"/>
      <c r="H67" s="308"/>
      <c r="I67" s="305"/>
      <c r="J67" s="305"/>
      <c r="K67" s="305"/>
      <c r="L67" s="306"/>
      <c r="M67" s="305"/>
      <c r="N67" s="305"/>
      <c r="S67" s="311"/>
    </row>
    <row r="68" spans="1:19" x14ac:dyDescent="0.45">
      <c r="A68" s="5"/>
      <c r="G68" s="305"/>
      <c r="H68" s="308"/>
      <c r="I68" s="305"/>
      <c r="J68" s="305"/>
      <c r="K68" s="305"/>
      <c r="L68" s="306"/>
      <c r="M68" s="305"/>
      <c r="N68" s="305"/>
      <c r="S68" s="311"/>
    </row>
    <row r="69" spans="1:19" x14ac:dyDescent="0.45">
      <c r="A69" s="5"/>
      <c r="G69" s="305"/>
      <c r="H69" s="308"/>
      <c r="I69" s="305"/>
      <c r="J69" s="305"/>
      <c r="K69" s="305"/>
      <c r="L69" s="306"/>
      <c r="M69" s="305"/>
      <c r="N69" s="305"/>
      <c r="S69" s="311"/>
    </row>
    <row r="70" spans="1:19" x14ac:dyDescent="0.45">
      <c r="A70" s="5"/>
      <c r="G70" s="305"/>
      <c r="H70" s="308"/>
      <c r="I70" s="305"/>
      <c r="J70" s="305"/>
      <c r="K70" s="305"/>
      <c r="L70" s="306"/>
      <c r="M70" s="305"/>
      <c r="N70" s="305"/>
      <c r="S70" s="311"/>
    </row>
    <row r="71" spans="1:19" x14ac:dyDescent="0.45">
      <c r="A71" s="5"/>
      <c r="G71" s="305"/>
      <c r="H71" s="308"/>
      <c r="I71" s="305"/>
      <c r="J71" s="305"/>
      <c r="K71" s="305"/>
      <c r="L71" s="306"/>
      <c r="M71" s="305"/>
      <c r="N71" s="305"/>
      <c r="S71" s="311"/>
    </row>
    <row r="72" spans="1:19" x14ac:dyDescent="0.45">
      <c r="A72" s="5"/>
      <c r="G72" s="305"/>
      <c r="H72" s="308"/>
      <c r="I72" s="305"/>
      <c r="J72" s="305"/>
      <c r="K72" s="305"/>
      <c r="L72" s="306"/>
      <c r="M72" s="305"/>
      <c r="N72" s="305"/>
      <c r="S72" s="311"/>
    </row>
    <row r="73" spans="1:19" x14ac:dyDescent="0.45">
      <c r="A73" s="5"/>
      <c r="G73" s="305"/>
      <c r="H73" s="308"/>
      <c r="I73" s="305"/>
      <c r="J73" s="305"/>
      <c r="K73" s="305"/>
      <c r="L73" s="306"/>
      <c r="M73" s="305"/>
      <c r="N73" s="305"/>
      <c r="S73" s="311"/>
    </row>
    <row r="74" spans="1:19" x14ac:dyDescent="0.45">
      <c r="A74" s="5"/>
      <c r="F74" s="89"/>
      <c r="G74" s="305"/>
      <c r="H74" s="308"/>
      <c r="I74" s="305"/>
      <c r="J74" s="305"/>
      <c r="K74" s="305"/>
      <c r="L74" s="306"/>
      <c r="M74" s="305"/>
      <c r="N74" s="305"/>
      <c r="S74" s="311"/>
    </row>
    <row r="75" spans="1:19" x14ac:dyDescent="0.45">
      <c r="A75" s="5"/>
      <c r="G75" s="305"/>
      <c r="H75" s="308"/>
      <c r="I75" s="305"/>
      <c r="J75" s="305"/>
      <c r="K75" s="305"/>
      <c r="L75" s="306"/>
      <c r="M75" s="305"/>
      <c r="N75" s="305"/>
      <c r="S75" s="311"/>
    </row>
    <row r="76" spans="1:19" x14ac:dyDescent="0.45">
      <c r="A76" s="5"/>
      <c r="G76" s="305"/>
      <c r="H76" s="308"/>
      <c r="I76" s="305"/>
      <c r="J76" s="305"/>
      <c r="K76" s="305"/>
      <c r="L76" s="306"/>
      <c r="M76" s="305"/>
      <c r="N76" s="305"/>
      <c r="S76" s="311"/>
    </row>
    <row r="77" spans="1:19" x14ac:dyDescent="0.45">
      <c r="A77" s="5"/>
      <c r="G77" s="305"/>
      <c r="H77" s="308"/>
      <c r="I77" s="305"/>
      <c r="J77" s="305"/>
      <c r="K77" s="305"/>
      <c r="L77" s="306"/>
      <c r="M77" s="305"/>
      <c r="N77" s="305"/>
      <c r="S77" s="311"/>
    </row>
    <row r="78" spans="1:19" x14ac:dyDescent="0.45">
      <c r="A78" s="5"/>
      <c r="G78" s="305"/>
      <c r="H78" s="308"/>
      <c r="I78" s="305"/>
      <c r="J78" s="305"/>
      <c r="K78" s="305"/>
      <c r="L78" s="306"/>
      <c r="M78" s="305"/>
      <c r="N78" s="305"/>
      <c r="S78" s="311"/>
    </row>
    <row r="79" spans="1:19" x14ac:dyDescent="0.45">
      <c r="A79" s="5"/>
      <c r="G79" s="305"/>
      <c r="H79" s="308"/>
      <c r="I79" s="305"/>
      <c r="J79" s="305"/>
      <c r="K79" s="305"/>
      <c r="L79" s="306"/>
      <c r="M79" s="305"/>
      <c r="N79" s="305"/>
      <c r="S79" s="311"/>
    </row>
    <row r="80" spans="1:19" x14ac:dyDescent="0.45">
      <c r="A80" s="5"/>
      <c r="G80" s="305"/>
      <c r="H80" s="308"/>
      <c r="I80" s="305"/>
      <c r="J80" s="305"/>
      <c r="K80" s="305"/>
      <c r="L80" s="306"/>
      <c r="M80" s="305"/>
      <c r="N80" s="305"/>
      <c r="S80" s="311"/>
    </row>
    <row r="81" spans="1:19" x14ac:dyDescent="0.45">
      <c r="A81" s="5"/>
      <c r="G81" s="305"/>
      <c r="H81" s="308"/>
      <c r="I81" s="305"/>
      <c r="J81" s="305"/>
      <c r="K81" s="305"/>
      <c r="L81" s="306"/>
      <c r="M81" s="305"/>
      <c r="N81" s="305"/>
      <c r="S81" s="311"/>
    </row>
    <row r="82" spans="1:19" x14ac:dyDescent="0.45">
      <c r="A82" s="5"/>
      <c r="G82" s="305"/>
      <c r="H82" s="308"/>
      <c r="I82" s="305"/>
      <c r="J82" s="305"/>
      <c r="K82" s="305"/>
      <c r="L82" s="306"/>
      <c r="M82" s="305"/>
      <c r="N82" s="305"/>
      <c r="S82" s="311"/>
    </row>
    <row r="83" spans="1:19" x14ac:dyDescent="0.45">
      <c r="A83" s="5"/>
      <c r="G83" s="305"/>
      <c r="H83" s="308"/>
      <c r="I83" s="305"/>
      <c r="J83" s="305"/>
      <c r="K83" s="305"/>
      <c r="L83" s="306"/>
      <c r="M83" s="305"/>
      <c r="N83" s="305"/>
      <c r="S83" s="311"/>
    </row>
    <row r="84" spans="1:19" x14ac:dyDescent="0.45">
      <c r="A84" s="5"/>
      <c r="G84" s="305"/>
      <c r="H84" s="308"/>
      <c r="I84" s="305"/>
      <c r="J84" s="305"/>
      <c r="K84" s="305"/>
      <c r="L84" s="306"/>
      <c r="M84" s="305"/>
      <c r="N84" s="305"/>
      <c r="S84" s="311"/>
    </row>
    <row r="85" spans="1:19" x14ac:dyDescent="0.45">
      <c r="A85" s="5"/>
      <c r="G85" s="305"/>
      <c r="H85" s="308"/>
      <c r="I85" s="305"/>
      <c r="J85" s="305"/>
      <c r="K85" s="305"/>
      <c r="L85" s="306"/>
      <c r="M85" s="305"/>
      <c r="N85" s="305"/>
      <c r="S85" s="311"/>
    </row>
    <row r="86" spans="1:19" x14ac:dyDescent="0.45">
      <c r="A86" s="5"/>
      <c r="G86" s="305"/>
      <c r="H86" s="308"/>
      <c r="I86" s="305"/>
      <c r="J86" s="305"/>
      <c r="K86" s="305"/>
      <c r="L86" s="306"/>
      <c r="M86" s="305"/>
      <c r="N86" s="305"/>
      <c r="S86" s="311"/>
    </row>
    <row r="87" spans="1:19" x14ac:dyDescent="0.45">
      <c r="A87" s="5"/>
      <c r="G87" s="305"/>
      <c r="H87" s="308"/>
      <c r="I87" s="305"/>
      <c r="J87" s="305"/>
      <c r="K87" s="305"/>
      <c r="L87" s="306"/>
      <c r="M87" s="305"/>
      <c r="N87" s="305"/>
      <c r="S87" s="311"/>
    </row>
    <row r="88" spans="1:19" x14ac:dyDescent="0.45">
      <c r="A88" s="5"/>
      <c r="G88" s="305"/>
      <c r="H88" s="308"/>
      <c r="I88" s="305"/>
      <c r="J88" s="305"/>
      <c r="K88" s="305"/>
      <c r="L88" s="306"/>
      <c r="M88" s="305"/>
      <c r="N88" s="305"/>
      <c r="S88" s="311"/>
    </row>
    <row r="89" spans="1:19" x14ac:dyDescent="0.45">
      <c r="A89" s="5"/>
      <c r="G89" s="305"/>
      <c r="H89" s="308"/>
      <c r="I89" s="305"/>
      <c r="J89" s="305"/>
      <c r="K89" s="305"/>
      <c r="L89" s="306"/>
      <c r="M89" s="305"/>
      <c r="N89" s="305"/>
      <c r="S89" s="311"/>
    </row>
    <row r="90" spans="1:19" x14ac:dyDescent="0.45">
      <c r="A90" s="5"/>
      <c r="G90" s="305"/>
      <c r="H90" s="308"/>
      <c r="I90" s="305"/>
      <c r="J90" s="305"/>
      <c r="K90" s="305"/>
      <c r="L90" s="306"/>
      <c r="M90" s="305"/>
      <c r="N90" s="305"/>
      <c r="S90" s="311"/>
    </row>
    <row r="91" spans="1:19" x14ac:dyDescent="0.45">
      <c r="A91" s="5"/>
      <c r="G91" s="305"/>
      <c r="H91" s="308"/>
      <c r="I91" s="305"/>
      <c r="J91" s="305"/>
      <c r="K91" s="305"/>
      <c r="L91" s="306"/>
      <c r="M91" s="305"/>
      <c r="N91" s="305"/>
      <c r="S91" s="311"/>
    </row>
    <row r="92" spans="1:19" x14ac:dyDescent="0.45">
      <c r="A92" s="5"/>
      <c r="G92" s="305"/>
      <c r="H92" s="308"/>
      <c r="I92" s="305"/>
      <c r="J92" s="305"/>
      <c r="K92" s="305"/>
      <c r="L92" s="306"/>
      <c r="M92" s="305"/>
      <c r="N92" s="305"/>
      <c r="S92" s="311"/>
    </row>
    <row r="93" spans="1:19" x14ac:dyDescent="0.45">
      <c r="A93" s="5"/>
      <c r="G93" s="305"/>
      <c r="H93" s="308"/>
      <c r="I93" s="305"/>
      <c r="J93" s="305"/>
      <c r="K93" s="305"/>
      <c r="L93" s="306"/>
      <c r="M93" s="305"/>
      <c r="N93" s="305"/>
      <c r="S93" s="311"/>
    </row>
    <row r="94" spans="1:19" x14ac:dyDescent="0.45">
      <c r="A94" s="5"/>
      <c r="G94" s="305"/>
      <c r="H94" s="308"/>
      <c r="I94" s="305"/>
      <c r="J94" s="305"/>
      <c r="K94" s="305"/>
      <c r="L94" s="306"/>
      <c r="M94" s="305"/>
      <c r="N94" s="305"/>
      <c r="S94" s="311"/>
    </row>
    <row r="95" spans="1:19" x14ac:dyDescent="0.45">
      <c r="G95" s="305"/>
      <c r="H95" s="308"/>
      <c r="I95" s="305"/>
      <c r="J95" s="305"/>
      <c r="K95" s="305"/>
      <c r="L95" s="306"/>
      <c r="M95" s="305"/>
      <c r="N95" s="305"/>
      <c r="S95" s="311"/>
    </row>
    <row r="96" spans="1:19" x14ac:dyDescent="0.45">
      <c r="A96" s="5"/>
      <c r="G96" s="305"/>
      <c r="H96" s="308"/>
      <c r="I96" s="305"/>
      <c r="J96" s="305"/>
      <c r="K96" s="305"/>
      <c r="L96" s="306"/>
      <c r="M96" s="305"/>
      <c r="N96" s="305"/>
      <c r="S96" s="311"/>
    </row>
    <row r="97" spans="1:19" x14ac:dyDescent="0.45">
      <c r="A97" s="5"/>
      <c r="G97" s="305"/>
      <c r="H97" s="308"/>
      <c r="I97" s="305"/>
      <c r="J97" s="305"/>
      <c r="K97" s="305"/>
      <c r="L97" s="306"/>
      <c r="M97" s="305"/>
      <c r="N97" s="305"/>
      <c r="S97" s="311"/>
    </row>
    <row r="98" spans="1:19" x14ac:dyDescent="0.45">
      <c r="A98" s="5"/>
      <c r="G98" s="305"/>
      <c r="H98" s="308"/>
      <c r="I98" s="305"/>
      <c r="J98" s="305"/>
      <c r="K98" s="305"/>
      <c r="L98" s="306"/>
      <c r="M98" s="305"/>
      <c r="N98" s="305"/>
      <c r="S98" s="311"/>
    </row>
    <row r="99" spans="1:19" x14ac:dyDescent="0.45">
      <c r="A99" s="5"/>
      <c r="G99" s="305"/>
      <c r="H99" s="308"/>
      <c r="I99" s="305"/>
      <c r="J99" s="305"/>
      <c r="K99" s="305"/>
      <c r="L99" s="306"/>
      <c r="M99" s="305"/>
      <c r="N99" s="305"/>
      <c r="S99" s="311"/>
    </row>
    <row r="100" spans="1:19" x14ac:dyDescent="0.45">
      <c r="A100" s="5"/>
      <c r="G100" s="305"/>
      <c r="H100" s="308"/>
      <c r="I100" s="305"/>
      <c r="J100" s="305"/>
      <c r="K100" s="305"/>
      <c r="L100" s="306"/>
      <c r="M100" s="305"/>
      <c r="N100" s="305"/>
      <c r="S100" s="311"/>
    </row>
    <row r="101" spans="1:19" x14ac:dyDescent="0.45">
      <c r="A101" s="5"/>
      <c r="F101" s="5"/>
      <c r="G101" s="307"/>
      <c r="H101" s="312"/>
      <c r="I101" s="307"/>
      <c r="J101" s="307"/>
      <c r="K101" s="307"/>
      <c r="L101" s="319"/>
      <c r="M101" s="307"/>
      <c r="N101" s="307"/>
      <c r="S101" s="311"/>
    </row>
    <row r="102" spans="1:19" x14ac:dyDescent="0.45">
      <c r="A102" s="5"/>
      <c r="G102" s="305"/>
      <c r="H102" s="308"/>
      <c r="I102" s="305"/>
      <c r="J102" s="305"/>
      <c r="K102" s="305"/>
      <c r="L102" s="320"/>
      <c r="M102" s="305"/>
      <c r="N102" s="305"/>
      <c r="S102" s="311"/>
    </row>
  </sheetData>
  <sortState xmlns:xlrd2="http://schemas.microsoft.com/office/spreadsheetml/2017/richdata2" ref="A38:G57">
    <sortCondition descending="1" ref="G38:G5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Budget</vt:lpstr>
      <vt:lpstr>STOCK TAKE</vt:lpstr>
      <vt:lpstr>cashflow</vt:lpstr>
      <vt:lpstr>cash budget</vt:lpstr>
      <vt:lpstr>cashbook</vt:lpstr>
      <vt:lpstr>daily sales</vt:lpstr>
      <vt:lpstr>dresses</vt:lpstr>
      <vt:lpstr>jkts &amp; jerserys</vt:lpstr>
      <vt:lpstr>suits</vt:lpstr>
      <vt:lpstr>hats shoes &amp; bags</vt:lpstr>
      <vt:lpstr>credit clients </vt:lpstr>
      <vt:lpstr>layby clients</vt:lpstr>
      <vt:lpstr>sales analysis</vt:lpstr>
      <vt:lpstr>stock purchase 2026</vt:lpstr>
      <vt:lpstr>sops</vt:lpstr>
      <vt:lpstr>salaries</vt:lpstr>
      <vt:lpstr>stock movement</vt:lpstr>
      <vt:lpstr>Budget!Print_Area</vt:lpstr>
      <vt:lpstr>dresses!Print_Area</vt:lpstr>
      <vt:lpstr>'stock purchase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CHIDO</dc:creator>
  <cp:lastModifiedBy>sandra bosha</cp:lastModifiedBy>
  <cp:lastPrinted>2025-06-19T06:09:42Z</cp:lastPrinted>
  <dcterms:created xsi:type="dcterms:W3CDTF">2016-01-04T11:13:08Z</dcterms:created>
  <dcterms:modified xsi:type="dcterms:W3CDTF">2026-05-06T05:51:45Z</dcterms:modified>
</cp:coreProperties>
</file>